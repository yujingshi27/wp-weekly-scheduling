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IProjects\3-wp-weekly-scheduling\.opencode\skills\wp-weekly-scheduling\input\"/>
    </mc:Choice>
  </mc:AlternateContent>
  <xr:revisionPtr revIDLastSave="0" documentId="13_ncr:1_{E57DE8D1-6A09-4AA0-BEB6-5E127E22F0A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WP服务单" sheetId="4" r:id="rId1"/>
    <sheet name="周排班" sheetId="3" r:id="rId2"/>
    <sheet name="人员清单" sheetId="5" r:id="rId3"/>
    <sheet name="Sheet2" sheetId="2" state="hidden" r:id="rId4"/>
  </sheets>
  <definedNames>
    <definedName name="_xlnm._FilterDatabase" localSheetId="0" hidden="1">WP服务单!$A$1:$Q$29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4" l="1"/>
  <c r="H22" i="4"/>
  <c r="H18" i="4"/>
  <c r="H17" i="4"/>
  <c r="H12" i="4"/>
  <c r="K7" i="2"/>
  <c r="I7" i="2"/>
  <c r="L5" i="2" l="1"/>
  <c r="E8" i="2"/>
  <c r="D8" i="2"/>
  <c r="C8" i="2"/>
  <c r="F3" i="2" l="1"/>
  <c r="F6" i="2"/>
  <c r="F5" i="2"/>
  <c r="F4" i="2"/>
  <c r="L6" i="2" l="1"/>
  <c r="L4" i="2"/>
  <c r="O6" i="2" l="1"/>
  <c r="O5" i="2"/>
  <c r="O4" i="2"/>
  <c r="I6" i="2"/>
  <c r="I5" i="2"/>
  <c r="I4" i="2"/>
  <c r="T8" i="2"/>
  <c r="S8" i="2"/>
  <c r="P8" i="2"/>
  <c r="M8" i="2"/>
  <c r="J8" i="2"/>
  <c r="H8" i="2"/>
  <c r="G8" i="2"/>
  <c r="F8" i="2"/>
  <c r="B8" i="2"/>
  <c r="L7" i="2"/>
  <c r="Q7" i="2"/>
  <c r="Q8" i="2" s="1"/>
  <c r="O7" i="2"/>
  <c r="N7" i="2"/>
  <c r="N8" i="2" s="1"/>
  <c r="K8" i="2"/>
  <c r="B12" i="2" s="1"/>
  <c r="B10" i="2" l="1"/>
  <c r="O8" i="2"/>
  <c r="L8" i="2"/>
  <c r="I8" i="2"/>
  <c r="R8" i="2"/>
  <c r="B11" i="2" l="1"/>
  <c r="D24" i="2" l="1"/>
</calcChain>
</file>

<file path=xl/sharedStrings.xml><?xml version="1.0" encoding="utf-8"?>
<sst xmlns="http://schemas.openxmlformats.org/spreadsheetml/2006/main" count="414" uniqueCount="236">
  <si>
    <t>其他项目</t>
  </si>
  <si>
    <t>AI项目</t>
  </si>
  <si>
    <t>公墓项目</t>
  </si>
  <si>
    <t>PE项目</t>
  </si>
  <si>
    <t>Vivi</t>
  </si>
  <si>
    <t>YuanYuan</t>
  </si>
  <si>
    <t>Luna</t>
  </si>
  <si>
    <t>Rainbow</t>
  </si>
  <si>
    <t>Name</t>
  </si>
  <si>
    <t>ICBC</t>
  </si>
  <si>
    <t>公募</t>
  </si>
  <si>
    <t>PE</t>
  </si>
  <si>
    <t>ICBCA</t>
  </si>
  <si>
    <t>海信</t>
  </si>
  <si>
    <t>Intern</t>
  </si>
  <si>
    <t>类型</t>
  </si>
  <si>
    <t>合计</t>
  </si>
  <si>
    <t>HK WAM</t>
  </si>
  <si>
    <t>招银</t>
  </si>
  <si>
    <t>Engagement Code</t>
  </si>
  <si>
    <t>hours</t>
  </si>
  <si>
    <t>Shanghai Lingyi Investment Partnership (limited partnership)</t>
  </si>
  <si>
    <t>Shanghai Xinze Sanhe Venture Investment LP</t>
  </si>
  <si>
    <t>项目类型</t>
  </si>
  <si>
    <t>47129548</t>
  </si>
  <si>
    <t>Client Name</t>
  </si>
  <si>
    <t>Engagement Name</t>
  </si>
  <si>
    <t>订单编号</t>
  </si>
  <si>
    <t>Outlook Hours</t>
  </si>
  <si>
    <t>Audit EIC</t>
  </si>
  <si>
    <t>Audit Report Date</t>
  </si>
  <si>
    <t>HashKey Capital Limited</t>
  </si>
  <si>
    <t>47129402</t>
  </si>
  <si>
    <t>AUD2026-12 Hashkey OFC Funds</t>
  </si>
  <si>
    <t>Order47129402- 260829001</t>
  </si>
  <si>
    <t>Donald.Yue</t>
  </si>
  <si>
    <t>Boyu Capital Advisory Co. Limited</t>
  </si>
  <si>
    <t>47129715</t>
  </si>
  <si>
    <t>AUD2026-12 BOYU CAPITAL FUND</t>
  </si>
  <si>
    <t>Order47129715- 260814001</t>
  </si>
  <si>
    <t>Michelle.Chung,Donald.Yue</t>
  </si>
  <si>
    <t>E Fund International Holdings Limited</t>
  </si>
  <si>
    <t>47129692</t>
  </si>
  <si>
    <t>AUD2026-12 E Fund IM</t>
  </si>
  <si>
    <t>Order47129692- 260814001</t>
  </si>
  <si>
    <t>Michelle.Chung,Daniel.Kong</t>
  </si>
  <si>
    <t>SHINKA CAPITAL MANAGEMENT LIMITED</t>
  </si>
  <si>
    <t>47129702</t>
  </si>
  <si>
    <t>AUD2026-12 Shinka Capital</t>
  </si>
  <si>
    <t>Order47129702- 260814001</t>
  </si>
  <si>
    <t>Michelle.Chung</t>
  </si>
  <si>
    <t>DST Investment Management Limited</t>
  </si>
  <si>
    <t>47129679</t>
  </si>
  <si>
    <t>AUD2026-12 DST Investment Mgt</t>
  </si>
  <si>
    <t>Order47129679- 260814001</t>
  </si>
  <si>
    <t>Taikang Asset Management (Hong Kong) Company Limited</t>
  </si>
  <si>
    <t>47129130</t>
  </si>
  <si>
    <t>AUD2026-12 Taikang HK Comps</t>
  </si>
  <si>
    <t>Order47129130- 260814001</t>
  </si>
  <si>
    <t>Ortus Capital Management Limited</t>
  </si>
  <si>
    <t>47129432</t>
  </si>
  <si>
    <t>AUD2026-12 OCML HK</t>
  </si>
  <si>
    <t>Order47129432- 260812001</t>
  </si>
  <si>
    <t>Daniel.Kong</t>
  </si>
  <si>
    <t>COS-Capital Hong Kong International Co. Limited</t>
  </si>
  <si>
    <t>47129459</t>
  </si>
  <si>
    <t>AUD2026-12 COS-CAPITAL HK INTL</t>
  </si>
  <si>
    <t>Order47129459- 260812001</t>
  </si>
  <si>
    <t>Jason.CF.Tam</t>
  </si>
  <si>
    <t>Industrial And Commercial Bank of China (Asia) Limited</t>
  </si>
  <si>
    <t>AUD2026-12 ICBCA</t>
  </si>
  <si>
    <t>Order47129548- 260501002</t>
  </si>
  <si>
    <t>Gordon Chu</t>
  </si>
  <si>
    <t>EverYi Capital Asia Fund, L.P.</t>
  </si>
  <si>
    <t>47128108</t>
  </si>
  <si>
    <t>AUD2026-12 EverYi Capital</t>
  </si>
  <si>
    <t>eric-yl.qin</t>
  </si>
  <si>
    <t>Ping An Fund Management Company Limited</t>
  </si>
  <si>
    <t>47128421</t>
  </si>
  <si>
    <t>AUD2026-12 PA Funds</t>
  </si>
  <si>
    <t>Order47128421- 260501003</t>
  </si>
  <si>
    <t>Candy-YX.Huang,Hannah.YH.Yu</t>
  </si>
  <si>
    <t>Vivo (Suzhou) Health Industry Investment Fund Limited Partnership</t>
  </si>
  <si>
    <t>47128359</t>
  </si>
  <si>
    <t>AUD2026-12 Arrace Holding</t>
  </si>
  <si>
    <t>Sherry.LXJ.Liu</t>
  </si>
  <si>
    <t>Industrial And Commercial Bank of China (Macau) Limited</t>
  </si>
  <si>
    <t>47129069</t>
  </si>
  <si>
    <t>AUD2026-12 ICBCM</t>
  </si>
  <si>
    <t>Order47129069- 260731001</t>
  </si>
  <si>
    <t>Tony MH Chiu</t>
  </si>
  <si>
    <t>Hangzhou Huaxin Yunkai Equity Shares Investment Partnership Enterprise (Limited Partnership)</t>
  </si>
  <si>
    <t>47128202</t>
  </si>
  <si>
    <t>AUD2026-12 Hangzhou Huaxin</t>
  </si>
  <si>
    <t>Order47128202- 260501004</t>
  </si>
  <si>
    <t>iris-l.liu,Eric C Chen</t>
  </si>
  <si>
    <t>Mirae Asset Alternative Investment Management (Shanghai) Co., Ltd.</t>
  </si>
  <si>
    <t>47128154</t>
  </si>
  <si>
    <t>AUD2026-12 Mirae Asset</t>
  </si>
  <si>
    <t>Order47128154- 260501004</t>
  </si>
  <si>
    <t>Freya.Huang,Sarah.Q.Liu</t>
  </si>
  <si>
    <t>Hang Seng Qianhai Fund Management Company Limited</t>
  </si>
  <si>
    <t>47128633</t>
  </si>
  <si>
    <t>AUD2026-12 HSQH Funds</t>
  </si>
  <si>
    <t>Order47128633- 260501004</t>
  </si>
  <si>
    <t>Hannah.YH.Yu</t>
  </si>
  <si>
    <t>Invesco Great Wall Fund Management Co.,Ltd.</t>
  </si>
  <si>
    <t>47128706</t>
  </si>
  <si>
    <t>AUD2026-12 Invesco GW Funds</t>
  </si>
  <si>
    <t>Order47128706- 260501003</t>
  </si>
  <si>
    <t>Andy-EL.Lin,Candy-YX.Huang</t>
  </si>
  <si>
    <t>Xiamen Fuhai New Materials Phase Iii Venture Capital Partnership Enterprise(Limi ted Partnership)</t>
  </si>
  <si>
    <t>47128515</t>
  </si>
  <si>
    <t>AUD2026-12 OFC Fund</t>
  </si>
  <si>
    <t>Order47128515- 260501002</t>
  </si>
  <si>
    <t>Tony.L.Tao,iris-l.liu</t>
  </si>
  <si>
    <t>47128684</t>
  </si>
  <si>
    <t>AUD2026-12 Vivo Capital</t>
  </si>
  <si>
    <t>Order47128684- 260501004</t>
  </si>
  <si>
    <t>47127971</t>
  </si>
  <si>
    <t>AUD2026-12 Xingze Fund</t>
  </si>
  <si>
    <t>Order47127971- 260501004</t>
  </si>
  <si>
    <t>Tony.L.Tao</t>
  </si>
  <si>
    <t>Great Wall Fund Management Co., Ltd</t>
  </si>
  <si>
    <t>47128364</t>
  </si>
  <si>
    <t>AUD2026-12 Great Wall Funds</t>
  </si>
  <si>
    <t>Order47128364- 260501004</t>
  </si>
  <si>
    <t>47128472</t>
  </si>
  <si>
    <t>AUD2026-12 Xingze Management</t>
  </si>
  <si>
    <t>Order47128472- 260501003</t>
  </si>
  <si>
    <t>WP Financial Investment, LP</t>
  </si>
  <si>
    <t>47128469</t>
  </si>
  <si>
    <t>AUD2026-12 Warburg Pincus US Fund</t>
  </si>
  <si>
    <t>Order47128469- 260501002</t>
  </si>
  <si>
    <t>Eric C Chen</t>
  </si>
  <si>
    <t>47128835</t>
  </si>
  <si>
    <t>AUD2026-12 01VC USD Fund</t>
  </si>
  <si>
    <t>Order47128835- 260501004</t>
  </si>
  <si>
    <t>shirley-y.chen,Eric C Chen</t>
  </si>
  <si>
    <t>Hisense Group Holdings Co., Ltd.</t>
  </si>
  <si>
    <t>47115559</t>
  </si>
  <si>
    <t>IPO2026-03 Project Voyage_CN</t>
  </si>
  <si>
    <t>Order47115559- 260729002</t>
  </si>
  <si>
    <t>susan.jr.wang,Qun.Hao,Mike.HB.Wang</t>
  </si>
  <si>
    <t>FORTUNE &amp; ROYAL ASSET MANAGEMENT CORPORATION LIMITED</t>
  </si>
  <si>
    <t>47128046</t>
  </si>
  <si>
    <t>AUD2026-12 FR Funds</t>
  </si>
  <si>
    <t>Order47128046- 260501004</t>
  </si>
  <si>
    <t>CMB International Leasing Management Limited</t>
  </si>
  <si>
    <t>47133720</t>
  </si>
  <si>
    <t>AUD2026-12 CMBILM</t>
  </si>
  <si>
    <t>Order47133720- 260504003</t>
  </si>
  <si>
    <t>Candy-JX.Wu</t>
  </si>
  <si>
    <t>Jamesonite Gem (HK) Holdings Limited</t>
  </si>
  <si>
    <t>47136348</t>
  </si>
  <si>
    <t>AUD2026-12 Warburg Pincus HK SPV JZ</t>
  </si>
  <si>
    <t>Order47136348- 260504004</t>
  </si>
  <si>
    <t>预审（10-12月）预计hours</t>
  </si>
  <si>
    <t>1-3月预计hours</t>
  </si>
  <si>
    <t>4-6月预计hours</t>
  </si>
  <si>
    <t>预审开始时间</t>
    <phoneticPr fontId="2" type="noConversion"/>
  </si>
  <si>
    <t>年审开始时间</t>
    <phoneticPr fontId="2" type="noConversion"/>
  </si>
  <si>
    <t>预审交付时间</t>
    <phoneticPr fontId="2" type="noConversion"/>
  </si>
  <si>
    <t>年审交付时间</t>
    <phoneticPr fontId="2" type="noConversion"/>
  </si>
  <si>
    <t>Order47128108- 260501005</t>
    <phoneticPr fontId="2" type="noConversion"/>
  </si>
  <si>
    <t>Order47128359- 260501004</t>
    <phoneticPr fontId="2" type="noConversion"/>
  </si>
  <si>
    <t>Staff Name</t>
    <phoneticPr fontId="2" type="noConversion"/>
  </si>
  <si>
    <t>周期</t>
    <phoneticPr fontId="2" type="noConversion"/>
  </si>
  <si>
    <t>Name</t>
    <phoneticPr fontId="2" type="noConversion"/>
  </si>
  <si>
    <t>Grade</t>
    <phoneticPr fontId="2" type="noConversion"/>
  </si>
  <si>
    <t>hours占比</t>
    <phoneticPr fontId="2" type="noConversion"/>
  </si>
  <si>
    <t>Marsh</t>
    <phoneticPr fontId="2" type="noConversion"/>
  </si>
  <si>
    <t>manger</t>
    <phoneticPr fontId="2" type="noConversion"/>
  </si>
  <si>
    <t>Vivi</t>
    <phoneticPr fontId="2" type="noConversion"/>
  </si>
  <si>
    <t>Senior</t>
    <phoneticPr fontId="2" type="noConversion"/>
  </si>
  <si>
    <t>Yuan</t>
    <phoneticPr fontId="2" type="noConversion"/>
  </si>
  <si>
    <t>staff</t>
    <phoneticPr fontId="2" type="noConversion"/>
  </si>
  <si>
    <t>Luna</t>
    <phoneticPr fontId="2" type="noConversion"/>
  </si>
  <si>
    <t>Rainbow</t>
    <phoneticPr fontId="2" type="noConversion"/>
  </si>
  <si>
    <t>2026年11月初</t>
  </si>
  <si>
    <t>2026年12月初</t>
  </si>
  <si>
    <t>2027年1月中</t>
  </si>
  <si>
    <t>参与人员1</t>
    <phoneticPr fontId="2" type="noConversion"/>
  </si>
  <si>
    <t>参与人员2</t>
  </si>
  <si>
    <t>参与人员3</t>
  </si>
  <si>
    <t>参与人员4</t>
  </si>
  <si>
    <t>yuan</t>
    <phoneticPr fontId="2" type="noConversion"/>
  </si>
  <si>
    <t>参与人员5</t>
  </si>
  <si>
    <t>剩余hours</t>
    <phoneticPr fontId="2" type="noConversion"/>
  </si>
  <si>
    <t>项目类型</t>
    <phoneticPr fontId="2" type="noConversion"/>
  </si>
  <si>
    <t>Client Name</t>
    <phoneticPr fontId="2" type="noConversion"/>
  </si>
  <si>
    <t>WP服务单号</t>
    <phoneticPr fontId="2" type="noConversion"/>
  </si>
  <si>
    <t>WP 服务单号</t>
    <phoneticPr fontId="2" type="noConversion"/>
  </si>
  <si>
    <t>47136348- EDC260504001</t>
  </si>
  <si>
    <t>47129069- EDC260731001</t>
  </si>
  <si>
    <t>47128835- EDC260501001</t>
  </si>
  <si>
    <t>47128706- EDC260501001</t>
  </si>
  <si>
    <t>47128684- EDC260501001</t>
  </si>
  <si>
    <t>47128633- EDC260501001</t>
  </si>
  <si>
    <t>47128515- EDC260501001</t>
  </si>
  <si>
    <t>47128472- EDC260501001</t>
  </si>
  <si>
    <t>47128469- EDC260501001</t>
  </si>
  <si>
    <t>47128421- EDC260501001</t>
  </si>
  <si>
    <t>47128364- EDC260501001</t>
  </si>
  <si>
    <t>47128359- EDC260501001</t>
  </si>
  <si>
    <t>47128202- EDC260501001</t>
  </si>
  <si>
    <t>47128154- EDC260504001</t>
  </si>
  <si>
    <t>47128108- EDC260504001</t>
  </si>
  <si>
    <t>47128046- EDC260504001</t>
  </si>
  <si>
    <t>47127971- EDC260501001</t>
  </si>
  <si>
    <t>47115559- EDC260729001</t>
  </si>
  <si>
    <t>47129548- EDC260501001</t>
    <phoneticPr fontId="2" type="noConversion"/>
  </si>
  <si>
    <t>47129402- EDC260829001</t>
    <phoneticPr fontId="2" type="noConversion"/>
  </si>
  <si>
    <t>47129715- EDC260814001</t>
    <phoneticPr fontId="2" type="noConversion"/>
  </si>
  <si>
    <t>47129692- EDC260814001</t>
    <phoneticPr fontId="2" type="noConversion"/>
  </si>
  <si>
    <t>47129702- EDC260814001</t>
    <phoneticPr fontId="2" type="noConversion"/>
  </si>
  <si>
    <t>47129679- EDC260814001</t>
    <phoneticPr fontId="2" type="noConversion"/>
  </si>
  <si>
    <t>47129130- EDC260814001</t>
    <phoneticPr fontId="2" type="noConversion"/>
  </si>
  <si>
    <t>47129432- EDC260812001</t>
    <phoneticPr fontId="2" type="noConversion"/>
  </si>
  <si>
    <t>47129459- EDC260812001</t>
    <phoneticPr fontId="2" type="noConversion"/>
  </si>
  <si>
    <t>47133720- EDC260504003</t>
    <phoneticPr fontId="2" type="noConversion"/>
  </si>
  <si>
    <t>Marsh.Ma@cn.ey.com</t>
  </si>
  <si>
    <t>Vivi.W.Yang@cn.ey.com</t>
  </si>
  <si>
    <t>Luna.CD.Zhang@cn.ey.com</t>
    <phoneticPr fontId="2" type="noConversion"/>
  </si>
  <si>
    <t>Yuan.Yuan.YY.Chen@cn.ey.com</t>
    <phoneticPr fontId="2" type="noConversion"/>
  </si>
  <si>
    <t>Rainbow.MG.Xiao@cn.ey.com</t>
    <phoneticPr fontId="2" type="noConversion"/>
  </si>
  <si>
    <t>ICBC</t>
    <phoneticPr fontId="2" type="noConversion"/>
  </si>
  <si>
    <t>2027年2月底</t>
    <phoneticPr fontId="2" type="noConversion"/>
  </si>
  <si>
    <t>Intern</t>
    <phoneticPr fontId="2" type="noConversion"/>
  </si>
  <si>
    <t>InternA</t>
    <phoneticPr fontId="2" type="noConversion"/>
  </si>
  <si>
    <t>InternB</t>
    <phoneticPr fontId="2" type="noConversion"/>
  </si>
  <si>
    <t>参与人员6</t>
  </si>
  <si>
    <t>参与人员7</t>
  </si>
  <si>
    <t>优先项目类型</t>
    <phoneticPr fontId="2" type="noConversion"/>
  </si>
  <si>
    <t>公募</t>
    <phoneticPr fontId="2" type="noConversion"/>
  </si>
  <si>
    <t>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</si>
</sst>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0" fontId="0" fillId="0" borderId="0" xfId="0" applyBorder="1"/>
    <xf numFmtId="0" fontId="0" fillId="0" borderId="0" xfId="0" applyNumberFormat="1" applyBorder="1"/>
    <xf numFmtId="9" fontId="0" fillId="0" borderId="0" xfId="0" applyNumberFormat="1"/>
    <xf numFmtId="0" fontId="3" fillId="0" borderId="0" xfId="2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1" defaultTableStyle="TableStyleMedium2" defaultPivotStyle="PivotStyleLight16">
    <tableStyle name="Invisible" pivot="0" table="0" count="0" xr9:uid="{5446A8E0-FF6E-4577-8A81-D32861B16B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inbow.MG.Xiao@cn.ey.com" TargetMode="External"/><Relationship Id="rId2" Type="http://schemas.openxmlformats.org/officeDocument/2006/relationships/hyperlink" Target="mailto:Yuan.Yuan.YY.Chen@cn.ey.com" TargetMode="External"/><Relationship Id="rId1" Type="http://schemas.openxmlformats.org/officeDocument/2006/relationships/hyperlink" Target="mailto:Luna.CD.Zhang@cn.e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9C60-18D4-4119-A700-7C82B58B5FFA}">
  <dimension ref="A1:X75"/>
  <sheetViews>
    <sheetView topLeftCell="D1" zoomScale="85" zoomScaleNormal="85" workbookViewId="0">
      <selection activeCell="F46" sqref="F46"/>
    </sheetView>
  </sheetViews>
  <sheetFormatPr defaultRowHeight="13.8" x14ac:dyDescent="0.25"/>
  <cols>
    <col min="1" max="1" width="52.77734375" customWidth="1"/>
    <col min="2" max="2" width="13" style="11" customWidth="1"/>
    <col min="3" max="3" width="32.44140625" style="11" customWidth="1"/>
    <col min="4" max="5" width="27.33203125" style="11" customWidth="1"/>
    <col min="6" max="6" width="18" customWidth="1"/>
    <col min="7" max="7" width="14.33203125" style="9" customWidth="1"/>
    <col min="8" max="8" width="28.44140625" style="11" customWidth="1"/>
    <col min="10" max="10" width="14.77734375" style="2" customWidth="1"/>
    <col min="11" max="11" width="15.88671875" style="2" customWidth="1"/>
    <col min="12" max="12" width="10.88671875" style="2" customWidth="1"/>
    <col min="13" max="13" width="12.88671875" customWidth="1"/>
    <col min="14" max="16" width="14.44140625" customWidth="1"/>
    <col min="17" max="17" width="18.44140625" customWidth="1"/>
    <col min="18" max="18" width="12.88671875" customWidth="1"/>
    <col min="19" max="19" width="11.88671875" customWidth="1"/>
    <col min="20" max="20" width="17.5546875" customWidth="1"/>
    <col min="21" max="21" width="13.33203125" customWidth="1"/>
    <col min="22" max="22" width="11.109375" customWidth="1"/>
    <col min="23" max="24" width="12" customWidth="1"/>
  </cols>
  <sheetData>
    <row r="1" spans="1:24" x14ac:dyDescent="0.25">
      <c r="A1" t="s">
        <v>25</v>
      </c>
      <c r="B1" s="11" t="s">
        <v>19</v>
      </c>
      <c r="C1" s="11" t="s">
        <v>26</v>
      </c>
      <c r="D1" s="11" t="s">
        <v>27</v>
      </c>
      <c r="E1" s="11" t="s">
        <v>192</v>
      </c>
      <c r="F1" t="s">
        <v>29</v>
      </c>
      <c r="G1" s="9" t="s">
        <v>30</v>
      </c>
      <c r="H1" s="11" t="s">
        <v>28</v>
      </c>
      <c r="I1" t="s">
        <v>188</v>
      </c>
      <c r="J1" s="2" t="s">
        <v>157</v>
      </c>
      <c r="K1" s="2" t="s">
        <v>158</v>
      </c>
      <c r="L1" s="2" t="s">
        <v>159</v>
      </c>
      <c r="M1" s="2" t="s">
        <v>23</v>
      </c>
      <c r="N1" s="2" t="s">
        <v>160</v>
      </c>
      <c r="O1" s="2" t="s">
        <v>162</v>
      </c>
      <c r="P1" s="2" t="s">
        <v>161</v>
      </c>
      <c r="Q1" s="2" t="s">
        <v>163</v>
      </c>
      <c r="R1" s="2" t="s">
        <v>182</v>
      </c>
      <c r="S1" s="2" t="s">
        <v>183</v>
      </c>
      <c r="T1" s="2" t="s">
        <v>184</v>
      </c>
      <c r="U1" s="2" t="s">
        <v>185</v>
      </c>
      <c r="V1" s="2" t="s">
        <v>187</v>
      </c>
      <c r="W1" s="2" t="s">
        <v>231</v>
      </c>
      <c r="X1" s="2" t="s">
        <v>232</v>
      </c>
    </row>
    <row r="2" spans="1:24" x14ac:dyDescent="0.25">
      <c r="A2" t="s">
        <v>31</v>
      </c>
      <c r="B2" t="s">
        <v>32</v>
      </c>
      <c r="C2" t="s">
        <v>33</v>
      </c>
      <c r="D2" t="s">
        <v>34</v>
      </c>
      <c r="E2" t="s">
        <v>212</v>
      </c>
      <c r="F2" t="s">
        <v>35</v>
      </c>
      <c r="G2" s="9">
        <v>46515</v>
      </c>
      <c r="H2">
        <v>60.06</v>
      </c>
      <c r="I2">
        <v>60.06</v>
      </c>
      <c r="K2" s="2">
        <v>54.054000000000002</v>
      </c>
      <c r="L2" s="2">
        <v>6.0060000000000002</v>
      </c>
      <c r="M2" t="s">
        <v>17</v>
      </c>
      <c r="P2" s="9">
        <v>46447</v>
      </c>
      <c r="Q2" s="9">
        <v>46478</v>
      </c>
      <c r="R2" t="s">
        <v>171</v>
      </c>
      <c r="S2" t="s">
        <v>173</v>
      </c>
      <c r="T2" t="s">
        <v>177</v>
      </c>
      <c r="U2" t="s">
        <v>178</v>
      </c>
    </row>
    <row r="3" spans="1:24" x14ac:dyDescent="0.25">
      <c r="A3" t="s">
        <v>36</v>
      </c>
      <c r="B3" t="s">
        <v>37</v>
      </c>
      <c r="C3" t="s">
        <v>38</v>
      </c>
      <c r="D3" t="s">
        <v>39</v>
      </c>
      <c r="E3" t="s">
        <v>213</v>
      </c>
      <c r="F3" t="s">
        <v>40</v>
      </c>
      <c r="G3" s="9">
        <v>46472</v>
      </c>
      <c r="H3">
        <v>13.81</v>
      </c>
      <c r="I3">
        <v>13.81</v>
      </c>
      <c r="K3" s="2">
        <v>13.81</v>
      </c>
      <c r="M3" t="s">
        <v>17</v>
      </c>
      <c r="P3" s="9">
        <v>46433</v>
      </c>
      <c r="Q3" s="9">
        <v>46466</v>
      </c>
      <c r="R3" t="s">
        <v>171</v>
      </c>
      <c r="S3" t="s">
        <v>173</v>
      </c>
      <c r="T3" t="s">
        <v>177</v>
      </c>
      <c r="U3" t="s">
        <v>178</v>
      </c>
    </row>
    <row r="4" spans="1:24" x14ac:dyDescent="0.25">
      <c r="A4" t="s">
        <v>41</v>
      </c>
      <c r="B4" t="s">
        <v>42</v>
      </c>
      <c r="C4" t="s">
        <v>43</v>
      </c>
      <c r="D4" t="s">
        <v>44</v>
      </c>
      <c r="E4" t="s">
        <v>214</v>
      </c>
      <c r="F4" t="s">
        <v>45</v>
      </c>
      <c r="G4" s="9">
        <v>46472</v>
      </c>
      <c r="H4">
        <v>5.01</v>
      </c>
      <c r="I4">
        <v>5.01</v>
      </c>
      <c r="K4" s="2">
        <v>5.01</v>
      </c>
      <c r="M4" t="s">
        <v>17</v>
      </c>
      <c r="P4" s="9">
        <v>46433</v>
      </c>
      <c r="Q4" s="9">
        <v>46466</v>
      </c>
      <c r="R4" t="s">
        <v>171</v>
      </c>
      <c r="S4" t="s">
        <v>173</v>
      </c>
      <c r="T4" t="s">
        <v>177</v>
      </c>
      <c r="U4" t="s">
        <v>178</v>
      </c>
    </row>
    <row r="5" spans="1:24" x14ac:dyDescent="0.25">
      <c r="A5" t="s">
        <v>46</v>
      </c>
      <c r="B5" t="s">
        <v>47</v>
      </c>
      <c r="C5" t="s">
        <v>48</v>
      </c>
      <c r="D5" t="s">
        <v>49</v>
      </c>
      <c r="E5" t="s">
        <v>215</v>
      </c>
      <c r="F5" t="s">
        <v>50</v>
      </c>
      <c r="G5" s="9">
        <v>46492</v>
      </c>
      <c r="H5">
        <v>17.010000000000002</v>
      </c>
      <c r="I5">
        <v>17.010000000000002</v>
      </c>
      <c r="K5" s="2">
        <v>17.010000000000002</v>
      </c>
      <c r="M5" t="s">
        <v>17</v>
      </c>
      <c r="P5" s="9">
        <v>46433</v>
      </c>
      <c r="Q5" s="9">
        <v>46478</v>
      </c>
      <c r="R5" t="s">
        <v>171</v>
      </c>
      <c r="S5" t="s">
        <v>173</v>
      </c>
      <c r="T5" t="s">
        <v>177</v>
      </c>
      <c r="U5" t="s">
        <v>178</v>
      </c>
    </row>
    <row r="6" spans="1:24" x14ac:dyDescent="0.25">
      <c r="A6" t="s">
        <v>51</v>
      </c>
      <c r="B6" t="s">
        <v>52</v>
      </c>
      <c r="C6" t="s">
        <v>53</v>
      </c>
      <c r="D6" t="s">
        <v>54</v>
      </c>
      <c r="E6" t="s">
        <v>216</v>
      </c>
      <c r="F6" t="s">
        <v>35</v>
      </c>
      <c r="G6" s="9">
        <v>46504</v>
      </c>
      <c r="H6">
        <v>22.01</v>
      </c>
      <c r="I6">
        <v>22.01</v>
      </c>
      <c r="K6" s="2">
        <v>22.01</v>
      </c>
      <c r="M6" t="s">
        <v>17</v>
      </c>
      <c r="P6" s="9">
        <v>46433</v>
      </c>
      <c r="Q6" s="9">
        <v>46478</v>
      </c>
      <c r="R6" t="s">
        <v>171</v>
      </c>
      <c r="S6" t="s">
        <v>173</v>
      </c>
      <c r="T6" t="s">
        <v>177</v>
      </c>
      <c r="U6" t="s">
        <v>178</v>
      </c>
    </row>
    <row r="7" spans="1:24" x14ac:dyDescent="0.25">
      <c r="A7" t="s">
        <v>55</v>
      </c>
      <c r="B7" t="s">
        <v>56</v>
      </c>
      <c r="C7" t="s">
        <v>57</v>
      </c>
      <c r="D7" t="s">
        <v>58</v>
      </c>
      <c r="E7" t="s">
        <v>217</v>
      </c>
      <c r="F7" t="s">
        <v>35</v>
      </c>
      <c r="G7" s="9">
        <v>46528</v>
      </c>
      <c r="H7">
        <v>17.010000000000002</v>
      </c>
      <c r="I7">
        <v>17.010000000000002</v>
      </c>
      <c r="K7" s="2">
        <v>17.010000000000002</v>
      </c>
      <c r="M7" t="s">
        <v>17</v>
      </c>
      <c r="P7" s="9">
        <v>46433</v>
      </c>
      <c r="Q7" s="9">
        <v>46478</v>
      </c>
      <c r="R7" t="s">
        <v>171</v>
      </c>
      <c r="S7" t="s">
        <v>173</v>
      </c>
      <c r="T7" t="s">
        <v>177</v>
      </c>
      <c r="U7" t="s">
        <v>178</v>
      </c>
    </row>
    <row r="8" spans="1:24" x14ac:dyDescent="0.25">
      <c r="A8" t="s">
        <v>59</v>
      </c>
      <c r="B8" t="s">
        <v>60</v>
      </c>
      <c r="C8" t="s">
        <v>61</v>
      </c>
      <c r="D8" t="s">
        <v>62</v>
      </c>
      <c r="E8" t="s">
        <v>218</v>
      </c>
      <c r="F8" t="s">
        <v>63</v>
      </c>
      <c r="G8" s="9">
        <v>46505</v>
      </c>
      <c r="H8">
        <v>17.22</v>
      </c>
      <c r="I8">
        <v>17.22</v>
      </c>
      <c r="K8" s="2">
        <v>17.22</v>
      </c>
      <c r="M8" t="s">
        <v>17</v>
      </c>
      <c r="P8" s="9">
        <v>46433</v>
      </c>
      <c r="Q8" s="9">
        <v>46478</v>
      </c>
      <c r="R8" t="s">
        <v>171</v>
      </c>
      <c r="S8" t="s">
        <v>173</v>
      </c>
      <c r="T8" t="s">
        <v>177</v>
      </c>
      <c r="U8" t="s">
        <v>178</v>
      </c>
    </row>
    <row r="9" spans="1:24" x14ac:dyDescent="0.25">
      <c r="A9" t="s">
        <v>64</v>
      </c>
      <c r="B9" t="s">
        <v>65</v>
      </c>
      <c r="C9" t="s">
        <v>66</v>
      </c>
      <c r="D9" t="s">
        <v>67</v>
      </c>
      <c r="E9" t="s">
        <v>219</v>
      </c>
      <c r="F9" t="s">
        <v>68</v>
      </c>
      <c r="G9" s="9">
        <v>46499</v>
      </c>
      <c r="H9">
        <v>18.809999999999999</v>
      </c>
      <c r="I9">
        <v>18.809999999999999</v>
      </c>
      <c r="K9" s="2">
        <v>18.809999999999999</v>
      </c>
      <c r="M9" t="s">
        <v>17</v>
      </c>
      <c r="P9" s="9">
        <v>46433</v>
      </c>
      <c r="Q9" s="9">
        <v>46478</v>
      </c>
      <c r="R9" t="s">
        <v>171</v>
      </c>
      <c r="S9" t="s">
        <v>173</v>
      </c>
      <c r="T9" t="s">
        <v>177</v>
      </c>
      <c r="U9" t="s">
        <v>178</v>
      </c>
    </row>
    <row r="10" spans="1:24" x14ac:dyDescent="0.25">
      <c r="A10" t="s">
        <v>69</v>
      </c>
      <c r="B10" t="s">
        <v>24</v>
      </c>
      <c r="C10" t="s">
        <v>70</v>
      </c>
      <c r="D10" t="s">
        <v>71</v>
      </c>
      <c r="E10" t="s">
        <v>211</v>
      </c>
      <c r="F10" t="s">
        <v>72</v>
      </c>
      <c r="G10" s="9">
        <v>46507</v>
      </c>
      <c r="H10">
        <v>1316.11</v>
      </c>
      <c r="I10">
        <v>1316.11</v>
      </c>
      <c r="J10" s="2">
        <v>394.83299999999997</v>
      </c>
      <c r="K10" s="2">
        <v>921.27699999999993</v>
      </c>
      <c r="M10" t="s">
        <v>226</v>
      </c>
      <c r="N10" s="9">
        <v>46307</v>
      </c>
      <c r="O10" s="9">
        <v>46346</v>
      </c>
      <c r="P10" s="9">
        <v>46377</v>
      </c>
      <c r="Q10" s="9">
        <v>46477</v>
      </c>
      <c r="R10" t="s">
        <v>171</v>
      </c>
      <c r="S10" t="s">
        <v>173</v>
      </c>
      <c r="T10" t="s">
        <v>175</v>
      </c>
      <c r="U10" t="s">
        <v>177</v>
      </c>
      <c r="V10" t="s">
        <v>178</v>
      </c>
      <c r="W10" t="s">
        <v>230</v>
      </c>
      <c r="X10" t="s">
        <v>229</v>
      </c>
    </row>
    <row r="11" spans="1:24" x14ac:dyDescent="0.25">
      <c r="A11" t="s">
        <v>73</v>
      </c>
      <c r="B11" s="12" t="s">
        <v>74</v>
      </c>
      <c r="C11" s="11" t="s">
        <v>75</v>
      </c>
      <c r="D11" s="11" t="s">
        <v>164</v>
      </c>
      <c r="E11" t="s">
        <v>207</v>
      </c>
      <c r="F11" t="s">
        <v>76</v>
      </c>
      <c r="G11" s="9">
        <v>46501</v>
      </c>
      <c r="H11" s="11">
        <v>106.49</v>
      </c>
      <c r="I11">
        <v>106.49</v>
      </c>
      <c r="J11" s="2">
        <v>31.946999999999996</v>
      </c>
      <c r="K11" s="2">
        <v>63.894000000000005</v>
      </c>
      <c r="L11" s="2">
        <v>10.649000000000001</v>
      </c>
      <c r="M11" t="s">
        <v>11</v>
      </c>
      <c r="N11" s="10"/>
      <c r="O11" s="10"/>
      <c r="P11" s="10">
        <v>46388</v>
      </c>
      <c r="Q11" s="10">
        <v>46437</v>
      </c>
      <c r="R11" t="s">
        <v>171</v>
      </c>
      <c r="S11" t="s">
        <v>173</v>
      </c>
      <c r="T11" t="s">
        <v>177</v>
      </c>
      <c r="U11" t="s">
        <v>178</v>
      </c>
      <c r="V11" t="s">
        <v>175</v>
      </c>
    </row>
    <row r="12" spans="1:24" x14ac:dyDescent="0.25">
      <c r="A12" t="s">
        <v>77</v>
      </c>
      <c r="B12" t="s">
        <v>78</v>
      </c>
      <c r="C12" t="s">
        <v>79</v>
      </c>
      <c r="D12" t="s">
        <v>80</v>
      </c>
      <c r="E12" t="s">
        <v>202</v>
      </c>
      <c r="F12" t="s">
        <v>81</v>
      </c>
      <c r="G12" s="9">
        <v>46470</v>
      </c>
      <c r="H12">
        <f>I12</f>
        <v>132.49</v>
      </c>
      <c r="I12">
        <v>132.49</v>
      </c>
      <c r="K12" s="2">
        <v>732.49</v>
      </c>
      <c r="M12" t="s">
        <v>10</v>
      </c>
      <c r="N12" s="9"/>
      <c r="O12" s="9"/>
      <c r="P12" s="9">
        <v>46384</v>
      </c>
      <c r="Q12" s="9">
        <v>46419</v>
      </c>
      <c r="R12" t="s">
        <v>171</v>
      </c>
      <c r="S12" t="s">
        <v>175</v>
      </c>
      <c r="T12" t="s">
        <v>178</v>
      </c>
      <c r="U12" t="s">
        <v>229</v>
      </c>
      <c r="V12" t="s">
        <v>230</v>
      </c>
    </row>
    <row r="13" spans="1:24" x14ac:dyDescent="0.25">
      <c r="A13" t="s">
        <v>82</v>
      </c>
      <c r="B13" s="12" t="s">
        <v>83</v>
      </c>
      <c r="C13" s="11" t="s">
        <v>84</v>
      </c>
      <c r="D13" s="11" t="s">
        <v>165</v>
      </c>
      <c r="E13" t="s">
        <v>204</v>
      </c>
      <c r="F13" t="s">
        <v>85</v>
      </c>
      <c r="G13" s="9">
        <v>46505</v>
      </c>
      <c r="H13" s="11">
        <v>26.64</v>
      </c>
      <c r="I13">
        <v>26.64</v>
      </c>
      <c r="J13" s="2">
        <v>7.992</v>
      </c>
      <c r="K13" s="2">
        <v>18.648</v>
      </c>
      <c r="M13" t="s">
        <v>11</v>
      </c>
      <c r="N13" s="10">
        <v>46349</v>
      </c>
      <c r="O13" s="10">
        <v>46352</v>
      </c>
      <c r="P13" s="10">
        <v>46420</v>
      </c>
      <c r="Q13" s="10">
        <v>46440</v>
      </c>
      <c r="R13" t="s">
        <v>171</v>
      </c>
      <c r="S13" t="s">
        <v>173</v>
      </c>
      <c r="T13" t="s">
        <v>177</v>
      </c>
    </row>
    <row r="14" spans="1:24" x14ac:dyDescent="0.25">
      <c r="A14" t="s">
        <v>86</v>
      </c>
      <c r="B14" t="s">
        <v>87</v>
      </c>
      <c r="C14" t="s">
        <v>88</v>
      </c>
      <c r="D14" t="s">
        <v>89</v>
      </c>
      <c r="E14" t="s">
        <v>194</v>
      </c>
      <c r="F14" t="s">
        <v>90</v>
      </c>
      <c r="G14" s="9">
        <v>46476</v>
      </c>
      <c r="H14">
        <v>88</v>
      </c>
      <c r="I14">
        <v>88</v>
      </c>
      <c r="J14" s="2">
        <v>26.4</v>
      </c>
      <c r="K14" s="2">
        <v>61.6</v>
      </c>
      <c r="M14" t="s">
        <v>226</v>
      </c>
      <c r="P14" s="9">
        <v>46377</v>
      </c>
      <c r="Q14" s="9">
        <v>46446</v>
      </c>
      <c r="R14" t="s">
        <v>171</v>
      </c>
      <c r="S14" t="s">
        <v>173</v>
      </c>
      <c r="T14" t="s">
        <v>178</v>
      </c>
      <c r="U14" t="s">
        <v>177</v>
      </c>
      <c r="V14" t="s">
        <v>229</v>
      </c>
    </row>
    <row r="15" spans="1:24" x14ac:dyDescent="0.25">
      <c r="A15" t="s">
        <v>91</v>
      </c>
      <c r="B15" s="12" t="s">
        <v>92</v>
      </c>
      <c r="C15" s="11" t="s">
        <v>93</v>
      </c>
      <c r="D15" s="11" t="s">
        <v>94</v>
      </c>
      <c r="E15" t="s">
        <v>205</v>
      </c>
      <c r="F15" t="s">
        <v>95</v>
      </c>
      <c r="G15" s="9">
        <v>46472</v>
      </c>
      <c r="H15" s="11">
        <v>491.73</v>
      </c>
      <c r="I15">
        <v>491.73</v>
      </c>
      <c r="J15" s="2">
        <v>147.51900000000001</v>
      </c>
      <c r="K15" s="2">
        <v>319.62450000000001</v>
      </c>
      <c r="L15" s="2">
        <v>24.586500000000001</v>
      </c>
      <c r="M15" t="s">
        <v>11</v>
      </c>
      <c r="N15" s="10" t="s">
        <v>179</v>
      </c>
      <c r="O15" s="10" t="s">
        <v>180</v>
      </c>
      <c r="P15" s="10" t="s">
        <v>181</v>
      </c>
      <c r="Q15" s="10" t="s">
        <v>227</v>
      </c>
      <c r="R15" t="s">
        <v>171</v>
      </c>
      <c r="S15" t="s">
        <v>173</v>
      </c>
      <c r="T15" t="s">
        <v>177</v>
      </c>
      <c r="U15" t="s">
        <v>178</v>
      </c>
      <c r="V15" t="s">
        <v>175</v>
      </c>
    </row>
    <row r="16" spans="1:24" x14ac:dyDescent="0.25">
      <c r="A16" t="s">
        <v>96</v>
      </c>
      <c r="B16" s="12" t="s">
        <v>97</v>
      </c>
      <c r="C16" s="11" t="s">
        <v>98</v>
      </c>
      <c r="D16" s="11" t="s">
        <v>99</v>
      </c>
      <c r="E16" t="s">
        <v>206</v>
      </c>
      <c r="F16" t="s">
        <v>100</v>
      </c>
      <c r="G16" s="9">
        <v>46458</v>
      </c>
      <c r="H16" s="11">
        <v>144</v>
      </c>
      <c r="I16">
        <v>144</v>
      </c>
      <c r="J16" s="2">
        <v>43.199999999999996</v>
      </c>
      <c r="K16" s="2">
        <v>100.80000000000001</v>
      </c>
      <c r="M16" t="s">
        <v>11</v>
      </c>
      <c r="N16" s="10">
        <v>46357</v>
      </c>
      <c r="O16" s="10">
        <v>46386</v>
      </c>
      <c r="P16" s="10">
        <v>46388</v>
      </c>
      <c r="Q16" s="10">
        <v>46405</v>
      </c>
      <c r="R16" t="s">
        <v>171</v>
      </c>
      <c r="S16" t="s">
        <v>173</v>
      </c>
      <c r="T16" t="s">
        <v>177</v>
      </c>
      <c r="U16" t="s">
        <v>178</v>
      </c>
      <c r="V16" t="s">
        <v>175</v>
      </c>
    </row>
    <row r="17" spans="1:22" x14ac:dyDescent="0.25">
      <c r="A17" t="s">
        <v>101</v>
      </c>
      <c r="B17" t="s">
        <v>102</v>
      </c>
      <c r="C17" t="s">
        <v>103</v>
      </c>
      <c r="D17" t="s">
        <v>104</v>
      </c>
      <c r="E17" t="s">
        <v>198</v>
      </c>
      <c r="F17" t="s">
        <v>105</v>
      </c>
      <c r="G17" s="9">
        <v>46477</v>
      </c>
      <c r="H17">
        <f>I17</f>
        <v>131.16999999999999</v>
      </c>
      <c r="I17">
        <v>131.16999999999999</v>
      </c>
      <c r="K17" s="2">
        <v>131.16999999999999</v>
      </c>
      <c r="M17" t="s">
        <v>10</v>
      </c>
      <c r="N17" s="9"/>
      <c r="O17" s="9"/>
      <c r="P17" s="9">
        <v>46377</v>
      </c>
      <c r="Q17" s="9">
        <v>46477</v>
      </c>
      <c r="R17" t="s">
        <v>171</v>
      </c>
      <c r="S17" t="s">
        <v>175</v>
      </c>
      <c r="T17" t="s">
        <v>178</v>
      </c>
      <c r="U17" t="s">
        <v>229</v>
      </c>
      <c r="V17" t="s">
        <v>230</v>
      </c>
    </row>
    <row r="18" spans="1:22" x14ac:dyDescent="0.25">
      <c r="A18" t="s">
        <v>106</v>
      </c>
      <c r="B18" t="s">
        <v>107</v>
      </c>
      <c r="C18" t="s">
        <v>108</v>
      </c>
      <c r="D18" t="s">
        <v>109</v>
      </c>
      <c r="E18" t="s">
        <v>196</v>
      </c>
      <c r="F18" t="s">
        <v>110</v>
      </c>
      <c r="G18" s="9">
        <v>46471</v>
      </c>
      <c r="H18">
        <f>I18</f>
        <v>200</v>
      </c>
      <c r="I18">
        <v>200</v>
      </c>
      <c r="J18" s="2">
        <v>277.19400000000002</v>
      </c>
      <c r="K18" s="2">
        <v>646.78600000000006</v>
      </c>
      <c r="M18" t="s">
        <v>10</v>
      </c>
      <c r="N18" s="9"/>
      <c r="O18" s="9"/>
      <c r="P18" s="9">
        <v>46377</v>
      </c>
      <c r="Q18" s="9">
        <v>46447</v>
      </c>
      <c r="R18" t="s">
        <v>171</v>
      </c>
      <c r="S18" t="s">
        <v>175</v>
      </c>
      <c r="T18" t="s">
        <v>178</v>
      </c>
      <c r="U18" t="s">
        <v>229</v>
      </c>
      <c r="V18" t="s">
        <v>230</v>
      </c>
    </row>
    <row r="19" spans="1:22" x14ac:dyDescent="0.25">
      <c r="A19" t="s">
        <v>111</v>
      </c>
      <c r="B19" s="12" t="s">
        <v>112</v>
      </c>
      <c r="C19" s="11" t="s">
        <v>113</v>
      </c>
      <c r="D19" s="11" t="s">
        <v>114</v>
      </c>
      <c r="E19" t="s">
        <v>199</v>
      </c>
      <c r="F19" t="s">
        <v>115</v>
      </c>
      <c r="G19" s="9">
        <v>46477</v>
      </c>
      <c r="H19" s="11">
        <v>38.74</v>
      </c>
      <c r="I19">
        <v>38.74</v>
      </c>
      <c r="J19" s="2">
        <v>11.622</v>
      </c>
      <c r="K19" s="2">
        <v>27.118000000000002</v>
      </c>
      <c r="M19" t="s">
        <v>11</v>
      </c>
      <c r="N19" s="10"/>
      <c r="O19" s="10"/>
      <c r="P19" s="10">
        <v>46395</v>
      </c>
      <c r="Q19" s="9">
        <v>46419</v>
      </c>
      <c r="R19" t="s">
        <v>171</v>
      </c>
      <c r="S19" t="s">
        <v>173</v>
      </c>
      <c r="T19" t="s">
        <v>177</v>
      </c>
    </row>
    <row r="20" spans="1:22" x14ac:dyDescent="0.25">
      <c r="A20" t="s">
        <v>82</v>
      </c>
      <c r="B20" s="12" t="s">
        <v>116</v>
      </c>
      <c r="C20" s="11" t="s">
        <v>117</v>
      </c>
      <c r="D20" s="11" t="s">
        <v>118</v>
      </c>
      <c r="E20" t="s">
        <v>197</v>
      </c>
      <c r="F20" t="s">
        <v>85</v>
      </c>
      <c r="G20" s="9">
        <v>46458</v>
      </c>
      <c r="H20" s="11">
        <v>37.47</v>
      </c>
      <c r="I20">
        <v>37.47</v>
      </c>
      <c r="J20" s="2">
        <v>11.241</v>
      </c>
      <c r="K20" s="2">
        <v>26.228999999999999</v>
      </c>
      <c r="M20" t="s">
        <v>11</v>
      </c>
      <c r="N20" s="10">
        <v>46349</v>
      </c>
      <c r="O20" s="10">
        <v>46352</v>
      </c>
      <c r="P20" s="10">
        <v>46388</v>
      </c>
      <c r="Q20" s="10">
        <v>46440</v>
      </c>
      <c r="R20" t="s">
        <v>171</v>
      </c>
      <c r="S20" t="s">
        <v>173</v>
      </c>
      <c r="T20" t="s">
        <v>177</v>
      </c>
    </row>
    <row r="21" spans="1:22" x14ac:dyDescent="0.25">
      <c r="A21" t="s">
        <v>22</v>
      </c>
      <c r="B21" s="12" t="s">
        <v>119</v>
      </c>
      <c r="C21" s="11" t="s">
        <v>120</v>
      </c>
      <c r="D21" s="11" t="s">
        <v>121</v>
      </c>
      <c r="E21" t="s">
        <v>209</v>
      </c>
      <c r="F21" t="s">
        <v>122</v>
      </c>
      <c r="G21" s="9">
        <v>46446</v>
      </c>
      <c r="H21" s="11">
        <v>169.33</v>
      </c>
      <c r="I21">
        <v>169.33</v>
      </c>
      <c r="J21" s="2">
        <v>50.798999999999999</v>
      </c>
      <c r="K21" s="2">
        <v>118.53100000000001</v>
      </c>
      <c r="M21" t="s">
        <v>11</v>
      </c>
      <c r="N21" s="10">
        <v>46308</v>
      </c>
      <c r="O21" s="10">
        <v>46311</v>
      </c>
      <c r="P21" s="10">
        <v>46393</v>
      </c>
      <c r="Q21" s="10">
        <v>46402</v>
      </c>
      <c r="R21" t="s">
        <v>171</v>
      </c>
      <c r="S21" t="s">
        <v>173</v>
      </c>
      <c r="T21" t="s">
        <v>177</v>
      </c>
      <c r="U21" t="s">
        <v>178</v>
      </c>
      <c r="V21" t="s">
        <v>175</v>
      </c>
    </row>
    <row r="22" spans="1:22" x14ac:dyDescent="0.25">
      <c r="A22" t="s">
        <v>123</v>
      </c>
      <c r="B22" t="s">
        <v>124</v>
      </c>
      <c r="C22" t="s">
        <v>125</v>
      </c>
      <c r="D22" t="s">
        <v>126</v>
      </c>
      <c r="E22" t="s">
        <v>203</v>
      </c>
      <c r="F22" t="s">
        <v>81</v>
      </c>
      <c r="G22" s="9">
        <v>46472</v>
      </c>
      <c r="H22">
        <f>I22</f>
        <v>880.53</v>
      </c>
      <c r="I22">
        <v>880.53</v>
      </c>
      <c r="J22" s="2">
        <v>269.25899999999996</v>
      </c>
      <c r="K22" s="2">
        <v>628.27099999999996</v>
      </c>
      <c r="M22" t="s">
        <v>10</v>
      </c>
      <c r="P22" s="9">
        <v>46377</v>
      </c>
      <c r="Q22" s="9">
        <v>46447</v>
      </c>
      <c r="R22" t="s">
        <v>171</v>
      </c>
      <c r="S22" t="s">
        <v>175</v>
      </c>
      <c r="T22" t="s">
        <v>178</v>
      </c>
      <c r="U22" t="s">
        <v>229</v>
      </c>
      <c r="V22" t="s">
        <v>230</v>
      </c>
    </row>
    <row r="23" spans="1:22" x14ac:dyDescent="0.25">
      <c r="A23" t="s">
        <v>22</v>
      </c>
      <c r="B23" s="12" t="s">
        <v>127</v>
      </c>
      <c r="C23" s="11" t="s">
        <v>128</v>
      </c>
      <c r="D23" s="11" t="s">
        <v>129</v>
      </c>
      <c r="E23" t="s">
        <v>200</v>
      </c>
      <c r="F23" t="s">
        <v>122</v>
      </c>
      <c r="G23" s="9">
        <v>46500</v>
      </c>
      <c r="H23" s="11">
        <v>15.24</v>
      </c>
      <c r="I23">
        <v>15.24</v>
      </c>
      <c r="J23" s="2">
        <v>4.5720000000000001</v>
      </c>
      <c r="K23" s="2">
        <v>10.667999999999999</v>
      </c>
      <c r="M23" t="s">
        <v>11</v>
      </c>
      <c r="N23" s="10">
        <v>46308</v>
      </c>
      <c r="O23" s="10">
        <v>46314</v>
      </c>
      <c r="P23" s="10">
        <v>46393</v>
      </c>
      <c r="Q23" s="10">
        <v>46407</v>
      </c>
      <c r="R23" t="s">
        <v>171</v>
      </c>
      <c r="S23" t="s">
        <v>173</v>
      </c>
      <c r="T23" t="s">
        <v>177</v>
      </c>
    </row>
    <row r="24" spans="1:22" x14ac:dyDescent="0.25">
      <c r="A24" t="s">
        <v>130</v>
      </c>
      <c r="B24" s="12" t="s">
        <v>131</v>
      </c>
      <c r="C24" s="11" t="s">
        <v>132</v>
      </c>
      <c r="D24" s="11" t="s">
        <v>133</v>
      </c>
      <c r="E24" t="s">
        <v>201</v>
      </c>
      <c r="F24" t="s">
        <v>134</v>
      </c>
      <c r="G24" s="9">
        <v>46492</v>
      </c>
      <c r="H24" s="11">
        <v>33.74</v>
      </c>
      <c r="I24">
        <v>33.74</v>
      </c>
      <c r="J24" s="2">
        <v>10.122</v>
      </c>
      <c r="K24" s="2">
        <v>23.618000000000002</v>
      </c>
      <c r="M24" t="s">
        <v>11</v>
      </c>
      <c r="N24" s="10">
        <v>46371</v>
      </c>
      <c r="O24" s="10">
        <v>46379</v>
      </c>
      <c r="P24" s="10">
        <v>46447</v>
      </c>
      <c r="Q24" s="10">
        <v>46456</v>
      </c>
      <c r="R24" t="s">
        <v>171</v>
      </c>
      <c r="S24" t="s">
        <v>173</v>
      </c>
      <c r="T24" t="s">
        <v>177</v>
      </c>
    </row>
    <row r="25" spans="1:22" x14ac:dyDescent="0.25">
      <c r="A25" t="s">
        <v>21</v>
      </c>
      <c r="B25" s="12" t="s">
        <v>135</v>
      </c>
      <c r="C25" s="11" t="s">
        <v>136</v>
      </c>
      <c r="D25" s="11" t="s">
        <v>137</v>
      </c>
      <c r="E25" t="s">
        <v>195</v>
      </c>
      <c r="F25" t="s">
        <v>138</v>
      </c>
      <c r="G25" s="9">
        <v>46471</v>
      </c>
      <c r="H25" s="11">
        <v>131.87</v>
      </c>
      <c r="I25">
        <v>131.87</v>
      </c>
      <c r="J25" s="2">
        <v>39.561</v>
      </c>
      <c r="K25" s="2">
        <v>92.308999999999997</v>
      </c>
      <c r="M25" t="s">
        <v>11</v>
      </c>
      <c r="N25" s="10">
        <v>46307</v>
      </c>
      <c r="O25" s="10">
        <v>46318</v>
      </c>
      <c r="P25" s="10">
        <v>46394</v>
      </c>
      <c r="Q25" s="10">
        <v>46400</v>
      </c>
      <c r="R25" t="s">
        <v>171</v>
      </c>
      <c r="S25" t="s">
        <v>173</v>
      </c>
      <c r="T25" t="s">
        <v>177</v>
      </c>
      <c r="U25" t="s">
        <v>178</v>
      </c>
      <c r="V25" t="s">
        <v>175</v>
      </c>
    </row>
    <row r="26" spans="1:22" x14ac:dyDescent="0.25">
      <c r="A26" t="s">
        <v>139</v>
      </c>
      <c r="B26" t="s">
        <v>140</v>
      </c>
      <c r="C26" t="s">
        <v>141</v>
      </c>
      <c r="D26" t="s">
        <v>142</v>
      </c>
      <c r="E26" t="s">
        <v>210</v>
      </c>
      <c r="F26" t="s">
        <v>143</v>
      </c>
      <c r="G26" s="9">
        <v>46507</v>
      </c>
      <c r="H26">
        <v>789.8</v>
      </c>
      <c r="I26">
        <v>361.69999999999993</v>
      </c>
      <c r="J26" s="2">
        <v>158</v>
      </c>
      <c r="K26" s="2">
        <v>203.7</v>
      </c>
      <c r="M26" t="s">
        <v>13</v>
      </c>
      <c r="N26" s="9">
        <v>46307</v>
      </c>
      <c r="O26" s="9">
        <v>46325</v>
      </c>
      <c r="P26" s="9">
        <v>46419</v>
      </c>
      <c r="Q26" s="9">
        <v>46476</v>
      </c>
      <c r="R26" t="s">
        <v>171</v>
      </c>
      <c r="S26" t="s">
        <v>173</v>
      </c>
      <c r="T26" t="s">
        <v>177</v>
      </c>
      <c r="U26" t="s">
        <v>178</v>
      </c>
      <c r="V26" t="s">
        <v>175</v>
      </c>
    </row>
    <row r="27" spans="1:22" x14ac:dyDescent="0.25">
      <c r="A27" t="s">
        <v>144</v>
      </c>
      <c r="B27" t="s">
        <v>145</v>
      </c>
      <c r="C27" t="s">
        <v>146</v>
      </c>
      <c r="D27" t="s">
        <v>147</v>
      </c>
      <c r="E27" t="s">
        <v>208</v>
      </c>
      <c r="F27" t="s">
        <v>105</v>
      </c>
      <c r="G27" s="9">
        <v>46473</v>
      </c>
      <c r="H27">
        <f>I27</f>
        <v>154.87</v>
      </c>
      <c r="I27">
        <v>154.87</v>
      </c>
      <c r="J27" s="2">
        <v>46.460999999999999</v>
      </c>
      <c r="K27" s="2">
        <v>108.40900000000001</v>
      </c>
      <c r="M27" t="s">
        <v>10</v>
      </c>
      <c r="P27" s="9">
        <v>46377</v>
      </c>
      <c r="Q27" s="9">
        <v>46447</v>
      </c>
      <c r="R27" t="s">
        <v>171</v>
      </c>
      <c r="S27" t="s">
        <v>175</v>
      </c>
      <c r="T27" t="s">
        <v>178</v>
      </c>
      <c r="U27" t="s">
        <v>229</v>
      </c>
      <c r="V27" t="s">
        <v>230</v>
      </c>
    </row>
    <row r="28" spans="1:22" x14ac:dyDescent="0.25">
      <c r="A28" t="s">
        <v>148</v>
      </c>
      <c r="B28" t="s">
        <v>149</v>
      </c>
      <c r="C28" t="s">
        <v>150</v>
      </c>
      <c r="D28" t="s">
        <v>151</v>
      </c>
      <c r="E28" t="s">
        <v>220</v>
      </c>
      <c r="F28" t="s">
        <v>152</v>
      </c>
      <c r="G28" s="9">
        <v>46532</v>
      </c>
      <c r="H28">
        <v>411.05</v>
      </c>
      <c r="I28">
        <v>411.05</v>
      </c>
      <c r="L28" s="2">
        <v>411.05</v>
      </c>
      <c r="M28" t="s">
        <v>18</v>
      </c>
      <c r="N28" s="10">
        <v>46371</v>
      </c>
      <c r="O28" s="10">
        <v>46379</v>
      </c>
      <c r="P28" s="9">
        <v>46467</v>
      </c>
      <c r="Q28" s="9">
        <v>46507</v>
      </c>
      <c r="R28" t="s">
        <v>171</v>
      </c>
      <c r="S28" t="s">
        <v>173</v>
      </c>
      <c r="T28" t="s">
        <v>186</v>
      </c>
      <c r="U28" t="s">
        <v>178</v>
      </c>
    </row>
    <row r="29" spans="1:22" x14ac:dyDescent="0.25">
      <c r="A29" t="s">
        <v>153</v>
      </c>
      <c r="B29" s="12" t="s">
        <v>154</v>
      </c>
      <c r="C29" s="11" t="s">
        <v>155</v>
      </c>
      <c r="D29" s="11" t="s">
        <v>156</v>
      </c>
      <c r="E29" t="s">
        <v>193</v>
      </c>
      <c r="F29" t="s">
        <v>134</v>
      </c>
      <c r="G29" s="9">
        <v>46550</v>
      </c>
      <c r="H29" s="11">
        <v>308.61</v>
      </c>
      <c r="I29">
        <v>308.61</v>
      </c>
      <c r="L29" s="2">
        <v>308.61</v>
      </c>
      <c r="M29" t="s">
        <v>11</v>
      </c>
      <c r="N29" s="10"/>
      <c r="O29" s="10"/>
      <c r="P29" s="10">
        <v>46500</v>
      </c>
      <c r="Q29" s="10">
        <v>46512</v>
      </c>
      <c r="R29" t="s">
        <v>171</v>
      </c>
      <c r="S29" t="s">
        <v>173</v>
      </c>
      <c r="T29" t="s">
        <v>177</v>
      </c>
      <c r="U29" t="s">
        <v>178</v>
      </c>
    </row>
    <row r="30" spans="1:22" x14ac:dyDescent="0.25">
      <c r="N30" s="9"/>
      <c r="O30" s="9"/>
      <c r="P30" s="9"/>
      <c r="Q30" s="9"/>
    </row>
    <row r="35" spans="4:5" x14ac:dyDescent="0.25">
      <c r="D35"/>
      <c r="E35"/>
    </row>
    <row r="36" spans="4:5" x14ac:dyDescent="0.25">
      <c r="D36"/>
      <c r="E36"/>
    </row>
    <row r="37" spans="4:5" x14ac:dyDescent="0.25">
      <c r="D37"/>
      <c r="E37"/>
    </row>
    <row r="38" spans="4:5" x14ac:dyDescent="0.25">
      <c r="D38"/>
      <c r="E38"/>
    </row>
    <row r="39" spans="4:5" x14ac:dyDescent="0.25">
      <c r="D39"/>
      <c r="E39"/>
    </row>
    <row r="40" spans="4:5" x14ac:dyDescent="0.25">
      <c r="D40"/>
      <c r="E40"/>
    </row>
    <row r="41" spans="4:5" x14ac:dyDescent="0.25">
      <c r="D41"/>
      <c r="E41"/>
    </row>
    <row r="42" spans="4:5" x14ac:dyDescent="0.25">
      <c r="D42"/>
      <c r="E42"/>
    </row>
    <row r="43" spans="4:5" x14ac:dyDescent="0.25">
      <c r="D43"/>
      <c r="E43"/>
    </row>
    <row r="44" spans="4:5" x14ac:dyDescent="0.25">
      <c r="D44"/>
      <c r="E44"/>
    </row>
    <row r="45" spans="4:5" x14ac:dyDescent="0.25">
      <c r="D45"/>
      <c r="E45"/>
    </row>
    <row r="46" spans="4:5" x14ac:dyDescent="0.25">
      <c r="D46"/>
      <c r="E46"/>
    </row>
    <row r="47" spans="4:5" x14ac:dyDescent="0.25">
      <c r="D47"/>
      <c r="E47"/>
    </row>
    <row r="48" spans="4:5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3E06-5A6C-4BDC-BF21-9231EAB37501}">
  <dimension ref="A1:I5"/>
  <sheetViews>
    <sheetView tabSelected="1" workbookViewId="0">
      <selection activeCell="G1" sqref="G1"/>
    </sheetView>
  </sheetViews>
  <sheetFormatPr defaultRowHeight="13.8" x14ac:dyDescent="0.25"/>
  <cols>
    <col min="1" max="1" width="18" customWidth="1"/>
    <col min="2" max="2" width="12.44140625" customWidth="1"/>
    <col min="3" max="3" width="18" bestFit="1" customWidth="1"/>
    <col min="4" max="5" width="17.44140625" customWidth="1"/>
    <col min="6" max="6" width="14.21875" customWidth="1"/>
    <col min="7" max="7" width="11.5546875" customWidth="1"/>
    <col min="8" max="8" width="12.44140625" customWidth="1"/>
    <col min="9" max="9" width="19.33203125" customWidth="1"/>
  </cols>
  <sheetData>
    <row r="1" spans="1:9" x14ac:dyDescent="0.25">
      <c r="A1" t="s">
        <v>189</v>
      </c>
      <c r="B1" t="s">
        <v>190</v>
      </c>
      <c r="C1" t="s">
        <v>19</v>
      </c>
      <c r="D1" t="s">
        <v>26</v>
      </c>
      <c r="E1" t="s">
        <v>27</v>
      </c>
      <c r="F1" t="s">
        <v>191</v>
      </c>
      <c r="G1" s="1" t="s">
        <v>166</v>
      </c>
      <c r="H1" s="7" t="s">
        <v>20</v>
      </c>
      <c r="I1" s="7" t="s">
        <v>167</v>
      </c>
    </row>
    <row r="2" spans="1:9" x14ac:dyDescent="0.25">
      <c r="D2" s="8"/>
      <c r="E2" s="8"/>
      <c r="F2" s="8"/>
      <c r="G2" s="2"/>
      <c r="H2" s="2"/>
    </row>
    <row r="3" spans="1:9" x14ac:dyDescent="0.25">
      <c r="D3" s="8"/>
      <c r="E3" s="8"/>
      <c r="F3" s="8"/>
      <c r="G3" s="2"/>
      <c r="H3" s="2"/>
    </row>
    <row r="4" spans="1:9" x14ac:dyDescent="0.25">
      <c r="G4" s="2"/>
      <c r="H4" s="2"/>
    </row>
    <row r="5" spans="1:9" x14ac:dyDescent="0.25">
      <c r="D5" s="8"/>
      <c r="E5" s="8"/>
      <c r="F5" s="8"/>
      <c r="G5" s="2"/>
      <c r="H5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FED6-2BDC-417A-9DFD-4FF2BDB62165}">
  <dimension ref="A1:D8"/>
  <sheetViews>
    <sheetView workbookViewId="0">
      <selection activeCell="D21" sqref="D21"/>
    </sheetView>
  </sheetViews>
  <sheetFormatPr defaultRowHeight="13.8" x14ac:dyDescent="0.25"/>
  <cols>
    <col min="1" max="1" width="30.21875" customWidth="1"/>
  </cols>
  <sheetData>
    <row r="1" spans="1:4" x14ac:dyDescent="0.25">
      <c r="A1" s="1" t="s">
        <v>168</v>
      </c>
      <c r="B1" s="1" t="s">
        <v>169</v>
      </c>
      <c r="C1" t="s">
        <v>170</v>
      </c>
      <c r="D1" t="s">
        <v>233</v>
      </c>
    </row>
    <row r="2" spans="1:4" x14ac:dyDescent="0.25">
      <c r="A2" t="s">
        <v>221</v>
      </c>
      <c r="B2" t="s">
        <v>172</v>
      </c>
      <c r="C2" s="13">
        <v>0.08</v>
      </c>
    </row>
    <row r="3" spans="1:4" x14ac:dyDescent="0.25">
      <c r="A3" t="s">
        <v>222</v>
      </c>
      <c r="B3" t="s">
        <v>174</v>
      </c>
      <c r="C3" s="13">
        <v>0.22</v>
      </c>
    </row>
    <row r="4" spans="1:4" x14ac:dyDescent="0.25">
      <c r="A4" s="14" t="s">
        <v>224</v>
      </c>
      <c r="B4" t="s">
        <v>176</v>
      </c>
      <c r="C4" s="13">
        <v>0.7</v>
      </c>
      <c r="D4" t="s">
        <v>234</v>
      </c>
    </row>
    <row r="5" spans="1:4" x14ac:dyDescent="0.25">
      <c r="A5" s="14" t="s">
        <v>223</v>
      </c>
      <c r="B5" t="s">
        <v>176</v>
      </c>
      <c r="C5" s="13">
        <v>0.7</v>
      </c>
      <c r="D5" t="s">
        <v>235</v>
      </c>
    </row>
    <row r="6" spans="1:4" x14ac:dyDescent="0.25">
      <c r="A6" s="14" t="s">
        <v>225</v>
      </c>
      <c r="B6" t="s">
        <v>176</v>
      </c>
      <c r="C6" s="13">
        <v>0.7</v>
      </c>
      <c r="D6" t="s">
        <v>234</v>
      </c>
    </row>
    <row r="7" spans="1:4" x14ac:dyDescent="0.25">
      <c r="A7" t="s">
        <v>229</v>
      </c>
      <c r="B7" t="s">
        <v>228</v>
      </c>
      <c r="C7" s="13">
        <v>0.7</v>
      </c>
      <c r="D7" t="s">
        <v>234</v>
      </c>
    </row>
    <row r="8" spans="1:4" x14ac:dyDescent="0.25">
      <c r="A8" t="s">
        <v>230</v>
      </c>
      <c r="B8" t="s">
        <v>228</v>
      </c>
      <c r="C8" s="13">
        <v>0.7</v>
      </c>
      <c r="D8" t="s">
        <v>234</v>
      </c>
    </row>
  </sheetData>
  <phoneticPr fontId="2" type="noConversion"/>
  <hyperlinks>
    <hyperlink ref="A5" r:id="rId1" xr:uid="{91AB208A-A056-4211-905B-F7BBF3F42F0F}"/>
    <hyperlink ref="A4" r:id="rId2" xr:uid="{8A03029A-879B-4A5C-88C4-29C3E8837063}"/>
    <hyperlink ref="A6" r:id="rId3" xr:uid="{53EEE63B-85B7-4E91-B412-07EAC5CA067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D30-02CD-4B35-9E02-2F1C806FB437}">
  <dimension ref="A1:T27"/>
  <sheetViews>
    <sheetView workbookViewId="0">
      <selection activeCell="J18" sqref="J18"/>
    </sheetView>
  </sheetViews>
  <sheetFormatPr defaultRowHeight="13.8" x14ac:dyDescent="0.25"/>
  <cols>
    <col min="1" max="1" width="10.109375" customWidth="1"/>
    <col min="6" max="17" width="6.77734375" customWidth="1"/>
  </cols>
  <sheetData>
    <row r="1" spans="1:20" x14ac:dyDescent="0.25">
      <c r="A1" t="s">
        <v>8</v>
      </c>
      <c r="B1" s="16">
        <v>10</v>
      </c>
      <c r="C1" s="17"/>
      <c r="D1" s="16">
        <v>11</v>
      </c>
      <c r="E1" s="17"/>
      <c r="F1" s="15">
        <v>12</v>
      </c>
      <c r="G1" s="15"/>
      <c r="H1" s="15"/>
      <c r="I1" s="15">
        <v>1</v>
      </c>
      <c r="J1" s="15"/>
      <c r="K1" s="15"/>
      <c r="L1" s="15">
        <v>2</v>
      </c>
      <c r="M1" s="15"/>
      <c r="N1" s="15"/>
      <c r="O1" s="15">
        <v>3</v>
      </c>
      <c r="P1" s="15"/>
      <c r="Q1" s="15"/>
      <c r="R1" s="15">
        <v>4</v>
      </c>
      <c r="S1" s="15"/>
      <c r="T1" s="15"/>
    </row>
    <row r="2" spans="1:20" x14ac:dyDescent="0.25">
      <c r="A2" t="s">
        <v>15</v>
      </c>
      <c r="B2" s="5" t="s">
        <v>11</v>
      </c>
      <c r="C2" s="5" t="s">
        <v>12</v>
      </c>
      <c r="D2" s="5" t="s">
        <v>9</v>
      </c>
      <c r="E2" s="1" t="s">
        <v>12</v>
      </c>
      <c r="F2" s="5" t="s">
        <v>10</v>
      </c>
      <c r="G2" s="5" t="s">
        <v>11</v>
      </c>
      <c r="H2" s="5" t="s">
        <v>12</v>
      </c>
      <c r="I2" s="5" t="s">
        <v>10</v>
      </c>
      <c r="J2" s="5" t="s">
        <v>11</v>
      </c>
      <c r="K2" s="5" t="s">
        <v>12</v>
      </c>
      <c r="L2" s="5" t="s">
        <v>10</v>
      </c>
      <c r="M2" s="5" t="s">
        <v>11</v>
      </c>
      <c r="N2" s="5" t="s">
        <v>12</v>
      </c>
      <c r="O2" s="5" t="s">
        <v>10</v>
      </c>
      <c r="P2" s="5" t="s">
        <v>11</v>
      </c>
      <c r="Q2" s="5" t="s">
        <v>12</v>
      </c>
      <c r="R2" s="5" t="s">
        <v>10</v>
      </c>
      <c r="S2" s="5" t="s">
        <v>11</v>
      </c>
      <c r="T2" s="5" t="s">
        <v>12</v>
      </c>
    </row>
    <row r="3" spans="1:20" x14ac:dyDescent="0.25">
      <c r="A3" t="s">
        <v>4</v>
      </c>
      <c r="B3" s="6">
        <v>24</v>
      </c>
      <c r="C3" s="6">
        <v>8</v>
      </c>
      <c r="D3" s="6">
        <v>160</v>
      </c>
      <c r="E3" s="6">
        <v>8</v>
      </c>
      <c r="F3" s="6">
        <f>160-G3-H3-80</f>
        <v>20</v>
      </c>
      <c r="G3" s="6">
        <v>40</v>
      </c>
      <c r="H3" s="6">
        <v>20</v>
      </c>
      <c r="I3" s="6"/>
      <c r="J3" s="6">
        <v>200</v>
      </c>
      <c r="K3" s="6">
        <v>40</v>
      </c>
      <c r="L3" s="6">
        <v>40</v>
      </c>
      <c r="M3" s="6">
        <v>50</v>
      </c>
      <c r="N3" s="6"/>
      <c r="O3" s="6">
        <v>40</v>
      </c>
      <c r="P3" s="6">
        <v>50</v>
      </c>
      <c r="Q3" s="6"/>
      <c r="R3" s="6"/>
      <c r="S3" s="6">
        <v>60</v>
      </c>
      <c r="T3" s="6"/>
    </row>
    <row r="4" spans="1:20" x14ac:dyDescent="0.25">
      <c r="A4" t="s">
        <v>5</v>
      </c>
      <c r="B4" s="6">
        <v>20</v>
      </c>
      <c r="C4" s="6"/>
      <c r="D4" s="6">
        <v>160</v>
      </c>
      <c r="E4" s="6"/>
      <c r="F4" s="6">
        <f t="shared" ref="F4:F6" si="0">160-G4-H4</f>
        <v>80</v>
      </c>
      <c r="G4" s="6">
        <v>20</v>
      </c>
      <c r="H4" s="6">
        <v>60</v>
      </c>
      <c r="I4" s="6">
        <f>240-K4-J4</f>
        <v>210</v>
      </c>
      <c r="J4" s="6"/>
      <c r="K4" s="6">
        <v>30</v>
      </c>
      <c r="L4" s="6">
        <f>180-N4-M4</f>
        <v>180</v>
      </c>
      <c r="M4" s="6"/>
      <c r="N4" s="6"/>
      <c r="O4" s="6">
        <f>240-Q4-P4</f>
        <v>240</v>
      </c>
      <c r="P4" s="6"/>
      <c r="Q4" s="6"/>
      <c r="R4" s="6"/>
      <c r="S4" s="6">
        <v>120</v>
      </c>
      <c r="T4" s="6"/>
    </row>
    <row r="5" spans="1:20" x14ac:dyDescent="0.25">
      <c r="A5" t="s">
        <v>6</v>
      </c>
      <c r="B5" s="6">
        <v>30</v>
      </c>
      <c r="C5" s="6">
        <v>40</v>
      </c>
      <c r="D5" s="6">
        <v>160</v>
      </c>
      <c r="E5" s="6">
        <v>40</v>
      </c>
      <c r="F5" s="6">
        <f t="shared" si="0"/>
        <v>60</v>
      </c>
      <c r="G5" s="6">
        <v>20</v>
      </c>
      <c r="H5" s="6">
        <v>80</v>
      </c>
      <c r="I5" s="6">
        <f t="shared" ref="I5:I6" si="1">240-K5-J5</f>
        <v>0</v>
      </c>
      <c r="J5" s="6">
        <v>240</v>
      </c>
      <c r="K5" s="6"/>
      <c r="L5" s="6">
        <f>180-N5-M5</f>
        <v>0</v>
      </c>
      <c r="M5" s="6">
        <v>180</v>
      </c>
      <c r="N5" s="6"/>
      <c r="O5" s="6">
        <f t="shared" ref="O5:O6" si="2">240-Q5-P5</f>
        <v>0</v>
      </c>
      <c r="P5" s="6">
        <v>240</v>
      </c>
      <c r="Q5" s="6"/>
      <c r="R5" s="6"/>
      <c r="S5" s="6"/>
      <c r="T5" s="6"/>
    </row>
    <row r="6" spans="1:20" x14ac:dyDescent="0.25">
      <c r="A6" t="s">
        <v>7</v>
      </c>
      <c r="B6" s="6">
        <v>30</v>
      </c>
      <c r="C6" s="6"/>
      <c r="D6" s="6">
        <v>160</v>
      </c>
      <c r="E6" s="6"/>
      <c r="F6" s="6">
        <f t="shared" si="0"/>
        <v>100</v>
      </c>
      <c r="G6" s="6">
        <v>20</v>
      </c>
      <c r="H6" s="6">
        <v>40</v>
      </c>
      <c r="I6" s="6">
        <f t="shared" si="1"/>
        <v>180</v>
      </c>
      <c r="J6" s="6"/>
      <c r="K6" s="6">
        <v>60</v>
      </c>
      <c r="L6" s="6">
        <f>180-N6-M6</f>
        <v>20</v>
      </c>
      <c r="M6" s="6"/>
      <c r="N6" s="6">
        <v>160</v>
      </c>
      <c r="O6" s="6">
        <f t="shared" si="2"/>
        <v>180</v>
      </c>
      <c r="P6" s="6"/>
      <c r="Q6" s="6">
        <v>60</v>
      </c>
      <c r="R6" s="6"/>
      <c r="S6" s="6"/>
      <c r="T6" s="6"/>
    </row>
    <row r="7" spans="1:20" x14ac:dyDescent="0.25">
      <c r="A7" t="s">
        <v>14</v>
      </c>
      <c r="B7" s="6"/>
      <c r="C7" s="6"/>
      <c r="D7" s="6"/>
      <c r="E7" s="6"/>
      <c r="F7" s="6"/>
      <c r="G7" s="6"/>
      <c r="H7" s="6"/>
      <c r="I7" s="6">
        <f>160*0.8</f>
        <v>128</v>
      </c>
      <c r="J7" s="6"/>
      <c r="K7" s="6">
        <f>160*0.8</f>
        <v>128</v>
      </c>
      <c r="L7" s="6">
        <f>160*0.4</f>
        <v>64</v>
      </c>
      <c r="M7" s="6"/>
      <c r="N7" s="6">
        <f>160*0.4</f>
        <v>64</v>
      </c>
      <c r="O7" s="6">
        <f>160*0.4</f>
        <v>64</v>
      </c>
      <c r="P7" s="6"/>
      <c r="Q7" s="6">
        <f>160*0.4</f>
        <v>64</v>
      </c>
      <c r="R7" s="6"/>
      <c r="S7" s="6">
        <v>120</v>
      </c>
      <c r="T7" s="6"/>
    </row>
    <row r="8" spans="1:20" x14ac:dyDescent="0.25">
      <c r="A8" t="s">
        <v>16</v>
      </c>
      <c r="B8">
        <f>SUM(B3:B7)</f>
        <v>104</v>
      </c>
      <c r="C8">
        <f t="shared" ref="C8:E8" si="3">SUM(C3:C7)</f>
        <v>48</v>
      </c>
      <c r="D8">
        <f t="shared" si="3"/>
        <v>640</v>
      </c>
      <c r="E8">
        <f t="shared" si="3"/>
        <v>48</v>
      </c>
      <c r="F8">
        <f t="shared" ref="F8:T8" si="4">SUM(F3:F7)</f>
        <v>260</v>
      </c>
      <c r="G8">
        <f t="shared" si="4"/>
        <v>100</v>
      </c>
      <c r="H8">
        <f t="shared" si="4"/>
        <v>200</v>
      </c>
      <c r="I8">
        <f t="shared" si="4"/>
        <v>518</v>
      </c>
      <c r="J8">
        <f t="shared" si="4"/>
        <v>440</v>
      </c>
      <c r="K8">
        <f t="shared" si="4"/>
        <v>258</v>
      </c>
      <c r="L8">
        <f t="shared" si="4"/>
        <v>304</v>
      </c>
      <c r="M8">
        <f t="shared" si="4"/>
        <v>230</v>
      </c>
      <c r="N8">
        <f t="shared" si="4"/>
        <v>224</v>
      </c>
      <c r="O8">
        <f t="shared" si="4"/>
        <v>524</v>
      </c>
      <c r="P8">
        <f t="shared" si="4"/>
        <v>290</v>
      </c>
      <c r="Q8">
        <f t="shared" si="4"/>
        <v>124</v>
      </c>
      <c r="R8">
        <f t="shared" si="4"/>
        <v>0</v>
      </c>
      <c r="S8">
        <f t="shared" si="4"/>
        <v>300</v>
      </c>
      <c r="T8">
        <f t="shared" si="4"/>
        <v>0</v>
      </c>
    </row>
    <row r="10" spans="1:20" x14ac:dyDescent="0.25">
      <c r="A10" t="s">
        <v>11</v>
      </c>
      <c r="B10">
        <f>B8+G8+J8+M8+P8+S8</f>
        <v>1464</v>
      </c>
    </row>
    <row r="11" spans="1:20" x14ac:dyDescent="0.25">
      <c r="A11" t="s">
        <v>10</v>
      </c>
      <c r="B11">
        <f>F8+I8+L8+O8</f>
        <v>1606</v>
      </c>
    </row>
    <row r="12" spans="1:20" x14ac:dyDescent="0.25">
      <c r="A12" t="s">
        <v>12</v>
      </c>
      <c r="B12">
        <f>H8+K8+N8+Q8+E8+C8</f>
        <v>902</v>
      </c>
    </row>
    <row r="24" spans="1:12" x14ac:dyDescent="0.25">
      <c r="A24" t="s">
        <v>3</v>
      </c>
      <c r="B24" s="2">
        <v>1500</v>
      </c>
      <c r="C24" s="2"/>
      <c r="D24" s="3">
        <f>300*0.2*0.4</f>
        <v>24</v>
      </c>
      <c r="E24" s="3"/>
    </row>
    <row r="25" spans="1:12" x14ac:dyDescent="0.25">
      <c r="A25" t="s">
        <v>2</v>
      </c>
      <c r="B25" s="2">
        <v>1500</v>
      </c>
      <c r="C25" s="2"/>
    </row>
    <row r="26" spans="1:12" x14ac:dyDescent="0.25">
      <c r="A26" t="s">
        <v>0</v>
      </c>
      <c r="B26" s="2">
        <v>2000</v>
      </c>
      <c r="C26" s="2"/>
      <c r="F26" s="4" t="s">
        <v>12</v>
      </c>
      <c r="G26" s="4"/>
      <c r="H26" s="4"/>
      <c r="I26">
        <v>1300</v>
      </c>
      <c r="K26" t="s">
        <v>13</v>
      </c>
      <c r="L26">
        <v>1000</v>
      </c>
    </row>
    <row r="27" spans="1:12" x14ac:dyDescent="0.25">
      <c r="A27" t="s">
        <v>1</v>
      </c>
      <c r="B27" s="2">
        <v>1000</v>
      </c>
      <c r="C27" s="2"/>
    </row>
  </sheetData>
  <mergeCells count="7">
    <mergeCell ref="O1:Q1"/>
    <mergeCell ref="R1:T1"/>
    <mergeCell ref="D1:E1"/>
    <mergeCell ref="B1:C1"/>
    <mergeCell ref="F1:H1"/>
    <mergeCell ref="I1:K1"/>
    <mergeCell ref="L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WP服务单</vt:lpstr>
      <vt:lpstr>周排班</vt:lpstr>
      <vt:lpstr>人员清单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FY27粗排班.xlsx</dc:title>
  <dc:creator>Vivi W Yang</dc:creator>
  <dc:description>B7C6F371-BE5F-4C1A-8D84-BFB9B1360453</dc:description>
  <cp:lastModifiedBy>wei yang</cp:lastModifiedBy>
  <dcterms:created xsi:type="dcterms:W3CDTF">2015-06-05T18:17:20Z</dcterms:created>
  <dcterms:modified xsi:type="dcterms:W3CDTF">2026-10-13T15:17:52Z</dcterms:modified>
</cp:coreProperties>
</file>