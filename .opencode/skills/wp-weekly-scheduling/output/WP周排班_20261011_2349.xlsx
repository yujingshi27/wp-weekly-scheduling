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排班-纵表" sheetId="1" state="visible" r:id="rId1"/>
    <sheet name="周排班-宽表" sheetId="2" state="visible" r:id="rId2"/>
    <sheet name="周校验" sheetId="3" state="visible" r:id="rId3"/>
    <sheet name="项目工时校验" sheetId="4" state="visible" r:id="rId4"/>
    <sheet name="项目关键节点" sheetId="5" state="visible" r:id="rId5"/>
    <sheet name="日历提醒汇总" sheetId="6" state="visible" r:id="rId6"/>
    <sheet name="项目基础" sheetId="7" state="hidden" r:id="rId7"/>
    <sheet name="源数据-WP服务单" sheetId="8" state="hidden" r:id="rId8"/>
    <sheet name="人员清单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黑体"/>
      <b val="1"/>
      <color rgb="00FFFFFF"/>
      <sz val="11"/>
    </font>
    <font>
      <name val="黑体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9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7" customWidth="1" min="3" max="3"/>
    <col width="37" customWidth="1" min="4" max="4"/>
    <col width="26" customWidth="1" min="5" max="5"/>
    <col width="24" customWidth="1" min="6" max="6"/>
    <col width="29" customWidth="1" min="7" max="7"/>
    <col width="21" customWidth="1" min="8" max="8"/>
    <col width="9" customWidth="1" min="9" max="9"/>
  </cols>
  <sheetData>
    <row r="1" ht="18" customHeight="1">
      <c r="A1" s="1" t="inlineStr">
        <is>
          <t>项目类型</t>
        </is>
      </c>
      <c r="B1" s="1" t="inlineStr">
        <is>
          <t>Client Name</t>
        </is>
      </c>
      <c r="C1" s="1" t="inlineStr">
        <is>
          <t>Engagement Code</t>
        </is>
      </c>
      <c r="D1" s="1" t="inlineStr">
        <is>
          <t>Engagement Name</t>
        </is>
      </c>
      <c r="E1" s="1" t="inlineStr">
        <is>
          <t>订单编号</t>
        </is>
      </c>
      <c r="F1" s="1" t="inlineStr">
        <is>
          <t>WP服务单号</t>
        </is>
      </c>
      <c r="G1" s="1" t="inlineStr">
        <is>
          <t>Staff Name</t>
        </is>
      </c>
      <c r="H1" s="1" t="inlineStr">
        <is>
          <t>周期</t>
        </is>
      </c>
      <c r="I1" s="1" t="inlineStr">
        <is>
          <t>hours</t>
        </is>
      </c>
    </row>
    <row r="2">
      <c r="A2" s="2" t="inlineStr">
        <is>
          <t>海信</t>
        </is>
      </c>
      <c r="B2" s="2" t="inlineStr">
        <is>
          <t>Hisense Group Holdings Co., Ltd.</t>
        </is>
      </c>
      <c r="C2" s="2" t="inlineStr">
        <is>
          <t>47115559</t>
        </is>
      </c>
      <c r="D2" s="2" t="inlineStr">
        <is>
          <t>IPO2026-03 Project Voyage_CN</t>
        </is>
      </c>
      <c r="E2" s="2" t="inlineStr">
        <is>
          <t>Order47115559- 260729002</t>
        </is>
      </c>
      <c r="F2" s="2" t="inlineStr">
        <is>
          <t>47115559- EDC260729001</t>
        </is>
      </c>
      <c r="G2" s="2" t="inlineStr">
        <is>
          <t>Marsh.Ma@cn.ey.com</t>
        </is>
      </c>
      <c r="H2" s="2" t="inlineStr">
        <is>
          <t>Week15 (2026.10.10)</t>
        </is>
      </c>
      <c r="I2" s="2" t="n">
        <v>2.28</v>
      </c>
    </row>
    <row r="3">
      <c r="A3" s="2" t="inlineStr">
        <is>
          <t>海信</t>
        </is>
      </c>
      <c r="B3" s="2" t="inlineStr">
        <is>
          <t>Hisense Group Holdings Co., Ltd.</t>
        </is>
      </c>
      <c r="C3" s="2" t="inlineStr">
        <is>
          <t>47115559</t>
        </is>
      </c>
      <c r="D3" s="2" t="inlineStr">
        <is>
          <t>IPO2026-03 Project Voyage_CN</t>
        </is>
      </c>
      <c r="E3" s="2" t="inlineStr">
        <is>
          <t>Order47115559- 260729002</t>
        </is>
      </c>
      <c r="F3" s="2" t="inlineStr">
        <is>
          <t>47115559- EDC260729001</t>
        </is>
      </c>
      <c r="G3" s="2" t="inlineStr">
        <is>
          <t>Rainbow.MG.Xiao@cn.ey.com</t>
        </is>
      </c>
      <c r="H3" s="2" t="inlineStr">
        <is>
          <t>Week15 (2026.10.10)</t>
        </is>
      </c>
      <c r="I3" s="2" t="n">
        <v>19.99</v>
      </c>
    </row>
    <row r="4">
      <c r="A4" s="2" t="inlineStr">
        <is>
          <t>海信</t>
        </is>
      </c>
      <c r="B4" s="2" t="inlineStr">
        <is>
          <t>Hisense Group Holdings Co., Ltd.</t>
        </is>
      </c>
      <c r="C4" s="2" t="inlineStr">
        <is>
          <t>47115559</t>
        </is>
      </c>
      <c r="D4" s="2" t="inlineStr">
        <is>
          <t>IPO2026-03 Project Voyage_CN</t>
        </is>
      </c>
      <c r="E4" s="2" t="inlineStr">
        <is>
          <t>Order47115559- 260729002</t>
        </is>
      </c>
      <c r="F4" s="2" t="inlineStr">
        <is>
          <t>47115559- EDC260729001</t>
        </is>
      </c>
      <c r="G4" s="2" t="inlineStr">
        <is>
          <t>Vivi.W.Yang@cn.ey.com</t>
        </is>
      </c>
      <c r="H4" s="2" t="inlineStr">
        <is>
          <t>Week15 (2026.10.10)</t>
        </is>
      </c>
      <c r="I4" s="2" t="n">
        <v>6.28</v>
      </c>
    </row>
    <row r="5">
      <c r="A5" s="2" t="inlineStr">
        <is>
          <t>PE</t>
        </is>
      </c>
      <c r="B5" s="2" t="inlineStr">
        <is>
          <t>Shanghai Xinze Sanhe Venture Investment LP</t>
        </is>
      </c>
      <c r="C5" s="2" t="inlineStr">
        <is>
          <t>47127971</t>
        </is>
      </c>
      <c r="D5" s="2" t="inlineStr">
        <is>
          <t>AUD2026-12 Xingze Fund</t>
        </is>
      </c>
      <c r="E5" s="2" t="inlineStr">
        <is>
          <t>Order47127971- 260501004</t>
        </is>
      </c>
      <c r="F5" s="2" t="inlineStr">
        <is>
          <t>47127971- EDC260501001</t>
        </is>
      </c>
      <c r="G5" s="2" t="inlineStr">
        <is>
          <t>Luna.CD.Zhang@cn.ey.com</t>
        </is>
      </c>
      <c r="H5" s="2" t="inlineStr">
        <is>
          <t>Week15 (2026.10.10)</t>
        </is>
      </c>
      <c r="I5" s="2" t="n">
        <v>35.56</v>
      </c>
    </row>
    <row r="6">
      <c r="A6" s="2" t="inlineStr">
        <is>
          <t>PE</t>
        </is>
      </c>
      <c r="B6" s="2" t="inlineStr">
        <is>
          <t>Shanghai Xinze Sanhe Venture Investment LP</t>
        </is>
      </c>
      <c r="C6" s="2" t="inlineStr">
        <is>
          <t>47127971</t>
        </is>
      </c>
      <c r="D6" s="2" t="inlineStr">
        <is>
          <t>AUD2026-12 Xingze Fund</t>
        </is>
      </c>
      <c r="E6" s="2" t="inlineStr">
        <is>
          <t>Order47127971- 260501004</t>
        </is>
      </c>
      <c r="F6" s="2" t="inlineStr">
        <is>
          <t>47127971- EDC260501001</t>
        </is>
      </c>
      <c r="G6" s="2" t="inlineStr">
        <is>
          <t>Marsh.Ma@cn.ey.com</t>
        </is>
      </c>
      <c r="H6" s="2" t="inlineStr">
        <is>
          <t>Week15 (2026.10.10)</t>
        </is>
      </c>
      <c r="I6" s="2" t="n">
        <v>4.06</v>
      </c>
    </row>
    <row r="7">
      <c r="A7" s="2" t="inlineStr">
        <is>
          <t>PE</t>
        </is>
      </c>
      <c r="B7" s="2" t="inlineStr">
        <is>
          <t>Shanghai Xinze Sanhe Venture Investment LP</t>
        </is>
      </c>
      <c r="C7" s="2" t="inlineStr">
        <is>
          <t>47127971</t>
        </is>
      </c>
      <c r="D7" s="2" t="inlineStr">
        <is>
          <t>AUD2026-12 Xingze Fund</t>
        </is>
      </c>
      <c r="E7" s="2" t="inlineStr">
        <is>
          <t>Order47127971- 260501004</t>
        </is>
      </c>
      <c r="F7" s="2" t="inlineStr">
        <is>
          <t>47127971- EDC260501001</t>
        </is>
      </c>
      <c r="G7" s="2" t="inlineStr">
        <is>
          <t>Vivi.W.Yang@cn.ey.com</t>
        </is>
      </c>
      <c r="H7" s="2" t="inlineStr">
        <is>
          <t>Week15 (2026.10.10)</t>
        </is>
      </c>
      <c r="I7" s="2" t="n">
        <v>11.18</v>
      </c>
    </row>
    <row r="8">
      <c r="A8" s="2" t="inlineStr">
        <is>
          <t>PE</t>
        </is>
      </c>
      <c r="B8" s="2" t="inlineStr">
        <is>
          <t>Shanghai Xinze Sanhe Venture Investment LP</t>
        </is>
      </c>
      <c r="C8" s="2" t="inlineStr">
        <is>
          <t>47128472</t>
        </is>
      </c>
      <c r="D8" s="2" t="inlineStr">
        <is>
          <t>AUD2026-12 Xingze Management</t>
        </is>
      </c>
      <c r="E8" s="2" t="inlineStr">
        <is>
          <t>Order47128472- 260501003</t>
        </is>
      </c>
      <c r="F8" s="2" t="inlineStr">
        <is>
          <t>47128472- EDC260501001</t>
        </is>
      </c>
      <c r="G8" s="2" t="inlineStr">
        <is>
          <t>Luna.CD.Zhang@cn.ey.com</t>
        </is>
      </c>
      <c r="H8" s="2" t="inlineStr">
        <is>
          <t>Week15 (2026.10.10)</t>
        </is>
      </c>
      <c r="I8" s="2" t="n">
        <v>1.83</v>
      </c>
    </row>
    <row r="9">
      <c r="A9" s="2" t="inlineStr">
        <is>
          <t>PE</t>
        </is>
      </c>
      <c r="B9" s="2" t="inlineStr">
        <is>
          <t>Shanghai Xinze Sanhe Venture Investment LP</t>
        </is>
      </c>
      <c r="C9" s="2" t="inlineStr">
        <is>
          <t>47128472</t>
        </is>
      </c>
      <c r="D9" s="2" t="inlineStr">
        <is>
          <t>AUD2026-12 Xingze Management</t>
        </is>
      </c>
      <c r="E9" s="2" t="inlineStr">
        <is>
          <t>Order47128472- 260501003</t>
        </is>
      </c>
      <c r="F9" s="2" t="inlineStr">
        <is>
          <t>47128472- EDC260501001</t>
        </is>
      </c>
      <c r="G9" s="2" t="inlineStr">
        <is>
          <t>Marsh.Ma@cn.ey.com</t>
        </is>
      </c>
      <c r="H9" s="2" t="inlineStr">
        <is>
          <t>Week15 (2026.10.10)</t>
        </is>
      </c>
      <c r="I9" s="2" t="n">
        <v>0.21</v>
      </c>
    </row>
    <row r="10">
      <c r="A10" s="2" t="inlineStr">
        <is>
          <t>PE</t>
        </is>
      </c>
      <c r="B10" s="2" t="inlineStr">
        <is>
          <t>Shanghai Xinze Sanhe Venture Investment LP</t>
        </is>
      </c>
      <c r="C10" s="2" t="inlineStr">
        <is>
          <t>47128472</t>
        </is>
      </c>
      <c r="D10" s="2" t="inlineStr">
        <is>
          <t>AUD2026-12 Xingze Management</t>
        </is>
      </c>
      <c r="E10" s="2" t="inlineStr">
        <is>
          <t>Order47128472- 260501003</t>
        </is>
      </c>
      <c r="F10" s="2" t="inlineStr">
        <is>
          <t>47128472- EDC260501001</t>
        </is>
      </c>
      <c r="G10" s="2" t="inlineStr">
        <is>
          <t>Vivi.W.Yang@cn.ey.com</t>
        </is>
      </c>
      <c r="H10" s="2" t="inlineStr">
        <is>
          <t>Week15 (2026.10.10)</t>
        </is>
      </c>
      <c r="I10" s="2" t="n">
        <v>0.57</v>
      </c>
    </row>
    <row r="11">
      <c r="A11" s="2" t="inlineStr">
        <is>
          <t>PE</t>
        </is>
      </c>
      <c r="B11" s="2" t="inlineStr">
        <is>
          <t>Shanghai Lingyi Investment Partnership (limited partnership)</t>
        </is>
      </c>
      <c r="C11" s="2" t="inlineStr">
        <is>
          <t>47128835</t>
        </is>
      </c>
      <c r="D11" s="2" t="inlineStr">
        <is>
          <t>AUD2026-12 01VC USD Fund</t>
        </is>
      </c>
      <c r="E11" s="2" t="inlineStr">
        <is>
          <t>Order47128835- 260501004</t>
        </is>
      </c>
      <c r="F11" s="2" t="inlineStr">
        <is>
          <t>47128835- EDC260501001</t>
        </is>
      </c>
      <c r="G11" s="2" t="inlineStr">
        <is>
          <t>Luna.CD.Zhang@cn.ey.com</t>
        </is>
      </c>
      <c r="H11" s="2" t="inlineStr">
        <is>
          <t>Week15 (2026.10.10)</t>
        </is>
      </c>
      <c r="I11" s="2" t="n">
        <v>2.61</v>
      </c>
    </row>
    <row r="12">
      <c r="A12" s="2" t="inlineStr">
        <is>
          <t>PE</t>
        </is>
      </c>
      <c r="B12" s="2" t="inlineStr">
        <is>
          <t>Shanghai Lingyi Investment Partnership (limited partnership)</t>
        </is>
      </c>
      <c r="C12" s="2" t="inlineStr">
        <is>
          <t>47128835</t>
        </is>
      </c>
      <c r="D12" s="2" t="inlineStr">
        <is>
          <t>AUD2026-12 01VC USD Fund</t>
        </is>
      </c>
      <c r="E12" s="2" t="inlineStr">
        <is>
          <t>Order47128835- 260501004</t>
        </is>
      </c>
      <c r="F12" s="2" t="inlineStr">
        <is>
          <t>47128835- EDC260501001</t>
        </is>
      </c>
      <c r="G12" s="2" t="inlineStr">
        <is>
          <t>Marsh.Ma@cn.ey.com</t>
        </is>
      </c>
      <c r="H12" s="2" t="inlineStr">
        <is>
          <t>Week15 (2026.10.10)</t>
        </is>
      </c>
      <c r="I12" s="2" t="n">
        <v>1.32</v>
      </c>
    </row>
    <row r="13">
      <c r="A13" s="2" t="inlineStr">
        <is>
          <t>PE</t>
        </is>
      </c>
      <c r="B13" s="2" t="inlineStr">
        <is>
          <t>Shanghai Lingyi Investment Partnership (limited partnership)</t>
        </is>
      </c>
      <c r="C13" s="2" t="inlineStr">
        <is>
          <t>47128835</t>
        </is>
      </c>
      <c r="D13" s="2" t="inlineStr">
        <is>
          <t>AUD2026-12 01VC USD Fund</t>
        </is>
      </c>
      <c r="E13" s="2" t="inlineStr">
        <is>
          <t>Order47128835- 260501004</t>
        </is>
      </c>
      <c r="F13" s="2" t="inlineStr">
        <is>
          <t>47128835- EDC260501001</t>
        </is>
      </c>
      <c r="G13" s="2" t="inlineStr">
        <is>
          <t>Rainbow.MG.Xiao@cn.ey.com</t>
        </is>
      </c>
      <c r="H13" s="2" t="inlineStr">
        <is>
          <t>Week15 (2026.10.10)</t>
        </is>
      </c>
      <c r="I13" s="2" t="n">
        <v>8.93</v>
      </c>
    </row>
    <row r="14">
      <c r="A14" s="2" t="inlineStr">
        <is>
          <t>PE</t>
        </is>
      </c>
      <c r="B14" s="2" t="inlineStr">
        <is>
          <t>Shanghai Lingyi Investment Partnership (limited partnership)</t>
        </is>
      </c>
      <c r="C14" s="2" t="inlineStr">
        <is>
          <t>47128835</t>
        </is>
      </c>
      <c r="D14" s="2" t="inlineStr">
        <is>
          <t>AUD2026-12 01VC USD Fund</t>
        </is>
      </c>
      <c r="E14" s="2" t="inlineStr">
        <is>
          <t>Order47128835- 260501004</t>
        </is>
      </c>
      <c r="F14" s="2" t="inlineStr">
        <is>
          <t>47128835- EDC260501001</t>
        </is>
      </c>
      <c r="G14" s="2" t="inlineStr">
        <is>
          <t>Vivi.W.Yang@cn.ey.com</t>
        </is>
      </c>
      <c r="H14" s="2" t="inlineStr">
        <is>
          <t>Week15 (2026.10.10)</t>
        </is>
      </c>
      <c r="I14" s="2" t="n">
        <v>3.63</v>
      </c>
    </row>
    <row r="15">
      <c r="A15" s="2" t="inlineStr">
        <is>
          <t>ICBC</t>
        </is>
      </c>
      <c r="B15" s="2" t="inlineStr">
        <is>
          <t>Industrial And Commercial Bank of China (Asia) Limited</t>
        </is>
      </c>
      <c r="C15" s="2" t="inlineStr">
        <is>
          <t>47129548</t>
        </is>
      </c>
      <c r="D15" s="2" t="inlineStr">
        <is>
          <t>AUD2026-12 ICBCA</t>
        </is>
      </c>
      <c r="E15" s="2" t="inlineStr">
        <is>
          <t>Order47129548- 260501002</t>
        </is>
      </c>
      <c r="F15" s="2" t="inlineStr">
        <is>
          <t>47129548- EDC260501001</t>
        </is>
      </c>
      <c r="G15" s="2" t="inlineStr">
        <is>
          <t>Marsh.Ma@cn.ey.com</t>
        </is>
      </c>
      <c r="H15" s="2" t="inlineStr">
        <is>
          <t>Week15 (2026.10.10)</t>
        </is>
      </c>
      <c r="I15" s="2" t="n">
        <v>3.95</v>
      </c>
    </row>
    <row r="16">
      <c r="A16" s="2" t="inlineStr">
        <is>
          <t>ICBC</t>
        </is>
      </c>
      <c r="B16" s="2" t="inlineStr">
        <is>
          <t>Industrial And Commercial Bank of China (Asia) Limited</t>
        </is>
      </c>
      <c r="C16" s="2" t="inlineStr">
        <is>
          <t>47129548</t>
        </is>
      </c>
      <c r="D16" s="2" t="inlineStr">
        <is>
          <t>AUD2026-12 ICBCA</t>
        </is>
      </c>
      <c r="E16" s="2" t="inlineStr">
        <is>
          <t>Order47129548- 260501002</t>
        </is>
      </c>
      <c r="F16" s="2" t="inlineStr">
        <is>
          <t>47129548- EDC260501001</t>
        </is>
      </c>
      <c r="G16" s="2" t="inlineStr">
        <is>
          <t>Vivi.W.Yang@cn.ey.com</t>
        </is>
      </c>
      <c r="H16" s="2" t="inlineStr">
        <is>
          <t>Week15 (2026.10.10)</t>
        </is>
      </c>
      <c r="I16" s="2" t="n">
        <v>10.86</v>
      </c>
    </row>
    <row r="17">
      <c r="A17" s="2" t="inlineStr">
        <is>
          <t>ICBC</t>
        </is>
      </c>
      <c r="B17" s="2" t="inlineStr">
        <is>
          <t>Industrial And Commercial Bank of China (Asia) Limited</t>
        </is>
      </c>
      <c r="C17" s="2" t="inlineStr">
        <is>
          <t>47129548</t>
        </is>
      </c>
      <c r="D17" s="2" t="inlineStr">
        <is>
          <t>AUD2026-12 ICBCA</t>
        </is>
      </c>
      <c r="E17" s="2" t="inlineStr">
        <is>
          <t>Order47129548- 260501002</t>
        </is>
      </c>
      <c r="F17" s="2" t="inlineStr">
        <is>
          <t>47129548- EDC260501001</t>
        </is>
      </c>
      <c r="G17" s="2" t="inlineStr">
        <is>
          <t>Yuan.Yuan.YY.Chen@cn.ey.com</t>
        </is>
      </c>
      <c r="H17" s="2" t="inlineStr">
        <is>
          <t>Week15 (2026.10.10)</t>
        </is>
      </c>
      <c r="I17" s="2" t="n">
        <v>34.55</v>
      </c>
    </row>
    <row r="18">
      <c r="A18" s="2" t="inlineStr">
        <is>
          <t>海信</t>
        </is>
      </c>
      <c r="B18" s="2" t="inlineStr">
        <is>
          <t>Hisense Group Holdings Co., Ltd.</t>
        </is>
      </c>
      <c r="C18" s="2" t="inlineStr">
        <is>
          <t>47115559</t>
        </is>
      </c>
      <c r="D18" s="2" t="inlineStr">
        <is>
          <t>IPO2026-03 Project Voyage_CN</t>
        </is>
      </c>
      <c r="E18" s="2" t="inlineStr">
        <is>
          <t>Order47115559- 260729002</t>
        </is>
      </c>
      <c r="F18" s="2" t="inlineStr">
        <is>
          <t>47115559- EDC260729001</t>
        </is>
      </c>
      <c r="G18" s="2" t="inlineStr">
        <is>
          <t>Luna.CD.Zhang@cn.ey.com</t>
        </is>
      </c>
      <c r="H18" s="2" t="inlineStr">
        <is>
          <t>Week16 (2026.10.17)</t>
        </is>
      </c>
      <c r="I18" s="2" t="n">
        <v>22.47</v>
      </c>
    </row>
    <row r="19">
      <c r="A19" s="2" t="inlineStr">
        <is>
          <t>海信</t>
        </is>
      </c>
      <c r="B19" s="2" t="inlineStr">
        <is>
          <t>Hisense Group Holdings Co., Ltd.</t>
        </is>
      </c>
      <c r="C19" s="2" t="inlineStr">
        <is>
          <t>47115559</t>
        </is>
      </c>
      <c r="D19" s="2" t="inlineStr">
        <is>
          <t>IPO2026-03 Project Voyage_CN</t>
        </is>
      </c>
      <c r="E19" s="2" t="inlineStr">
        <is>
          <t>Order47115559- 260729002</t>
        </is>
      </c>
      <c r="F19" s="2" t="inlineStr">
        <is>
          <t>47115559- EDC260729001</t>
        </is>
      </c>
      <c r="G19" s="2" t="inlineStr">
        <is>
          <t>Marsh.Ma@cn.ey.com</t>
        </is>
      </c>
      <c r="H19" s="2" t="inlineStr">
        <is>
          <t>Week16 (2026.10.17)</t>
        </is>
      </c>
      <c r="I19" s="2" t="n">
        <v>3.2</v>
      </c>
    </row>
    <row r="20">
      <c r="A20" s="2" t="inlineStr">
        <is>
          <t>海信</t>
        </is>
      </c>
      <c r="B20" s="2" t="inlineStr">
        <is>
          <t>Hisense Group Holdings Co., Ltd.</t>
        </is>
      </c>
      <c r="C20" s="2" t="inlineStr">
        <is>
          <t>47115559</t>
        </is>
      </c>
      <c r="D20" s="2" t="inlineStr">
        <is>
          <t>IPO2026-03 Project Voyage_CN</t>
        </is>
      </c>
      <c r="E20" s="2" t="inlineStr">
        <is>
          <t>Order47115559- 260729002</t>
        </is>
      </c>
      <c r="F20" s="2" t="inlineStr">
        <is>
          <t>47115559- EDC260729001</t>
        </is>
      </c>
      <c r="G20" s="2" t="inlineStr">
        <is>
          <t>Rainbow.MG.Xiao@cn.ey.com</t>
        </is>
      </c>
      <c r="H20" s="2" t="inlineStr">
        <is>
          <t>Week16 (2026.10.17)</t>
        </is>
      </c>
      <c r="I20" s="2" t="n">
        <v>5.51</v>
      </c>
    </row>
    <row r="21">
      <c r="A21" s="2" t="inlineStr">
        <is>
          <t>海信</t>
        </is>
      </c>
      <c r="B21" s="2" t="inlineStr">
        <is>
          <t>Hisense Group Holdings Co., Ltd.</t>
        </is>
      </c>
      <c r="C21" s="2" t="inlineStr">
        <is>
          <t>47115559</t>
        </is>
      </c>
      <c r="D21" s="2" t="inlineStr">
        <is>
          <t>IPO2026-03 Project Voyage_CN</t>
        </is>
      </c>
      <c r="E21" s="2" t="inlineStr">
        <is>
          <t>Order47115559- 260729002</t>
        </is>
      </c>
      <c r="F21" s="2" t="inlineStr">
        <is>
          <t>47115559- EDC260729001</t>
        </is>
      </c>
      <c r="G21" s="2" t="inlineStr">
        <is>
          <t>Vivi.W.Yang@cn.ey.com</t>
        </is>
      </c>
      <c r="H21" s="2" t="inlineStr">
        <is>
          <t>Week16 (2026.10.17)</t>
        </is>
      </c>
      <c r="I21" s="2" t="n">
        <v>8.800000000000001</v>
      </c>
    </row>
    <row r="22">
      <c r="A22" s="2" t="inlineStr">
        <is>
          <t>PE</t>
        </is>
      </c>
      <c r="B22" s="2" t="inlineStr">
        <is>
          <t>Shanghai Xinze Sanhe Venture Investment LP</t>
        </is>
      </c>
      <c r="C22" s="2" t="inlineStr">
        <is>
          <t>47128472</t>
        </is>
      </c>
      <c r="D22" s="2" t="inlineStr">
        <is>
          <t>AUD2026-12 Xingze Management</t>
        </is>
      </c>
      <c r="E22" s="2" t="inlineStr">
        <is>
          <t>Order47128472- 260501003</t>
        </is>
      </c>
      <c r="F22" s="2" t="inlineStr">
        <is>
          <t>47128472- EDC260501001</t>
        </is>
      </c>
      <c r="G22" s="2" t="inlineStr">
        <is>
          <t>Luna.CD.Zhang@cn.ey.com</t>
        </is>
      </c>
      <c r="H22" s="2" t="inlineStr">
        <is>
          <t>Week16 (2026.10.17)</t>
        </is>
      </c>
      <c r="I22" s="2" t="n">
        <v>1.37</v>
      </c>
    </row>
    <row r="23">
      <c r="A23" s="2" t="inlineStr">
        <is>
          <t>PE</t>
        </is>
      </c>
      <c r="B23" s="2" t="inlineStr">
        <is>
          <t>Shanghai Xinze Sanhe Venture Investment LP</t>
        </is>
      </c>
      <c r="C23" s="2" t="inlineStr">
        <is>
          <t>47128472</t>
        </is>
      </c>
      <c r="D23" s="2" t="inlineStr">
        <is>
          <t>AUD2026-12 Xingze Management</t>
        </is>
      </c>
      <c r="E23" s="2" t="inlineStr">
        <is>
          <t>Order47128472- 260501003</t>
        </is>
      </c>
      <c r="F23" s="2" t="inlineStr">
        <is>
          <t>47128472- EDC260501001</t>
        </is>
      </c>
      <c r="G23" s="2" t="inlineStr">
        <is>
          <t>Marsh.Ma@cn.ey.com</t>
        </is>
      </c>
      <c r="H23" s="2" t="inlineStr">
        <is>
          <t>Week16 (2026.10.17)</t>
        </is>
      </c>
      <c r="I23" s="2" t="n">
        <v>0.16</v>
      </c>
    </row>
    <row r="24">
      <c r="A24" s="2" t="inlineStr">
        <is>
          <t>PE</t>
        </is>
      </c>
      <c r="B24" s="2" t="inlineStr">
        <is>
          <t>Shanghai Xinze Sanhe Venture Investment LP</t>
        </is>
      </c>
      <c r="C24" s="2" t="inlineStr">
        <is>
          <t>47128472</t>
        </is>
      </c>
      <c r="D24" s="2" t="inlineStr">
        <is>
          <t>AUD2026-12 Xingze Management</t>
        </is>
      </c>
      <c r="E24" s="2" t="inlineStr">
        <is>
          <t>Order47128472- 260501003</t>
        </is>
      </c>
      <c r="F24" s="2" t="inlineStr">
        <is>
          <t>47128472- EDC260501001</t>
        </is>
      </c>
      <c r="G24" s="2" t="inlineStr">
        <is>
          <t>Vivi.W.Yang@cn.ey.com</t>
        </is>
      </c>
      <c r="H24" s="2" t="inlineStr">
        <is>
          <t>Week16 (2026.10.17)</t>
        </is>
      </c>
      <c r="I24" s="2" t="n">
        <v>0.43</v>
      </c>
    </row>
    <row r="25">
      <c r="A25" s="2" t="inlineStr">
        <is>
          <t>PE</t>
        </is>
      </c>
      <c r="B25" s="2" t="inlineStr">
        <is>
          <t>Shanghai Lingyi Investment Partnership (limited partnership)</t>
        </is>
      </c>
      <c r="C25" s="2" t="inlineStr">
        <is>
          <t>47128835</t>
        </is>
      </c>
      <c r="D25" s="2" t="inlineStr">
        <is>
          <t>AUD2026-12 01VC USD Fund</t>
        </is>
      </c>
      <c r="E25" s="2" t="inlineStr">
        <is>
          <t>Order47128835- 260501004</t>
        </is>
      </c>
      <c r="F25" s="2" t="inlineStr">
        <is>
          <t>47128835- EDC260501001</t>
        </is>
      </c>
      <c r="G25" s="2" t="inlineStr">
        <is>
          <t>Luna.CD.Zhang@cn.ey.com</t>
        </is>
      </c>
      <c r="H25" s="2" t="inlineStr">
        <is>
          <t>Week16 (2026.10.17)</t>
        </is>
      </c>
      <c r="I25" s="2" t="n">
        <v>16.15</v>
      </c>
    </row>
    <row r="26">
      <c r="A26" s="2" t="inlineStr">
        <is>
          <t>PE</t>
        </is>
      </c>
      <c r="B26" s="2" t="inlineStr">
        <is>
          <t>Shanghai Lingyi Investment Partnership (limited partnership)</t>
        </is>
      </c>
      <c r="C26" s="2" t="inlineStr">
        <is>
          <t>47128835</t>
        </is>
      </c>
      <c r="D26" s="2" t="inlineStr">
        <is>
          <t>AUD2026-12 01VC USD Fund</t>
        </is>
      </c>
      <c r="E26" s="2" t="inlineStr">
        <is>
          <t>Order47128835- 260501004</t>
        </is>
      </c>
      <c r="F26" s="2" t="inlineStr">
        <is>
          <t>47128835- EDC260501001</t>
        </is>
      </c>
      <c r="G26" s="2" t="inlineStr">
        <is>
          <t>Marsh.Ma@cn.ey.com</t>
        </is>
      </c>
      <c r="H26" s="2" t="inlineStr">
        <is>
          <t>Week16 (2026.10.17)</t>
        </is>
      </c>
      <c r="I26" s="2" t="n">
        <v>1.85</v>
      </c>
    </row>
    <row r="27">
      <c r="A27" s="2" t="inlineStr">
        <is>
          <t>PE</t>
        </is>
      </c>
      <c r="B27" s="2" t="inlineStr">
        <is>
          <t>Shanghai Lingyi Investment Partnership (limited partnership)</t>
        </is>
      </c>
      <c r="C27" s="2" t="inlineStr">
        <is>
          <t>47128835</t>
        </is>
      </c>
      <c r="D27" s="2" t="inlineStr">
        <is>
          <t>AUD2026-12 01VC USD Fund</t>
        </is>
      </c>
      <c r="E27" s="2" t="inlineStr">
        <is>
          <t>Order47128835- 260501004</t>
        </is>
      </c>
      <c r="F27" s="2" t="inlineStr">
        <is>
          <t>47128835- EDC260501001</t>
        </is>
      </c>
      <c r="G27" s="2" t="inlineStr">
        <is>
          <t>Vivi.W.Yang@cn.ey.com</t>
        </is>
      </c>
      <c r="H27" s="2" t="inlineStr">
        <is>
          <t>Week16 (2026.10.17)</t>
        </is>
      </c>
      <c r="I27" s="2" t="n">
        <v>5.08</v>
      </c>
    </row>
    <row r="28">
      <c r="A28" s="2" t="inlineStr">
        <is>
          <t>ICBC</t>
        </is>
      </c>
      <c r="B28" s="2" t="inlineStr">
        <is>
          <t>Industrial And Commercial Bank of China (Asia) Limited</t>
        </is>
      </c>
      <c r="C28" s="2" t="inlineStr">
        <is>
          <t>47129548</t>
        </is>
      </c>
      <c r="D28" s="2" t="inlineStr">
        <is>
          <t>AUD2026-12 ICBCA</t>
        </is>
      </c>
      <c r="E28" s="2" t="inlineStr">
        <is>
          <t>Order47129548- 260501002</t>
        </is>
      </c>
      <c r="F28" s="2" t="inlineStr">
        <is>
          <t>47129548- EDC260501001</t>
        </is>
      </c>
      <c r="G28" s="2" t="inlineStr">
        <is>
          <t>Marsh.Ma@cn.ey.com</t>
        </is>
      </c>
      <c r="H28" s="2" t="inlineStr">
        <is>
          <t>Week16 (2026.10.17)</t>
        </is>
      </c>
      <c r="I28" s="2" t="n">
        <v>5.53</v>
      </c>
    </row>
    <row r="29">
      <c r="A29" s="2" t="inlineStr">
        <is>
          <t>ICBC</t>
        </is>
      </c>
      <c r="B29" s="2" t="inlineStr">
        <is>
          <t>Industrial And Commercial Bank of China (Asia) Limited</t>
        </is>
      </c>
      <c r="C29" s="2" t="inlineStr">
        <is>
          <t>47129548</t>
        </is>
      </c>
      <c r="D29" s="2" t="inlineStr">
        <is>
          <t>AUD2026-12 ICBCA</t>
        </is>
      </c>
      <c r="E29" s="2" t="inlineStr">
        <is>
          <t>Order47129548- 260501002</t>
        </is>
      </c>
      <c r="F29" s="2" t="inlineStr">
        <is>
          <t>47129548- EDC260501001</t>
        </is>
      </c>
      <c r="G29" s="2" t="inlineStr">
        <is>
          <t>Rainbow.MG.Xiao@cn.ey.com</t>
        </is>
      </c>
      <c r="H29" s="2" t="inlineStr">
        <is>
          <t>Week16 (2026.10.17)</t>
        </is>
      </c>
      <c r="I29" s="2" t="n">
        <v>8.369999999999999</v>
      </c>
    </row>
    <row r="30">
      <c r="A30" s="2" t="inlineStr">
        <is>
          <t>ICBC</t>
        </is>
      </c>
      <c r="B30" s="2" t="inlineStr">
        <is>
          <t>Industrial And Commercial Bank of China (Asia) Limited</t>
        </is>
      </c>
      <c r="C30" s="2" t="inlineStr">
        <is>
          <t>47129548</t>
        </is>
      </c>
      <c r="D30" s="2" t="inlineStr">
        <is>
          <t>AUD2026-12 ICBCA</t>
        </is>
      </c>
      <c r="E30" s="2" t="inlineStr">
        <is>
          <t>Order47129548- 260501002</t>
        </is>
      </c>
      <c r="F30" s="2" t="inlineStr">
        <is>
          <t>47129548- EDC260501001</t>
        </is>
      </c>
      <c r="G30" s="2" t="inlineStr">
        <is>
          <t>Vivi.W.Yang@cn.ey.com</t>
        </is>
      </c>
      <c r="H30" s="2" t="inlineStr">
        <is>
          <t>Week16 (2026.10.17)</t>
        </is>
      </c>
      <c r="I30" s="2" t="n">
        <v>15.2</v>
      </c>
    </row>
    <row r="31">
      <c r="A31" s="2" t="inlineStr">
        <is>
          <t>ICBC</t>
        </is>
      </c>
      <c r="B31" s="2" t="inlineStr">
        <is>
          <t>Industrial And Commercial Bank of China (Asia) Limited</t>
        </is>
      </c>
      <c r="C31" s="2" t="inlineStr">
        <is>
          <t>47129548</t>
        </is>
      </c>
      <c r="D31" s="2" t="inlineStr">
        <is>
          <t>AUD2026-12 ICBCA</t>
        </is>
      </c>
      <c r="E31" s="2" t="inlineStr">
        <is>
          <t>Order47129548- 260501002</t>
        </is>
      </c>
      <c r="F31" s="2" t="inlineStr">
        <is>
          <t>47129548- EDC260501001</t>
        </is>
      </c>
      <c r="G31" s="2" t="inlineStr">
        <is>
          <t>Yuan.Yuan.YY.Chen@cn.ey.com</t>
        </is>
      </c>
      <c r="H31" s="2" t="inlineStr">
        <is>
          <t>Week16 (2026.10.17)</t>
        </is>
      </c>
      <c r="I31" s="2" t="n">
        <v>40</v>
      </c>
    </row>
    <row r="32">
      <c r="A32" s="2" t="inlineStr">
        <is>
          <t>海信</t>
        </is>
      </c>
      <c r="B32" s="2" t="inlineStr">
        <is>
          <t>Hisense Group Holdings Co., Ltd.</t>
        </is>
      </c>
      <c r="C32" s="2" t="inlineStr">
        <is>
          <t>47115559</t>
        </is>
      </c>
      <c r="D32" s="2" t="inlineStr">
        <is>
          <t>IPO2026-03 Project Voyage_CN</t>
        </is>
      </c>
      <c r="E32" s="2" t="inlineStr">
        <is>
          <t>Order47115559- 260729002</t>
        </is>
      </c>
      <c r="F32" s="2" t="inlineStr">
        <is>
          <t>47115559- EDC260729001</t>
        </is>
      </c>
      <c r="G32" s="2" t="inlineStr">
        <is>
          <t>Luna.CD.Zhang@cn.ey.com</t>
        </is>
      </c>
      <c r="H32" s="2" t="inlineStr">
        <is>
          <t>Week17 (2026.10.24)</t>
        </is>
      </c>
      <c r="I32" s="2" t="n">
        <v>27.98</v>
      </c>
    </row>
    <row r="33">
      <c r="A33" s="2" t="inlineStr">
        <is>
          <t>海信</t>
        </is>
      </c>
      <c r="B33" s="2" t="inlineStr">
        <is>
          <t>Hisense Group Holdings Co., Ltd.</t>
        </is>
      </c>
      <c r="C33" s="2" t="inlineStr">
        <is>
          <t>47115559</t>
        </is>
      </c>
      <c r="D33" s="2" t="inlineStr">
        <is>
          <t>IPO2026-03 Project Voyage_CN</t>
        </is>
      </c>
      <c r="E33" s="2" t="inlineStr">
        <is>
          <t>Order47115559- 260729002</t>
        </is>
      </c>
      <c r="F33" s="2" t="inlineStr">
        <is>
          <t>47115559- EDC260729001</t>
        </is>
      </c>
      <c r="G33" s="2" t="inlineStr">
        <is>
          <t>Marsh.Ma@cn.ey.com</t>
        </is>
      </c>
      <c r="H33" s="2" t="inlineStr">
        <is>
          <t>Week17 (2026.10.24)</t>
        </is>
      </c>
      <c r="I33" s="2" t="n">
        <v>3.2</v>
      </c>
    </row>
    <row r="34">
      <c r="A34" s="2" t="inlineStr">
        <is>
          <t>海信</t>
        </is>
      </c>
      <c r="B34" s="2" t="inlineStr">
        <is>
          <t>Hisense Group Holdings Co., Ltd.</t>
        </is>
      </c>
      <c r="C34" s="2" t="inlineStr">
        <is>
          <t>47115559</t>
        </is>
      </c>
      <c r="D34" s="2" t="inlineStr">
        <is>
          <t>IPO2026-03 Project Voyage_CN</t>
        </is>
      </c>
      <c r="E34" s="2" t="inlineStr">
        <is>
          <t>Order47115559- 260729002</t>
        </is>
      </c>
      <c r="F34" s="2" t="inlineStr">
        <is>
          <t>47115559- EDC260729001</t>
        </is>
      </c>
      <c r="G34" s="2" t="inlineStr">
        <is>
          <t>Vivi.W.Yang@cn.ey.com</t>
        </is>
      </c>
      <c r="H34" s="2" t="inlineStr">
        <is>
          <t>Week17 (2026.10.24)</t>
        </is>
      </c>
      <c r="I34" s="2" t="n">
        <v>8.800000000000001</v>
      </c>
    </row>
    <row r="35">
      <c r="A35" s="2" t="inlineStr">
        <is>
          <t>ICBC</t>
        </is>
      </c>
      <c r="B35" s="2" t="inlineStr">
        <is>
          <t>Industrial And Commercial Bank of China (Asia) Limited</t>
        </is>
      </c>
      <c r="C35" s="2" t="inlineStr">
        <is>
          <t>47129548</t>
        </is>
      </c>
      <c r="D35" s="2" t="inlineStr">
        <is>
          <t>AUD2026-12 ICBCA</t>
        </is>
      </c>
      <c r="E35" s="2" t="inlineStr">
        <is>
          <t>Order47129548- 260501002</t>
        </is>
      </c>
      <c r="F35" s="2" t="inlineStr">
        <is>
          <t>47129548- EDC260501001</t>
        </is>
      </c>
      <c r="G35" s="2" t="inlineStr">
        <is>
          <t>Luna.CD.Zhang@cn.ey.com</t>
        </is>
      </c>
      <c r="H35" s="2" t="inlineStr">
        <is>
          <t>Week17 (2026.10.24)</t>
        </is>
      </c>
      <c r="I35" s="2" t="n">
        <v>8.369999999999999</v>
      </c>
    </row>
    <row r="36">
      <c r="A36" s="2" t="inlineStr">
        <is>
          <t>ICBC</t>
        </is>
      </c>
      <c r="B36" s="2" t="inlineStr">
        <is>
          <t>Industrial And Commercial Bank of China (Asia) Limited</t>
        </is>
      </c>
      <c r="C36" s="2" t="inlineStr">
        <is>
          <t>47129548</t>
        </is>
      </c>
      <c r="D36" s="2" t="inlineStr">
        <is>
          <t>AUD2026-12 ICBCA</t>
        </is>
      </c>
      <c r="E36" s="2" t="inlineStr">
        <is>
          <t>Order47129548- 260501002</t>
        </is>
      </c>
      <c r="F36" s="2" t="inlineStr">
        <is>
          <t>47129548- EDC260501001</t>
        </is>
      </c>
      <c r="G36" s="2" t="inlineStr">
        <is>
          <t>Marsh.Ma@cn.ey.com</t>
        </is>
      </c>
      <c r="H36" s="2" t="inlineStr">
        <is>
          <t>Week17 (2026.10.24)</t>
        </is>
      </c>
      <c r="I36" s="2" t="n">
        <v>5.53</v>
      </c>
    </row>
    <row r="37">
      <c r="A37" s="2" t="inlineStr">
        <is>
          <t>ICBC</t>
        </is>
      </c>
      <c r="B37" s="2" t="inlineStr">
        <is>
          <t>Industrial And Commercial Bank of China (Asia) Limited</t>
        </is>
      </c>
      <c r="C37" s="2" t="inlineStr">
        <is>
          <t>47129548</t>
        </is>
      </c>
      <c r="D37" s="2" t="inlineStr">
        <is>
          <t>AUD2026-12 ICBCA</t>
        </is>
      </c>
      <c r="E37" s="2" t="inlineStr">
        <is>
          <t>Order47129548- 260501002</t>
        </is>
      </c>
      <c r="F37" s="2" t="inlineStr">
        <is>
          <t>47129548- EDC260501001</t>
        </is>
      </c>
      <c r="G37" s="2" t="inlineStr">
        <is>
          <t>Vivi.W.Yang@cn.ey.com</t>
        </is>
      </c>
      <c r="H37" s="2" t="inlineStr">
        <is>
          <t>Week17 (2026.10.24)</t>
        </is>
      </c>
      <c r="I37" s="2" t="n">
        <v>15.2</v>
      </c>
    </row>
    <row r="38">
      <c r="A38" s="2" t="inlineStr">
        <is>
          <t>ICBC</t>
        </is>
      </c>
      <c r="B38" s="2" t="inlineStr">
        <is>
          <t>Industrial And Commercial Bank of China (Asia) Limited</t>
        </is>
      </c>
      <c r="C38" s="2" t="inlineStr">
        <is>
          <t>47129548</t>
        </is>
      </c>
      <c r="D38" s="2" t="inlineStr">
        <is>
          <t>AUD2026-12 ICBCA</t>
        </is>
      </c>
      <c r="E38" s="2" t="inlineStr">
        <is>
          <t>Order47129548- 260501002</t>
        </is>
      </c>
      <c r="F38" s="2" t="inlineStr">
        <is>
          <t>47129548- EDC260501001</t>
        </is>
      </c>
      <c r="G38" s="2" t="inlineStr">
        <is>
          <t>Yuan.Yuan.YY.Chen@cn.ey.com</t>
        </is>
      </c>
      <c r="H38" s="2" t="inlineStr">
        <is>
          <t>Week17 (2026.10.24)</t>
        </is>
      </c>
      <c r="I38" s="2" t="n">
        <v>40</v>
      </c>
    </row>
    <row r="39">
      <c r="A39" s="2" t="inlineStr">
        <is>
          <t>PE</t>
        </is>
      </c>
      <c r="B39" s="2" t="inlineStr">
        <is>
          <t>Hangzhou Huaxin Yunkai Equity Shares Investment Partnership Enterprise (Limited Partnership)</t>
        </is>
      </c>
      <c r="C39" s="2" t="inlineStr">
        <is>
          <t>47128202</t>
        </is>
      </c>
      <c r="D39" s="2" t="inlineStr">
        <is>
          <t>AUD2026-12 Hangzhou Huaxin</t>
        </is>
      </c>
      <c r="E39" s="2" t="inlineStr">
        <is>
          <t>Order47128202- 260501004</t>
        </is>
      </c>
      <c r="F39" s="2" t="inlineStr">
        <is>
          <t>47128202- EDC260501001</t>
        </is>
      </c>
      <c r="G39" s="2" t="inlineStr">
        <is>
          <t>Luna.CD.Zhang@cn.ey.com</t>
        </is>
      </c>
      <c r="H39" s="2" t="inlineStr">
        <is>
          <t>Week18 (2026.10.31)</t>
        </is>
      </c>
      <c r="I39" s="2" t="n">
        <v>6.66</v>
      </c>
    </row>
    <row r="40">
      <c r="A40" s="2" t="inlineStr">
        <is>
          <t>PE</t>
        </is>
      </c>
      <c r="B40" s="2" t="inlineStr">
        <is>
          <t>Hangzhou Huaxin Yunkai Equity Shares Investment Partnership Enterprise (Limited Partnership)</t>
        </is>
      </c>
      <c r="C40" s="2" t="inlineStr">
        <is>
          <t>47128202</t>
        </is>
      </c>
      <c r="D40" s="2" t="inlineStr">
        <is>
          <t>AUD2026-12 Hangzhou Huaxin</t>
        </is>
      </c>
      <c r="E40" s="2" t="inlineStr">
        <is>
          <t>Order47128202- 260501004</t>
        </is>
      </c>
      <c r="F40" s="2" t="inlineStr">
        <is>
          <t>47128202- EDC260501001</t>
        </is>
      </c>
      <c r="G40" s="2" t="inlineStr">
        <is>
          <t>Marsh.Ma@cn.ey.com</t>
        </is>
      </c>
      <c r="H40" s="2" t="inlineStr">
        <is>
          <t>Week18 (2026.10.31)</t>
        </is>
      </c>
      <c r="I40" s="2" t="n">
        <v>0.76</v>
      </c>
    </row>
    <row r="41">
      <c r="A41" s="2" t="inlineStr">
        <is>
          <t>PE</t>
        </is>
      </c>
      <c r="B41" s="2" t="inlineStr">
        <is>
          <t>Hangzhou Huaxin Yunkai Equity Shares Investment Partnership Enterprise (Limited Partnership)</t>
        </is>
      </c>
      <c r="C41" s="2" t="inlineStr">
        <is>
          <t>47128202</t>
        </is>
      </c>
      <c r="D41" s="2" t="inlineStr">
        <is>
          <t>AUD2026-12 Hangzhou Huaxin</t>
        </is>
      </c>
      <c r="E41" s="2" t="inlineStr">
        <is>
          <t>Order47128202- 260501004</t>
        </is>
      </c>
      <c r="F41" s="2" t="inlineStr">
        <is>
          <t>47128202- EDC260501001</t>
        </is>
      </c>
      <c r="G41" s="2" t="inlineStr">
        <is>
          <t>Vivi.W.Yang@cn.ey.com</t>
        </is>
      </c>
      <c r="H41" s="2" t="inlineStr">
        <is>
          <t>Week18 (2026.10.31)</t>
        </is>
      </c>
      <c r="I41" s="2" t="n">
        <v>2.09</v>
      </c>
    </row>
    <row r="42">
      <c r="A42" s="2" t="inlineStr">
        <is>
          <t>ICBC</t>
        </is>
      </c>
      <c r="B42" s="2" t="inlineStr">
        <is>
          <t>Industrial And Commercial Bank of China (Asia) Limited</t>
        </is>
      </c>
      <c r="C42" s="2" t="inlineStr">
        <is>
          <t>47129548</t>
        </is>
      </c>
      <c r="D42" s="2" t="inlineStr">
        <is>
          <t>AUD2026-12 ICBCA</t>
        </is>
      </c>
      <c r="E42" s="2" t="inlineStr">
        <is>
          <t>Order47129548- 260501002</t>
        </is>
      </c>
      <c r="F42" s="2" t="inlineStr">
        <is>
          <t>47129548- EDC260501001</t>
        </is>
      </c>
      <c r="G42" s="2" t="inlineStr">
        <is>
          <t>Luna.CD.Zhang@cn.ey.com</t>
        </is>
      </c>
      <c r="H42" s="2" t="inlineStr">
        <is>
          <t>Week18 (2026.10.31)</t>
        </is>
      </c>
      <c r="I42" s="2" t="n">
        <v>8.369999999999999</v>
      </c>
    </row>
    <row r="43">
      <c r="A43" s="2" t="inlineStr">
        <is>
          <t>ICBC</t>
        </is>
      </c>
      <c r="B43" s="2" t="inlineStr">
        <is>
          <t>Industrial And Commercial Bank of China (Asia) Limited</t>
        </is>
      </c>
      <c r="C43" s="2" t="inlineStr">
        <is>
          <t>47129548</t>
        </is>
      </c>
      <c r="D43" s="2" t="inlineStr">
        <is>
          <t>AUD2026-12 ICBCA</t>
        </is>
      </c>
      <c r="E43" s="2" t="inlineStr">
        <is>
          <t>Order47129548- 260501002</t>
        </is>
      </c>
      <c r="F43" s="2" t="inlineStr">
        <is>
          <t>47129548- EDC260501001</t>
        </is>
      </c>
      <c r="G43" s="2" t="inlineStr">
        <is>
          <t>Marsh.Ma@cn.ey.com</t>
        </is>
      </c>
      <c r="H43" s="2" t="inlineStr">
        <is>
          <t>Week18 (2026.10.31)</t>
        </is>
      </c>
      <c r="I43" s="2" t="n">
        <v>5.53</v>
      </c>
    </row>
    <row r="44">
      <c r="A44" s="2" t="inlineStr">
        <is>
          <t>ICBC</t>
        </is>
      </c>
      <c r="B44" s="2" t="inlineStr">
        <is>
          <t>Industrial And Commercial Bank of China (Asia) Limited</t>
        </is>
      </c>
      <c r="C44" s="2" t="inlineStr">
        <is>
          <t>47129548</t>
        </is>
      </c>
      <c r="D44" s="2" t="inlineStr">
        <is>
          <t>AUD2026-12 ICBCA</t>
        </is>
      </c>
      <c r="E44" s="2" t="inlineStr">
        <is>
          <t>Order47129548- 260501002</t>
        </is>
      </c>
      <c r="F44" s="2" t="inlineStr">
        <is>
          <t>47129548- EDC260501001</t>
        </is>
      </c>
      <c r="G44" s="2" t="inlineStr">
        <is>
          <t>Vivi.W.Yang@cn.ey.com</t>
        </is>
      </c>
      <c r="H44" s="2" t="inlineStr">
        <is>
          <t>Week18 (2026.10.31)</t>
        </is>
      </c>
      <c r="I44" s="2" t="n">
        <v>15.2</v>
      </c>
    </row>
    <row r="45">
      <c r="A45" s="2" t="inlineStr">
        <is>
          <t>ICBC</t>
        </is>
      </c>
      <c r="B45" s="2" t="inlineStr">
        <is>
          <t>Industrial And Commercial Bank of China (Asia) Limited</t>
        </is>
      </c>
      <c r="C45" s="2" t="inlineStr">
        <is>
          <t>47129548</t>
        </is>
      </c>
      <c r="D45" s="2" t="inlineStr">
        <is>
          <t>AUD2026-12 ICBCA</t>
        </is>
      </c>
      <c r="E45" s="2" t="inlineStr">
        <is>
          <t>Order47129548- 260501002</t>
        </is>
      </c>
      <c r="F45" s="2" t="inlineStr">
        <is>
          <t>47129548- EDC260501001</t>
        </is>
      </c>
      <c r="G45" s="2" t="inlineStr">
        <is>
          <t>Yuan.Yuan.YY.Chen@cn.ey.com</t>
        </is>
      </c>
      <c r="H45" s="2" t="inlineStr">
        <is>
          <t>Week18 (2026.10.31)</t>
        </is>
      </c>
      <c r="I45" s="2" t="n">
        <v>40</v>
      </c>
    </row>
    <row r="46">
      <c r="A46" s="2" t="inlineStr">
        <is>
          <t>PE</t>
        </is>
      </c>
      <c r="B46" s="2" t="inlineStr">
        <is>
          <t>Hangzhou Huaxin Yunkai Equity Shares Investment Partnership Enterprise (Limited Partnership)</t>
        </is>
      </c>
      <c r="C46" s="2" t="inlineStr">
        <is>
          <t>47128202</t>
        </is>
      </c>
      <c r="D46" s="2" t="inlineStr">
        <is>
          <t>AUD2026-12 Hangzhou Huaxin</t>
        </is>
      </c>
      <c r="E46" s="2" t="inlineStr">
        <is>
          <t>Order47128202- 260501004</t>
        </is>
      </c>
      <c r="F46" s="2" t="inlineStr">
        <is>
          <t>47128202- EDC260501001</t>
        </is>
      </c>
      <c r="G46" s="2" t="inlineStr">
        <is>
          <t>Luna.CD.Zhang@cn.ey.com</t>
        </is>
      </c>
      <c r="H46" s="2" t="inlineStr">
        <is>
          <t>Week19 (2026.11.07)</t>
        </is>
      </c>
      <c r="I46" s="2" t="n">
        <v>23.32</v>
      </c>
    </row>
    <row r="47">
      <c r="A47" s="2" t="inlineStr">
        <is>
          <t>PE</t>
        </is>
      </c>
      <c r="B47" s="2" t="inlineStr">
        <is>
          <t>Hangzhou Huaxin Yunkai Equity Shares Investment Partnership Enterprise (Limited Partnership)</t>
        </is>
      </c>
      <c r="C47" s="2" t="inlineStr">
        <is>
          <t>47128202</t>
        </is>
      </c>
      <c r="D47" s="2" t="inlineStr">
        <is>
          <t>AUD2026-12 Hangzhou Huaxin</t>
        </is>
      </c>
      <c r="E47" s="2" t="inlineStr">
        <is>
          <t>Order47128202- 260501004</t>
        </is>
      </c>
      <c r="F47" s="2" t="inlineStr">
        <is>
          <t>47128202- EDC260501001</t>
        </is>
      </c>
      <c r="G47" s="2" t="inlineStr">
        <is>
          <t>Marsh.Ma@cn.ey.com</t>
        </is>
      </c>
      <c r="H47" s="2" t="inlineStr">
        <is>
          <t>Week19 (2026.11.07)</t>
        </is>
      </c>
      <c r="I47" s="2" t="n">
        <v>2.66</v>
      </c>
    </row>
    <row r="48">
      <c r="A48" s="2" t="inlineStr">
        <is>
          <t>PE</t>
        </is>
      </c>
      <c r="B48" s="2" t="inlineStr">
        <is>
          <t>Hangzhou Huaxin Yunkai Equity Shares Investment Partnership Enterprise (Limited Partnership)</t>
        </is>
      </c>
      <c r="C48" s="2" t="inlineStr">
        <is>
          <t>47128202</t>
        </is>
      </c>
      <c r="D48" s="2" t="inlineStr">
        <is>
          <t>AUD2026-12 Hangzhou Huaxin</t>
        </is>
      </c>
      <c r="E48" s="2" t="inlineStr">
        <is>
          <t>Order47128202- 260501004</t>
        </is>
      </c>
      <c r="F48" s="2" t="inlineStr">
        <is>
          <t>47128202- EDC260501001</t>
        </is>
      </c>
      <c r="G48" s="2" t="inlineStr">
        <is>
          <t>Vivi.W.Yang@cn.ey.com</t>
        </is>
      </c>
      <c r="H48" s="2" t="inlineStr">
        <is>
          <t>Week19 (2026.11.07)</t>
        </is>
      </c>
      <c r="I48" s="2" t="n">
        <v>7.33</v>
      </c>
    </row>
    <row r="49">
      <c r="A49" s="2" t="inlineStr">
        <is>
          <t>ICBC</t>
        </is>
      </c>
      <c r="B49" s="2" t="inlineStr">
        <is>
          <t>Industrial And Commercial Bank of China (Asia) Limited</t>
        </is>
      </c>
      <c r="C49" s="2" t="inlineStr">
        <is>
          <t>47129548</t>
        </is>
      </c>
      <c r="D49" s="2" t="inlineStr">
        <is>
          <t>AUD2026-12 ICBCA</t>
        </is>
      </c>
      <c r="E49" s="2" t="inlineStr">
        <is>
          <t>Order47129548- 260501002</t>
        </is>
      </c>
      <c r="F49" s="2" t="inlineStr">
        <is>
          <t>47129548- EDC260501001</t>
        </is>
      </c>
      <c r="G49" s="2" t="inlineStr">
        <is>
          <t>Luna.CD.Zhang@cn.ey.com</t>
        </is>
      </c>
      <c r="H49" s="2" t="inlineStr">
        <is>
          <t>Week19 (2026.11.07)</t>
        </is>
      </c>
      <c r="I49" s="2" t="n">
        <v>8.369999999999999</v>
      </c>
    </row>
    <row r="50">
      <c r="A50" s="2" t="inlineStr">
        <is>
          <t>ICBC</t>
        </is>
      </c>
      <c r="B50" s="2" t="inlineStr">
        <is>
          <t>Industrial And Commercial Bank of China (Asia) Limited</t>
        </is>
      </c>
      <c r="C50" s="2" t="inlineStr">
        <is>
          <t>47129548</t>
        </is>
      </c>
      <c r="D50" s="2" t="inlineStr">
        <is>
          <t>AUD2026-12 ICBCA</t>
        </is>
      </c>
      <c r="E50" s="2" t="inlineStr">
        <is>
          <t>Order47129548- 260501002</t>
        </is>
      </c>
      <c r="F50" s="2" t="inlineStr">
        <is>
          <t>47129548- EDC260501001</t>
        </is>
      </c>
      <c r="G50" s="2" t="inlineStr">
        <is>
          <t>Marsh.Ma@cn.ey.com</t>
        </is>
      </c>
      <c r="H50" s="2" t="inlineStr">
        <is>
          <t>Week19 (2026.11.07)</t>
        </is>
      </c>
      <c r="I50" s="2" t="n">
        <v>5.53</v>
      </c>
    </row>
    <row r="51">
      <c r="A51" s="2" t="inlineStr">
        <is>
          <t>ICBC</t>
        </is>
      </c>
      <c r="B51" s="2" t="inlineStr">
        <is>
          <t>Industrial And Commercial Bank of China (Asia) Limited</t>
        </is>
      </c>
      <c r="C51" s="2" t="inlineStr">
        <is>
          <t>47129548</t>
        </is>
      </c>
      <c r="D51" s="2" t="inlineStr">
        <is>
          <t>AUD2026-12 ICBCA</t>
        </is>
      </c>
      <c r="E51" s="2" t="inlineStr">
        <is>
          <t>Order47129548- 260501002</t>
        </is>
      </c>
      <c r="F51" s="2" t="inlineStr">
        <is>
          <t>47129548- EDC260501001</t>
        </is>
      </c>
      <c r="G51" s="2" t="inlineStr">
        <is>
          <t>Vivi.W.Yang@cn.ey.com</t>
        </is>
      </c>
      <c r="H51" s="2" t="inlineStr">
        <is>
          <t>Week19 (2026.11.07)</t>
        </is>
      </c>
      <c r="I51" s="2" t="n">
        <v>15.2</v>
      </c>
    </row>
    <row r="52">
      <c r="A52" s="2" t="inlineStr">
        <is>
          <t>ICBC</t>
        </is>
      </c>
      <c r="B52" s="2" t="inlineStr">
        <is>
          <t>Industrial And Commercial Bank of China (Asia) Limited</t>
        </is>
      </c>
      <c r="C52" s="2" t="inlineStr">
        <is>
          <t>47129548</t>
        </is>
      </c>
      <c r="D52" s="2" t="inlineStr">
        <is>
          <t>AUD2026-12 ICBCA</t>
        </is>
      </c>
      <c r="E52" s="2" t="inlineStr">
        <is>
          <t>Order47129548- 260501002</t>
        </is>
      </c>
      <c r="F52" s="2" t="inlineStr">
        <is>
          <t>47129548- EDC260501001</t>
        </is>
      </c>
      <c r="G52" s="2" t="inlineStr">
        <is>
          <t>Yuan.Yuan.YY.Chen@cn.ey.com</t>
        </is>
      </c>
      <c r="H52" s="2" t="inlineStr">
        <is>
          <t>Week19 (2026.11.07)</t>
        </is>
      </c>
      <c r="I52" s="2" t="n">
        <v>40</v>
      </c>
    </row>
    <row r="53">
      <c r="A53" s="2" t="inlineStr">
        <is>
          <t>PE</t>
        </is>
      </c>
      <c r="B53" s="2" t="inlineStr">
        <is>
          <t>Hangzhou Huaxin Yunkai Equity Shares Investment Partnership Enterprise (Limited Partnership)</t>
        </is>
      </c>
      <c r="C53" s="2" t="inlineStr">
        <is>
          <t>47128202</t>
        </is>
      </c>
      <c r="D53" s="2" t="inlineStr">
        <is>
          <t>AUD2026-12 Hangzhou Huaxin</t>
        </is>
      </c>
      <c r="E53" s="2" t="inlineStr">
        <is>
          <t>Order47128202- 260501004</t>
        </is>
      </c>
      <c r="F53" s="2" t="inlineStr">
        <is>
          <t>47128202- EDC260501001</t>
        </is>
      </c>
      <c r="G53" s="2" t="inlineStr">
        <is>
          <t>Luna.CD.Zhang@cn.ey.com</t>
        </is>
      </c>
      <c r="H53" s="2" t="inlineStr">
        <is>
          <t>Week20 (2026.11.14)</t>
        </is>
      </c>
      <c r="I53" s="2" t="n">
        <v>23.32</v>
      </c>
    </row>
    <row r="54">
      <c r="A54" s="2" t="inlineStr">
        <is>
          <t>PE</t>
        </is>
      </c>
      <c r="B54" s="2" t="inlineStr">
        <is>
          <t>Hangzhou Huaxin Yunkai Equity Shares Investment Partnership Enterprise (Limited Partnership)</t>
        </is>
      </c>
      <c r="C54" s="2" t="inlineStr">
        <is>
          <t>47128202</t>
        </is>
      </c>
      <c r="D54" s="2" t="inlineStr">
        <is>
          <t>AUD2026-12 Hangzhou Huaxin</t>
        </is>
      </c>
      <c r="E54" s="2" t="inlineStr">
        <is>
          <t>Order47128202- 260501004</t>
        </is>
      </c>
      <c r="F54" s="2" t="inlineStr">
        <is>
          <t>47128202- EDC260501001</t>
        </is>
      </c>
      <c r="G54" s="2" t="inlineStr">
        <is>
          <t>Marsh.Ma@cn.ey.com</t>
        </is>
      </c>
      <c r="H54" s="2" t="inlineStr">
        <is>
          <t>Week20 (2026.11.14)</t>
        </is>
      </c>
      <c r="I54" s="2" t="n">
        <v>2.66</v>
      </c>
    </row>
    <row r="55">
      <c r="A55" s="2" t="inlineStr">
        <is>
          <t>PE</t>
        </is>
      </c>
      <c r="B55" s="2" t="inlineStr">
        <is>
          <t>Hangzhou Huaxin Yunkai Equity Shares Investment Partnership Enterprise (Limited Partnership)</t>
        </is>
      </c>
      <c r="C55" s="2" t="inlineStr">
        <is>
          <t>47128202</t>
        </is>
      </c>
      <c r="D55" s="2" t="inlineStr">
        <is>
          <t>AUD2026-12 Hangzhou Huaxin</t>
        </is>
      </c>
      <c r="E55" s="2" t="inlineStr">
        <is>
          <t>Order47128202- 260501004</t>
        </is>
      </c>
      <c r="F55" s="2" t="inlineStr">
        <is>
          <t>47128202- EDC260501001</t>
        </is>
      </c>
      <c r="G55" s="2" t="inlineStr">
        <is>
          <t>Vivi.W.Yang@cn.ey.com</t>
        </is>
      </c>
      <c r="H55" s="2" t="inlineStr">
        <is>
          <t>Week20 (2026.11.14)</t>
        </is>
      </c>
      <c r="I55" s="2" t="n">
        <v>7.33</v>
      </c>
    </row>
    <row r="56">
      <c r="A56" s="2" t="inlineStr">
        <is>
          <t>ICBC</t>
        </is>
      </c>
      <c r="B56" s="2" t="inlineStr">
        <is>
          <t>Industrial And Commercial Bank of China (Asia) Limited</t>
        </is>
      </c>
      <c r="C56" s="2" t="inlineStr">
        <is>
          <t>47129548</t>
        </is>
      </c>
      <c r="D56" s="2" t="inlineStr">
        <is>
          <t>AUD2026-12 ICBCA</t>
        </is>
      </c>
      <c r="E56" s="2" t="inlineStr">
        <is>
          <t>Order47129548- 260501002</t>
        </is>
      </c>
      <c r="F56" s="2" t="inlineStr">
        <is>
          <t>47129548- EDC260501001</t>
        </is>
      </c>
      <c r="G56" s="2" t="inlineStr">
        <is>
          <t>Luna.CD.Zhang@cn.ey.com</t>
        </is>
      </c>
      <c r="H56" s="2" t="inlineStr">
        <is>
          <t>Week20 (2026.11.14)</t>
        </is>
      </c>
      <c r="I56" s="2" t="n">
        <v>8.369999999999999</v>
      </c>
    </row>
    <row r="57">
      <c r="A57" s="2" t="inlineStr">
        <is>
          <t>ICBC</t>
        </is>
      </c>
      <c r="B57" s="2" t="inlineStr">
        <is>
          <t>Industrial And Commercial Bank of China (Asia) Limited</t>
        </is>
      </c>
      <c r="C57" s="2" t="inlineStr">
        <is>
          <t>47129548</t>
        </is>
      </c>
      <c r="D57" s="2" t="inlineStr">
        <is>
          <t>AUD2026-12 ICBCA</t>
        </is>
      </c>
      <c r="E57" s="2" t="inlineStr">
        <is>
          <t>Order47129548- 260501002</t>
        </is>
      </c>
      <c r="F57" s="2" t="inlineStr">
        <is>
          <t>47129548- EDC260501001</t>
        </is>
      </c>
      <c r="G57" s="2" t="inlineStr">
        <is>
          <t>Marsh.Ma@cn.ey.com</t>
        </is>
      </c>
      <c r="H57" s="2" t="inlineStr">
        <is>
          <t>Week20 (2026.11.14)</t>
        </is>
      </c>
      <c r="I57" s="2" t="n">
        <v>5.53</v>
      </c>
    </row>
    <row r="58">
      <c r="A58" s="2" t="inlineStr">
        <is>
          <t>ICBC</t>
        </is>
      </c>
      <c r="B58" s="2" t="inlineStr">
        <is>
          <t>Industrial And Commercial Bank of China (Asia) Limited</t>
        </is>
      </c>
      <c r="C58" s="2" t="inlineStr">
        <is>
          <t>47129548</t>
        </is>
      </c>
      <c r="D58" s="2" t="inlineStr">
        <is>
          <t>AUD2026-12 ICBCA</t>
        </is>
      </c>
      <c r="E58" s="2" t="inlineStr">
        <is>
          <t>Order47129548- 260501002</t>
        </is>
      </c>
      <c r="F58" s="2" t="inlineStr">
        <is>
          <t>47129548- EDC260501001</t>
        </is>
      </c>
      <c r="G58" s="2" t="inlineStr">
        <is>
          <t>Vivi.W.Yang@cn.ey.com</t>
        </is>
      </c>
      <c r="H58" s="2" t="inlineStr">
        <is>
          <t>Week20 (2026.11.14)</t>
        </is>
      </c>
      <c r="I58" s="2" t="n">
        <v>15.2</v>
      </c>
    </row>
    <row r="59">
      <c r="A59" s="2" t="inlineStr">
        <is>
          <t>ICBC</t>
        </is>
      </c>
      <c r="B59" s="2" t="inlineStr">
        <is>
          <t>Industrial And Commercial Bank of China (Asia) Limited</t>
        </is>
      </c>
      <c r="C59" s="2" t="inlineStr">
        <is>
          <t>47129548</t>
        </is>
      </c>
      <c r="D59" s="2" t="inlineStr">
        <is>
          <t>AUD2026-12 ICBCA</t>
        </is>
      </c>
      <c r="E59" s="2" t="inlineStr">
        <is>
          <t>Order47129548- 260501002</t>
        </is>
      </c>
      <c r="F59" s="2" t="inlineStr">
        <is>
          <t>47129548- EDC260501001</t>
        </is>
      </c>
      <c r="G59" s="2" t="inlineStr">
        <is>
          <t>Yuan.Yuan.YY.Chen@cn.ey.com</t>
        </is>
      </c>
      <c r="H59" s="2" t="inlineStr">
        <is>
          <t>Week20 (2026.11.14)</t>
        </is>
      </c>
      <c r="I59" s="2" t="n">
        <v>40</v>
      </c>
    </row>
    <row r="60">
      <c r="A60" s="2" t="inlineStr">
        <is>
          <t>PE</t>
        </is>
      </c>
      <c r="B60" s="2" t="inlineStr">
        <is>
          <t>Hangzhou Huaxin Yunkai Equity Shares Investment Partnership Enterprise (Limited Partnership)</t>
        </is>
      </c>
      <c r="C60" s="2" t="inlineStr">
        <is>
          <t>47128202</t>
        </is>
      </c>
      <c r="D60" s="2" t="inlineStr">
        <is>
          <t>AUD2026-12 Hangzhou Huaxin</t>
        </is>
      </c>
      <c r="E60" s="2" t="inlineStr">
        <is>
          <t>Order47128202- 260501004</t>
        </is>
      </c>
      <c r="F60" s="2" t="inlineStr">
        <is>
          <t>47128202- EDC260501001</t>
        </is>
      </c>
      <c r="G60" s="2" t="inlineStr">
        <is>
          <t>Luna.CD.Zhang@cn.ey.com</t>
        </is>
      </c>
      <c r="H60" s="2" t="inlineStr">
        <is>
          <t>Week21 (2026.11.21)</t>
        </is>
      </c>
      <c r="I60" s="2" t="n">
        <v>23.32</v>
      </c>
    </row>
    <row r="61">
      <c r="A61" s="2" t="inlineStr">
        <is>
          <t>PE</t>
        </is>
      </c>
      <c r="B61" s="2" t="inlineStr">
        <is>
          <t>Hangzhou Huaxin Yunkai Equity Shares Investment Partnership Enterprise (Limited Partnership)</t>
        </is>
      </c>
      <c r="C61" s="2" t="inlineStr">
        <is>
          <t>47128202</t>
        </is>
      </c>
      <c r="D61" s="2" t="inlineStr">
        <is>
          <t>AUD2026-12 Hangzhou Huaxin</t>
        </is>
      </c>
      <c r="E61" s="2" t="inlineStr">
        <is>
          <t>Order47128202- 260501004</t>
        </is>
      </c>
      <c r="F61" s="2" t="inlineStr">
        <is>
          <t>47128202- EDC260501001</t>
        </is>
      </c>
      <c r="G61" s="2" t="inlineStr">
        <is>
          <t>Marsh.Ma@cn.ey.com</t>
        </is>
      </c>
      <c r="H61" s="2" t="inlineStr">
        <is>
          <t>Week21 (2026.11.21)</t>
        </is>
      </c>
      <c r="I61" s="2" t="n">
        <v>2.66</v>
      </c>
    </row>
    <row r="62">
      <c r="A62" s="2" t="inlineStr">
        <is>
          <t>PE</t>
        </is>
      </c>
      <c r="B62" s="2" t="inlineStr">
        <is>
          <t>Hangzhou Huaxin Yunkai Equity Shares Investment Partnership Enterprise (Limited Partnership)</t>
        </is>
      </c>
      <c r="C62" s="2" t="inlineStr">
        <is>
          <t>47128202</t>
        </is>
      </c>
      <c r="D62" s="2" t="inlineStr">
        <is>
          <t>AUD2026-12 Hangzhou Huaxin</t>
        </is>
      </c>
      <c r="E62" s="2" t="inlineStr">
        <is>
          <t>Order47128202- 260501004</t>
        </is>
      </c>
      <c r="F62" s="2" t="inlineStr">
        <is>
          <t>47128202- EDC260501001</t>
        </is>
      </c>
      <c r="G62" s="2" t="inlineStr">
        <is>
          <t>Vivi.W.Yang@cn.ey.com</t>
        </is>
      </c>
      <c r="H62" s="2" t="inlineStr">
        <is>
          <t>Week21 (2026.11.21)</t>
        </is>
      </c>
      <c r="I62" s="2" t="n">
        <v>7.33</v>
      </c>
    </row>
    <row r="63">
      <c r="A63" s="2" t="inlineStr">
        <is>
          <t>PE</t>
        </is>
      </c>
      <c r="B63" s="2" t="inlineStr">
        <is>
          <t>Vivo (Suzhou) Health Industry Investment Fund Limited Partnership</t>
        </is>
      </c>
      <c r="C63" s="2" t="inlineStr">
        <is>
          <t>47128359</t>
        </is>
      </c>
      <c r="D63" s="2" t="inlineStr">
        <is>
          <t>AUD2026-12 Arrace Holding</t>
        </is>
      </c>
      <c r="E63" s="2" t="inlineStr">
        <is>
          <t>Order47128359- 260501004</t>
        </is>
      </c>
      <c r="F63" s="2" t="inlineStr">
        <is>
          <t>47128359- EDC260501001</t>
        </is>
      </c>
      <c r="G63" s="2" t="inlineStr">
        <is>
          <t>Luna.CD.Zhang@cn.ey.com</t>
        </is>
      </c>
      <c r="H63" s="2" t="inlineStr">
        <is>
          <t>Week21 (2026.11.21)</t>
        </is>
      </c>
      <c r="I63" s="2" t="n">
        <v>5.59</v>
      </c>
    </row>
    <row r="64">
      <c r="A64" s="2" t="inlineStr">
        <is>
          <t>PE</t>
        </is>
      </c>
      <c r="B64" s="2" t="inlineStr">
        <is>
          <t>Vivo (Suzhou) Health Industry Investment Fund Limited Partnership</t>
        </is>
      </c>
      <c r="C64" s="2" t="inlineStr">
        <is>
          <t>47128359</t>
        </is>
      </c>
      <c r="D64" s="2" t="inlineStr">
        <is>
          <t>AUD2026-12 Arrace Holding</t>
        </is>
      </c>
      <c r="E64" s="2" t="inlineStr">
        <is>
          <t>Order47128359- 260501004</t>
        </is>
      </c>
      <c r="F64" s="2" t="inlineStr">
        <is>
          <t>47128359- EDC260501001</t>
        </is>
      </c>
      <c r="G64" s="2" t="inlineStr">
        <is>
          <t>Marsh.Ma@cn.ey.com</t>
        </is>
      </c>
      <c r="H64" s="2" t="inlineStr">
        <is>
          <t>Week21 (2026.11.21)</t>
        </is>
      </c>
      <c r="I64" s="2" t="n">
        <v>0.64</v>
      </c>
    </row>
    <row r="65">
      <c r="A65" s="2" t="inlineStr">
        <is>
          <t>PE</t>
        </is>
      </c>
      <c r="B65" s="2" t="inlineStr">
        <is>
          <t>Vivo (Suzhou) Health Industry Investment Fund Limited Partnership</t>
        </is>
      </c>
      <c r="C65" s="2" t="inlineStr">
        <is>
          <t>47128359</t>
        </is>
      </c>
      <c r="D65" s="2" t="inlineStr">
        <is>
          <t>AUD2026-12 Arrace Holding</t>
        </is>
      </c>
      <c r="E65" s="2" t="inlineStr">
        <is>
          <t>Order47128359- 260501004</t>
        </is>
      </c>
      <c r="F65" s="2" t="inlineStr">
        <is>
          <t>47128359- EDC260501001</t>
        </is>
      </c>
      <c r="G65" s="2" t="inlineStr">
        <is>
          <t>Vivi.W.Yang@cn.ey.com</t>
        </is>
      </c>
      <c r="H65" s="2" t="inlineStr">
        <is>
          <t>Week21 (2026.11.21)</t>
        </is>
      </c>
      <c r="I65" s="2" t="n">
        <v>1.76</v>
      </c>
    </row>
    <row r="66">
      <c r="A66" s="2" t="inlineStr">
        <is>
          <t>PE</t>
        </is>
      </c>
      <c r="B66" s="2" t="inlineStr">
        <is>
          <t>Vivo (Suzhou) Health Industry Investment Fund Limited Partnership</t>
        </is>
      </c>
      <c r="C66" s="2" t="inlineStr">
        <is>
          <t>47128684</t>
        </is>
      </c>
      <c r="D66" s="2" t="inlineStr">
        <is>
          <t>AUD2026-12 Vivo Capital</t>
        </is>
      </c>
      <c r="E66" s="2" t="inlineStr">
        <is>
          <t>Order47128684- 260501004</t>
        </is>
      </c>
      <c r="F66" s="2" t="inlineStr">
        <is>
          <t>47128684- EDC260501001</t>
        </is>
      </c>
      <c r="G66" s="2" t="inlineStr">
        <is>
          <t>Luna.CD.Zhang@cn.ey.com</t>
        </is>
      </c>
      <c r="H66" s="2" t="inlineStr">
        <is>
          <t>Week21 (2026.11.21)</t>
        </is>
      </c>
      <c r="I66" s="2" t="n">
        <v>7.87</v>
      </c>
    </row>
    <row r="67">
      <c r="A67" s="2" t="inlineStr">
        <is>
          <t>PE</t>
        </is>
      </c>
      <c r="B67" s="2" t="inlineStr">
        <is>
          <t>Vivo (Suzhou) Health Industry Investment Fund Limited Partnership</t>
        </is>
      </c>
      <c r="C67" s="2" t="inlineStr">
        <is>
          <t>47128684</t>
        </is>
      </c>
      <c r="D67" s="2" t="inlineStr">
        <is>
          <t>AUD2026-12 Vivo Capital</t>
        </is>
      </c>
      <c r="E67" s="2" t="inlineStr">
        <is>
          <t>Order47128684- 260501004</t>
        </is>
      </c>
      <c r="F67" s="2" t="inlineStr">
        <is>
          <t>47128684- EDC260501001</t>
        </is>
      </c>
      <c r="G67" s="2" t="inlineStr">
        <is>
          <t>Marsh.Ma@cn.ey.com</t>
        </is>
      </c>
      <c r="H67" s="2" t="inlineStr">
        <is>
          <t>Week21 (2026.11.21)</t>
        </is>
      </c>
      <c r="I67" s="2" t="n">
        <v>0.9</v>
      </c>
    </row>
    <row r="68">
      <c r="A68" s="2" t="inlineStr">
        <is>
          <t>PE</t>
        </is>
      </c>
      <c r="B68" s="2" t="inlineStr">
        <is>
          <t>Vivo (Suzhou) Health Industry Investment Fund Limited Partnership</t>
        </is>
      </c>
      <c r="C68" s="2" t="inlineStr">
        <is>
          <t>47128684</t>
        </is>
      </c>
      <c r="D68" s="2" t="inlineStr">
        <is>
          <t>AUD2026-12 Vivo Capital</t>
        </is>
      </c>
      <c r="E68" s="2" t="inlineStr">
        <is>
          <t>Order47128684- 260501004</t>
        </is>
      </c>
      <c r="F68" s="2" t="inlineStr">
        <is>
          <t>47128684- EDC260501001</t>
        </is>
      </c>
      <c r="G68" s="2" t="inlineStr">
        <is>
          <t>Vivi.W.Yang@cn.ey.com</t>
        </is>
      </c>
      <c r="H68" s="2" t="inlineStr">
        <is>
          <t>Week21 (2026.11.21)</t>
        </is>
      </c>
      <c r="I68" s="2" t="n">
        <v>2.47</v>
      </c>
    </row>
    <row r="69">
      <c r="A69" s="2" t="inlineStr">
        <is>
          <t>PE</t>
        </is>
      </c>
      <c r="B69" s="2" t="inlineStr">
        <is>
          <t>Mirae Asset Alternative Investment Management (Shanghai) Co., Ltd.</t>
        </is>
      </c>
      <c r="C69" s="2" t="inlineStr">
        <is>
          <t>47128154</t>
        </is>
      </c>
      <c r="D69" s="2" t="inlineStr">
        <is>
          <t>AUD2026-12 Mirae Asset</t>
        </is>
      </c>
      <c r="E69" s="2" t="inlineStr">
        <is>
          <t>Order47128154- 260501004</t>
        </is>
      </c>
      <c r="F69" s="2" t="inlineStr">
        <is>
          <t>47128154- EDC260504001</t>
        </is>
      </c>
      <c r="G69" s="2" t="inlineStr">
        <is>
          <t>Luna.CD.Zhang@cn.ey.com</t>
        </is>
      </c>
      <c r="H69" s="2" t="inlineStr">
        <is>
          <t>Week22 (2026.11.28)</t>
        </is>
      </c>
      <c r="I69" s="2" t="n">
        <v>4.03</v>
      </c>
    </row>
    <row r="70">
      <c r="A70" s="2" t="inlineStr">
        <is>
          <t>PE</t>
        </is>
      </c>
      <c r="B70" s="2" t="inlineStr">
        <is>
          <t>Mirae Asset Alternative Investment Management (Shanghai) Co., Ltd.</t>
        </is>
      </c>
      <c r="C70" s="2" t="inlineStr">
        <is>
          <t>47128154</t>
        </is>
      </c>
      <c r="D70" s="2" t="inlineStr">
        <is>
          <t>AUD2026-12 Mirae Asset</t>
        </is>
      </c>
      <c r="E70" s="2" t="inlineStr">
        <is>
          <t>Order47128154- 260501004</t>
        </is>
      </c>
      <c r="F70" s="2" t="inlineStr">
        <is>
          <t>47128154- EDC260504001</t>
        </is>
      </c>
      <c r="G70" s="2" t="inlineStr">
        <is>
          <t>Marsh.Ma@cn.ey.com</t>
        </is>
      </c>
      <c r="H70" s="2" t="inlineStr">
        <is>
          <t>Week22 (2026.11.28)</t>
        </is>
      </c>
      <c r="I70" s="2" t="n">
        <v>0.46</v>
      </c>
    </row>
    <row r="71">
      <c r="A71" s="2" t="inlineStr">
        <is>
          <t>PE</t>
        </is>
      </c>
      <c r="B71" s="2" t="inlineStr">
        <is>
          <t>Mirae Asset Alternative Investment Management (Shanghai) Co., Ltd.</t>
        </is>
      </c>
      <c r="C71" s="2" t="inlineStr">
        <is>
          <t>47128154</t>
        </is>
      </c>
      <c r="D71" s="2" t="inlineStr">
        <is>
          <t>AUD2026-12 Mirae Asset</t>
        </is>
      </c>
      <c r="E71" s="2" t="inlineStr">
        <is>
          <t>Order47128154- 260501004</t>
        </is>
      </c>
      <c r="F71" s="2" t="inlineStr">
        <is>
          <t>47128154- EDC260504001</t>
        </is>
      </c>
      <c r="G71" s="2" t="inlineStr">
        <is>
          <t>Vivi.W.Yang@cn.ey.com</t>
        </is>
      </c>
      <c r="H71" s="2" t="inlineStr">
        <is>
          <t>Week22 (2026.11.28)</t>
        </is>
      </c>
      <c r="I71" s="2" t="n">
        <v>1.27</v>
      </c>
    </row>
    <row r="72">
      <c r="A72" s="2" t="inlineStr">
        <is>
          <t>PE</t>
        </is>
      </c>
      <c r="B72" s="2" t="inlineStr">
        <is>
          <t>Hangzhou Huaxin Yunkai Equity Shares Investment Partnership Enterprise (Limited Partnership)</t>
        </is>
      </c>
      <c r="C72" s="2" t="inlineStr">
        <is>
          <t>47128202</t>
        </is>
      </c>
      <c r="D72" s="2" t="inlineStr">
        <is>
          <t>AUD2026-12 Hangzhou Huaxin</t>
        </is>
      </c>
      <c r="E72" s="2" t="inlineStr">
        <is>
          <t>Order47128202- 260501004</t>
        </is>
      </c>
      <c r="F72" s="2" t="inlineStr">
        <is>
          <t>47128202- EDC260501001</t>
        </is>
      </c>
      <c r="G72" s="2" t="inlineStr">
        <is>
          <t>Luna.CD.Zhang@cn.ey.com</t>
        </is>
      </c>
      <c r="H72" s="2" t="inlineStr">
        <is>
          <t>Week22 (2026.11.28)</t>
        </is>
      </c>
      <c r="I72" s="2" t="n">
        <v>23.32</v>
      </c>
    </row>
    <row r="73">
      <c r="A73" s="2" t="inlineStr">
        <is>
          <t>PE</t>
        </is>
      </c>
      <c r="B73" s="2" t="inlineStr">
        <is>
          <t>Hangzhou Huaxin Yunkai Equity Shares Investment Partnership Enterprise (Limited Partnership)</t>
        </is>
      </c>
      <c r="C73" s="2" t="inlineStr">
        <is>
          <t>47128202</t>
        </is>
      </c>
      <c r="D73" s="2" t="inlineStr">
        <is>
          <t>AUD2026-12 Hangzhou Huaxin</t>
        </is>
      </c>
      <c r="E73" s="2" t="inlineStr">
        <is>
          <t>Order47128202- 260501004</t>
        </is>
      </c>
      <c r="F73" s="2" t="inlineStr">
        <is>
          <t>47128202- EDC260501001</t>
        </is>
      </c>
      <c r="G73" s="2" t="inlineStr">
        <is>
          <t>Marsh.Ma@cn.ey.com</t>
        </is>
      </c>
      <c r="H73" s="2" t="inlineStr">
        <is>
          <t>Week22 (2026.11.28)</t>
        </is>
      </c>
      <c r="I73" s="2" t="n">
        <v>2.66</v>
      </c>
    </row>
    <row r="74">
      <c r="A74" s="2" t="inlineStr">
        <is>
          <t>PE</t>
        </is>
      </c>
      <c r="B74" s="2" t="inlineStr">
        <is>
          <t>Hangzhou Huaxin Yunkai Equity Shares Investment Partnership Enterprise (Limited Partnership)</t>
        </is>
      </c>
      <c r="C74" s="2" t="inlineStr">
        <is>
          <t>47128202</t>
        </is>
      </c>
      <c r="D74" s="2" t="inlineStr">
        <is>
          <t>AUD2026-12 Hangzhou Huaxin</t>
        </is>
      </c>
      <c r="E74" s="2" t="inlineStr">
        <is>
          <t>Order47128202- 260501004</t>
        </is>
      </c>
      <c r="F74" s="2" t="inlineStr">
        <is>
          <t>47128202- EDC260501001</t>
        </is>
      </c>
      <c r="G74" s="2" t="inlineStr">
        <is>
          <t>Vivi.W.Yang@cn.ey.com</t>
        </is>
      </c>
      <c r="H74" s="2" t="inlineStr">
        <is>
          <t>Week22 (2026.11.28)</t>
        </is>
      </c>
      <c r="I74" s="2" t="n">
        <v>7.33</v>
      </c>
    </row>
    <row r="75">
      <c r="A75" s="2" t="inlineStr">
        <is>
          <t>PE</t>
        </is>
      </c>
      <c r="B75" s="2" t="inlineStr">
        <is>
          <t>Mirae Asset Alternative Investment Management (Shanghai) Co., Ltd.</t>
        </is>
      </c>
      <c r="C75" s="2" t="inlineStr">
        <is>
          <t>47128154</t>
        </is>
      </c>
      <c r="D75" s="2" t="inlineStr">
        <is>
          <t>AUD2026-12 Mirae Asset</t>
        </is>
      </c>
      <c r="E75" s="2" t="inlineStr">
        <is>
          <t>Order47128154- 260501004</t>
        </is>
      </c>
      <c r="F75" s="2" t="inlineStr">
        <is>
          <t>47128154- EDC260504001</t>
        </is>
      </c>
      <c r="G75" s="2" t="inlineStr">
        <is>
          <t>Luna.CD.Zhang@cn.ey.com</t>
        </is>
      </c>
      <c r="H75" s="2" t="inlineStr">
        <is>
          <t>Week23 (2026.12.05)</t>
        </is>
      </c>
      <c r="I75" s="2" t="n">
        <v>7.06</v>
      </c>
    </row>
    <row r="76">
      <c r="A76" s="2" t="inlineStr">
        <is>
          <t>PE</t>
        </is>
      </c>
      <c r="B76" s="2" t="inlineStr">
        <is>
          <t>Mirae Asset Alternative Investment Management (Shanghai) Co., Ltd.</t>
        </is>
      </c>
      <c r="C76" s="2" t="inlineStr">
        <is>
          <t>47128154</t>
        </is>
      </c>
      <c r="D76" s="2" t="inlineStr">
        <is>
          <t>AUD2026-12 Mirae Asset</t>
        </is>
      </c>
      <c r="E76" s="2" t="inlineStr">
        <is>
          <t>Order47128154- 260501004</t>
        </is>
      </c>
      <c r="F76" s="2" t="inlineStr">
        <is>
          <t>47128154- EDC260504001</t>
        </is>
      </c>
      <c r="G76" s="2" t="inlineStr">
        <is>
          <t>Marsh.Ma@cn.ey.com</t>
        </is>
      </c>
      <c r="H76" s="2" t="inlineStr">
        <is>
          <t>Week23 (2026.12.05)</t>
        </is>
      </c>
      <c r="I76" s="2" t="n">
        <v>0.8100000000000001</v>
      </c>
    </row>
    <row r="77">
      <c r="A77" s="2" t="inlineStr">
        <is>
          <t>PE</t>
        </is>
      </c>
      <c r="B77" s="2" t="inlineStr">
        <is>
          <t>Mirae Asset Alternative Investment Management (Shanghai) Co., Ltd.</t>
        </is>
      </c>
      <c r="C77" s="2" t="inlineStr">
        <is>
          <t>47128154</t>
        </is>
      </c>
      <c r="D77" s="2" t="inlineStr">
        <is>
          <t>AUD2026-12 Mirae Asset</t>
        </is>
      </c>
      <c r="E77" s="2" t="inlineStr">
        <is>
          <t>Order47128154- 260501004</t>
        </is>
      </c>
      <c r="F77" s="2" t="inlineStr">
        <is>
          <t>47128154- EDC260504001</t>
        </is>
      </c>
      <c r="G77" s="2" t="inlineStr">
        <is>
          <t>Vivi.W.Yang@cn.ey.com</t>
        </is>
      </c>
      <c r="H77" s="2" t="inlineStr">
        <is>
          <t>Week23 (2026.12.05)</t>
        </is>
      </c>
      <c r="I77" s="2" t="n">
        <v>2.22</v>
      </c>
    </row>
    <row r="78">
      <c r="A78" s="2" t="inlineStr">
        <is>
          <t>PE</t>
        </is>
      </c>
      <c r="B78" s="2" t="inlineStr">
        <is>
          <t>Hangzhou Huaxin Yunkai Equity Shares Investment Partnership Enterprise (Limited Partnership)</t>
        </is>
      </c>
      <c r="C78" s="2" t="inlineStr">
        <is>
          <t>47128202</t>
        </is>
      </c>
      <c r="D78" s="2" t="inlineStr">
        <is>
          <t>AUD2026-12 Hangzhou Huaxin</t>
        </is>
      </c>
      <c r="E78" s="2" t="inlineStr">
        <is>
          <t>Order47128202- 260501004</t>
        </is>
      </c>
      <c r="F78" s="2" t="inlineStr">
        <is>
          <t>47128202- EDC260501001</t>
        </is>
      </c>
      <c r="G78" s="2" t="inlineStr">
        <is>
          <t>Luna.CD.Zhang@cn.ey.com</t>
        </is>
      </c>
      <c r="H78" s="2" t="inlineStr">
        <is>
          <t>Week23 (2026.12.05)</t>
        </is>
      </c>
      <c r="I78" s="2" t="n">
        <v>3.33</v>
      </c>
    </row>
    <row r="79">
      <c r="A79" s="2" t="inlineStr">
        <is>
          <t>PE</t>
        </is>
      </c>
      <c r="B79" s="2" t="inlineStr">
        <is>
          <t>Hangzhou Huaxin Yunkai Equity Shares Investment Partnership Enterprise (Limited Partnership)</t>
        </is>
      </c>
      <c r="C79" s="2" t="inlineStr">
        <is>
          <t>47128202</t>
        </is>
      </c>
      <c r="D79" s="2" t="inlineStr">
        <is>
          <t>AUD2026-12 Hangzhou Huaxin</t>
        </is>
      </c>
      <c r="E79" s="2" t="inlineStr">
        <is>
          <t>Order47128202- 260501004</t>
        </is>
      </c>
      <c r="F79" s="2" t="inlineStr">
        <is>
          <t>47128202- EDC260501001</t>
        </is>
      </c>
      <c r="G79" s="2" t="inlineStr">
        <is>
          <t>Marsh.Ma@cn.ey.com</t>
        </is>
      </c>
      <c r="H79" s="2" t="inlineStr">
        <is>
          <t>Week23 (2026.12.05)</t>
        </is>
      </c>
      <c r="I79" s="2" t="n">
        <v>0.38</v>
      </c>
    </row>
    <row r="80">
      <c r="A80" s="2" t="inlineStr">
        <is>
          <t>PE</t>
        </is>
      </c>
      <c r="B80" s="2" t="inlineStr">
        <is>
          <t>Hangzhou Huaxin Yunkai Equity Shares Investment Partnership Enterprise (Limited Partnership)</t>
        </is>
      </c>
      <c r="C80" s="2" t="inlineStr">
        <is>
          <t>47128202</t>
        </is>
      </c>
      <c r="D80" s="2" t="inlineStr">
        <is>
          <t>AUD2026-12 Hangzhou Huaxin</t>
        </is>
      </c>
      <c r="E80" s="2" t="inlineStr">
        <is>
          <t>Order47128202- 260501004</t>
        </is>
      </c>
      <c r="F80" s="2" t="inlineStr">
        <is>
          <t>47128202- EDC260501001</t>
        </is>
      </c>
      <c r="G80" s="2" t="inlineStr">
        <is>
          <t>Vivi.W.Yang@cn.ey.com</t>
        </is>
      </c>
      <c r="H80" s="2" t="inlineStr">
        <is>
          <t>Week23 (2026.12.05)</t>
        </is>
      </c>
      <c r="I80" s="2" t="n">
        <v>1.05</v>
      </c>
    </row>
    <row r="81">
      <c r="A81" s="2" t="inlineStr">
        <is>
          <t>PE</t>
        </is>
      </c>
      <c r="B81" s="2" t="inlineStr">
        <is>
          <t>Mirae Asset Alternative Investment Management (Shanghai) Co., Ltd.</t>
        </is>
      </c>
      <c r="C81" s="2" t="inlineStr">
        <is>
          <t>47128154</t>
        </is>
      </c>
      <c r="D81" s="2" t="inlineStr">
        <is>
          <t>AUD2026-12 Mirae Asset</t>
        </is>
      </c>
      <c r="E81" s="2" t="inlineStr">
        <is>
          <t>Order47128154- 260501004</t>
        </is>
      </c>
      <c r="F81" s="2" t="inlineStr">
        <is>
          <t>47128154- EDC260504001</t>
        </is>
      </c>
      <c r="G81" s="2" t="inlineStr">
        <is>
          <t>Luna.CD.Zhang@cn.ey.com</t>
        </is>
      </c>
      <c r="H81" s="2" t="inlineStr">
        <is>
          <t>Week24 (2026.12.12)</t>
        </is>
      </c>
      <c r="I81" s="2" t="n">
        <v>7.06</v>
      </c>
    </row>
    <row r="82">
      <c r="A82" s="2" t="inlineStr">
        <is>
          <t>PE</t>
        </is>
      </c>
      <c r="B82" s="2" t="inlineStr">
        <is>
          <t>Mirae Asset Alternative Investment Management (Shanghai) Co., Ltd.</t>
        </is>
      </c>
      <c r="C82" s="2" t="inlineStr">
        <is>
          <t>47128154</t>
        </is>
      </c>
      <c r="D82" s="2" t="inlineStr">
        <is>
          <t>AUD2026-12 Mirae Asset</t>
        </is>
      </c>
      <c r="E82" s="2" t="inlineStr">
        <is>
          <t>Order47128154- 260501004</t>
        </is>
      </c>
      <c r="F82" s="2" t="inlineStr">
        <is>
          <t>47128154- EDC260504001</t>
        </is>
      </c>
      <c r="G82" s="2" t="inlineStr">
        <is>
          <t>Marsh.Ma@cn.ey.com</t>
        </is>
      </c>
      <c r="H82" s="2" t="inlineStr">
        <is>
          <t>Week24 (2026.12.12)</t>
        </is>
      </c>
      <c r="I82" s="2" t="n">
        <v>0.8100000000000001</v>
      </c>
    </row>
    <row r="83">
      <c r="A83" s="2" t="inlineStr">
        <is>
          <t>PE</t>
        </is>
      </c>
      <c r="B83" s="2" t="inlineStr">
        <is>
          <t>Mirae Asset Alternative Investment Management (Shanghai) Co., Ltd.</t>
        </is>
      </c>
      <c r="C83" s="2" t="inlineStr">
        <is>
          <t>47128154</t>
        </is>
      </c>
      <c r="D83" s="2" t="inlineStr">
        <is>
          <t>AUD2026-12 Mirae Asset</t>
        </is>
      </c>
      <c r="E83" s="2" t="inlineStr">
        <is>
          <t>Order47128154- 260501004</t>
        </is>
      </c>
      <c r="F83" s="2" t="inlineStr">
        <is>
          <t>47128154- EDC260504001</t>
        </is>
      </c>
      <c r="G83" s="2" t="inlineStr">
        <is>
          <t>Vivi.W.Yang@cn.ey.com</t>
        </is>
      </c>
      <c r="H83" s="2" t="inlineStr">
        <is>
          <t>Week24 (2026.12.12)</t>
        </is>
      </c>
      <c r="I83" s="2" t="n">
        <v>2.22</v>
      </c>
    </row>
    <row r="84">
      <c r="A84" s="2" t="inlineStr">
        <is>
          <t>PE</t>
        </is>
      </c>
      <c r="B84" s="2" t="inlineStr">
        <is>
          <t>WP Financial Investment, LP</t>
        </is>
      </c>
      <c r="C84" s="2" t="inlineStr">
        <is>
          <t>47128469</t>
        </is>
      </c>
      <c r="D84" s="2" t="inlineStr">
        <is>
          <t>AUD2026-12 Warburg Pincus US Fund</t>
        </is>
      </c>
      <c r="E84" s="2" t="inlineStr">
        <is>
          <t>Order47128469- 260501002</t>
        </is>
      </c>
      <c r="F84" s="2" t="inlineStr">
        <is>
          <t>47128469- EDC260501001</t>
        </is>
      </c>
      <c r="G84" s="2" t="inlineStr">
        <is>
          <t>Luna.CD.Zhang@cn.ey.com</t>
        </is>
      </c>
      <c r="H84" s="2" t="inlineStr">
        <is>
          <t>Week24 (2026.12.12)</t>
        </is>
      </c>
      <c r="I84" s="2" t="n">
        <v>3.15</v>
      </c>
    </row>
    <row r="85">
      <c r="A85" s="2" t="inlineStr">
        <is>
          <t>PE</t>
        </is>
      </c>
      <c r="B85" s="2" t="inlineStr">
        <is>
          <t>WP Financial Investment, LP</t>
        </is>
      </c>
      <c r="C85" s="2" t="inlineStr">
        <is>
          <t>47128469</t>
        </is>
      </c>
      <c r="D85" s="2" t="inlineStr">
        <is>
          <t>AUD2026-12 Warburg Pincus US Fund</t>
        </is>
      </c>
      <c r="E85" s="2" t="inlineStr">
        <is>
          <t>Order47128469- 260501002</t>
        </is>
      </c>
      <c r="F85" s="2" t="inlineStr">
        <is>
          <t>47128469- EDC260501001</t>
        </is>
      </c>
      <c r="G85" s="2" t="inlineStr">
        <is>
          <t>Marsh.Ma@cn.ey.com</t>
        </is>
      </c>
      <c r="H85" s="2" t="inlineStr">
        <is>
          <t>Week24 (2026.12.12)</t>
        </is>
      </c>
      <c r="I85" s="2" t="n">
        <v>0.36</v>
      </c>
    </row>
    <row r="86">
      <c r="A86" s="2" t="inlineStr">
        <is>
          <t>PE</t>
        </is>
      </c>
      <c r="B86" s="2" t="inlineStr">
        <is>
          <t>WP Financial Investment, LP</t>
        </is>
      </c>
      <c r="C86" s="2" t="inlineStr">
        <is>
          <t>47128469</t>
        </is>
      </c>
      <c r="D86" s="2" t="inlineStr">
        <is>
          <t>AUD2026-12 Warburg Pincus US Fund</t>
        </is>
      </c>
      <c r="E86" s="2" t="inlineStr">
        <is>
          <t>Order47128469- 260501002</t>
        </is>
      </c>
      <c r="F86" s="2" t="inlineStr">
        <is>
          <t>47128469- EDC260501001</t>
        </is>
      </c>
      <c r="G86" s="2" t="inlineStr">
        <is>
          <t>Vivi.W.Yang@cn.ey.com</t>
        </is>
      </c>
      <c r="H86" s="2" t="inlineStr">
        <is>
          <t>Week24 (2026.12.12)</t>
        </is>
      </c>
      <c r="I86" s="2" t="n">
        <v>0.99</v>
      </c>
    </row>
    <row r="87">
      <c r="A87" s="2" t="inlineStr">
        <is>
          <t>招银</t>
        </is>
      </c>
      <c r="B87" s="2" t="inlineStr">
        <is>
          <t>CMB International Leasing Management Limited</t>
        </is>
      </c>
      <c r="C87" s="2" t="inlineStr">
        <is>
          <t>47133720</t>
        </is>
      </c>
      <c r="D87" s="2" t="inlineStr">
        <is>
          <t>AUD2026-12 CMBILM</t>
        </is>
      </c>
      <c r="E87" s="2" t="inlineStr">
        <is>
          <t>Order47133720- 260504003</t>
        </is>
      </c>
      <c r="F87" s="2" t="inlineStr">
        <is>
          <t>47133720- EDC260504003</t>
        </is>
      </c>
      <c r="G87" s="2" t="inlineStr">
        <is>
          <t>Marsh.Ma@cn.ey.com</t>
        </is>
      </c>
      <c r="H87" s="2" t="inlineStr">
        <is>
          <t>Week24 (2026.12.12)</t>
        </is>
      </c>
      <c r="I87" s="2" t="n">
        <v>4.38</v>
      </c>
    </row>
    <row r="88">
      <c r="A88" s="2" t="inlineStr">
        <is>
          <t>招银</t>
        </is>
      </c>
      <c r="B88" s="2" t="inlineStr">
        <is>
          <t>CMB International Leasing Management Limited</t>
        </is>
      </c>
      <c r="C88" s="2" t="inlineStr">
        <is>
          <t>47133720</t>
        </is>
      </c>
      <c r="D88" s="2" t="inlineStr">
        <is>
          <t>AUD2026-12 CMBILM</t>
        </is>
      </c>
      <c r="E88" s="2" t="inlineStr">
        <is>
          <t>Order47133720- 260504003</t>
        </is>
      </c>
      <c r="F88" s="2" t="inlineStr">
        <is>
          <t>47133720- EDC260504003</t>
        </is>
      </c>
      <c r="G88" s="2" t="inlineStr">
        <is>
          <t>Vivi.W.Yang@cn.ey.com</t>
        </is>
      </c>
      <c r="H88" s="2" t="inlineStr">
        <is>
          <t>Week24 (2026.12.12)</t>
        </is>
      </c>
      <c r="I88" s="2" t="n">
        <v>12.06</v>
      </c>
    </row>
    <row r="89">
      <c r="A89" s="2" t="inlineStr">
        <is>
          <t>招银</t>
        </is>
      </c>
      <c r="B89" s="2" t="inlineStr">
        <is>
          <t>CMB International Leasing Management Limited</t>
        </is>
      </c>
      <c r="C89" s="2" t="inlineStr">
        <is>
          <t>47133720</t>
        </is>
      </c>
      <c r="D89" s="2" t="inlineStr">
        <is>
          <t>AUD2026-12 CMBILM</t>
        </is>
      </c>
      <c r="E89" s="2" t="inlineStr">
        <is>
          <t>Order47133720- 260504003</t>
        </is>
      </c>
      <c r="F89" s="2" t="inlineStr">
        <is>
          <t>47133720- EDC260504003</t>
        </is>
      </c>
      <c r="G89" s="2" t="inlineStr">
        <is>
          <t>Yuan.Yuan.YY.Chen@cn.ey.com</t>
        </is>
      </c>
      <c r="H89" s="2" t="inlineStr">
        <is>
          <t>Week24 (2026.12.12)</t>
        </is>
      </c>
      <c r="I89" s="2" t="n">
        <v>38.36</v>
      </c>
    </row>
    <row r="90">
      <c r="A90" s="2" t="inlineStr">
        <is>
          <t>公募</t>
        </is>
      </c>
      <c r="B90" s="2" t="inlineStr">
        <is>
          <t>FORTUNE &amp; ROYAL ASSET MANAGEMENT CORPORATION LIMITED</t>
        </is>
      </c>
      <c r="C90" s="2" t="inlineStr">
        <is>
          <t>47128046</t>
        </is>
      </c>
      <c r="D90" s="2" t="inlineStr">
        <is>
          <t>AUD2026-12 FR Funds</t>
        </is>
      </c>
      <c r="E90" s="2" t="inlineStr">
        <is>
          <t>Order47128046- 260501004</t>
        </is>
      </c>
      <c r="F90" s="2" t="inlineStr">
        <is>
          <t>47128046- EDC260504001</t>
        </is>
      </c>
      <c r="G90" s="2" t="inlineStr">
        <is>
          <t>Marsh.Ma@cn.ey.com</t>
        </is>
      </c>
      <c r="H90" s="2" t="inlineStr">
        <is>
          <t>Week25 (2026.12.19)</t>
        </is>
      </c>
      <c r="I90" s="2" t="n">
        <v>0.87</v>
      </c>
    </row>
    <row r="91">
      <c r="A91" s="2" t="inlineStr">
        <is>
          <t>公募</t>
        </is>
      </c>
      <c r="B91" s="2" t="inlineStr">
        <is>
          <t>FORTUNE &amp; ROYAL ASSET MANAGEMENT CORPORATION LIMITED</t>
        </is>
      </c>
      <c r="C91" s="2" t="inlineStr">
        <is>
          <t>47128046</t>
        </is>
      </c>
      <c r="D91" s="2" t="inlineStr">
        <is>
          <t>AUD2026-12 FR Funds</t>
        </is>
      </c>
      <c r="E91" s="2" t="inlineStr">
        <is>
          <t>Order47128046- 260501004</t>
        </is>
      </c>
      <c r="F91" s="2" t="inlineStr">
        <is>
          <t>47128046- EDC260504001</t>
        </is>
      </c>
      <c r="G91" s="2" t="inlineStr">
        <is>
          <t>Yuan.Yuan.YY.Chen@cn.ey.com</t>
        </is>
      </c>
      <c r="H91" s="2" t="inlineStr">
        <is>
          <t>Week25 (2026.12.19)</t>
        </is>
      </c>
      <c r="I91" s="2" t="n">
        <v>10.03</v>
      </c>
    </row>
    <row r="92">
      <c r="A92" s="2" t="inlineStr">
        <is>
          <t>PE</t>
        </is>
      </c>
      <c r="B92" s="2" t="inlineStr">
        <is>
          <t>Mirae Asset Alternative Investment Management (Shanghai) Co., Ltd.</t>
        </is>
      </c>
      <c r="C92" s="2" t="inlineStr">
        <is>
          <t>47128154</t>
        </is>
      </c>
      <c r="D92" s="2" t="inlineStr">
        <is>
          <t>AUD2026-12 Mirae Asset</t>
        </is>
      </c>
      <c r="E92" s="2" t="inlineStr">
        <is>
          <t>Order47128154- 260501004</t>
        </is>
      </c>
      <c r="F92" s="2" t="inlineStr">
        <is>
          <t>47128154- EDC260504001</t>
        </is>
      </c>
      <c r="G92" s="2" t="inlineStr">
        <is>
          <t>Luna.CD.Zhang@cn.ey.com</t>
        </is>
      </c>
      <c r="H92" s="2" t="inlineStr">
        <is>
          <t>Week25 (2026.12.19)</t>
        </is>
      </c>
      <c r="I92" s="2" t="n">
        <v>7.06</v>
      </c>
    </row>
    <row r="93">
      <c r="A93" s="2" t="inlineStr">
        <is>
          <t>PE</t>
        </is>
      </c>
      <c r="B93" s="2" t="inlineStr">
        <is>
          <t>Mirae Asset Alternative Investment Management (Shanghai) Co., Ltd.</t>
        </is>
      </c>
      <c r="C93" s="2" t="inlineStr">
        <is>
          <t>47128154</t>
        </is>
      </c>
      <c r="D93" s="2" t="inlineStr">
        <is>
          <t>AUD2026-12 Mirae Asset</t>
        </is>
      </c>
      <c r="E93" s="2" t="inlineStr">
        <is>
          <t>Order47128154- 260501004</t>
        </is>
      </c>
      <c r="F93" s="2" t="inlineStr">
        <is>
          <t>47128154- EDC260504001</t>
        </is>
      </c>
      <c r="G93" s="2" t="inlineStr">
        <is>
          <t>Marsh.Ma@cn.ey.com</t>
        </is>
      </c>
      <c r="H93" s="2" t="inlineStr">
        <is>
          <t>Week25 (2026.12.19)</t>
        </is>
      </c>
      <c r="I93" s="2" t="n">
        <v>0.8100000000000001</v>
      </c>
    </row>
    <row r="94">
      <c r="A94" s="2" t="inlineStr">
        <is>
          <t>PE</t>
        </is>
      </c>
      <c r="B94" s="2" t="inlineStr">
        <is>
          <t>Mirae Asset Alternative Investment Management (Shanghai) Co., Ltd.</t>
        </is>
      </c>
      <c r="C94" s="2" t="inlineStr">
        <is>
          <t>47128154</t>
        </is>
      </c>
      <c r="D94" s="2" t="inlineStr">
        <is>
          <t>AUD2026-12 Mirae Asset</t>
        </is>
      </c>
      <c r="E94" s="2" t="inlineStr">
        <is>
          <t>Order47128154- 260501004</t>
        </is>
      </c>
      <c r="F94" s="2" t="inlineStr">
        <is>
          <t>47128154- EDC260504001</t>
        </is>
      </c>
      <c r="G94" s="2" t="inlineStr">
        <is>
          <t>Vivi.W.Yang@cn.ey.com</t>
        </is>
      </c>
      <c r="H94" s="2" t="inlineStr">
        <is>
          <t>Week25 (2026.12.19)</t>
        </is>
      </c>
      <c r="I94" s="2" t="n">
        <v>2.22</v>
      </c>
    </row>
    <row r="95">
      <c r="A95" s="2" t="inlineStr">
        <is>
          <t>公募</t>
        </is>
      </c>
      <c r="B95" s="2" t="inlineStr">
        <is>
          <t>Great Wall Fund Management Co., Ltd</t>
        </is>
      </c>
      <c r="C95" s="2" t="inlineStr">
        <is>
          <t>47128364</t>
        </is>
      </c>
      <c r="D95" s="2" t="inlineStr">
        <is>
          <t>AUD2026-12 Great Wall Funds</t>
        </is>
      </c>
      <c r="E95" s="2" t="inlineStr">
        <is>
          <t>Order47128364- 260501004</t>
        </is>
      </c>
      <c r="F95" s="2" t="inlineStr">
        <is>
          <t>47128364- EDC260501001</t>
        </is>
      </c>
      <c r="G95" s="2" t="inlineStr">
        <is>
          <t>Marsh.Ma@cn.ey.com</t>
        </is>
      </c>
      <c r="H95" s="2" t="inlineStr">
        <is>
          <t>Week25 (2026.12.19)</t>
        </is>
      </c>
      <c r="I95" s="2" t="n">
        <v>4.96</v>
      </c>
    </row>
    <row r="96">
      <c r="A96" s="2" t="inlineStr">
        <is>
          <t>公募</t>
        </is>
      </c>
      <c r="B96" s="2" t="inlineStr">
        <is>
          <t>Great Wall Fund Management Co., Ltd</t>
        </is>
      </c>
      <c r="C96" s="2" t="inlineStr">
        <is>
          <t>47128364</t>
        </is>
      </c>
      <c r="D96" s="2" t="inlineStr">
        <is>
          <t>AUD2026-12 Great Wall Funds</t>
        </is>
      </c>
      <c r="E96" s="2" t="inlineStr">
        <is>
          <t>Order47128364- 260501004</t>
        </is>
      </c>
      <c r="F96" s="2" t="inlineStr">
        <is>
          <t>47128364- EDC260501001</t>
        </is>
      </c>
      <c r="G96" s="2" t="inlineStr">
        <is>
          <t>Rainbow.MG.Xiao@cn.ey.com</t>
        </is>
      </c>
      <c r="H96" s="2" t="inlineStr">
        <is>
          <t>Week25 (2026.12.19)</t>
        </is>
      </c>
      <c r="I96" s="2" t="n">
        <v>27.08</v>
      </c>
    </row>
    <row r="97">
      <c r="A97" s="2" t="inlineStr">
        <is>
          <t>公募</t>
        </is>
      </c>
      <c r="B97" s="2" t="inlineStr">
        <is>
          <t>Great Wall Fund Management Co., Ltd</t>
        </is>
      </c>
      <c r="C97" s="2" t="inlineStr">
        <is>
          <t>47128364</t>
        </is>
      </c>
      <c r="D97" s="2" t="inlineStr">
        <is>
          <t>AUD2026-12 Great Wall Funds</t>
        </is>
      </c>
      <c r="E97" s="2" t="inlineStr">
        <is>
          <t>Order47128364- 260501004</t>
        </is>
      </c>
      <c r="F97" s="2" t="inlineStr">
        <is>
          <t>47128364- EDC260501001</t>
        </is>
      </c>
      <c r="G97" s="2" t="inlineStr">
        <is>
          <t>Yuan.Yuan.YY.Chen@cn.ey.com</t>
        </is>
      </c>
      <c r="H97" s="2" t="inlineStr">
        <is>
          <t>Week25 (2026.12.19)</t>
        </is>
      </c>
      <c r="I97" s="2" t="n">
        <v>29.97</v>
      </c>
    </row>
    <row r="98">
      <c r="A98" s="2" t="inlineStr">
        <is>
          <t>PE</t>
        </is>
      </c>
      <c r="B98" s="2" t="inlineStr">
        <is>
          <t>WP Financial Investment, LP</t>
        </is>
      </c>
      <c r="C98" s="2" t="inlineStr">
        <is>
          <t>47128469</t>
        </is>
      </c>
      <c r="D98" s="2" t="inlineStr">
        <is>
          <t>AUD2026-12 Warburg Pincus US Fund</t>
        </is>
      </c>
      <c r="E98" s="2" t="inlineStr">
        <is>
          <t>Order47128469- 260501002</t>
        </is>
      </c>
      <c r="F98" s="2" t="inlineStr">
        <is>
          <t>47128469- EDC260501001</t>
        </is>
      </c>
      <c r="G98" s="2" t="inlineStr">
        <is>
          <t>Luna.CD.Zhang@cn.ey.com</t>
        </is>
      </c>
      <c r="H98" s="2" t="inlineStr">
        <is>
          <t>Week25 (2026.12.19)</t>
        </is>
      </c>
      <c r="I98" s="2" t="n">
        <v>3.94</v>
      </c>
    </row>
    <row r="99">
      <c r="A99" s="2" t="inlineStr">
        <is>
          <t>PE</t>
        </is>
      </c>
      <c r="B99" s="2" t="inlineStr">
        <is>
          <t>WP Financial Investment, LP</t>
        </is>
      </c>
      <c r="C99" s="2" t="inlineStr">
        <is>
          <t>47128469</t>
        </is>
      </c>
      <c r="D99" s="2" t="inlineStr">
        <is>
          <t>AUD2026-12 Warburg Pincus US Fund</t>
        </is>
      </c>
      <c r="E99" s="2" t="inlineStr">
        <is>
          <t>Order47128469- 260501002</t>
        </is>
      </c>
      <c r="F99" s="2" t="inlineStr">
        <is>
          <t>47128469- EDC260501001</t>
        </is>
      </c>
      <c r="G99" s="2" t="inlineStr">
        <is>
          <t>Marsh.Ma@cn.ey.com</t>
        </is>
      </c>
      <c r="H99" s="2" t="inlineStr">
        <is>
          <t>Week25 (2026.12.19)</t>
        </is>
      </c>
      <c r="I99" s="2" t="n">
        <v>0.45</v>
      </c>
    </row>
    <row r="100">
      <c r="A100" s="2" t="inlineStr">
        <is>
          <t>PE</t>
        </is>
      </c>
      <c r="B100" s="2" t="inlineStr">
        <is>
          <t>WP Financial Investment, LP</t>
        </is>
      </c>
      <c r="C100" s="2" t="inlineStr">
        <is>
          <t>47128469</t>
        </is>
      </c>
      <c r="D100" s="2" t="inlineStr">
        <is>
          <t>AUD2026-12 Warburg Pincus US Fund</t>
        </is>
      </c>
      <c r="E100" s="2" t="inlineStr">
        <is>
          <t>Order47128469- 260501002</t>
        </is>
      </c>
      <c r="F100" s="2" t="inlineStr">
        <is>
          <t>47128469- EDC260501001</t>
        </is>
      </c>
      <c r="G100" s="2" t="inlineStr">
        <is>
          <t>Vivi.W.Yang@cn.ey.com</t>
        </is>
      </c>
      <c r="H100" s="2" t="inlineStr">
        <is>
          <t>Week25 (2026.12.19)</t>
        </is>
      </c>
      <c r="I100" s="2" t="n">
        <v>1.24</v>
      </c>
    </row>
    <row r="101">
      <c r="A101" s="2" t="inlineStr">
        <is>
          <t>公募</t>
        </is>
      </c>
      <c r="B101" s="2" t="inlineStr">
        <is>
          <t>Hang Seng Qianhai Fund Management Company Limited</t>
        </is>
      </c>
      <c r="C101" s="2" t="inlineStr">
        <is>
          <t>47128633</t>
        </is>
      </c>
      <c r="D101" s="2" t="inlineStr">
        <is>
          <t>AUD2026-12 HSQH Funds</t>
        </is>
      </c>
      <c r="E101" s="2" t="inlineStr">
        <is>
          <t>Order47128633- 260501004</t>
        </is>
      </c>
      <c r="F101" s="2" t="inlineStr">
        <is>
          <t>47128633- EDC260501001</t>
        </is>
      </c>
      <c r="G101" s="2" t="inlineStr">
        <is>
          <t>Marsh.Ma@cn.ey.com</t>
        </is>
      </c>
      <c r="H101" s="2" t="inlineStr">
        <is>
          <t>Week25 (2026.12.19)</t>
        </is>
      </c>
      <c r="I101" s="2" t="n">
        <v>0.52</v>
      </c>
    </row>
    <row r="102">
      <c r="A102" s="2" t="inlineStr">
        <is>
          <t>公募</t>
        </is>
      </c>
      <c r="B102" s="2" t="inlineStr">
        <is>
          <t>Invesco Great Wall Fund Management Co.,Ltd.</t>
        </is>
      </c>
      <c r="C102" s="2" t="inlineStr">
        <is>
          <t>47128706</t>
        </is>
      </c>
      <c r="D102" s="2" t="inlineStr">
        <is>
          <t>AUD2026-12 Invesco GW Funds</t>
        </is>
      </c>
      <c r="E102" s="2" t="inlineStr">
        <is>
          <t>Order47128706- 260501003</t>
        </is>
      </c>
      <c r="F102" s="2" t="inlineStr">
        <is>
          <t>47128706- EDC260501001</t>
        </is>
      </c>
      <c r="G102" s="2" t="inlineStr">
        <is>
          <t>Marsh.Ma@cn.ey.com</t>
        </is>
      </c>
      <c r="H102" s="2" t="inlineStr">
        <is>
          <t>Week25 (2026.12.19)</t>
        </is>
      </c>
      <c r="I102" s="2" t="n">
        <v>1.13</v>
      </c>
    </row>
    <row r="103">
      <c r="A103" s="2" t="inlineStr">
        <is>
          <t>公募</t>
        </is>
      </c>
      <c r="B103" s="2" t="inlineStr">
        <is>
          <t>Invesco Great Wall Fund Management Co.,Ltd.</t>
        </is>
      </c>
      <c r="C103" s="2" t="inlineStr">
        <is>
          <t>47128706</t>
        </is>
      </c>
      <c r="D103" s="2" t="inlineStr">
        <is>
          <t>AUD2026-12 Invesco GW Funds</t>
        </is>
      </c>
      <c r="E103" s="2" t="inlineStr">
        <is>
          <t>Order47128706- 260501003</t>
        </is>
      </c>
      <c r="F103" s="2" t="inlineStr">
        <is>
          <t>47128706- EDC260501001</t>
        </is>
      </c>
      <c r="G103" s="2" t="inlineStr">
        <is>
          <t>Rainbow.MG.Xiao@cn.ey.com</t>
        </is>
      </c>
      <c r="H103" s="2" t="inlineStr">
        <is>
          <t>Week25 (2026.12.19)</t>
        </is>
      </c>
      <c r="I103" s="2" t="n">
        <v>12.92</v>
      </c>
    </row>
    <row r="104">
      <c r="A104" s="2" t="inlineStr">
        <is>
          <t>ICBC</t>
        </is>
      </c>
      <c r="B104" s="2" t="inlineStr">
        <is>
          <t>Industrial And Commercial Bank of China (Macau) Limited</t>
        </is>
      </c>
      <c r="C104" s="2" t="inlineStr">
        <is>
          <t>47129069</t>
        </is>
      </c>
      <c r="D104" s="2" t="inlineStr">
        <is>
          <t>AUD2026-12 ICBCM</t>
        </is>
      </c>
      <c r="E104" s="2" t="inlineStr">
        <is>
          <t>Order47129069- 260731001</t>
        </is>
      </c>
      <c r="F104" s="2" t="inlineStr">
        <is>
          <t>47129069- EDC260731001</t>
        </is>
      </c>
      <c r="G104" s="2" t="inlineStr">
        <is>
          <t>Luna.CD.Zhang@cn.ey.com</t>
        </is>
      </c>
      <c r="H104" s="2" t="inlineStr">
        <is>
          <t>Week25 (2026.12.19)</t>
        </is>
      </c>
      <c r="I104" s="2" t="n">
        <v>4.4</v>
      </c>
    </row>
    <row r="105">
      <c r="A105" s="2" t="inlineStr">
        <is>
          <t>ICBC</t>
        </is>
      </c>
      <c r="B105" s="2" t="inlineStr">
        <is>
          <t>Industrial And Commercial Bank of China (Macau) Limited</t>
        </is>
      </c>
      <c r="C105" s="2" t="inlineStr">
        <is>
          <t>47129069</t>
        </is>
      </c>
      <c r="D105" s="2" t="inlineStr">
        <is>
          <t>AUD2026-12 ICBCM</t>
        </is>
      </c>
      <c r="E105" s="2" t="inlineStr">
        <is>
          <t>Order47129069- 260731001</t>
        </is>
      </c>
      <c r="F105" s="2" t="inlineStr">
        <is>
          <t>47129069- EDC260731001</t>
        </is>
      </c>
      <c r="G105" s="2" t="inlineStr">
        <is>
          <t>Marsh.Ma@cn.ey.com</t>
        </is>
      </c>
      <c r="H105" s="2" t="inlineStr">
        <is>
          <t>Week25 (2026.12.19)</t>
        </is>
      </c>
      <c r="I105" s="2" t="n">
        <v>0.5</v>
      </c>
    </row>
    <row r="106">
      <c r="A106" s="2" t="inlineStr">
        <is>
          <t>ICBC</t>
        </is>
      </c>
      <c r="B106" s="2" t="inlineStr">
        <is>
          <t>Industrial And Commercial Bank of China (Macau) Limited</t>
        </is>
      </c>
      <c r="C106" s="2" t="inlineStr">
        <is>
          <t>47129069</t>
        </is>
      </c>
      <c r="D106" s="2" t="inlineStr">
        <is>
          <t>AUD2026-12 ICBCM</t>
        </is>
      </c>
      <c r="E106" s="2" t="inlineStr">
        <is>
          <t>Order47129069- 260731001</t>
        </is>
      </c>
      <c r="F106" s="2" t="inlineStr">
        <is>
          <t>47129069- EDC260731001</t>
        </is>
      </c>
      <c r="G106" s="2" t="inlineStr">
        <is>
          <t>Vivi.W.Yang@cn.ey.com</t>
        </is>
      </c>
      <c r="H106" s="2" t="inlineStr">
        <is>
          <t>Week25 (2026.12.19)</t>
        </is>
      </c>
      <c r="I106" s="2" t="n">
        <v>1.38</v>
      </c>
    </row>
    <row r="107">
      <c r="A107" s="2" t="inlineStr">
        <is>
          <t>ICBC</t>
        </is>
      </c>
      <c r="B107" s="2" t="inlineStr">
        <is>
          <t>Industrial And Commercial Bank of China (Asia) Limited</t>
        </is>
      </c>
      <c r="C107" s="2" t="inlineStr">
        <is>
          <t>47129548</t>
        </is>
      </c>
      <c r="D107" s="2" t="inlineStr">
        <is>
          <t>AUD2026-12 ICBCA</t>
        </is>
      </c>
      <c r="E107" s="2" t="inlineStr">
        <is>
          <t>Order47129548- 260501002</t>
        </is>
      </c>
      <c r="F107" s="2" t="inlineStr">
        <is>
          <t>47129548- EDC260501001</t>
        </is>
      </c>
      <c r="G107" s="2" t="inlineStr">
        <is>
          <t>Luna.CD.Zhang@cn.ey.com</t>
        </is>
      </c>
      <c r="H107" s="2" t="inlineStr">
        <is>
          <t>Week25 (2026.12.19)</t>
        </is>
      </c>
      <c r="I107" s="2" t="n">
        <v>24.61</v>
      </c>
    </row>
    <row r="108">
      <c r="A108" s="2" t="inlineStr">
        <is>
          <t>ICBC</t>
        </is>
      </c>
      <c r="B108" s="2" t="inlineStr">
        <is>
          <t>Industrial And Commercial Bank of China (Asia) Limited</t>
        </is>
      </c>
      <c r="C108" s="2" t="inlineStr">
        <is>
          <t>47129548</t>
        </is>
      </c>
      <c r="D108" s="2" t="inlineStr">
        <is>
          <t>AUD2026-12 ICBCA</t>
        </is>
      </c>
      <c r="E108" s="2" t="inlineStr">
        <is>
          <t>Order47129548- 260501002</t>
        </is>
      </c>
      <c r="F108" s="2" t="inlineStr">
        <is>
          <t>47129548- EDC260501001</t>
        </is>
      </c>
      <c r="G108" s="2" t="inlineStr">
        <is>
          <t>Marsh.Ma@cn.ey.com</t>
        </is>
      </c>
      <c r="H108" s="2" t="inlineStr">
        <is>
          <t>Week25 (2026.12.19)</t>
        </is>
      </c>
      <c r="I108" s="2" t="n">
        <v>3.65</v>
      </c>
    </row>
    <row r="109">
      <c r="A109" s="2" t="inlineStr">
        <is>
          <t>ICBC</t>
        </is>
      </c>
      <c r="B109" s="2" t="inlineStr">
        <is>
          <t>Industrial And Commercial Bank of China (Asia) Limited</t>
        </is>
      </c>
      <c r="C109" s="2" t="inlineStr">
        <is>
          <t>47129548</t>
        </is>
      </c>
      <c r="D109" s="2" t="inlineStr">
        <is>
          <t>AUD2026-12 ICBCA</t>
        </is>
      </c>
      <c r="E109" s="2" t="inlineStr">
        <is>
          <t>Order47129548- 260501002</t>
        </is>
      </c>
      <c r="F109" s="2" t="inlineStr">
        <is>
          <t>47129548- EDC260501001</t>
        </is>
      </c>
      <c r="G109" s="2" t="inlineStr">
        <is>
          <t>Vivi.W.Yang@cn.ey.com</t>
        </is>
      </c>
      <c r="H109" s="2" t="inlineStr">
        <is>
          <t>Week25 (2026.12.19)</t>
        </is>
      </c>
      <c r="I109" s="2" t="n">
        <v>10.03</v>
      </c>
    </row>
    <row r="110">
      <c r="A110" s="2" t="inlineStr">
        <is>
          <t>招银</t>
        </is>
      </c>
      <c r="B110" s="2" t="inlineStr">
        <is>
          <t>CMB International Leasing Management Limited</t>
        </is>
      </c>
      <c r="C110" s="2" t="inlineStr">
        <is>
          <t>47133720</t>
        </is>
      </c>
      <c r="D110" s="2" t="inlineStr">
        <is>
          <t>AUD2026-12 CMBILM</t>
        </is>
      </c>
      <c r="E110" s="2" t="inlineStr">
        <is>
          <t>Order47133720- 260504003</t>
        </is>
      </c>
      <c r="F110" s="2" t="inlineStr">
        <is>
          <t>47133720- EDC260504003</t>
        </is>
      </c>
      <c r="G110" s="2" t="inlineStr">
        <is>
          <t>Marsh.Ma@cn.ey.com</t>
        </is>
      </c>
      <c r="H110" s="2" t="inlineStr">
        <is>
          <t>Week25 (2026.12.19)</t>
        </is>
      </c>
      <c r="I110" s="2" t="n">
        <v>5.48</v>
      </c>
    </row>
    <row r="111">
      <c r="A111" s="2" t="inlineStr">
        <is>
          <t>招银</t>
        </is>
      </c>
      <c r="B111" s="2" t="inlineStr">
        <is>
          <t>CMB International Leasing Management Limited</t>
        </is>
      </c>
      <c r="C111" s="2" t="inlineStr">
        <is>
          <t>47133720</t>
        </is>
      </c>
      <c r="D111" s="2" t="inlineStr">
        <is>
          <t>AUD2026-12 CMBILM</t>
        </is>
      </c>
      <c r="E111" s="2" t="inlineStr">
        <is>
          <t>Order47133720- 260504003</t>
        </is>
      </c>
      <c r="F111" s="2" t="inlineStr">
        <is>
          <t>47133720- EDC260504003</t>
        </is>
      </c>
      <c r="G111" s="2" t="inlineStr">
        <is>
          <t>Rainbow.MG.Xiao@cn.ey.com</t>
        </is>
      </c>
      <c r="H111" s="2" t="inlineStr">
        <is>
          <t>Week25 (2026.12.19)</t>
        </is>
      </c>
      <c r="I111" s="2" t="n">
        <v>8</v>
      </c>
    </row>
    <row r="112">
      <c r="A112" s="2" t="inlineStr">
        <is>
          <t>招银</t>
        </is>
      </c>
      <c r="B112" s="2" t="inlineStr">
        <is>
          <t>CMB International Leasing Management Limited</t>
        </is>
      </c>
      <c r="C112" s="2" t="inlineStr">
        <is>
          <t>47133720</t>
        </is>
      </c>
      <c r="D112" s="2" t="inlineStr">
        <is>
          <t>AUD2026-12 CMBILM</t>
        </is>
      </c>
      <c r="E112" s="2" t="inlineStr">
        <is>
          <t>Order47133720- 260504003</t>
        </is>
      </c>
      <c r="F112" s="2" t="inlineStr">
        <is>
          <t>47133720- EDC260504003</t>
        </is>
      </c>
      <c r="G112" s="2" t="inlineStr">
        <is>
          <t>Vivi.W.Yang@cn.ey.com</t>
        </is>
      </c>
      <c r="H112" s="2" t="inlineStr">
        <is>
          <t>Week25 (2026.12.19)</t>
        </is>
      </c>
      <c r="I112" s="2" t="n">
        <v>15.07</v>
      </c>
    </row>
    <row r="113">
      <c r="A113" s="2" t="inlineStr">
        <is>
          <t>招银</t>
        </is>
      </c>
      <c r="B113" s="2" t="inlineStr">
        <is>
          <t>CMB International Leasing Management Limited</t>
        </is>
      </c>
      <c r="C113" s="2" t="inlineStr">
        <is>
          <t>47133720</t>
        </is>
      </c>
      <c r="D113" s="2" t="inlineStr">
        <is>
          <t>AUD2026-12 CMBILM</t>
        </is>
      </c>
      <c r="E113" s="2" t="inlineStr">
        <is>
          <t>Order47133720- 260504003</t>
        </is>
      </c>
      <c r="F113" s="2" t="inlineStr">
        <is>
          <t>47133720- EDC260504003</t>
        </is>
      </c>
      <c r="G113" s="2" t="inlineStr">
        <is>
          <t>Yuan.Yuan.YY.Chen@cn.ey.com</t>
        </is>
      </c>
      <c r="H113" s="2" t="inlineStr">
        <is>
          <t>Week25 (2026.12.19)</t>
        </is>
      </c>
      <c r="I113" s="2" t="n">
        <v>8</v>
      </c>
    </row>
    <row r="114">
      <c r="A114" s="2" t="inlineStr">
        <is>
          <t>公募</t>
        </is>
      </c>
      <c r="B114" s="2" t="inlineStr">
        <is>
          <t>FORTUNE &amp; ROYAL ASSET MANAGEMENT CORPORATION LIMITED</t>
        </is>
      </c>
      <c r="C114" s="2" t="inlineStr">
        <is>
          <t>47128046</t>
        </is>
      </c>
      <c r="D114" s="2" t="inlineStr">
        <is>
          <t>AUD2026-12 FR Funds</t>
        </is>
      </c>
      <c r="E114" s="2" t="inlineStr">
        <is>
          <t>Order47128046- 260501004</t>
        </is>
      </c>
      <c r="F114" s="2" t="inlineStr">
        <is>
          <t>47128046- EDC260504001</t>
        </is>
      </c>
      <c r="G114" s="2" t="inlineStr">
        <is>
          <t>Marsh.Ma@cn.ey.com</t>
        </is>
      </c>
      <c r="H114" s="2" t="inlineStr">
        <is>
          <t>Week26 (2026.12.26)</t>
        </is>
      </c>
      <c r="I114" s="2" t="n">
        <v>1.22</v>
      </c>
    </row>
    <row r="115">
      <c r="A115" s="2" t="inlineStr">
        <is>
          <t>公募</t>
        </is>
      </c>
      <c r="B115" s="2" t="inlineStr">
        <is>
          <t>FORTUNE &amp; ROYAL ASSET MANAGEMENT CORPORATION LIMITED</t>
        </is>
      </c>
      <c r="C115" s="2" t="inlineStr">
        <is>
          <t>47128046</t>
        </is>
      </c>
      <c r="D115" s="2" t="inlineStr">
        <is>
          <t>AUD2026-12 FR Funds</t>
        </is>
      </c>
      <c r="E115" s="2" t="inlineStr">
        <is>
          <t>Order47128046- 260501004</t>
        </is>
      </c>
      <c r="F115" s="2" t="inlineStr">
        <is>
          <t>47128046- EDC260504001</t>
        </is>
      </c>
      <c r="G115" s="2" t="inlineStr">
        <is>
          <t>Yuan.Yuan.YY.Chen@cn.ey.com</t>
        </is>
      </c>
      <c r="H115" s="2" t="inlineStr">
        <is>
          <t>Week26 (2026.12.26)</t>
        </is>
      </c>
      <c r="I115" s="2" t="n">
        <v>14.05</v>
      </c>
    </row>
    <row r="116">
      <c r="A116" s="2" t="inlineStr">
        <is>
          <t>PE</t>
        </is>
      </c>
      <c r="B116" s="2" t="inlineStr">
        <is>
          <t>EverYi Capital Asia Fund, L.P.</t>
        </is>
      </c>
      <c r="C116" s="2" t="inlineStr">
        <is>
          <t>47128108</t>
        </is>
      </c>
      <c r="D116" s="2" t="inlineStr">
        <is>
          <t>AUD2026-12 EverYi Capital</t>
        </is>
      </c>
      <c r="E116" s="2" t="inlineStr">
        <is>
          <t>Order47128108- 260501005</t>
        </is>
      </c>
      <c r="F116" s="2" t="inlineStr">
        <is>
          <t>47128108- EDC260504001</t>
        </is>
      </c>
      <c r="G116" s="2" t="inlineStr">
        <is>
          <t>Luna.CD.Zhang@cn.ey.com</t>
        </is>
      </c>
      <c r="H116" s="2" t="inlineStr">
        <is>
          <t>Week26 (2026.12.26)</t>
        </is>
      </c>
      <c r="I116" s="2" t="n">
        <v>1.49</v>
      </c>
    </row>
    <row r="117">
      <c r="A117" s="2" t="inlineStr">
        <is>
          <t>PE</t>
        </is>
      </c>
      <c r="B117" s="2" t="inlineStr">
        <is>
          <t>EverYi Capital Asia Fund, L.P.</t>
        </is>
      </c>
      <c r="C117" s="2" t="inlineStr">
        <is>
          <t>47128108</t>
        </is>
      </c>
      <c r="D117" s="2" t="inlineStr">
        <is>
          <t>AUD2026-12 EverYi Capital</t>
        </is>
      </c>
      <c r="E117" s="2" t="inlineStr">
        <is>
          <t>Order47128108- 260501005</t>
        </is>
      </c>
      <c r="F117" s="2" t="inlineStr">
        <is>
          <t>47128108- EDC260504001</t>
        </is>
      </c>
      <c r="G117" s="2" t="inlineStr">
        <is>
          <t>Marsh.Ma@cn.ey.com</t>
        </is>
      </c>
      <c r="H117" s="2" t="inlineStr">
        <is>
          <t>Week26 (2026.12.26)</t>
        </is>
      </c>
      <c r="I117" s="2" t="n">
        <v>0.17</v>
      </c>
    </row>
    <row r="118">
      <c r="A118" s="2" t="inlineStr">
        <is>
          <t>PE</t>
        </is>
      </c>
      <c r="B118" s="2" t="inlineStr">
        <is>
          <t>EverYi Capital Asia Fund, L.P.</t>
        </is>
      </c>
      <c r="C118" s="2" t="inlineStr">
        <is>
          <t>47128108</t>
        </is>
      </c>
      <c r="D118" s="2" t="inlineStr">
        <is>
          <t>AUD2026-12 EverYi Capital</t>
        </is>
      </c>
      <c r="E118" s="2" t="inlineStr">
        <is>
          <t>Order47128108- 260501005</t>
        </is>
      </c>
      <c r="F118" s="2" t="inlineStr">
        <is>
          <t>47128108- EDC260504001</t>
        </is>
      </c>
      <c r="G118" s="2" t="inlineStr">
        <is>
          <t>Vivi.W.Yang@cn.ey.com</t>
        </is>
      </c>
      <c r="H118" s="2" t="inlineStr">
        <is>
          <t>Week26 (2026.12.26)</t>
        </is>
      </c>
      <c r="I118" s="2" t="n">
        <v>0.47</v>
      </c>
    </row>
    <row r="119">
      <c r="A119" s="2" t="inlineStr">
        <is>
          <t>PE</t>
        </is>
      </c>
      <c r="B119" s="2" t="inlineStr">
        <is>
          <t>Mirae Asset Alternative Investment Management (Shanghai) Co., Ltd.</t>
        </is>
      </c>
      <c r="C119" s="2" t="inlineStr">
        <is>
          <t>47128154</t>
        </is>
      </c>
      <c r="D119" s="2" t="inlineStr">
        <is>
          <t>AUD2026-12 Mirae Asset</t>
        </is>
      </c>
      <c r="E119" s="2" t="inlineStr">
        <is>
          <t>Order47128154- 260501004</t>
        </is>
      </c>
      <c r="F119" s="2" t="inlineStr">
        <is>
          <t>47128154- EDC260504001</t>
        </is>
      </c>
      <c r="G119" s="2" t="inlineStr">
        <is>
          <t>Luna.CD.Zhang@cn.ey.com</t>
        </is>
      </c>
      <c r="H119" s="2" t="inlineStr">
        <is>
          <t>Week26 (2026.12.26)</t>
        </is>
      </c>
      <c r="I119" s="2" t="n">
        <v>5.04</v>
      </c>
    </row>
    <row r="120">
      <c r="A120" s="2" t="inlineStr">
        <is>
          <t>PE</t>
        </is>
      </c>
      <c r="B120" s="2" t="inlineStr">
        <is>
          <t>Mirae Asset Alternative Investment Management (Shanghai) Co., Ltd.</t>
        </is>
      </c>
      <c r="C120" s="2" t="inlineStr">
        <is>
          <t>47128154</t>
        </is>
      </c>
      <c r="D120" s="2" t="inlineStr">
        <is>
          <t>AUD2026-12 Mirae Asset</t>
        </is>
      </c>
      <c r="E120" s="2" t="inlineStr">
        <is>
          <t>Order47128154- 260501004</t>
        </is>
      </c>
      <c r="F120" s="2" t="inlineStr">
        <is>
          <t>47128154- EDC260504001</t>
        </is>
      </c>
      <c r="G120" s="2" t="inlineStr">
        <is>
          <t>Luna.CD.Zhang@cn.ey.com</t>
        </is>
      </c>
      <c r="H120" s="2" t="inlineStr">
        <is>
          <t>Week26 (2026.12.26)</t>
        </is>
      </c>
      <c r="I120" s="2" t="n">
        <v>3.92</v>
      </c>
    </row>
    <row r="121">
      <c r="A121" s="2" t="inlineStr">
        <is>
          <t>PE</t>
        </is>
      </c>
      <c r="B121" s="2" t="inlineStr">
        <is>
          <t>Mirae Asset Alternative Investment Management (Shanghai) Co., Ltd.</t>
        </is>
      </c>
      <c r="C121" s="2" t="inlineStr">
        <is>
          <t>47128154</t>
        </is>
      </c>
      <c r="D121" s="2" t="inlineStr">
        <is>
          <t>AUD2026-12 Mirae Asset</t>
        </is>
      </c>
      <c r="E121" s="2" t="inlineStr">
        <is>
          <t>Order47128154- 260501004</t>
        </is>
      </c>
      <c r="F121" s="2" t="inlineStr">
        <is>
          <t>47128154- EDC260504001</t>
        </is>
      </c>
      <c r="G121" s="2" t="inlineStr">
        <is>
          <t>Marsh.Ma@cn.ey.com</t>
        </is>
      </c>
      <c r="H121" s="2" t="inlineStr">
        <is>
          <t>Week26 (2026.12.26)</t>
        </is>
      </c>
      <c r="I121" s="2" t="n">
        <v>0.58</v>
      </c>
    </row>
    <row r="122">
      <c r="A122" s="2" t="inlineStr">
        <is>
          <t>PE</t>
        </is>
      </c>
      <c r="B122" s="2" t="inlineStr">
        <is>
          <t>Mirae Asset Alternative Investment Management (Shanghai) Co., Ltd.</t>
        </is>
      </c>
      <c r="C122" s="2" t="inlineStr">
        <is>
          <t>47128154</t>
        </is>
      </c>
      <c r="D122" s="2" t="inlineStr">
        <is>
          <t>AUD2026-12 Mirae Asset</t>
        </is>
      </c>
      <c r="E122" s="2" t="inlineStr">
        <is>
          <t>Order47128154- 260501004</t>
        </is>
      </c>
      <c r="F122" s="2" t="inlineStr">
        <is>
          <t>47128154- EDC260504001</t>
        </is>
      </c>
      <c r="G122" s="2" t="inlineStr">
        <is>
          <t>Marsh.Ma@cn.ey.com</t>
        </is>
      </c>
      <c r="H122" s="2" t="inlineStr">
        <is>
          <t>Week26 (2026.12.26)</t>
        </is>
      </c>
      <c r="I122" s="2" t="n">
        <v>0.45</v>
      </c>
    </row>
    <row r="123">
      <c r="A123" s="2" t="inlineStr">
        <is>
          <t>PE</t>
        </is>
      </c>
      <c r="B123" s="2" t="inlineStr">
        <is>
          <t>Mirae Asset Alternative Investment Management (Shanghai) Co., Ltd.</t>
        </is>
      </c>
      <c r="C123" s="2" t="inlineStr">
        <is>
          <t>47128154</t>
        </is>
      </c>
      <c r="D123" s="2" t="inlineStr">
        <is>
          <t>AUD2026-12 Mirae Asset</t>
        </is>
      </c>
      <c r="E123" s="2" t="inlineStr">
        <is>
          <t>Order47128154- 260501004</t>
        </is>
      </c>
      <c r="F123" s="2" t="inlineStr">
        <is>
          <t>47128154- EDC260504001</t>
        </is>
      </c>
      <c r="G123" s="2" t="inlineStr">
        <is>
          <t>Vivi.W.Yang@cn.ey.com</t>
        </is>
      </c>
      <c r="H123" s="2" t="inlineStr">
        <is>
          <t>Week26 (2026.12.26)</t>
        </is>
      </c>
      <c r="I123" s="2" t="n">
        <v>1.58</v>
      </c>
    </row>
    <row r="124">
      <c r="A124" s="2" t="inlineStr">
        <is>
          <t>PE</t>
        </is>
      </c>
      <c r="B124" s="2" t="inlineStr">
        <is>
          <t>Mirae Asset Alternative Investment Management (Shanghai) Co., Ltd.</t>
        </is>
      </c>
      <c r="C124" s="2" t="inlineStr">
        <is>
          <t>47128154</t>
        </is>
      </c>
      <c r="D124" s="2" t="inlineStr">
        <is>
          <t>AUD2026-12 Mirae Asset</t>
        </is>
      </c>
      <c r="E124" s="2" t="inlineStr">
        <is>
          <t>Order47128154- 260501004</t>
        </is>
      </c>
      <c r="F124" s="2" t="inlineStr">
        <is>
          <t>47128154- EDC260504001</t>
        </is>
      </c>
      <c r="G124" s="2" t="inlineStr">
        <is>
          <t>Vivi.W.Yang@cn.ey.com</t>
        </is>
      </c>
      <c r="H124" s="2" t="inlineStr">
        <is>
          <t>Week26 (2026.12.26)</t>
        </is>
      </c>
      <c r="I124" s="2" t="n">
        <v>1.23</v>
      </c>
    </row>
    <row r="125">
      <c r="A125" s="2" t="inlineStr">
        <is>
          <t>公募</t>
        </is>
      </c>
      <c r="B125" s="2" t="inlineStr">
        <is>
          <t>Great Wall Fund Management Co., Ltd</t>
        </is>
      </c>
      <c r="C125" s="2" t="inlineStr">
        <is>
          <t>47128364</t>
        </is>
      </c>
      <c r="D125" s="2" t="inlineStr">
        <is>
          <t>AUD2026-12 Great Wall Funds</t>
        </is>
      </c>
      <c r="E125" s="2" t="inlineStr">
        <is>
          <t>Order47128364- 260501004</t>
        </is>
      </c>
      <c r="F125" s="2" t="inlineStr">
        <is>
          <t>47128364- EDC260501001</t>
        </is>
      </c>
      <c r="G125" s="2" t="inlineStr">
        <is>
          <t>Marsh.Ma@cn.ey.com</t>
        </is>
      </c>
      <c r="H125" s="2" t="inlineStr">
        <is>
          <t>Week26 (2026.12.26)</t>
        </is>
      </c>
      <c r="I125" s="2" t="n">
        <v>6.95</v>
      </c>
    </row>
    <row r="126">
      <c r="A126" s="2" t="inlineStr">
        <is>
          <t>公募</t>
        </is>
      </c>
      <c r="B126" s="2" t="inlineStr">
        <is>
          <t>Great Wall Fund Management Co., Ltd</t>
        </is>
      </c>
      <c r="C126" s="2" t="inlineStr">
        <is>
          <t>47128364</t>
        </is>
      </c>
      <c r="D126" s="2" t="inlineStr">
        <is>
          <t>AUD2026-12 Great Wall Funds</t>
        </is>
      </c>
      <c r="E126" s="2" t="inlineStr">
        <is>
          <t>Order47128364- 260501004</t>
        </is>
      </c>
      <c r="F126" s="2" t="inlineStr">
        <is>
          <t>47128364- EDC260501001</t>
        </is>
      </c>
      <c r="G126" s="2" t="inlineStr">
        <is>
          <t>Rainbow.MG.Xiao@cn.ey.com</t>
        </is>
      </c>
      <c r="H126" s="2" t="inlineStr">
        <is>
          <t>Week26 (2026.12.26)</t>
        </is>
      </c>
      <c r="I126" s="2" t="n">
        <v>40</v>
      </c>
    </row>
    <row r="127">
      <c r="A127" s="2" t="inlineStr">
        <is>
          <t>公募</t>
        </is>
      </c>
      <c r="B127" s="2" t="inlineStr">
        <is>
          <t>Great Wall Fund Management Co., Ltd</t>
        </is>
      </c>
      <c r="C127" s="2" t="inlineStr">
        <is>
          <t>47128364</t>
        </is>
      </c>
      <c r="D127" s="2" t="inlineStr">
        <is>
          <t>AUD2026-12 Great Wall Funds</t>
        </is>
      </c>
      <c r="E127" s="2" t="inlineStr">
        <is>
          <t>Order47128364- 260501004</t>
        </is>
      </c>
      <c r="F127" s="2" t="inlineStr">
        <is>
          <t>47128364- EDC260501001</t>
        </is>
      </c>
      <c r="G127" s="2" t="inlineStr">
        <is>
          <t>Yuan.Yuan.YY.Chen@cn.ey.com</t>
        </is>
      </c>
      <c r="H127" s="2" t="inlineStr">
        <is>
          <t>Week26 (2026.12.26)</t>
        </is>
      </c>
      <c r="I127" s="2" t="n">
        <v>9.02</v>
      </c>
    </row>
    <row r="128">
      <c r="A128" s="2" t="inlineStr">
        <is>
          <t>公募</t>
        </is>
      </c>
      <c r="B128" s="2" t="inlineStr">
        <is>
          <t>Ping An Fund Management Company Limited</t>
        </is>
      </c>
      <c r="C128" s="2" t="inlineStr">
        <is>
          <t>47128421</t>
        </is>
      </c>
      <c r="D128" s="2" t="inlineStr">
        <is>
          <t>AUD2026-12 PA Funds</t>
        </is>
      </c>
      <c r="E128" s="2" t="inlineStr">
        <is>
          <t>Order47128421- 260501003</t>
        </is>
      </c>
      <c r="F128" s="2" t="inlineStr">
        <is>
          <t>47128421- EDC260501001</t>
        </is>
      </c>
      <c r="G128" s="2" t="inlineStr">
        <is>
          <t>Marsh.Ma@cn.ey.com</t>
        </is>
      </c>
      <c r="H128" s="2" t="inlineStr">
        <is>
          <t>Week26 (2026.12.26)</t>
        </is>
      </c>
      <c r="I128" s="2" t="n">
        <v>1.47</v>
      </c>
    </row>
    <row r="129">
      <c r="A129" s="2" t="inlineStr">
        <is>
          <t>公募</t>
        </is>
      </c>
      <c r="B129" s="2" t="inlineStr">
        <is>
          <t>Ping An Fund Management Company Limited</t>
        </is>
      </c>
      <c r="C129" s="2" t="inlineStr">
        <is>
          <t>47128421</t>
        </is>
      </c>
      <c r="D129" s="2" t="inlineStr">
        <is>
          <t>AUD2026-12 PA Funds</t>
        </is>
      </c>
      <c r="E129" s="2" t="inlineStr">
        <is>
          <t>Order47128421- 260501003</t>
        </is>
      </c>
      <c r="F129" s="2" t="inlineStr">
        <is>
          <t>47128421- EDC260501001</t>
        </is>
      </c>
      <c r="G129" s="2" t="inlineStr">
        <is>
          <t>Yuan.Yuan.YY.Chen@cn.ey.com</t>
        </is>
      </c>
      <c r="H129" s="2" t="inlineStr">
        <is>
          <t>Week26 (2026.12.26)</t>
        </is>
      </c>
      <c r="I129" s="2" t="n">
        <v>16.93</v>
      </c>
    </row>
    <row r="130">
      <c r="A130" s="2" t="inlineStr">
        <is>
          <t>公募</t>
        </is>
      </c>
      <c r="B130" s="2" t="inlineStr">
        <is>
          <t>Hang Seng Qianhai Fund Management Company Limited</t>
        </is>
      </c>
      <c r="C130" s="2" t="inlineStr">
        <is>
          <t>47128633</t>
        </is>
      </c>
      <c r="D130" s="2" t="inlineStr">
        <is>
          <t>AUD2026-12 HSQH Funds</t>
        </is>
      </c>
      <c r="E130" s="2" t="inlineStr">
        <is>
          <t>Order47128633- 260501004</t>
        </is>
      </c>
      <c r="F130" s="2" t="inlineStr">
        <is>
          <t>47128633- EDC260501001</t>
        </is>
      </c>
      <c r="G130" s="2" t="inlineStr">
        <is>
          <t>Marsh.Ma@cn.ey.com</t>
        </is>
      </c>
      <c r="H130" s="2" t="inlineStr">
        <is>
          <t>Week26 (2026.12.26)</t>
        </is>
      </c>
      <c r="I130" s="2" t="n">
        <v>0.73</v>
      </c>
    </row>
    <row r="131">
      <c r="A131" s="2" t="inlineStr">
        <is>
          <t>PE</t>
        </is>
      </c>
      <c r="B131" s="2" t="inlineStr">
        <is>
          <t>Vivo (Suzhou) Health Industry Investment Fund Limited Partnership</t>
        </is>
      </c>
      <c r="C131" s="2" t="inlineStr">
        <is>
          <t>47128684</t>
        </is>
      </c>
      <c r="D131" s="2" t="inlineStr">
        <is>
          <t>AUD2026-12 Vivo Capital</t>
        </is>
      </c>
      <c r="E131" s="2" t="inlineStr">
        <is>
          <t>Order47128684- 260501004</t>
        </is>
      </c>
      <c r="F131" s="2" t="inlineStr">
        <is>
          <t>47128684- EDC260501001</t>
        </is>
      </c>
      <c r="G131" s="2" t="inlineStr">
        <is>
          <t>Luna.CD.Zhang@cn.ey.com</t>
        </is>
      </c>
      <c r="H131" s="2" t="inlineStr">
        <is>
          <t>Week26 (2026.12.26)</t>
        </is>
      </c>
      <c r="I131" s="2" t="n">
        <v>0.35</v>
      </c>
    </row>
    <row r="132">
      <c r="A132" s="2" t="inlineStr">
        <is>
          <t>PE</t>
        </is>
      </c>
      <c r="B132" s="2" t="inlineStr">
        <is>
          <t>Vivo (Suzhou) Health Industry Investment Fund Limited Partnership</t>
        </is>
      </c>
      <c r="C132" s="2" t="inlineStr">
        <is>
          <t>47128684</t>
        </is>
      </c>
      <c r="D132" s="2" t="inlineStr">
        <is>
          <t>AUD2026-12 Vivo Capital</t>
        </is>
      </c>
      <c r="E132" s="2" t="inlineStr">
        <is>
          <t>Order47128684- 260501004</t>
        </is>
      </c>
      <c r="F132" s="2" t="inlineStr">
        <is>
          <t>47128684- EDC260501001</t>
        </is>
      </c>
      <c r="G132" s="2" t="inlineStr">
        <is>
          <t>Marsh.Ma@cn.ey.com</t>
        </is>
      </c>
      <c r="H132" s="2" t="inlineStr">
        <is>
          <t>Week26 (2026.12.26)</t>
        </is>
      </c>
      <c r="I132" s="2" t="n">
        <v>0.04</v>
      </c>
    </row>
    <row r="133">
      <c r="A133" s="2" t="inlineStr">
        <is>
          <t>PE</t>
        </is>
      </c>
      <c r="B133" s="2" t="inlineStr">
        <is>
          <t>Vivo (Suzhou) Health Industry Investment Fund Limited Partnership</t>
        </is>
      </c>
      <c r="C133" s="2" t="inlineStr">
        <is>
          <t>47128684</t>
        </is>
      </c>
      <c r="D133" s="2" t="inlineStr">
        <is>
          <t>AUD2026-12 Vivo Capital</t>
        </is>
      </c>
      <c r="E133" s="2" t="inlineStr">
        <is>
          <t>Order47128684- 260501004</t>
        </is>
      </c>
      <c r="F133" s="2" t="inlineStr">
        <is>
          <t>47128684- EDC260501001</t>
        </is>
      </c>
      <c r="G133" s="2" t="inlineStr">
        <is>
          <t>Vivi.W.Yang@cn.ey.com</t>
        </is>
      </c>
      <c r="H133" s="2" t="inlineStr">
        <is>
          <t>Week26 (2026.12.26)</t>
        </is>
      </c>
      <c r="I133" s="2" t="n">
        <v>0.11</v>
      </c>
    </row>
    <row r="134">
      <c r="A134" s="2" t="inlineStr">
        <is>
          <t>公募</t>
        </is>
      </c>
      <c r="B134" s="2" t="inlineStr">
        <is>
          <t>Invesco Great Wall Fund Management Co.,Ltd.</t>
        </is>
      </c>
      <c r="C134" s="2" t="inlineStr">
        <is>
          <t>47128706</t>
        </is>
      </c>
      <c r="D134" s="2" t="inlineStr">
        <is>
          <t>AUD2026-12 Invesco GW Funds</t>
        </is>
      </c>
      <c r="E134" s="2" t="inlineStr">
        <is>
          <t>Order47128706- 260501003</t>
        </is>
      </c>
      <c r="F134" s="2" t="inlineStr">
        <is>
          <t>47128706- EDC260501001</t>
        </is>
      </c>
      <c r="G134" s="2" t="inlineStr">
        <is>
          <t>Marsh.Ma@cn.ey.com</t>
        </is>
      </c>
      <c r="H134" s="2" t="inlineStr">
        <is>
          <t>Week26 (2026.12.26)</t>
        </is>
      </c>
      <c r="I134" s="2" t="n">
        <v>1.58</v>
      </c>
    </row>
    <row r="135">
      <c r="A135" s="2" t="inlineStr">
        <is>
          <t>ICBC</t>
        </is>
      </c>
      <c r="B135" s="2" t="inlineStr">
        <is>
          <t>Industrial And Commercial Bank of China (Macau) Limited</t>
        </is>
      </c>
      <c r="C135" s="2" t="inlineStr">
        <is>
          <t>47129069</t>
        </is>
      </c>
      <c r="D135" s="2" t="inlineStr">
        <is>
          <t>AUD2026-12 ICBCM</t>
        </is>
      </c>
      <c r="E135" s="2" t="inlineStr">
        <is>
          <t>Order47129069- 260731001</t>
        </is>
      </c>
      <c r="F135" s="2" t="inlineStr">
        <is>
          <t>47129069- EDC260731001</t>
        </is>
      </c>
      <c r="G135" s="2" t="inlineStr">
        <is>
          <t>Luna.CD.Zhang@cn.ey.com</t>
        </is>
      </c>
      <c r="H135" s="2" t="inlineStr">
        <is>
          <t>Week26 (2026.12.26)</t>
        </is>
      </c>
      <c r="I135" s="2" t="n">
        <v>6.16</v>
      </c>
    </row>
    <row r="136">
      <c r="A136" s="2" t="inlineStr">
        <is>
          <t>ICBC</t>
        </is>
      </c>
      <c r="B136" s="2" t="inlineStr">
        <is>
          <t>Industrial And Commercial Bank of China (Macau) Limited</t>
        </is>
      </c>
      <c r="C136" s="2" t="inlineStr">
        <is>
          <t>47129069</t>
        </is>
      </c>
      <c r="D136" s="2" t="inlineStr">
        <is>
          <t>AUD2026-12 ICBCM</t>
        </is>
      </c>
      <c r="E136" s="2" t="inlineStr">
        <is>
          <t>Order47129069- 260731001</t>
        </is>
      </c>
      <c r="F136" s="2" t="inlineStr">
        <is>
          <t>47129069- EDC260731001</t>
        </is>
      </c>
      <c r="G136" s="2" t="inlineStr">
        <is>
          <t>Marsh.Ma@cn.ey.com</t>
        </is>
      </c>
      <c r="H136" s="2" t="inlineStr">
        <is>
          <t>Week26 (2026.12.26)</t>
        </is>
      </c>
      <c r="I136" s="2" t="n">
        <v>0.7</v>
      </c>
    </row>
    <row r="137">
      <c r="A137" s="2" t="inlineStr">
        <is>
          <t>ICBC</t>
        </is>
      </c>
      <c r="B137" s="2" t="inlineStr">
        <is>
          <t>Industrial And Commercial Bank of China (Macau) Limited</t>
        </is>
      </c>
      <c r="C137" s="2" t="inlineStr">
        <is>
          <t>47129069</t>
        </is>
      </c>
      <c r="D137" s="2" t="inlineStr">
        <is>
          <t>AUD2026-12 ICBCM</t>
        </is>
      </c>
      <c r="E137" s="2" t="inlineStr">
        <is>
          <t>Order47129069- 260731001</t>
        </is>
      </c>
      <c r="F137" s="2" t="inlineStr">
        <is>
          <t>47129069- EDC260731001</t>
        </is>
      </c>
      <c r="G137" s="2" t="inlineStr">
        <is>
          <t>Vivi.W.Yang@cn.ey.com</t>
        </is>
      </c>
      <c r="H137" s="2" t="inlineStr">
        <is>
          <t>Week26 (2026.12.26)</t>
        </is>
      </c>
      <c r="I137" s="2" t="n">
        <v>1.94</v>
      </c>
    </row>
    <row r="138">
      <c r="A138" s="2" t="inlineStr">
        <is>
          <t>ICBC</t>
        </is>
      </c>
      <c r="B138" s="2" t="inlineStr">
        <is>
          <t>Industrial And Commercial Bank of China (Asia) Limited</t>
        </is>
      </c>
      <c r="C138" s="2" t="inlineStr">
        <is>
          <t>47129548</t>
        </is>
      </c>
      <c r="D138" s="2" t="inlineStr">
        <is>
          <t>AUD2026-12 ICBCA</t>
        </is>
      </c>
      <c r="E138" s="2" t="inlineStr">
        <is>
          <t>Order47129548- 260501002</t>
        </is>
      </c>
      <c r="F138" s="2" t="inlineStr">
        <is>
          <t>47129548- EDC260501001</t>
        </is>
      </c>
      <c r="G138" s="2" t="inlineStr">
        <is>
          <t>Luna.CD.Zhang@cn.ey.com</t>
        </is>
      </c>
      <c r="H138" s="2" t="inlineStr">
        <is>
          <t>Week26 (2026.12.26)</t>
        </is>
      </c>
      <c r="I138" s="2" t="n">
        <v>23.04</v>
      </c>
    </row>
    <row r="139">
      <c r="A139" s="2" t="inlineStr">
        <is>
          <t>ICBC</t>
        </is>
      </c>
      <c r="B139" s="2" t="inlineStr">
        <is>
          <t>Industrial And Commercial Bank of China (Asia) Limited</t>
        </is>
      </c>
      <c r="C139" s="2" t="inlineStr">
        <is>
          <t>47129548</t>
        </is>
      </c>
      <c r="D139" s="2" t="inlineStr">
        <is>
          <t>AUD2026-12 ICBCA</t>
        </is>
      </c>
      <c r="E139" s="2" t="inlineStr">
        <is>
          <t>Order47129548- 260501002</t>
        </is>
      </c>
      <c r="F139" s="2" t="inlineStr">
        <is>
          <t>47129548- EDC260501001</t>
        </is>
      </c>
      <c r="G139" s="2" t="inlineStr">
        <is>
          <t>Marsh.Ma@cn.ey.com</t>
        </is>
      </c>
      <c r="H139" s="2" t="inlineStr">
        <is>
          <t>Week26 (2026.12.26)</t>
        </is>
      </c>
      <c r="I139" s="2" t="n">
        <v>5.11</v>
      </c>
    </row>
    <row r="140">
      <c r="A140" s="2" t="inlineStr">
        <is>
          <t>ICBC</t>
        </is>
      </c>
      <c r="B140" s="2" t="inlineStr">
        <is>
          <t>Industrial And Commercial Bank of China (Asia) Limited</t>
        </is>
      </c>
      <c r="C140" s="2" t="inlineStr">
        <is>
          <t>47129548</t>
        </is>
      </c>
      <c r="D140" s="2" t="inlineStr">
        <is>
          <t>AUD2026-12 ICBCA</t>
        </is>
      </c>
      <c r="E140" s="2" t="inlineStr">
        <is>
          <t>Order47129548- 260501002</t>
        </is>
      </c>
      <c r="F140" s="2" t="inlineStr">
        <is>
          <t>47129548- EDC260501001</t>
        </is>
      </c>
      <c r="G140" s="2" t="inlineStr">
        <is>
          <t>Vivi.W.Yang@cn.ey.com</t>
        </is>
      </c>
      <c r="H140" s="2" t="inlineStr">
        <is>
          <t>Week26 (2026.12.26)</t>
        </is>
      </c>
      <c r="I140" s="2" t="n">
        <v>14.05</v>
      </c>
    </row>
    <row r="141">
      <c r="A141" s="2" t="inlineStr">
        <is>
          <t>PE</t>
        </is>
      </c>
      <c r="B141" s="2" t="inlineStr">
        <is>
          <t>Shanghai Xinze Sanhe Venture Investment LP</t>
        </is>
      </c>
      <c r="C141" s="2" t="inlineStr">
        <is>
          <t>47127971</t>
        </is>
      </c>
      <c r="D141" s="2" t="inlineStr">
        <is>
          <t>AUD2026-12 Xingze Fund</t>
        </is>
      </c>
      <c r="E141" s="2" t="inlineStr">
        <is>
          <t>Order47127971- 260501004</t>
        </is>
      </c>
      <c r="F141" s="2" t="inlineStr">
        <is>
          <t>47127971- EDC260501001</t>
        </is>
      </c>
      <c r="G141" s="2" t="inlineStr">
        <is>
          <t>Luna.CD.Zhang@cn.ey.com</t>
        </is>
      </c>
      <c r="H141" s="2" t="inlineStr">
        <is>
          <t>Week27 (2027.01.02)</t>
        </is>
      </c>
      <c r="I141" s="2" t="n">
        <v>24.89</v>
      </c>
    </row>
    <row r="142">
      <c r="A142" s="2" t="inlineStr">
        <is>
          <t>PE</t>
        </is>
      </c>
      <c r="B142" s="2" t="inlineStr">
        <is>
          <t>Shanghai Xinze Sanhe Venture Investment LP</t>
        </is>
      </c>
      <c r="C142" s="2" t="inlineStr">
        <is>
          <t>47127971</t>
        </is>
      </c>
      <c r="D142" s="2" t="inlineStr">
        <is>
          <t>AUD2026-12 Xingze Fund</t>
        </is>
      </c>
      <c r="E142" s="2" t="inlineStr">
        <is>
          <t>Order47127971- 260501004</t>
        </is>
      </c>
      <c r="F142" s="2" t="inlineStr">
        <is>
          <t>47127971- EDC260501001</t>
        </is>
      </c>
      <c r="G142" s="2" t="inlineStr">
        <is>
          <t>Marsh.Ma@cn.ey.com</t>
        </is>
      </c>
      <c r="H142" s="2" t="inlineStr">
        <is>
          <t>Week27 (2027.01.02)</t>
        </is>
      </c>
      <c r="I142" s="2" t="n">
        <v>2.84</v>
      </c>
    </row>
    <row r="143">
      <c r="A143" s="2" t="inlineStr">
        <is>
          <t>PE</t>
        </is>
      </c>
      <c r="B143" s="2" t="inlineStr">
        <is>
          <t>Shanghai Xinze Sanhe Venture Investment LP</t>
        </is>
      </c>
      <c r="C143" s="2" t="inlineStr">
        <is>
          <t>47127971</t>
        </is>
      </c>
      <c r="D143" s="2" t="inlineStr">
        <is>
          <t>AUD2026-12 Xingze Fund</t>
        </is>
      </c>
      <c r="E143" s="2" t="inlineStr">
        <is>
          <t>Order47127971- 260501004</t>
        </is>
      </c>
      <c r="F143" s="2" t="inlineStr">
        <is>
          <t>47127971- EDC260501001</t>
        </is>
      </c>
      <c r="G143" s="2" t="inlineStr">
        <is>
          <t>Vivi.W.Yang@cn.ey.com</t>
        </is>
      </c>
      <c r="H143" s="2" t="inlineStr">
        <is>
          <t>Week27 (2027.01.02)</t>
        </is>
      </c>
      <c r="I143" s="2" t="n">
        <v>7.82</v>
      </c>
    </row>
    <row r="144">
      <c r="A144" s="2" t="inlineStr">
        <is>
          <t>公募</t>
        </is>
      </c>
      <c r="B144" s="2" t="inlineStr">
        <is>
          <t>FORTUNE &amp; ROYAL ASSET MANAGEMENT CORPORATION LIMITED</t>
        </is>
      </c>
      <c r="C144" s="2" t="inlineStr">
        <is>
          <t>47128046</t>
        </is>
      </c>
      <c r="D144" s="2" t="inlineStr">
        <is>
          <t>AUD2026-12 FR Funds</t>
        </is>
      </c>
      <c r="E144" s="2" t="inlineStr">
        <is>
          <t>Order47128046- 260501004</t>
        </is>
      </c>
      <c r="F144" s="2" t="inlineStr">
        <is>
          <t>47128046- EDC260504001</t>
        </is>
      </c>
      <c r="G144" s="2" t="inlineStr">
        <is>
          <t>Marsh.Ma@cn.ey.com</t>
        </is>
      </c>
      <c r="H144" s="2" t="inlineStr">
        <is>
          <t>Week27 (2027.01.02)</t>
        </is>
      </c>
      <c r="I144" s="2" t="n">
        <v>1.22</v>
      </c>
    </row>
    <row r="145">
      <c r="A145" s="2" t="inlineStr">
        <is>
          <t>公募</t>
        </is>
      </c>
      <c r="B145" s="2" t="inlineStr">
        <is>
          <t>FORTUNE &amp; ROYAL ASSET MANAGEMENT CORPORATION LIMITED</t>
        </is>
      </c>
      <c r="C145" s="2" t="inlineStr">
        <is>
          <t>47128046</t>
        </is>
      </c>
      <c r="D145" s="2" t="inlineStr">
        <is>
          <t>AUD2026-12 FR Funds</t>
        </is>
      </c>
      <c r="E145" s="2" t="inlineStr">
        <is>
          <t>Order47128046- 260501004</t>
        </is>
      </c>
      <c r="F145" s="2" t="inlineStr">
        <is>
          <t>47128046- EDC260504001</t>
        </is>
      </c>
      <c r="G145" s="2" t="inlineStr">
        <is>
          <t>Yuan.Yuan.YY.Chen@cn.ey.com</t>
        </is>
      </c>
      <c r="H145" s="2" t="inlineStr">
        <is>
          <t>Week27 (2027.01.02)</t>
        </is>
      </c>
      <c r="I145" s="2" t="n">
        <v>14.05</v>
      </c>
    </row>
    <row r="146">
      <c r="A146" s="2" t="inlineStr">
        <is>
          <t>PE</t>
        </is>
      </c>
      <c r="B146" s="2" t="inlineStr">
        <is>
          <t>EverYi Capital Asia Fund, L.P.</t>
        </is>
      </c>
      <c r="C146" s="2" t="inlineStr">
        <is>
          <t>47128108</t>
        </is>
      </c>
      <c r="D146" s="2" t="inlineStr">
        <is>
          <t>AUD2026-12 EverYi Capital</t>
        </is>
      </c>
      <c r="E146" s="2" t="inlineStr">
        <is>
          <t>Order47128108- 260501005</t>
        </is>
      </c>
      <c r="F146" s="2" t="inlineStr">
        <is>
          <t>47128108- EDC260504001</t>
        </is>
      </c>
      <c r="G146" s="2" t="inlineStr">
        <is>
          <t>Marsh.Ma@cn.ey.com</t>
        </is>
      </c>
      <c r="H146" s="2" t="inlineStr">
        <is>
          <t>Week27 (2027.01.02)</t>
        </is>
      </c>
      <c r="I146" s="2" t="n">
        <v>1.19</v>
      </c>
    </row>
    <row r="147">
      <c r="A147" s="2" t="inlineStr">
        <is>
          <t>PE</t>
        </is>
      </c>
      <c r="B147" s="2" t="inlineStr">
        <is>
          <t>EverYi Capital Asia Fund, L.P.</t>
        </is>
      </c>
      <c r="C147" s="2" t="inlineStr">
        <is>
          <t>47128108</t>
        </is>
      </c>
      <c r="D147" s="2" t="inlineStr">
        <is>
          <t>AUD2026-12 EverYi Capital</t>
        </is>
      </c>
      <c r="E147" s="2" t="inlineStr">
        <is>
          <t>Order47128108- 260501005</t>
        </is>
      </c>
      <c r="F147" s="2" t="inlineStr">
        <is>
          <t>47128108- EDC260504001</t>
        </is>
      </c>
      <c r="G147" s="2" t="inlineStr">
        <is>
          <t>Vivi.W.Yang@cn.ey.com</t>
        </is>
      </c>
      <c r="H147" s="2" t="inlineStr">
        <is>
          <t>Week27 (2027.01.02)</t>
        </is>
      </c>
      <c r="I147" s="2" t="n">
        <v>3.28</v>
      </c>
    </row>
    <row r="148">
      <c r="A148" s="2" t="inlineStr">
        <is>
          <t>PE</t>
        </is>
      </c>
      <c r="B148" s="2" t="inlineStr">
        <is>
          <t>Mirae Asset Alternative Investment Management (Shanghai) Co., Ltd.</t>
        </is>
      </c>
      <c r="C148" s="2" t="inlineStr">
        <is>
          <t>47128154</t>
        </is>
      </c>
      <c r="D148" s="2" t="inlineStr">
        <is>
          <t>AUD2026-12 Mirae Asset</t>
        </is>
      </c>
      <c r="E148" s="2" t="inlineStr">
        <is>
          <t>Order47128154- 260501004</t>
        </is>
      </c>
      <c r="F148" s="2" t="inlineStr">
        <is>
          <t>47128154- EDC260504001</t>
        </is>
      </c>
      <c r="G148" s="2" t="inlineStr">
        <is>
          <t>Luna.CD.Zhang@cn.ey.com</t>
        </is>
      </c>
      <c r="H148" s="2" t="inlineStr">
        <is>
          <t>Week27 (2027.01.02)</t>
        </is>
      </c>
      <c r="I148" s="2" t="n">
        <v>16.65</v>
      </c>
    </row>
    <row r="149">
      <c r="A149" s="2" t="inlineStr">
        <is>
          <t>PE</t>
        </is>
      </c>
      <c r="B149" s="2" t="inlineStr">
        <is>
          <t>Mirae Asset Alternative Investment Management (Shanghai) Co., Ltd.</t>
        </is>
      </c>
      <c r="C149" s="2" t="inlineStr">
        <is>
          <t>47128154</t>
        </is>
      </c>
      <c r="D149" s="2" t="inlineStr">
        <is>
          <t>AUD2026-12 Mirae Asset</t>
        </is>
      </c>
      <c r="E149" s="2" t="inlineStr">
        <is>
          <t>Order47128154- 260501004</t>
        </is>
      </c>
      <c r="F149" s="2" t="inlineStr">
        <is>
          <t>47128154- EDC260504001</t>
        </is>
      </c>
      <c r="G149" s="2" t="inlineStr">
        <is>
          <t>Marsh.Ma@cn.ey.com</t>
        </is>
      </c>
      <c r="H149" s="2" t="inlineStr">
        <is>
          <t>Week27 (2027.01.02)</t>
        </is>
      </c>
      <c r="I149" s="2" t="n">
        <v>3.14</v>
      </c>
    </row>
    <row r="150">
      <c r="A150" s="2" t="inlineStr">
        <is>
          <t>PE</t>
        </is>
      </c>
      <c r="B150" s="2" t="inlineStr">
        <is>
          <t>Mirae Asset Alternative Investment Management (Shanghai) Co., Ltd.</t>
        </is>
      </c>
      <c r="C150" s="2" t="inlineStr">
        <is>
          <t>47128154</t>
        </is>
      </c>
      <c r="D150" s="2" t="inlineStr">
        <is>
          <t>AUD2026-12 Mirae Asset</t>
        </is>
      </c>
      <c r="E150" s="2" t="inlineStr">
        <is>
          <t>Order47128154- 260501004</t>
        </is>
      </c>
      <c r="F150" s="2" t="inlineStr">
        <is>
          <t>47128154- EDC260504001</t>
        </is>
      </c>
      <c r="G150" s="2" t="inlineStr">
        <is>
          <t>Vivi.W.Yang@cn.ey.com</t>
        </is>
      </c>
      <c r="H150" s="2" t="inlineStr">
        <is>
          <t>Week27 (2027.01.02)</t>
        </is>
      </c>
      <c r="I150" s="2" t="n">
        <v>8.619999999999999</v>
      </c>
    </row>
    <row r="151">
      <c r="A151" s="2" t="inlineStr">
        <is>
          <t>公募</t>
        </is>
      </c>
      <c r="B151" s="2" t="inlineStr">
        <is>
          <t>Great Wall Fund Management Co., Ltd</t>
        </is>
      </c>
      <c r="C151" s="2" t="inlineStr">
        <is>
          <t>47128364</t>
        </is>
      </c>
      <c r="D151" s="2" t="inlineStr">
        <is>
          <t>AUD2026-12 Great Wall Funds</t>
        </is>
      </c>
      <c r="E151" s="2" t="inlineStr">
        <is>
          <t>Order47128364- 260501004</t>
        </is>
      </c>
      <c r="F151" s="2" t="inlineStr">
        <is>
          <t>47128364- EDC260501001</t>
        </is>
      </c>
      <c r="G151" s="2" t="inlineStr">
        <is>
          <t>InternA</t>
        </is>
      </c>
      <c r="H151" s="2" t="inlineStr">
        <is>
          <t>Week27 (2027.01.02)</t>
        </is>
      </c>
      <c r="I151" s="2" t="n">
        <v>28.46</v>
      </c>
    </row>
    <row r="152">
      <c r="A152" s="2" t="inlineStr">
        <is>
          <t>公募</t>
        </is>
      </c>
      <c r="B152" s="2" t="inlineStr">
        <is>
          <t>Great Wall Fund Management Co., Ltd</t>
        </is>
      </c>
      <c r="C152" s="2" t="inlineStr">
        <is>
          <t>47128364</t>
        </is>
      </c>
      <c r="D152" s="2" t="inlineStr">
        <is>
          <t>AUD2026-12 Great Wall Funds</t>
        </is>
      </c>
      <c r="E152" s="2" t="inlineStr">
        <is>
          <t>Order47128364- 260501004</t>
        </is>
      </c>
      <c r="F152" s="2" t="inlineStr">
        <is>
          <t>47128364- EDC260501001</t>
        </is>
      </c>
      <c r="G152" s="2" t="inlineStr">
        <is>
          <t>Marsh.Ma@cn.ey.com</t>
        </is>
      </c>
      <c r="H152" s="2" t="inlineStr">
        <is>
          <t>Week27 (2027.01.02)</t>
        </is>
      </c>
      <c r="I152" s="2" t="n">
        <v>6.95</v>
      </c>
    </row>
    <row r="153">
      <c r="A153" s="2" t="inlineStr">
        <is>
          <t>公募</t>
        </is>
      </c>
      <c r="B153" s="2" t="inlineStr">
        <is>
          <t>Great Wall Fund Management Co., Ltd</t>
        </is>
      </c>
      <c r="C153" s="2" t="inlineStr">
        <is>
          <t>47128364</t>
        </is>
      </c>
      <c r="D153" s="2" t="inlineStr">
        <is>
          <t>AUD2026-12 Great Wall Funds</t>
        </is>
      </c>
      <c r="E153" s="2" t="inlineStr">
        <is>
          <t>Order47128364- 260501004</t>
        </is>
      </c>
      <c r="F153" s="2" t="inlineStr">
        <is>
          <t>47128364- EDC260501001</t>
        </is>
      </c>
      <c r="G153" s="2" t="inlineStr">
        <is>
          <t>Rainbow.MG.Xiao@cn.ey.com</t>
        </is>
      </c>
      <c r="H153" s="2" t="inlineStr">
        <is>
          <t>Week27 (2027.01.02)</t>
        </is>
      </c>
      <c r="I153" s="2" t="n">
        <v>60</v>
      </c>
    </row>
    <row r="154">
      <c r="A154" s="2" t="inlineStr">
        <is>
          <t>公募</t>
        </is>
      </c>
      <c r="B154" s="2" t="inlineStr">
        <is>
          <t>Great Wall Fund Management Co., Ltd</t>
        </is>
      </c>
      <c r="C154" s="2" t="inlineStr">
        <is>
          <t>47128364</t>
        </is>
      </c>
      <c r="D154" s="2" t="inlineStr">
        <is>
          <t>AUD2026-12 Great Wall Funds</t>
        </is>
      </c>
      <c r="E154" s="2" t="inlineStr">
        <is>
          <t>Order47128364- 260501004</t>
        </is>
      </c>
      <c r="F154" s="2" t="inlineStr">
        <is>
          <t>47128364- EDC260501001</t>
        </is>
      </c>
      <c r="G154" s="2" t="inlineStr">
        <is>
          <t>Yuan.Yuan.YY.Chen@cn.ey.com</t>
        </is>
      </c>
      <c r="H154" s="2" t="inlineStr">
        <is>
          <t>Week27 (2027.01.02)</t>
        </is>
      </c>
      <c r="I154" s="2" t="n">
        <v>22.25</v>
      </c>
    </row>
    <row r="155">
      <c r="A155" s="2" t="inlineStr">
        <is>
          <t>公募</t>
        </is>
      </c>
      <c r="B155" s="2" t="inlineStr">
        <is>
          <t>Ping An Fund Management Company Limited</t>
        </is>
      </c>
      <c r="C155" s="2" t="inlineStr">
        <is>
          <t>47128421</t>
        </is>
      </c>
      <c r="D155" s="2" t="inlineStr">
        <is>
          <t>AUD2026-12 PA Funds</t>
        </is>
      </c>
      <c r="E155" s="2" t="inlineStr">
        <is>
          <t>Order47128421- 260501003</t>
        </is>
      </c>
      <c r="F155" s="2" t="inlineStr">
        <is>
          <t>47128421- EDC260501001</t>
        </is>
      </c>
      <c r="G155" s="2" t="inlineStr">
        <is>
          <t>Marsh.Ma@cn.ey.com</t>
        </is>
      </c>
      <c r="H155" s="2" t="inlineStr">
        <is>
          <t>Week27 (2027.01.02)</t>
        </is>
      </c>
      <c r="I155" s="2" t="n">
        <v>2.06</v>
      </c>
    </row>
    <row r="156">
      <c r="A156" s="2" t="inlineStr">
        <is>
          <t>公募</t>
        </is>
      </c>
      <c r="B156" s="2" t="inlineStr">
        <is>
          <t>Ping An Fund Management Company Limited</t>
        </is>
      </c>
      <c r="C156" s="2" t="inlineStr">
        <is>
          <t>47128421</t>
        </is>
      </c>
      <c r="D156" s="2" t="inlineStr">
        <is>
          <t>AUD2026-12 PA Funds</t>
        </is>
      </c>
      <c r="E156" s="2" t="inlineStr">
        <is>
          <t>Order47128421- 260501003</t>
        </is>
      </c>
      <c r="F156" s="2" t="inlineStr">
        <is>
          <t>47128421- EDC260501001</t>
        </is>
      </c>
      <c r="G156" s="2" t="inlineStr">
        <is>
          <t>Yuan.Yuan.YY.Chen@cn.ey.com</t>
        </is>
      </c>
      <c r="H156" s="2" t="inlineStr">
        <is>
          <t>Week27 (2027.01.02)</t>
        </is>
      </c>
      <c r="I156" s="2" t="n">
        <v>23.7</v>
      </c>
    </row>
    <row r="157">
      <c r="A157" s="2" t="inlineStr">
        <is>
          <t>PE</t>
        </is>
      </c>
      <c r="B157" s="2" t="inlineStr">
        <is>
          <t>Shanghai Xinze Sanhe Venture Investment LP</t>
        </is>
      </c>
      <c r="C157" s="2" t="inlineStr">
        <is>
          <t>47128472</t>
        </is>
      </c>
      <c r="D157" s="2" t="inlineStr">
        <is>
          <t>AUD2026-12 Xingze Management</t>
        </is>
      </c>
      <c r="E157" s="2" t="inlineStr">
        <is>
          <t>Order47128472- 260501003</t>
        </is>
      </c>
      <c r="F157" s="2" t="inlineStr">
        <is>
          <t>47128472- EDC260501001</t>
        </is>
      </c>
      <c r="G157" s="2" t="inlineStr">
        <is>
          <t>Marsh.Ma@cn.ey.com</t>
        </is>
      </c>
      <c r="H157" s="2" t="inlineStr">
        <is>
          <t>Week27 (2027.01.02)</t>
        </is>
      </c>
      <c r="I157" s="2" t="n">
        <v>0.17</v>
      </c>
    </row>
    <row r="158">
      <c r="A158" s="2" t="inlineStr">
        <is>
          <t>PE</t>
        </is>
      </c>
      <c r="B158" s="2" t="inlineStr">
        <is>
          <t>Shanghai Xinze Sanhe Venture Investment LP</t>
        </is>
      </c>
      <c r="C158" s="2" t="inlineStr">
        <is>
          <t>47128472</t>
        </is>
      </c>
      <c r="D158" s="2" t="inlineStr">
        <is>
          <t>AUD2026-12 Xingze Management</t>
        </is>
      </c>
      <c r="E158" s="2" t="inlineStr">
        <is>
          <t>Order47128472- 260501003</t>
        </is>
      </c>
      <c r="F158" s="2" t="inlineStr">
        <is>
          <t>47128472- EDC260501001</t>
        </is>
      </c>
      <c r="G158" s="2" t="inlineStr">
        <is>
          <t>Vivi.W.Yang@cn.ey.com</t>
        </is>
      </c>
      <c r="H158" s="2" t="inlineStr">
        <is>
          <t>Week27 (2027.01.02)</t>
        </is>
      </c>
      <c r="I158" s="2" t="n">
        <v>0.47</v>
      </c>
    </row>
    <row r="159">
      <c r="A159" s="2" t="inlineStr">
        <is>
          <t>PE</t>
        </is>
      </c>
      <c r="B159" s="2" t="inlineStr">
        <is>
          <t>Xiamen Fuhai New Materials Phase Iii Venture Capital Partnership Enterprise(Limi ted Partnership)</t>
        </is>
      </c>
      <c r="C159" s="2" t="inlineStr">
        <is>
          <t>47128515</t>
        </is>
      </c>
      <c r="D159" s="2" t="inlineStr">
        <is>
          <t>AUD2026-12 OFC Fund</t>
        </is>
      </c>
      <c r="E159" s="2" t="inlineStr">
        <is>
          <t>Order47128515- 260501002</t>
        </is>
      </c>
      <c r="F159" s="2" t="inlineStr">
        <is>
          <t>47128515- EDC260501001</t>
        </is>
      </c>
      <c r="G159" s="2" t="inlineStr">
        <is>
          <t>Marsh.Ma@cn.ey.com</t>
        </is>
      </c>
      <c r="H159" s="2" t="inlineStr">
        <is>
          <t>Week27 (2027.01.02)</t>
        </is>
      </c>
      <c r="I159" s="2" t="n">
        <v>0.12</v>
      </c>
    </row>
    <row r="160">
      <c r="A160" s="2" t="inlineStr">
        <is>
          <t>PE</t>
        </is>
      </c>
      <c r="B160" s="2" t="inlineStr">
        <is>
          <t>Xiamen Fuhai New Materials Phase Iii Venture Capital Partnership Enterprise(Limi ted Partnership)</t>
        </is>
      </c>
      <c r="C160" s="2" t="inlineStr">
        <is>
          <t>47128515</t>
        </is>
      </c>
      <c r="D160" s="2" t="inlineStr">
        <is>
          <t>AUD2026-12 OFC Fund</t>
        </is>
      </c>
      <c r="E160" s="2" t="inlineStr">
        <is>
          <t>Order47128515- 260501002</t>
        </is>
      </c>
      <c r="F160" s="2" t="inlineStr">
        <is>
          <t>47128515- EDC260501001</t>
        </is>
      </c>
      <c r="G160" s="2" t="inlineStr">
        <is>
          <t>Vivi.W.Yang@cn.ey.com</t>
        </is>
      </c>
      <c r="H160" s="2" t="inlineStr">
        <is>
          <t>Week27 (2027.01.02)</t>
        </is>
      </c>
      <c r="I160" s="2" t="n">
        <v>0.34</v>
      </c>
    </row>
    <row r="161">
      <c r="A161" s="2" t="inlineStr">
        <is>
          <t>公募</t>
        </is>
      </c>
      <c r="B161" s="2" t="inlineStr">
        <is>
          <t>Hang Seng Qianhai Fund Management Company Limited</t>
        </is>
      </c>
      <c r="C161" s="2" t="inlineStr">
        <is>
          <t>47128633</t>
        </is>
      </c>
      <c r="D161" s="2" t="inlineStr">
        <is>
          <t>AUD2026-12 HSQH Funds</t>
        </is>
      </c>
      <c r="E161" s="2" t="inlineStr">
        <is>
          <t>Order47128633- 260501004</t>
        </is>
      </c>
      <c r="F161" s="2" t="inlineStr">
        <is>
          <t>47128633- EDC260501001</t>
        </is>
      </c>
      <c r="G161" s="2" t="inlineStr">
        <is>
          <t>InternB</t>
        </is>
      </c>
      <c r="H161" s="2" t="inlineStr">
        <is>
          <t>Week27 (2027.01.02)</t>
        </is>
      </c>
      <c r="I161" s="2" t="n">
        <v>15.22</v>
      </c>
    </row>
    <row r="162">
      <c r="A162" s="2" t="inlineStr">
        <is>
          <t>公募</t>
        </is>
      </c>
      <c r="B162" s="2" t="inlineStr">
        <is>
          <t>Hang Seng Qianhai Fund Management Company Limited</t>
        </is>
      </c>
      <c r="C162" s="2" t="inlineStr">
        <is>
          <t>47128633</t>
        </is>
      </c>
      <c r="D162" s="2" t="inlineStr">
        <is>
          <t>AUD2026-12 HSQH Funds</t>
        </is>
      </c>
      <c r="E162" s="2" t="inlineStr">
        <is>
          <t>Order47128633- 260501004</t>
        </is>
      </c>
      <c r="F162" s="2" t="inlineStr">
        <is>
          <t>47128633- EDC260501001</t>
        </is>
      </c>
      <c r="G162" s="2" t="inlineStr">
        <is>
          <t>Marsh.Ma@cn.ey.com</t>
        </is>
      </c>
      <c r="H162" s="2" t="inlineStr">
        <is>
          <t>Week27 (2027.01.02)</t>
        </is>
      </c>
      <c r="I162" s="2" t="n">
        <v>0.73</v>
      </c>
    </row>
    <row r="163">
      <c r="A163" s="2" t="inlineStr">
        <is>
          <t>PE</t>
        </is>
      </c>
      <c r="B163" s="2" t="inlineStr">
        <is>
          <t>Vivo (Suzhou) Health Industry Investment Fund Limited Partnership</t>
        </is>
      </c>
      <c r="C163" s="2" t="inlineStr">
        <is>
          <t>47128684</t>
        </is>
      </c>
      <c r="D163" s="2" t="inlineStr">
        <is>
          <t>AUD2026-12 Vivo Capital</t>
        </is>
      </c>
      <c r="E163" s="2" t="inlineStr">
        <is>
          <t>Order47128684- 260501004</t>
        </is>
      </c>
      <c r="F163" s="2" t="inlineStr">
        <is>
          <t>47128684- EDC260501001</t>
        </is>
      </c>
      <c r="G163" s="2" t="inlineStr">
        <is>
          <t>Marsh.Ma@cn.ey.com</t>
        </is>
      </c>
      <c r="H163" s="2" t="inlineStr">
        <is>
          <t>Week27 (2027.01.02)</t>
        </is>
      </c>
      <c r="I163" s="2" t="n">
        <v>0.28</v>
      </c>
    </row>
    <row r="164">
      <c r="A164" s="2" t="inlineStr">
        <is>
          <t>PE</t>
        </is>
      </c>
      <c r="B164" s="2" t="inlineStr">
        <is>
          <t>Vivo (Suzhou) Health Industry Investment Fund Limited Partnership</t>
        </is>
      </c>
      <c r="C164" s="2" t="inlineStr">
        <is>
          <t>47128684</t>
        </is>
      </c>
      <c r="D164" s="2" t="inlineStr">
        <is>
          <t>AUD2026-12 Vivo Capital</t>
        </is>
      </c>
      <c r="E164" s="2" t="inlineStr">
        <is>
          <t>Order47128684- 260501004</t>
        </is>
      </c>
      <c r="F164" s="2" t="inlineStr">
        <is>
          <t>47128684- EDC260501001</t>
        </is>
      </c>
      <c r="G164" s="2" t="inlineStr">
        <is>
          <t>Vivi.W.Yang@cn.ey.com</t>
        </is>
      </c>
      <c r="H164" s="2" t="inlineStr">
        <is>
          <t>Week27 (2027.01.02)</t>
        </is>
      </c>
      <c r="I164" s="2" t="n">
        <v>0.76</v>
      </c>
    </row>
    <row r="165">
      <c r="A165" s="2" t="inlineStr">
        <is>
          <t>公募</t>
        </is>
      </c>
      <c r="B165" s="2" t="inlineStr">
        <is>
          <t>Invesco Great Wall Fund Management Co.,Ltd.</t>
        </is>
      </c>
      <c r="C165" s="2" t="inlineStr">
        <is>
          <t>47128706</t>
        </is>
      </c>
      <c r="D165" s="2" t="inlineStr">
        <is>
          <t>AUD2026-12 Invesco GW Funds</t>
        </is>
      </c>
      <c r="E165" s="2" t="inlineStr">
        <is>
          <t>Order47128706- 260501003</t>
        </is>
      </c>
      <c r="F165" s="2" t="inlineStr">
        <is>
          <t>47128706- EDC260501001</t>
        </is>
      </c>
      <c r="G165" s="2" t="inlineStr">
        <is>
          <t>InternA</t>
        </is>
      </c>
      <c r="H165" s="2" t="inlineStr">
        <is>
          <t>Week27 (2027.01.02)</t>
        </is>
      </c>
      <c r="I165" s="2" t="n">
        <v>11.54</v>
      </c>
    </row>
    <row r="166">
      <c r="A166" s="2" t="inlineStr">
        <is>
          <t>公募</t>
        </is>
      </c>
      <c r="B166" s="2" t="inlineStr">
        <is>
          <t>Invesco Great Wall Fund Management Co.,Ltd.</t>
        </is>
      </c>
      <c r="C166" s="2" t="inlineStr">
        <is>
          <t>47128706</t>
        </is>
      </c>
      <c r="D166" s="2" t="inlineStr">
        <is>
          <t>AUD2026-12 Invesco GW Funds</t>
        </is>
      </c>
      <c r="E166" s="2" t="inlineStr">
        <is>
          <t>Order47128706- 260501003</t>
        </is>
      </c>
      <c r="F166" s="2" t="inlineStr">
        <is>
          <t>47128706- EDC260501001</t>
        </is>
      </c>
      <c r="G166" s="2" t="inlineStr">
        <is>
          <t>InternB</t>
        </is>
      </c>
      <c r="H166" s="2" t="inlineStr">
        <is>
          <t>Week27 (2027.01.02)</t>
        </is>
      </c>
      <c r="I166" s="2" t="n">
        <v>24.78</v>
      </c>
    </row>
    <row r="167">
      <c r="A167" s="2" t="inlineStr">
        <is>
          <t>公募</t>
        </is>
      </c>
      <c r="B167" s="2" t="inlineStr">
        <is>
          <t>Invesco Great Wall Fund Management Co.,Ltd.</t>
        </is>
      </c>
      <c r="C167" s="2" t="inlineStr">
        <is>
          <t>47128706</t>
        </is>
      </c>
      <c r="D167" s="2" t="inlineStr">
        <is>
          <t>AUD2026-12 Invesco GW Funds</t>
        </is>
      </c>
      <c r="E167" s="2" t="inlineStr">
        <is>
          <t>Order47128706- 260501003</t>
        </is>
      </c>
      <c r="F167" s="2" t="inlineStr">
        <is>
          <t>47128706- EDC260501001</t>
        </is>
      </c>
      <c r="G167" s="2" t="inlineStr">
        <is>
          <t>Marsh.Ma@cn.ey.com</t>
        </is>
      </c>
      <c r="H167" s="2" t="inlineStr">
        <is>
          <t>Week27 (2027.01.02)</t>
        </is>
      </c>
      <c r="I167" s="2" t="n">
        <v>1.58</v>
      </c>
    </row>
    <row r="168">
      <c r="A168" s="2" t="inlineStr">
        <is>
          <t>PE</t>
        </is>
      </c>
      <c r="B168" s="2" t="inlineStr">
        <is>
          <t>Shanghai Lingyi Investment Partnership (limited partnership)</t>
        </is>
      </c>
      <c r="C168" s="2" t="inlineStr">
        <is>
          <t>47128835</t>
        </is>
      </c>
      <c r="D168" s="2" t="inlineStr">
        <is>
          <t>AUD2026-12 01VC USD Fund</t>
        </is>
      </c>
      <c r="E168" s="2" t="inlineStr">
        <is>
          <t>Order47128835- 260501004</t>
        </is>
      </c>
      <c r="F168" s="2" t="inlineStr">
        <is>
          <t>47128835- EDC260501001</t>
        </is>
      </c>
      <c r="G168" s="2" t="inlineStr">
        <is>
          <t>Luna.CD.Zhang@cn.ey.com</t>
        </is>
      </c>
      <c r="H168" s="2" t="inlineStr">
        <is>
          <t>Week27 (2027.01.02)</t>
        </is>
      </c>
      <c r="I168" s="2" t="n">
        <v>18.46</v>
      </c>
    </row>
    <row r="169">
      <c r="A169" s="2" t="inlineStr">
        <is>
          <t>PE</t>
        </is>
      </c>
      <c r="B169" s="2" t="inlineStr">
        <is>
          <t>Shanghai Lingyi Investment Partnership (limited partnership)</t>
        </is>
      </c>
      <c r="C169" s="2" t="inlineStr">
        <is>
          <t>47128835</t>
        </is>
      </c>
      <c r="D169" s="2" t="inlineStr">
        <is>
          <t>AUD2026-12 01VC USD Fund</t>
        </is>
      </c>
      <c r="E169" s="2" t="inlineStr">
        <is>
          <t>Order47128835- 260501004</t>
        </is>
      </c>
      <c r="F169" s="2" t="inlineStr">
        <is>
          <t>47128835- EDC260501001</t>
        </is>
      </c>
      <c r="G169" s="2" t="inlineStr">
        <is>
          <t>Marsh.Ma@cn.ey.com</t>
        </is>
      </c>
      <c r="H169" s="2" t="inlineStr">
        <is>
          <t>Week27 (2027.01.02)</t>
        </is>
      </c>
      <c r="I169" s="2" t="n">
        <v>2.11</v>
      </c>
    </row>
    <row r="170">
      <c r="A170" s="2" t="inlineStr">
        <is>
          <t>PE</t>
        </is>
      </c>
      <c r="B170" s="2" t="inlineStr">
        <is>
          <t>Shanghai Lingyi Investment Partnership (limited partnership)</t>
        </is>
      </c>
      <c r="C170" s="2" t="inlineStr">
        <is>
          <t>47128835</t>
        </is>
      </c>
      <c r="D170" s="2" t="inlineStr">
        <is>
          <t>AUD2026-12 01VC USD Fund</t>
        </is>
      </c>
      <c r="E170" s="2" t="inlineStr">
        <is>
          <t>Order47128835- 260501004</t>
        </is>
      </c>
      <c r="F170" s="2" t="inlineStr">
        <is>
          <t>47128835- EDC260501001</t>
        </is>
      </c>
      <c r="G170" s="2" t="inlineStr">
        <is>
          <t>Vivi.W.Yang@cn.ey.com</t>
        </is>
      </c>
      <c r="H170" s="2" t="inlineStr">
        <is>
          <t>Week27 (2027.01.02)</t>
        </is>
      </c>
      <c r="I170" s="2" t="n">
        <v>5.8</v>
      </c>
    </row>
    <row r="171">
      <c r="A171" s="2" t="inlineStr">
        <is>
          <t>ICBC</t>
        </is>
      </c>
      <c r="B171" s="2" t="inlineStr">
        <is>
          <t>Industrial And Commercial Bank of China (Macau) Limited</t>
        </is>
      </c>
      <c r="C171" s="2" t="inlineStr">
        <is>
          <t>47129069</t>
        </is>
      </c>
      <c r="D171" s="2" t="inlineStr">
        <is>
          <t>AUD2026-12 ICBCM</t>
        </is>
      </c>
      <c r="E171" s="2" t="inlineStr">
        <is>
          <t>Order47129069- 260731001</t>
        </is>
      </c>
      <c r="F171" s="2" t="inlineStr">
        <is>
          <t>47129069- EDC260731001</t>
        </is>
      </c>
      <c r="G171" s="2" t="inlineStr">
        <is>
          <t>Marsh.Ma@cn.ey.com</t>
        </is>
      </c>
      <c r="H171" s="2" t="inlineStr">
        <is>
          <t>Week27 (2027.01.02)</t>
        </is>
      </c>
      <c r="I171" s="2" t="n">
        <v>0.7</v>
      </c>
    </row>
    <row r="172">
      <c r="A172" s="2" t="inlineStr">
        <is>
          <t>ICBC</t>
        </is>
      </c>
      <c r="B172" s="2" t="inlineStr">
        <is>
          <t>Industrial And Commercial Bank of China (Macau) Limited</t>
        </is>
      </c>
      <c r="C172" s="2" t="inlineStr">
        <is>
          <t>47129069</t>
        </is>
      </c>
      <c r="D172" s="2" t="inlineStr">
        <is>
          <t>AUD2026-12 ICBCM</t>
        </is>
      </c>
      <c r="E172" s="2" t="inlineStr">
        <is>
          <t>Order47129069- 260731001</t>
        </is>
      </c>
      <c r="F172" s="2" t="inlineStr">
        <is>
          <t>47129069- EDC260731001</t>
        </is>
      </c>
      <c r="G172" s="2" t="inlineStr">
        <is>
          <t>Vivi.W.Yang@cn.ey.com</t>
        </is>
      </c>
      <c r="H172" s="2" t="inlineStr">
        <is>
          <t>Week27 (2027.01.02)</t>
        </is>
      </c>
      <c r="I172" s="2" t="n">
        <v>1.94</v>
      </c>
    </row>
    <row r="173">
      <c r="A173" s="2" t="inlineStr">
        <is>
          <t>ICBC</t>
        </is>
      </c>
      <c r="B173" s="2" t="inlineStr">
        <is>
          <t>Industrial And Commercial Bank of China (Asia) Limited</t>
        </is>
      </c>
      <c r="C173" s="2" t="inlineStr">
        <is>
          <t>47129548</t>
        </is>
      </c>
      <c r="D173" s="2" t="inlineStr">
        <is>
          <t>AUD2026-12 ICBCA</t>
        </is>
      </c>
      <c r="E173" s="2" t="inlineStr">
        <is>
          <t>Order47129548- 260501002</t>
        </is>
      </c>
      <c r="F173" s="2" t="inlineStr">
        <is>
          <t>47129548- EDC260501001</t>
        </is>
      </c>
      <c r="G173" s="2" t="inlineStr">
        <is>
          <t>Marsh.Ma@cn.ey.com</t>
        </is>
      </c>
      <c r="H173" s="2" t="inlineStr">
        <is>
          <t>Week27 (2027.01.02)</t>
        </is>
      </c>
      <c r="I173" s="2" t="n">
        <v>5.11</v>
      </c>
    </row>
    <row r="174">
      <c r="A174" s="2" t="inlineStr">
        <is>
          <t>ICBC</t>
        </is>
      </c>
      <c r="B174" s="2" t="inlineStr">
        <is>
          <t>Industrial And Commercial Bank of China (Asia) Limited</t>
        </is>
      </c>
      <c r="C174" s="2" t="inlineStr">
        <is>
          <t>47129548</t>
        </is>
      </c>
      <c r="D174" s="2" t="inlineStr">
        <is>
          <t>AUD2026-12 ICBCA</t>
        </is>
      </c>
      <c r="E174" s="2" t="inlineStr">
        <is>
          <t>Order47129548- 260501002</t>
        </is>
      </c>
      <c r="F174" s="2" t="inlineStr">
        <is>
          <t>47129548- EDC260501001</t>
        </is>
      </c>
      <c r="G174" s="2" t="inlineStr">
        <is>
          <t>Vivi.W.Yang@cn.ey.com</t>
        </is>
      </c>
      <c r="H174" s="2" t="inlineStr">
        <is>
          <t>Week27 (2027.01.02)</t>
        </is>
      </c>
      <c r="I174" s="2" t="n">
        <v>14.05</v>
      </c>
    </row>
    <row r="175">
      <c r="A175" s="2" t="inlineStr">
        <is>
          <t>PE</t>
        </is>
      </c>
      <c r="B175" s="2" t="inlineStr">
        <is>
          <t>Shanghai Xinze Sanhe Venture Investment LP</t>
        </is>
      </c>
      <c r="C175" s="2" t="inlineStr">
        <is>
          <t>47127971</t>
        </is>
      </c>
      <c r="D175" s="2" t="inlineStr">
        <is>
          <t>AUD2026-12 Xingze Fund</t>
        </is>
      </c>
      <c r="E175" s="2" t="inlineStr">
        <is>
          <t>Order47127971- 260501004</t>
        </is>
      </c>
      <c r="F175" s="2" t="inlineStr">
        <is>
          <t>47127971- EDC260501001</t>
        </is>
      </c>
      <c r="G175" s="2" t="inlineStr">
        <is>
          <t>Luna.CD.Zhang@cn.ey.com</t>
        </is>
      </c>
      <c r="H175" s="2" t="inlineStr">
        <is>
          <t>Week28 (2027.01.09)</t>
        </is>
      </c>
      <c r="I175" s="2" t="n">
        <v>25.85</v>
      </c>
    </row>
    <row r="176">
      <c r="A176" s="2" t="inlineStr">
        <is>
          <t>PE</t>
        </is>
      </c>
      <c r="B176" s="2" t="inlineStr">
        <is>
          <t>Shanghai Xinze Sanhe Venture Investment LP</t>
        </is>
      </c>
      <c r="C176" s="2" t="inlineStr">
        <is>
          <t>47127971</t>
        </is>
      </c>
      <c r="D176" s="2" t="inlineStr">
        <is>
          <t>AUD2026-12 Xingze Fund</t>
        </is>
      </c>
      <c r="E176" s="2" t="inlineStr">
        <is>
          <t>Order47127971- 260501004</t>
        </is>
      </c>
      <c r="F176" s="2" t="inlineStr">
        <is>
          <t>47127971- EDC260501001</t>
        </is>
      </c>
      <c r="G176" s="2" t="inlineStr">
        <is>
          <t>Marsh.Ma@cn.ey.com</t>
        </is>
      </c>
      <c r="H176" s="2" t="inlineStr">
        <is>
          <t>Week28 (2027.01.09)</t>
        </is>
      </c>
      <c r="I176" s="2" t="n">
        <v>6.64</v>
      </c>
    </row>
    <row r="177">
      <c r="A177" s="2" t="inlineStr">
        <is>
          <t>PE</t>
        </is>
      </c>
      <c r="B177" s="2" t="inlineStr">
        <is>
          <t>Shanghai Xinze Sanhe Venture Investment LP</t>
        </is>
      </c>
      <c r="C177" s="2" t="inlineStr">
        <is>
          <t>47127971</t>
        </is>
      </c>
      <c r="D177" s="2" t="inlineStr">
        <is>
          <t>AUD2026-12 Xingze Fund</t>
        </is>
      </c>
      <c r="E177" s="2" t="inlineStr">
        <is>
          <t>Order47127971- 260501004</t>
        </is>
      </c>
      <c r="F177" s="2" t="inlineStr">
        <is>
          <t>47127971- EDC260501001</t>
        </is>
      </c>
      <c r="G177" s="2" t="inlineStr">
        <is>
          <t>Rainbow.MG.Xiao@cn.ey.com</t>
        </is>
      </c>
      <c r="H177" s="2" t="inlineStr">
        <is>
          <t>Week28 (2027.01.09)</t>
        </is>
      </c>
      <c r="I177" s="2" t="n">
        <v>12</v>
      </c>
    </row>
    <row r="178">
      <c r="A178" s="2" t="inlineStr">
        <is>
          <t>PE</t>
        </is>
      </c>
      <c r="B178" s="2" t="inlineStr">
        <is>
          <t>Shanghai Xinze Sanhe Venture Investment LP</t>
        </is>
      </c>
      <c r="C178" s="2" t="inlineStr">
        <is>
          <t>47127971</t>
        </is>
      </c>
      <c r="D178" s="2" t="inlineStr">
        <is>
          <t>AUD2026-12 Xingze Fund</t>
        </is>
      </c>
      <c r="E178" s="2" t="inlineStr">
        <is>
          <t>Order47127971- 260501004</t>
        </is>
      </c>
      <c r="F178" s="2" t="inlineStr">
        <is>
          <t>47127971- EDC260501001</t>
        </is>
      </c>
      <c r="G178" s="2" t="inlineStr">
        <is>
          <t>Vivi.W.Yang@cn.ey.com</t>
        </is>
      </c>
      <c r="H178" s="2" t="inlineStr">
        <is>
          <t>Week28 (2027.01.09)</t>
        </is>
      </c>
      <c r="I178" s="2" t="n">
        <v>18.25</v>
      </c>
    </row>
    <row r="179">
      <c r="A179" s="2" t="inlineStr">
        <is>
          <t>PE</t>
        </is>
      </c>
      <c r="B179" s="2" t="inlineStr">
        <is>
          <t>Shanghai Xinze Sanhe Venture Investment LP</t>
        </is>
      </c>
      <c r="C179" s="2" t="inlineStr">
        <is>
          <t>47127971</t>
        </is>
      </c>
      <c r="D179" s="2" t="inlineStr">
        <is>
          <t>AUD2026-12 Xingze Fund</t>
        </is>
      </c>
      <c r="E179" s="2" t="inlineStr">
        <is>
          <t>Order47127971- 260501004</t>
        </is>
      </c>
      <c r="F179" s="2" t="inlineStr">
        <is>
          <t>47127971- EDC260501001</t>
        </is>
      </c>
      <c r="G179" s="2" t="inlineStr">
        <is>
          <t>Yuan.Yuan.YY.Chen@cn.ey.com</t>
        </is>
      </c>
      <c r="H179" s="2" t="inlineStr">
        <is>
          <t>Week28 (2027.01.09)</t>
        </is>
      </c>
      <c r="I179" s="2" t="n">
        <v>12</v>
      </c>
    </row>
    <row r="180">
      <c r="A180" s="2" t="inlineStr">
        <is>
          <t>公募</t>
        </is>
      </c>
      <c r="B180" s="2" t="inlineStr">
        <is>
          <t>FORTUNE &amp; ROYAL ASSET MANAGEMENT CORPORATION LIMITED</t>
        </is>
      </c>
      <c r="C180" s="2" t="inlineStr">
        <is>
          <t>47128046</t>
        </is>
      </c>
      <c r="D180" s="2" t="inlineStr">
        <is>
          <t>AUD2026-12 FR Funds</t>
        </is>
      </c>
      <c r="E180" s="2" t="inlineStr">
        <is>
          <t>Order47128046- 260501004</t>
        </is>
      </c>
      <c r="F180" s="2" t="inlineStr">
        <is>
          <t>47128046- EDC260504001</t>
        </is>
      </c>
      <c r="G180" s="2" t="inlineStr">
        <is>
          <t>Marsh.Ma@cn.ey.com</t>
        </is>
      </c>
      <c r="H180" s="2" t="inlineStr">
        <is>
          <t>Week28 (2027.01.09)</t>
        </is>
      </c>
      <c r="I180" s="2" t="n">
        <v>1.22</v>
      </c>
    </row>
    <row r="181">
      <c r="A181" s="2" t="inlineStr">
        <is>
          <t>公募</t>
        </is>
      </c>
      <c r="B181" s="2" t="inlineStr">
        <is>
          <t>FORTUNE &amp; ROYAL ASSET MANAGEMENT CORPORATION LIMITED</t>
        </is>
      </c>
      <c r="C181" s="2" t="inlineStr">
        <is>
          <t>47128046</t>
        </is>
      </c>
      <c r="D181" s="2" t="inlineStr">
        <is>
          <t>AUD2026-12 FR Funds</t>
        </is>
      </c>
      <c r="E181" s="2" t="inlineStr">
        <is>
          <t>Order47128046- 260501004</t>
        </is>
      </c>
      <c r="F181" s="2" t="inlineStr">
        <is>
          <t>47128046- EDC260504001</t>
        </is>
      </c>
      <c r="G181" s="2" t="inlineStr">
        <is>
          <t>Yuan.Yuan.YY.Chen@cn.ey.com</t>
        </is>
      </c>
      <c r="H181" s="2" t="inlineStr">
        <is>
          <t>Week28 (2027.01.09)</t>
        </is>
      </c>
      <c r="I181" s="2" t="n">
        <v>14.05</v>
      </c>
    </row>
    <row r="182">
      <c r="A182" s="2" t="inlineStr">
        <is>
          <t>PE</t>
        </is>
      </c>
      <c r="B182" s="2" t="inlineStr">
        <is>
          <t>EverYi Capital Asia Fund, L.P.</t>
        </is>
      </c>
      <c r="C182" s="2" t="inlineStr">
        <is>
          <t>47128108</t>
        </is>
      </c>
      <c r="D182" s="2" t="inlineStr">
        <is>
          <t>AUD2026-12 EverYi Capital</t>
        </is>
      </c>
      <c r="E182" s="2" t="inlineStr">
        <is>
          <t>Order47128108- 260501005</t>
        </is>
      </c>
      <c r="F182" s="2" t="inlineStr">
        <is>
          <t>47128108- EDC260504001</t>
        </is>
      </c>
      <c r="G182" s="2" t="inlineStr">
        <is>
          <t>Marsh.Ma@cn.ey.com</t>
        </is>
      </c>
      <c r="H182" s="2" t="inlineStr">
        <is>
          <t>Week28 (2027.01.09)</t>
        </is>
      </c>
      <c r="I182" s="2" t="n">
        <v>1.19</v>
      </c>
    </row>
    <row r="183">
      <c r="A183" s="2" t="inlineStr">
        <is>
          <t>PE</t>
        </is>
      </c>
      <c r="B183" s="2" t="inlineStr">
        <is>
          <t>EverYi Capital Asia Fund, L.P.</t>
        </is>
      </c>
      <c r="C183" s="2" t="inlineStr">
        <is>
          <t>47128108</t>
        </is>
      </c>
      <c r="D183" s="2" t="inlineStr">
        <is>
          <t>AUD2026-12 EverYi Capital</t>
        </is>
      </c>
      <c r="E183" s="2" t="inlineStr">
        <is>
          <t>Order47128108- 260501005</t>
        </is>
      </c>
      <c r="F183" s="2" t="inlineStr">
        <is>
          <t>47128108- EDC260504001</t>
        </is>
      </c>
      <c r="G183" s="2" t="inlineStr">
        <is>
          <t>Vivi.W.Yang@cn.ey.com</t>
        </is>
      </c>
      <c r="H183" s="2" t="inlineStr">
        <is>
          <t>Week28 (2027.01.09)</t>
        </is>
      </c>
      <c r="I183" s="2" t="n">
        <v>3.28</v>
      </c>
    </row>
    <row r="184">
      <c r="A184" s="2" t="inlineStr">
        <is>
          <t>PE</t>
        </is>
      </c>
      <c r="B184" s="2" t="inlineStr">
        <is>
          <t>Mirae Asset Alternative Investment Management (Shanghai) Co., Ltd.</t>
        </is>
      </c>
      <c r="C184" s="2" t="inlineStr">
        <is>
          <t>47128154</t>
        </is>
      </c>
      <c r="D184" s="2" t="inlineStr">
        <is>
          <t>AUD2026-12 Mirae Asset</t>
        </is>
      </c>
      <c r="E184" s="2" t="inlineStr">
        <is>
          <t>Order47128154- 260501004</t>
        </is>
      </c>
      <c r="F184" s="2" t="inlineStr">
        <is>
          <t>47128154- EDC260504001</t>
        </is>
      </c>
      <c r="G184" s="2" t="inlineStr">
        <is>
          <t>Marsh.Ma@cn.ey.com</t>
        </is>
      </c>
      <c r="H184" s="2" t="inlineStr">
        <is>
          <t>Week28 (2027.01.09)</t>
        </is>
      </c>
      <c r="I184" s="2" t="n">
        <v>3.14</v>
      </c>
    </row>
    <row r="185">
      <c r="A185" s="2" t="inlineStr">
        <is>
          <t>PE</t>
        </is>
      </c>
      <c r="B185" s="2" t="inlineStr">
        <is>
          <t>Mirae Asset Alternative Investment Management (Shanghai) Co., Ltd.</t>
        </is>
      </c>
      <c r="C185" s="2" t="inlineStr">
        <is>
          <t>47128154</t>
        </is>
      </c>
      <c r="D185" s="2" t="inlineStr">
        <is>
          <t>AUD2026-12 Mirae Asset</t>
        </is>
      </c>
      <c r="E185" s="2" t="inlineStr">
        <is>
          <t>Order47128154- 260501004</t>
        </is>
      </c>
      <c r="F185" s="2" t="inlineStr">
        <is>
          <t>47128154- EDC260504001</t>
        </is>
      </c>
      <c r="G185" s="2" t="inlineStr">
        <is>
          <t>Vivi.W.Yang@cn.ey.com</t>
        </is>
      </c>
      <c r="H185" s="2" t="inlineStr">
        <is>
          <t>Week28 (2027.01.09)</t>
        </is>
      </c>
      <c r="I185" s="2" t="n">
        <v>8.619999999999999</v>
      </c>
    </row>
    <row r="186">
      <c r="A186" s="2" t="inlineStr">
        <is>
          <t>PE</t>
        </is>
      </c>
      <c r="B186" s="2" t="inlineStr">
        <is>
          <t>Hangzhou Huaxin Yunkai Equity Shares Investment Partnership Enterprise (Limited Partnership)</t>
        </is>
      </c>
      <c r="C186" s="2" t="inlineStr">
        <is>
          <t>47128202</t>
        </is>
      </c>
      <c r="D186" s="2" t="inlineStr">
        <is>
          <t>AUD2026-12 Hangzhou Huaxin</t>
        </is>
      </c>
      <c r="E186" s="2" t="inlineStr">
        <is>
          <t>Order47128202- 260501004</t>
        </is>
      </c>
      <c r="F186" s="2" t="inlineStr">
        <is>
          <t>47128202- EDC260501001</t>
        </is>
      </c>
      <c r="G186" s="2" t="inlineStr">
        <is>
          <t>Marsh.Ma@cn.ey.com</t>
        </is>
      </c>
      <c r="H186" s="2" t="inlineStr">
        <is>
          <t>Week28 (2027.01.09)</t>
        </is>
      </c>
      <c r="I186" s="2" t="n">
        <v>0.66</v>
      </c>
    </row>
    <row r="187">
      <c r="A187" s="2" t="inlineStr">
        <is>
          <t>PE</t>
        </is>
      </c>
      <c r="B187" s="2" t="inlineStr">
        <is>
          <t>Hangzhou Huaxin Yunkai Equity Shares Investment Partnership Enterprise (Limited Partnership)</t>
        </is>
      </c>
      <c r="C187" s="2" t="inlineStr">
        <is>
          <t>47128202</t>
        </is>
      </c>
      <c r="D187" s="2" t="inlineStr">
        <is>
          <t>AUD2026-12 Hangzhou Huaxin</t>
        </is>
      </c>
      <c r="E187" s="2" t="inlineStr">
        <is>
          <t>Order47128202- 260501004</t>
        </is>
      </c>
      <c r="F187" s="2" t="inlineStr">
        <is>
          <t>47128202- EDC260501001</t>
        </is>
      </c>
      <c r="G187" s="2" t="inlineStr">
        <is>
          <t>Vivi.W.Yang@cn.ey.com</t>
        </is>
      </c>
      <c r="H187" s="2" t="inlineStr">
        <is>
          <t>Week28 (2027.01.09)</t>
        </is>
      </c>
      <c r="I187" s="2" t="n">
        <v>1.8</v>
      </c>
    </row>
    <row r="188">
      <c r="A188" s="2" t="inlineStr">
        <is>
          <t>公募</t>
        </is>
      </c>
      <c r="B188" s="2" t="inlineStr">
        <is>
          <t>Great Wall Fund Management Co., Ltd</t>
        </is>
      </c>
      <c r="C188" s="2" t="inlineStr">
        <is>
          <t>47128364</t>
        </is>
      </c>
      <c r="D188" s="2" t="inlineStr">
        <is>
          <t>AUD2026-12 Great Wall Funds</t>
        </is>
      </c>
      <c r="E188" s="2" t="inlineStr">
        <is>
          <t>Order47128364- 260501004</t>
        </is>
      </c>
      <c r="F188" s="2" t="inlineStr">
        <is>
          <t>47128364- EDC260501001</t>
        </is>
      </c>
      <c r="G188" s="2" t="inlineStr">
        <is>
          <t>Marsh.Ma@cn.ey.com</t>
        </is>
      </c>
      <c r="H188" s="2" t="inlineStr">
        <is>
          <t>Week28 (2027.01.09)</t>
        </is>
      </c>
      <c r="I188" s="2" t="n">
        <v>6.95</v>
      </c>
    </row>
    <row r="189">
      <c r="A189" s="2" t="inlineStr">
        <is>
          <t>公募</t>
        </is>
      </c>
      <c r="B189" s="2" t="inlineStr">
        <is>
          <t>Great Wall Fund Management Co., Ltd</t>
        </is>
      </c>
      <c r="C189" s="2" t="inlineStr">
        <is>
          <t>47128364</t>
        </is>
      </c>
      <c r="D189" s="2" t="inlineStr">
        <is>
          <t>AUD2026-12 Great Wall Funds</t>
        </is>
      </c>
      <c r="E189" s="2" t="inlineStr">
        <is>
          <t>Order47128364- 260501004</t>
        </is>
      </c>
      <c r="F189" s="2" t="inlineStr">
        <is>
          <t>47128364- EDC260501001</t>
        </is>
      </c>
      <c r="G189" s="2" t="inlineStr">
        <is>
          <t>Rainbow.MG.Xiao@cn.ey.com</t>
        </is>
      </c>
      <c r="H189" s="2" t="inlineStr">
        <is>
          <t>Week28 (2027.01.09)</t>
        </is>
      </c>
      <c r="I189" s="2" t="n">
        <v>57.62</v>
      </c>
    </row>
    <row r="190">
      <c r="A190" s="2" t="inlineStr">
        <is>
          <t>公募</t>
        </is>
      </c>
      <c r="B190" s="2" t="inlineStr">
        <is>
          <t>Great Wall Fund Management Co., Ltd</t>
        </is>
      </c>
      <c r="C190" s="2" t="inlineStr">
        <is>
          <t>47128364</t>
        </is>
      </c>
      <c r="D190" s="2" t="inlineStr">
        <is>
          <t>AUD2026-12 Great Wall Funds</t>
        </is>
      </c>
      <c r="E190" s="2" t="inlineStr">
        <is>
          <t>Order47128364- 260501004</t>
        </is>
      </c>
      <c r="F190" s="2" t="inlineStr">
        <is>
          <t>47128364- EDC260501001</t>
        </is>
      </c>
      <c r="G190" s="2" t="inlineStr">
        <is>
          <t>Yuan.Yuan.YY.Chen@cn.ey.com</t>
        </is>
      </c>
      <c r="H190" s="2" t="inlineStr">
        <is>
          <t>Week28 (2027.01.09)</t>
        </is>
      </c>
      <c r="I190" s="2" t="n">
        <v>22.25</v>
      </c>
    </row>
    <row r="191">
      <c r="A191" s="2" t="inlineStr">
        <is>
          <t>公募</t>
        </is>
      </c>
      <c r="B191" s="2" t="inlineStr">
        <is>
          <t>Ping An Fund Management Company Limited</t>
        </is>
      </c>
      <c r="C191" s="2" t="inlineStr">
        <is>
          <t>47128421</t>
        </is>
      </c>
      <c r="D191" s="2" t="inlineStr">
        <is>
          <t>AUD2026-12 PA Funds</t>
        </is>
      </c>
      <c r="E191" s="2" t="inlineStr">
        <is>
          <t>Order47128421- 260501003</t>
        </is>
      </c>
      <c r="F191" s="2" t="inlineStr">
        <is>
          <t>47128421- EDC260501001</t>
        </is>
      </c>
      <c r="G191" s="2" t="inlineStr">
        <is>
          <t>Marsh.Ma@cn.ey.com</t>
        </is>
      </c>
      <c r="H191" s="2" t="inlineStr">
        <is>
          <t>Week28 (2027.01.09)</t>
        </is>
      </c>
      <c r="I191" s="2" t="n">
        <v>2.06</v>
      </c>
    </row>
    <row r="192">
      <c r="A192" s="2" t="inlineStr">
        <is>
          <t>公募</t>
        </is>
      </c>
      <c r="B192" s="2" t="inlineStr">
        <is>
          <t>Ping An Fund Management Company Limited</t>
        </is>
      </c>
      <c r="C192" s="2" t="inlineStr">
        <is>
          <t>47128421</t>
        </is>
      </c>
      <c r="D192" s="2" t="inlineStr">
        <is>
          <t>AUD2026-12 PA Funds</t>
        </is>
      </c>
      <c r="E192" s="2" t="inlineStr">
        <is>
          <t>Order47128421- 260501003</t>
        </is>
      </c>
      <c r="F192" s="2" t="inlineStr">
        <is>
          <t>47128421- EDC260501001</t>
        </is>
      </c>
      <c r="G192" s="2" t="inlineStr">
        <is>
          <t>Yuan.Yuan.YY.Chen@cn.ey.com</t>
        </is>
      </c>
      <c r="H192" s="2" t="inlineStr">
        <is>
          <t>Week28 (2027.01.09)</t>
        </is>
      </c>
      <c r="I192" s="2" t="n">
        <v>23.7</v>
      </c>
    </row>
    <row r="193">
      <c r="A193" s="2" t="inlineStr">
        <is>
          <t>PE</t>
        </is>
      </c>
      <c r="B193" s="2" t="inlineStr">
        <is>
          <t>Shanghai Xinze Sanhe Venture Investment LP</t>
        </is>
      </c>
      <c r="C193" s="2" t="inlineStr">
        <is>
          <t>47128472</t>
        </is>
      </c>
      <c r="D193" s="2" t="inlineStr">
        <is>
          <t>AUD2026-12 Xingze Management</t>
        </is>
      </c>
      <c r="E193" s="2" t="inlineStr">
        <is>
          <t>Order47128472- 260501003</t>
        </is>
      </c>
      <c r="F193" s="2" t="inlineStr">
        <is>
          <t>47128472- EDC260501001</t>
        </is>
      </c>
      <c r="G193" s="2" t="inlineStr">
        <is>
          <t>Marsh.Ma@cn.ey.com</t>
        </is>
      </c>
      <c r="H193" s="2" t="inlineStr">
        <is>
          <t>Week28 (2027.01.09)</t>
        </is>
      </c>
      <c r="I193" s="2" t="n">
        <v>0.4</v>
      </c>
    </row>
    <row r="194">
      <c r="A194" s="2" t="inlineStr">
        <is>
          <t>PE</t>
        </is>
      </c>
      <c r="B194" s="2" t="inlineStr">
        <is>
          <t>Shanghai Xinze Sanhe Venture Investment LP</t>
        </is>
      </c>
      <c r="C194" s="2" t="inlineStr">
        <is>
          <t>47128472</t>
        </is>
      </c>
      <c r="D194" s="2" t="inlineStr">
        <is>
          <t>AUD2026-12 Xingze Management</t>
        </is>
      </c>
      <c r="E194" s="2" t="inlineStr">
        <is>
          <t>Order47128472- 260501003</t>
        </is>
      </c>
      <c r="F194" s="2" t="inlineStr">
        <is>
          <t>47128472- EDC260501001</t>
        </is>
      </c>
      <c r="G194" s="2" t="inlineStr">
        <is>
          <t>Vivi.W.Yang@cn.ey.com</t>
        </is>
      </c>
      <c r="H194" s="2" t="inlineStr">
        <is>
          <t>Week28 (2027.01.09)</t>
        </is>
      </c>
      <c r="I194" s="2" t="n">
        <v>1.1</v>
      </c>
    </row>
    <row r="195">
      <c r="A195" s="2" t="inlineStr">
        <is>
          <t>PE</t>
        </is>
      </c>
      <c r="B195" s="2" t="inlineStr">
        <is>
          <t>Xiamen Fuhai New Materials Phase Iii Venture Capital Partnership Enterprise(Limi ted Partnership)</t>
        </is>
      </c>
      <c r="C195" s="2" t="inlineStr">
        <is>
          <t>47128515</t>
        </is>
      </c>
      <c r="D195" s="2" t="inlineStr">
        <is>
          <t>AUD2026-12 OFC Fund</t>
        </is>
      </c>
      <c r="E195" s="2" t="inlineStr">
        <is>
          <t>Order47128515- 260501002</t>
        </is>
      </c>
      <c r="F195" s="2" t="inlineStr">
        <is>
          <t>47128515- EDC260501001</t>
        </is>
      </c>
      <c r="G195" s="2" t="inlineStr">
        <is>
          <t>Marsh.Ma@cn.ey.com</t>
        </is>
      </c>
      <c r="H195" s="2" t="inlineStr">
        <is>
          <t>Week28 (2027.01.09)</t>
        </is>
      </c>
      <c r="I195" s="2" t="n">
        <v>0.87</v>
      </c>
    </row>
    <row r="196">
      <c r="A196" s="2" t="inlineStr">
        <is>
          <t>PE</t>
        </is>
      </c>
      <c r="B196" s="2" t="inlineStr">
        <is>
          <t>Xiamen Fuhai New Materials Phase Iii Venture Capital Partnership Enterprise(Limi ted Partnership)</t>
        </is>
      </c>
      <c r="C196" s="2" t="inlineStr">
        <is>
          <t>47128515</t>
        </is>
      </c>
      <c r="D196" s="2" t="inlineStr">
        <is>
          <t>AUD2026-12 OFC Fund</t>
        </is>
      </c>
      <c r="E196" s="2" t="inlineStr">
        <is>
          <t>Order47128515- 260501002</t>
        </is>
      </c>
      <c r="F196" s="2" t="inlineStr">
        <is>
          <t>47128515- EDC260501001</t>
        </is>
      </c>
      <c r="G196" s="2" t="inlineStr">
        <is>
          <t>Vivi.W.Yang@cn.ey.com</t>
        </is>
      </c>
      <c r="H196" s="2" t="inlineStr">
        <is>
          <t>Week28 (2027.01.09)</t>
        </is>
      </c>
      <c r="I196" s="2" t="n">
        <v>2.39</v>
      </c>
    </row>
    <row r="197">
      <c r="A197" s="2" t="inlineStr">
        <is>
          <t>公募</t>
        </is>
      </c>
      <c r="B197" s="2" t="inlineStr">
        <is>
          <t>Hang Seng Qianhai Fund Management Company Limited</t>
        </is>
      </c>
      <c r="C197" s="2" t="inlineStr">
        <is>
          <t>47128633</t>
        </is>
      </c>
      <c r="D197" s="2" t="inlineStr">
        <is>
          <t>AUD2026-12 HSQH Funds</t>
        </is>
      </c>
      <c r="E197" s="2" t="inlineStr">
        <is>
          <t>Order47128633- 260501004</t>
        </is>
      </c>
      <c r="F197" s="2" t="inlineStr">
        <is>
          <t>47128633- EDC260501001</t>
        </is>
      </c>
      <c r="G197" s="2" t="inlineStr">
        <is>
          <t>InternA</t>
        </is>
      </c>
      <c r="H197" s="2" t="inlineStr">
        <is>
          <t>Week28 (2027.01.09)</t>
        </is>
      </c>
      <c r="I197" s="2" t="n">
        <v>15.85</v>
      </c>
    </row>
    <row r="198">
      <c r="A198" s="2" t="inlineStr">
        <is>
          <t>公募</t>
        </is>
      </c>
      <c r="B198" s="2" t="inlineStr">
        <is>
          <t>Hang Seng Qianhai Fund Management Company Limited</t>
        </is>
      </c>
      <c r="C198" s="2" t="inlineStr">
        <is>
          <t>47128633</t>
        </is>
      </c>
      <c r="D198" s="2" t="inlineStr">
        <is>
          <t>AUD2026-12 HSQH Funds</t>
        </is>
      </c>
      <c r="E198" s="2" t="inlineStr">
        <is>
          <t>Order47128633- 260501004</t>
        </is>
      </c>
      <c r="F198" s="2" t="inlineStr">
        <is>
          <t>47128633- EDC260501001</t>
        </is>
      </c>
      <c r="G198" s="2" t="inlineStr">
        <is>
          <t>Marsh.Ma@cn.ey.com</t>
        </is>
      </c>
      <c r="H198" s="2" t="inlineStr">
        <is>
          <t>Week28 (2027.01.09)</t>
        </is>
      </c>
      <c r="I198" s="2" t="n">
        <v>0.73</v>
      </c>
    </row>
    <row r="199">
      <c r="A199" s="2" t="inlineStr">
        <is>
          <t>PE</t>
        </is>
      </c>
      <c r="B199" s="2" t="inlineStr">
        <is>
          <t>Vivo (Suzhou) Health Industry Investment Fund Limited Partnership</t>
        </is>
      </c>
      <c r="C199" s="2" t="inlineStr">
        <is>
          <t>47128684</t>
        </is>
      </c>
      <c r="D199" s="2" t="inlineStr">
        <is>
          <t>AUD2026-12 Vivo Capital</t>
        </is>
      </c>
      <c r="E199" s="2" t="inlineStr">
        <is>
          <t>Order47128684- 260501004</t>
        </is>
      </c>
      <c r="F199" s="2" t="inlineStr">
        <is>
          <t>47128684- EDC260501001</t>
        </is>
      </c>
      <c r="G199" s="2" t="inlineStr">
        <is>
          <t>Marsh.Ma@cn.ey.com</t>
        </is>
      </c>
      <c r="H199" s="2" t="inlineStr">
        <is>
          <t>Week28 (2027.01.09)</t>
        </is>
      </c>
      <c r="I199" s="2" t="n">
        <v>0.28</v>
      </c>
    </row>
    <row r="200">
      <c r="A200" s="2" t="inlineStr">
        <is>
          <t>PE</t>
        </is>
      </c>
      <c r="B200" s="2" t="inlineStr">
        <is>
          <t>Vivo (Suzhou) Health Industry Investment Fund Limited Partnership</t>
        </is>
      </c>
      <c r="C200" s="2" t="inlineStr">
        <is>
          <t>47128684</t>
        </is>
      </c>
      <c r="D200" s="2" t="inlineStr">
        <is>
          <t>AUD2026-12 Vivo Capital</t>
        </is>
      </c>
      <c r="E200" s="2" t="inlineStr">
        <is>
          <t>Order47128684- 260501004</t>
        </is>
      </c>
      <c r="F200" s="2" t="inlineStr">
        <is>
          <t>47128684- EDC260501001</t>
        </is>
      </c>
      <c r="G200" s="2" t="inlineStr">
        <is>
          <t>Vivi.W.Yang@cn.ey.com</t>
        </is>
      </c>
      <c r="H200" s="2" t="inlineStr">
        <is>
          <t>Week28 (2027.01.09)</t>
        </is>
      </c>
      <c r="I200" s="2" t="n">
        <v>0.76</v>
      </c>
    </row>
    <row r="201">
      <c r="A201" s="2" t="inlineStr">
        <is>
          <t>公募</t>
        </is>
      </c>
      <c r="B201" s="2" t="inlineStr">
        <is>
          <t>Invesco Great Wall Fund Management Co.,Ltd.</t>
        </is>
      </c>
      <c r="C201" s="2" t="inlineStr">
        <is>
          <t>47128706</t>
        </is>
      </c>
      <c r="D201" s="2" t="inlineStr">
        <is>
          <t>AUD2026-12 Invesco GW Funds</t>
        </is>
      </c>
      <c r="E201" s="2" t="inlineStr">
        <is>
          <t>Order47128706- 260501003</t>
        </is>
      </c>
      <c r="F201" s="2" t="inlineStr">
        <is>
          <t>47128706- EDC260501001</t>
        </is>
      </c>
      <c r="G201" s="2" t="inlineStr">
        <is>
          <t>InternA</t>
        </is>
      </c>
      <c r="H201" s="2" t="inlineStr">
        <is>
          <t>Week28 (2027.01.09)</t>
        </is>
      </c>
      <c r="I201" s="2" t="n">
        <v>15.76</v>
      </c>
    </row>
    <row r="202">
      <c r="A202" s="2" t="inlineStr">
        <is>
          <t>公募</t>
        </is>
      </c>
      <c r="B202" s="2" t="inlineStr">
        <is>
          <t>Invesco Great Wall Fund Management Co.,Ltd.</t>
        </is>
      </c>
      <c r="C202" s="2" t="inlineStr">
        <is>
          <t>47128706</t>
        </is>
      </c>
      <c r="D202" s="2" t="inlineStr">
        <is>
          <t>AUD2026-12 Invesco GW Funds</t>
        </is>
      </c>
      <c r="E202" s="2" t="inlineStr">
        <is>
          <t>Order47128706- 260501003</t>
        </is>
      </c>
      <c r="F202" s="2" t="inlineStr">
        <is>
          <t>47128706- EDC260501001</t>
        </is>
      </c>
      <c r="G202" s="2" t="inlineStr">
        <is>
          <t>Marsh.Ma@cn.ey.com</t>
        </is>
      </c>
      <c r="H202" s="2" t="inlineStr">
        <is>
          <t>Week28 (2027.01.09)</t>
        </is>
      </c>
      <c r="I202" s="2" t="n">
        <v>1.58</v>
      </c>
    </row>
    <row r="203">
      <c r="A203" s="2" t="inlineStr">
        <is>
          <t>公募</t>
        </is>
      </c>
      <c r="B203" s="2" t="inlineStr">
        <is>
          <t>Invesco Great Wall Fund Management Co.,Ltd.</t>
        </is>
      </c>
      <c r="C203" s="2" t="inlineStr">
        <is>
          <t>47128706</t>
        </is>
      </c>
      <c r="D203" s="2" t="inlineStr">
        <is>
          <t>AUD2026-12 Invesco GW Funds</t>
        </is>
      </c>
      <c r="E203" s="2" t="inlineStr">
        <is>
          <t>Order47128706- 260501003</t>
        </is>
      </c>
      <c r="F203" s="2" t="inlineStr">
        <is>
          <t>47128706- EDC260501001</t>
        </is>
      </c>
      <c r="G203" s="2" t="inlineStr">
        <is>
          <t>Rainbow.MG.Xiao@cn.ey.com</t>
        </is>
      </c>
      <c r="H203" s="2" t="inlineStr">
        <is>
          <t>Week28 (2027.01.09)</t>
        </is>
      </c>
      <c r="I203" s="2" t="n">
        <v>2.38</v>
      </c>
    </row>
    <row r="204">
      <c r="A204" s="2" t="inlineStr">
        <is>
          <t>PE</t>
        </is>
      </c>
      <c r="B204" s="2" t="inlineStr">
        <is>
          <t>Shanghai Lingyi Investment Partnership (limited partnership)</t>
        </is>
      </c>
      <c r="C204" s="2" t="inlineStr">
        <is>
          <t>47128835</t>
        </is>
      </c>
      <c r="D204" s="2" t="inlineStr">
        <is>
          <t>AUD2026-12 01VC USD Fund</t>
        </is>
      </c>
      <c r="E204" s="2" t="inlineStr">
        <is>
          <t>Order47128835- 260501004</t>
        </is>
      </c>
      <c r="F204" s="2" t="inlineStr">
        <is>
          <t>47128835- EDC260501001</t>
        </is>
      </c>
      <c r="G204" s="2" t="inlineStr">
        <is>
          <t>Luna.CD.Zhang@cn.ey.com</t>
        </is>
      </c>
      <c r="H204" s="2" t="inlineStr">
        <is>
          <t>Week28 (2027.01.09)</t>
        </is>
      </c>
      <c r="I204" s="2" t="n">
        <v>46.15</v>
      </c>
    </row>
    <row r="205">
      <c r="A205" s="2" t="inlineStr">
        <is>
          <t>PE</t>
        </is>
      </c>
      <c r="B205" s="2" t="inlineStr">
        <is>
          <t>Shanghai Lingyi Investment Partnership (limited partnership)</t>
        </is>
      </c>
      <c r="C205" s="2" t="inlineStr">
        <is>
          <t>47128835</t>
        </is>
      </c>
      <c r="D205" s="2" t="inlineStr">
        <is>
          <t>AUD2026-12 01VC USD Fund</t>
        </is>
      </c>
      <c r="E205" s="2" t="inlineStr">
        <is>
          <t>Order47128835- 260501004</t>
        </is>
      </c>
      <c r="F205" s="2" t="inlineStr">
        <is>
          <t>47128835- EDC260501001</t>
        </is>
      </c>
      <c r="G205" s="2" t="inlineStr">
        <is>
          <t>Marsh.Ma@cn.ey.com</t>
        </is>
      </c>
      <c r="H205" s="2" t="inlineStr">
        <is>
          <t>Week28 (2027.01.09)</t>
        </is>
      </c>
      <c r="I205" s="2" t="n">
        <v>5.27</v>
      </c>
    </row>
    <row r="206">
      <c r="A206" s="2" t="inlineStr">
        <is>
          <t>PE</t>
        </is>
      </c>
      <c r="B206" s="2" t="inlineStr">
        <is>
          <t>Shanghai Lingyi Investment Partnership (limited partnership)</t>
        </is>
      </c>
      <c r="C206" s="2" t="inlineStr">
        <is>
          <t>47128835</t>
        </is>
      </c>
      <c r="D206" s="2" t="inlineStr">
        <is>
          <t>AUD2026-12 01VC USD Fund</t>
        </is>
      </c>
      <c r="E206" s="2" t="inlineStr">
        <is>
          <t>Order47128835- 260501004</t>
        </is>
      </c>
      <c r="F206" s="2" t="inlineStr">
        <is>
          <t>47128835- EDC260501001</t>
        </is>
      </c>
      <c r="G206" s="2" t="inlineStr">
        <is>
          <t>Vivi.W.Yang@cn.ey.com</t>
        </is>
      </c>
      <c r="H206" s="2" t="inlineStr">
        <is>
          <t>Week28 (2027.01.09)</t>
        </is>
      </c>
      <c r="I206" s="2" t="n">
        <v>14.51</v>
      </c>
    </row>
    <row r="207">
      <c r="A207" s="2" t="inlineStr">
        <is>
          <t>ICBC</t>
        </is>
      </c>
      <c r="B207" s="2" t="inlineStr">
        <is>
          <t>Industrial And Commercial Bank of China (Macau) Limited</t>
        </is>
      </c>
      <c r="C207" s="2" t="inlineStr">
        <is>
          <t>47129069</t>
        </is>
      </c>
      <c r="D207" s="2" t="inlineStr">
        <is>
          <t>AUD2026-12 ICBCM</t>
        </is>
      </c>
      <c r="E207" s="2" t="inlineStr">
        <is>
          <t>Order47129069- 260731001</t>
        </is>
      </c>
      <c r="F207" s="2" t="inlineStr">
        <is>
          <t>47129069- EDC260731001</t>
        </is>
      </c>
      <c r="G207" s="2" t="inlineStr">
        <is>
          <t>InternA</t>
        </is>
      </c>
      <c r="H207" s="2" t="inlineStr">
        <is>
          <t>Week28 (2027.01.09)</t>
        </is>
      </c>
      <c r="I207" s="2" t="n">
        <v>8.4</v>
      </c>
    </row>
    <row r="208">
      <c r="A208" s="2" t="inlineStr">
        <is>
          <t>ICBC</t>
        </is>
      </c>
      <c r="B208" s="2" t="inlineStr">
        <is>
          <t>Industrial And Commercial Bank of China (Macau) Limited</t>
        </is>
      </c>
      <c r="C208" s="2" t="inlineStr">
        <is>
          <t>47129069</t>
        </is>
      </c>
      <c r="D208" s="2" t="inlineStr">
        <is>
          <t>AUD2026-12 ICBCM</t>
        </is>
      </c>
      <c r="E208" s="2" t="inlineStr">
        <is>
          <t>Order47129069- 260731001</t>
        </is>
      </c>
      <c r="F208" s="2" t="inlineStr">
        <is>
          <t>47129069- EDC260731001</t>
        </is>
      </c>
      <c r="G208" s="2" t="inlineStr">
        <is>
          <t>Marsh.Ma@cn.ey.com</t>
        </is>
      </c>
      <c r="H208" s="2" t="inlineStr">
        <is>
          <t>Week28 (2027.01.09)</t>
        </is>
      </c>
      <c r="I208" s="2" t="n">
        <v>0.7</v>
      </c>
    </row>
    <row r="209">
      <c r="A209" s="2" t="inlineStr">
        <is>
          <t>ICBC</t>
        </is>
      </c>
      <c r="B209" s="2" t="inlineStr">
        <is>
          <t>Industrial And Commercial Bank of China (Macau) Limited</t>
        </is>
      </c>
      <c r="C209" s="2" t="inlineStr">
        <is>
          <t>47129069</t>
        </is>
      </c>
      <c r="D209" s="2" t="inlineStr">
        <is>
          <t>AUD2026-12 ICBCM</t>
        </is>
      </c>
      <c r="E209" s="2" t="inlineStr">
        <is>
          <t>Order47129069- 260731001</t>
        </is>
      </c>
      <c r="F209" s="2" t="inlineStr">
        <is>
          <t>47129069- EDC260731001</t>
        </is>
      </c>
      <c r="G209" s="2" t="inlineStr">
        <is>
          <t>Vivi.W.Yang@cn.ey.com</t>
        </is>
      </c>
      <c r="H209" s="2" t="inlineStr">
        <is>
          <t>Week28 (2027.01.09)</t>
        </is>
      </c>
      <c r="I209" s="2" t="n">
        <v>0.29</v>
      </c>
    </row>
    <row r="210">
      <c r="A210" s="2" t="inlineStr">
        <is>
          <t>ICBC</t>
        </is>
      </c>
      <c r="B210" s="2" t="inlineStr">
        <is>
          <t>Industrial And Commercial Bank of China (Asia) Limited</t>
        </is>
      </c>
      <c r="C210" s="2" t="inlineStr">
        <is>
          <t>47129548</t>
        </is>
      </c>
      <c r="D210" s="2" t="inlineStr">
        <is>
          <t>AUD2026-12 ICBCA</t>
        </is>
      </c>
      <c r="E210" s="2" t="inlineStr">
        <is>
          <t>Order47129548- 260501002</t>
        </is>
      </c>
      <c r="F210" s="2" t="inlineStr">
        <is>
          <t>47129548- EDC260501001</t>
        </is>
      </c>
      <c r="G210" s="2" t="inlineStr">
        <is>
          <t>InternB</t>
        </is>
      </c>
      <c r="H210" s="2" t="inlineStr">
        <is>
          <t>Week28 (2027.01.09)</t>
        </is>
      </c>
      <c r="I210" s="2" t="n">
        <v>40</v>
      </c>
    </row>
    <row r="211">
      <c r="A211" s="2" t="inlineStr">
        <is>
          <t>ICBC</t>
        </is>
      </c>
      <c r="B211" s="2" t="inlineStr">
        <is>
          <t>Industrial And Commercial Bank of China (Asia) Limited</t>
        </is>
      </c>
      <c r="C211" s="2" t="inlineStr">
        <is>
          <t>47129548</t>
        </is>
      </c>
      <c r="D211" s="2" t="inlineStr">
        <is>
          <t>AUD2026-12 ICBCA</t>
        </is>
      </c>
      <c r="E211" s="2" t="inlineStr">
        <is>
          <t>Order47129548- 260501002</t>
        </is>
      </c>
      <c r="F211" s="2" t="inlineStr">
        <is>
          <t>47129548- EDC260501001</t>
        </is>
      </c>
      <c r="G211" s="2" t="inlineStr">
        <is>
          <t>Marsh.Ma@cn.ey.com</t>
        </is>
      </c>
      <c r="H211" s="2" t="inlineStr">
        <is>
          <t>Week28 (2027.01.09)</t>
        </is>
      </c>
      <c r="I211" s="2" t="n">
        <v>5.11</v>
      </c>
    </row>
    <row r="212">
      <c r="A212" s="2" t="inlineStr">
        <is>
          <t>PE</t>
        </is>
      </c>
      <c r="B212" s="2" t="inlineStr">
        <is>
          <t>Shanghai Xinze Sanhe Venture Investment LP</t>
        </is>
      </c>
      <c r="C212" s="2" t="inlineStr">
        <is>
          <t>47127971</t>
        </is>
      </c>
      <c r="D212" s="2" t="inlineStr">
        <is>
          <t>AUD2026-12 Xingze Fund</t>
        </is>
      </c>
      <c r="E212" s="2" t="inlineStr">
        <is>
          <t>Order47127971- 260501004</t>
        </is>
      </c>
      <c r="F212" s="2" t="inlineStr">
        <is>
          <t>47127971- EDC260501001</t>
        </is>
      </c>
      <c r="G212" s="2" t="inlineStr">
        <is>
          <t>Luna.CD.Zhang@cn.ey.com</t>
        </is>
      </c>
      <c r="H212" s="2" t="inlineStr">
        <is>
          <t>Week29 (2027.01.16)</t>
        </is>
      </c>
      <c r="I212" s="2" t="n">
        <v>8.23</v>
      </c>
    </row>
    <row r="213">
      <c r="A213" s="2" t="inlineStr">
        <is>
          <t>公募</t>
        </is>
      </c>
      <c r="B213" s="2" t="inlineStr">
        <is>
          <t>FORTUNE &amp; ROYAL ASSET MANAGEMENT CORPORATION LIMITED</t>
        </is>
      </c>
      <c r="C213" s="2" t="inlineStr">
        <is>
          <t>47128046</t>
        </is>
      </c>
      <c r="D213" s="2" t="inlineStr">
        <is>
          <t>AUD2026-12 FR Funds</t>
        </is>
      </c>
      <c r="E213" s="2" t="inlineStr">
        <is>
          <t>Order47128046- 260501004</t>
        </is>
      </c>
      <c r="F213" s="2" t="inlineStr">
        <is>
          <t>47128046- EDC260504001</t>
        </is>
      </c>
      <c r="G213" s="2" t="inlineStr">
        <is>
          <t>Marsh.Ma@cn.ey.com</t>
        </is>
      </c>
      <c r="H213" s="2" t="inlineStr">
        <is>
          <t>Week29 (2027.01.16)</t>
        </is>
      </c>
      <c r="I213" s="2" t="n">
        <v>1.22</v>
      </c>
    </row>
    <row r="214">
      <c r="A214" s="2" t="inlineStr">
        <is>
          <t>公募</t>
        </is>
      </c>
      <c r="B214" s="2" t="inlineStr">
        <is>
          <t>FORTUNE &amp; ROYAL ASSET MANAGEMENT CORPORATION LIMITED</t>
        </is>
      </c>
      <c r="C214" s="2" t="inlineStr">
        <is>
          <t>47128046</t>
        </is>
      </c>
      <c r="D214" s="2" t="inlineStr">
        <is>
          <t>AUD2026-12 FR Funds</t>
        </is>
      </c>
      <c r="E214" s="2" t="inlineStr">
        <is>
          <t>Order47128046- 260501004</t>
        </is>
      </c>
      <c r="F214" s="2" t="inlineStr">
        <is>
          <t>47128046- EDC260504001</t>
        </is>
      </c>
      <c r="G214" s="2" t="inlineStr">
        <is>
          <t>Yuan.Yuan.YY.Chen@cn.ey.com</t>
        </is>
      </c>
      <c r="H214" s="2" t="inlineStr">
        <is>
          <t>Week29 (2027.01.16)</t>
        </is>
      </c>
      <c r="I214" s="2" t="n">
        <v>14.05</v>
      </c>
    </row>
    <row r="215">
      <c r="A215" s="2" t="inlineStr">
        <is>
          <t>PE</t>
        </is>
      </c>
      <c r="B215" s="2" t="inlineStr">
        <is>
          <t>EverYi Capital Asia Fund, L.P.</t>
        </is>
      </c>
      <c r="C215" s="2" t="inlineStr">
        <is>
          <t>47128108</t>
        </is>
      </c>
      <c r="D215" s="2" t="inlineStr">
        <is>
          <t>AUD2026-12 EverYi Capital</t>
        </is>
      </c>
      <c r="E215" s="2" t="inlineStr">
        <is>
          <t>Order47128108- 260501005</t>
        </is>
      </c>
      <c r="F215" s="2" t="inlineStr">
        <is>
          <t>47128108- EDC260504001</t>
        </is>
      </c>
      <c r="G215" s="2" t="inlineStr">
        <is>
          <t>Marsh.Ma@cn.ey.com</t>
        </is>
      </c>
      <c r="H215" s="2" t="inlineStr">
        <is>
          <t>Week29 (2027.01.16)</t>
        </is>
      </c>
      <c r="I215" s="2" t="n">
        <v>1.19</v>
      </c>
    </row>
    <row r="216">
      <c r="A216" s="2" t="inlineStr">
        <is>
          <t>PE</t>
        </is>
      </c>
      <c r="B216" s="2" t="inlineStr">
        <is>
          <t>EverYi Capital Asia Fund, L.P.</t>
        </is>
      </c>
      <c r="C216" s="2" t="inlineStr">
        <is>
          <t>47128108</t>
        </is>
      </c>
      <c r="D216" s="2" t="inlineStr">
        <is>
          <t>AUD2026-12 EverYi Capital</t>
        </is>
      </c>
      <c r="E216" s="2" t="inlineStr">
        <is>
          <t>Order47128108- 260501005</t>
        </is>
      </c>
      <c r="F216" s="2" t="inlineStr">
        <is>
          <t>47128108- EDC260504001</t>
        </is>
      </c>
      <c r="G216" s="2" t="inlineStr">
        <is>
          <t>Vivi.W.Yang@cn.ey.com</t>
        </is>
      </c>
      <c r="H216" s="2" t="inlineStr">
        <is>
          <t>Week29 (2027.01.16)</t>
        </is>
      </c>
      <c r="I216" s="2" t="n">
        <v>3.28</v>
      </c>
    </row>
    <row r="217">
      <c r="A217" s="2" t="inlineStr">
        <is>
          <t>PE</t>
        </is>
      </c>
      <c r="B217" s="2" t="inlineStr">
        <is>
          <t>Mirae Asset Alternative Investment Management (Shanghai) Co., Ltd.</t>
        </is>
      </c>
      <c r="C217" s="2" t="inlineStr">
        <is>
          <t>47128154</t>
        </is>
      </c>
      <c r="D217" s="2" t="inlineStr">
        <is>
          <t>AUD2026-12 Mirae Asset</t>
        </is>
      </c>
      <c r="E217" s="2" t="inlineStr">
        <is>
          <t>Order47128154- 260501004</t>
        </is>
      </c>
      <c r="F217" s="2" t="inlineStr">
        <is>
          <t>47128154- EDC260504001</t>
        </is>
      </c>
      <c r="G217" s="2" t="inlineStr">
        <is>
          <t>Luna.CD.Zhang@cn.ey.com</t>
        </is>
      </c>
      <c r="H217" s="2" t="inlineStr">
        <is>
          <t>Week29 (2027.01.16)</t>
        </is>
      </c>
      <c r="I217" s="2" t="n">
        <v>49.99</v>
      </c>
    </row>
    <row r="218">
      <c r="A218" s="2" t="inlineStr">
        <is>
          <t>PE</t>
        </is>
      </c>
      <c r="B218" s="2" t="inlineStr">
        <is>
          <t>Mirae Asset Alternative Investment Management (Shanghai) Co., Ltd.</t>
        </is>
      </c>
      <c r="C218" s="2" t="inlineStr">
        <is>
          <t>47128154</t>
        </is>
      </c>
      <c r="D218" s="2" t="inlineStr">
        <is>
          <t>AUD2026-12 Mirae Asset</t>
        </is>
      </c>
      <c r="E218" s="2" t="inlineStr">
        <is>
          <t>Order47128154- 260501004</t>
        </is>
      </c>
      <c r="F218" s="2" t="inlineStr">
        <is>
          <t>47128154- EDC260504001</t>
        </is>
      </c>
      <c r="G218" s="2" t="inlineStr">
        <is>
          <t>Marsh.Ma@cn.ey.com</t>
        </is>
      </c>
      <c r="H218" s="2" t="inlineStr">
        <is>
          <t>Week29 (2027.01.16)</t>
        </is>
      </c>
      <c r="I218" s="2" t="n">
        <v>1.34</v>
      </c>
    </row>
    <row r="219">
      <c r="A219" s="2" t="inlineStr">
        <is>
          <t>PE</t>
        </is>
      </c>
      <c r="B219" s="2" t="inlineStr">
        <is>
          <t>Mirae Asset Alternative Investment Management (Shanghai) Co., Ltd.</t>
        </is>
      </c>
      <c r="C219" s="2" t="inlineStr">
        <is>
          <t>47128154</t>
        </is>
      </c>
      <c r="D219" s="2" t="inlineStr">
        <is>
          <t>AUD2026-12 Mirae Asset</t>
        </is>
      </c>
      <c r="E219" s="2" t="inlineStr">
        <is>
          <t>Order47128154- 260501004</t>
        </is>
      </c>
      <c r="F219" s="2" t="inlineStr">
        <is>
          <t>47128154- EDC260504001</t>
        </is>
      </c>
      <c r="G219" s="2" t="inlineStr">
        <is>
          <t>Vivi.W.Yang@cn.ey.com</t>
        </is>
      </c>
      <c r="H219" s="2" t="inlineStr">
        <is>
          <t>Week29 (2027.01.16)</t>
        </is>
      </c>
      <c r="I219" s="2" t="n">
        <v>3.7</v>
      </c>
    </row>
    <row r="220">
      <c r="A220" s="2" t="inlineStr">
        <is>
          <t>PE</t>
        </is>
      </c>
      <c r="B220" s="2" t="inlineStr">
        <is>
          <t>Hangzhou Huaxin Yunkai Equity Shares Investment Partnership Enterprise (Limited Partnership)</t>
        </is>
      </c>
      <c r="C220" s="2" t="inlineStr">
        <is>
          <t>47128202</t>
        </is>
      </c>
      <c r="D220" s="2" t="inlineStr">
        <is>
          <t>AUD2026-12 Hangzhou Huaxin</t>
        </is>
      </c>
      <c r="E220" s="2" t="inlineStr">
        <is>
          <t>Order47128202- 260501004</t>
        </is>
      </c>
      <c r="F220" s="2" t="inlineStr">
        <is>
          <t>47128202- EDC260501001</t>
        </is>
      </c>
      <c r="G220" s="2" t="inlineStr">
        <is>
          <t>Marsh.Ma@cn.ey.com</t>
        </is>
      </c>
      <c r="H220" s="2" t="inlineStr">
        <is>
          <t>Week29 (2027.01.16)</t>
        </is>
      </c>
      <c r="I220" s="2" t="n">
        <v>4.59</v>
      </c>
    </row>
    <row r="221">
      <c r="A221" s="2" t="inlineStr">
        <is>
          <t>PE</t>
        </is>
      </c>
      <c r="B221" s="2" t="inlineStr">
        <is>
          <t>Hangzhou Huaxin Yunkai Equity Shares Investment Partnership Enterprise (Limited Partnership)</t>
        </is>
      </c>
      <c r="C221" s="2" t="inlineStr">
        <is>
          <t>47128202</t>
        </is>
      </c>
      <c r="D221" s="2" t="inlineStr">
        <is>
          <t>AUD2026-12 Hangzhou Huaxin</t>
        </is>
      </c>
      <c r="E221" s="2" t="inlineStr">
        <is>
          <t>Order47128202- 260501004</t>
        </is>
      </c>
      <c r="F221" s="2" t="inlineStr">
        <is>
          <t>47128202- EDC260501001</t>
        </is>
      </c>
      <c r="G221" s="2" t="inlineStr">
        <is>
          <t>Vivi.W.Yang@cn.ey.com</t>
        </is>
      </c>
      <c r="H221" s="2" t="inlineStr">
        <is>
          <t>Week29 (2027.01.16)</t>
        </is>
      </c>
      <c r="I221" s="2" t="n">
        <v>12.62</v>
      </c>
    </row>
    <row r="222">
      <c r="A222" s="2" t="inlineStr">
        <is>
          <t>公募</t>
        </is>
      </c>
      <c r="B222" s="2" t="inlineStr">
        <is>
          <t>Great Wall Fund Management Co., Ltd</t>
        </is>
      </c>
      <c r="C222" s="2" t="inlineStr">
        <is>
          <t>47128364</t>
        </is>
      </c>
      <c r="D222" s="2" t="inlineStr">
        <is>
          <t>AUD2026-12 Great Wall Funds</t>
        </is>
      </c>
      <c r="E222" s="2" t="inlineStr">
        <is>
          <t>Order47128364- 260501004</t>
        </is>
      </c>
      <c r="F222" s="2" t="inlineStr">
        <is>
          <t>47128364- EDC260501001</t>
        </is>
      </c>
      <c r="G222" s="2" t="inlineStr">
        <is>
          <t>Marsh.Ma@cn.ey.com</t>
        </is>
      </c>
      <c r="H222" s="2" t="inlineStr">
        <is>
          <t>Week29 (2027.01.16)</t>
        </is>
      </c>
      <c r="I222" s="2" t="n">
        <v>6.95</v>
      </c>
    </row>
    <row r="223">
      <c r="A223" s="2" t="inlineStr">
        <is>
          <t>公募</t>
        </is>
      </c>
      <c r="B223" s="2" t="inlineStr">
        <is>
          <t>Great Wall Fund Management Co., Ltd</t>
        </is>
      </c>
      <c r="C223" s="2" t="inlineStr">
        <is>
          <t>47128364</t>
        </is>
      </c>
      <c r="D223" s="2" t="inlineStr">
        <is>
          <t>AUD2026-12 Great Wall Funds</t>
        </is>
      </c>
      <c r="E223" s="2" t="inlineStr">
        <is>
          <t>Order47128364- 260501004</t>
        </is>
      </c>
      <c r="F223" s="2" t="inlineStr">
        <is>
          <t>47128364- EDC260501001</t>
        </is>
      </c>
      <c r="G223" s="2" t="inlineStr">
        <is>
          <t>Rainbow.MG.Xiao@cn.ey.com</t>
        </is>
      </c>
      <c r="H223" s="2" t="inlineStr">
        <is>
          <t>Week29 (2027.01.16)</t>
        </is>
      </c>
      <c r="I223" s="2" t="n">
        <v>57.62</v>
      </c>
    </row>
    <row r="224">
      <c r="A224" s="2" t="inlineStr">
        <is>
          <t>公募</t>
        </is>
      </c>
      <c r="B224" s="2" t="inlineStr">
        <is>
          <t>Great Wall Fund Management Co., Ltd</t>
        </is>
      </c>
      <c r="C224" s="2" t="inlineStr">
        <is>
          <t>47128364</t>
        </is>
      </c>
      <c r="D224" s="2" t="inlineStr">
        <is>
          <t>AUD2026-12 Great Wall Funds</t>
        </is>
      </c>
      <c r="E224" s="2" t="inlineStr">
        <is>
          <t>Order47128364- 260501004</t>
        </is>
      </c>
      <c r="F224" s="2" t="inlineStr">
        <is>
          <t>47128364- EDC260501001</t>
        </is>
      </c>
      <c r="G224" s="2" t="inlineStr">
        <is>
          <t>Yuan.Yuan.YY.Chen@cn.ey.com</t>
        </is>
      </c>
      <c r="H224" s="2" t="inlineStr">
        <is>
          <t>Week29 (2027.01.16)</t>
        </is>
      </c>
      <c r="I224" s="2" t="n">
        <v>22.25</v>
      </c>
    </row>
    <row r="225">
      <c r="A225" s="2" t="inlineStr">
        <is>
          <t>公募</t>
        </is>
      </c>
      <c r="B225" s="2" t="inlineStr">
        <is>
          <t>Ping An Fund Management Company Limited</t>
        </is>
      </c>
      <c r="C225" s="2" t="inlineStr">
        <is>
          <t>47128421</t>
        </is>
      </c>
      <c r="D225" s="2" t="inlineStr">
        <is>
          <t>AUD2026-12 PA Funds</t>
        </is>
      </c>
      <c r="E225" s="2" t="inlineStr">
        <is>
          <t>Order47128421- 260501003</t>
        </is>
      </c>
      <c r="F225" s="2" t="inlineStr">
        <is>
          <t>47128421- EDC260501001</t>
        </is>
      </c>
      <c r="G225" s="2" t="inlineStr">
        <is>
          <t>Marsh.Ma@cn.ey.com</t>
        </is>
      </c>
      <c r="H225" s="2" t="inlineStr">
        <is>
          <t>Week29 (2027.01.16)</t>
        </is>
      </c>
      <c r="I225" s="2" t="n">
        <v>2.06</v>
      </c>
    </row>
    <row r="226">
      <c r="A226" s="2" t="inlineStr">
        <is>
          <t>公募</t>
        </is>
      </c>
      <c r="B226" s="2" t="inlineStr">
        <is>
          <t>Ping An Fund Management Company Limited</t>
        </is>
      </c>
      <c r="C226" s="2" t="inlineStr">
        <is>
          <t>47128421</t>
        </is>
      </c>
      <c r="D226" s="2" t="inlineStr">
        <is>
          <t>AUD2026-12 PA Funds</t>
        </is>
      </c>
      <c r="E226" s="2" t="inlineStr">
        <is>
          <t>Order47128421- 260501003</t>
        </is>
      </c>
      <c r="F226" s="2" t="inlineStr">
        <is>
          <t>47128421- EDC260501001</t>
        </is>
      </c>
      <c r="G226" s="2" t="inlineStr">
        <is>
          <t>Yuan.Yuan.YY.Chen@cn.ey.com</t>
        </is>
      </c>
      <c r="H226" s="2" t="inlineStr">
        <is>
          <t>Week29 (2027.01.16)</t>
        </is>
      </c>
      <c r="I226" s="2" t="n">
        <v>23.7</v>
      </c>
    </row>
    <row r="227">
      <c r="A227" s="2" t="inlineStr">
        <is>
          <t>PE</t>
        </is>
      </c>
      <c r="B227" s="2" t="inlineStr">
        <is>
          <t>Shanghai Xinze Sanhe Venture Investment LP</t>
        </is>
      </c>
      <c r="C227" s="2" t="inlineStr">
        <is>
          <t>47128472</t>
        </is>
      </c>
      <c r="D227" s="2" t="inlineStr">
        <is>
          <t>AUD2026-12 Xingze Management</t>
        </is>
      </c>
      <c r="E227" s="2" t="inlineStr">
        <is>
          <t>Order47128472- 260501003</t>
        </is>
      </c>
      <c r="F227" s="2" t="inlineStr">
        <is>
          <t>47128472- EDC260501001</t>
        </is>
      </c>
      <c r="G227" s="2" t="inlineStr">
        <is>
          <t>Luna.CD.Zhang@cn.ey.com</t>
        </is>
      </c>
      <c r="H227" s="2" t="inlineStr">
        <is>
          <t>Week29 (2027.01.16)</t>
        </is>
      </c>
      <c r="I227" s="2" t="n">
        <v>7.47</v>
      </c>
    </row>
    <row r="228">
      <c r="A228" s="2" t="inlineStr">
        <is>
          <t>PE</t>
        </is>
      </c>
      <c r="B228" s="2" t="inlineStr">
        <is>
          <t>Shanghai Xinze Sanhe Venture Investment LP</t>
        </is>
      </c>
      <c r="C228" s="2" t="inlineStr">
        <is>
          <t>47128472</t>
        </is>
      </c>
      <c r="D228" s="2" t="inlineStr">
        <is>
          <t>AUD2026-12 Xingze Management</t>
        </is>
      </c>
      <c r="E228" s="2" t="inlineStr">
        <is>
          <t>Order47128472- 260501003</t>
        </is>
      </c>
      <c r="F228" s="2" t="inlineStr">
        <is>
          <t>47128472- EDC260501001</t>
        </is>
      </c>
      <c r="G228" s="2" t="inlineStr">
        <is>
          <t>Marsh.Ma@cn.ey.com</t>
        </is>
      </c>
      <c r="H228" s="2" t="inlineStr">
        <is>
          <t>Week29 (2027.01.16)</t>
        </is>
      </c>
      <c r="I228" s="2" t="n">
        <v>0.28</v>
      </c>
    </row>
    <row r="229">
      <c r="A229" s="2" t="inlineStr">
        <is>
          <t>PE</t>
        </is>
      </c>
      <c r="B229" s="2" t="inlineStr">
        <is>
          <t>Shanghai Xinze Sanhe Venture Investment LP</t>
        </is>
      </c>
      <c r="C229" s="2" t="inlineStr">
        <is>
          <t>47128472</t>
        </is>
      </c>
      <c r="D229" s="2" t="inlineStr">
        <is>
          <t>AUD2026-12 Xingze Management</t>
        </is>
      </c>
      <c r="E229" s="2" t="inlineStr">
        <is>
          <t>Order47128472- 260501003</t>
        </is>
      </c>
      <c r="F229" s="2" t="inlineStr">
        <is>
          <t>47128472- EDC260501001</t>
        </is>
      </c>
      <c r="G229" s="2" t="inlineStr">
        <is>
          <t>Vivi.W.Yang@cn.ey.com</t>
        </is>
      </c>
      <c r="H229" s="2" t="inlineStr">
        <is>
          <t>Week29 (2027.01.16)</t>
        </is>
      </c>
      <c r="I229" s="2" t="n">
        <v>0.78</v>
      </c>
    </row>
    <row r="230">
      <c r="A230" s="2" t="inlineStr">
        <is>
          <t>PE</t>
        </is>
      </c>
      <c r="B230" s="2" t="inlineStr">
        <is>
          <t>Xiamen Fuhai New Materials Phase Iii Venture Capital Partnership Enterprise(Limi ted Partnership)</t>
        </is>
      </c>
      <c r="C230" s="2" t="inlineStr">
        <is>
          <t>47128515</t>
        </is>
      </c>
      <c r="D230" s="2" t="inlineStr">
        <is>
          <t>AUD2026-12 OFC Fund</t>
        </is>
      </c>
      <c r="E230" s="2" t="inlineStr">
        <is>
          <t>Order47128515- 260501002</t>
        </is>
      </c>
      <c r="F230" s="2" t="inlineStr">
        <is>
          <t>47128515- EDC260501001</t>
        </is>
      </c>
      <c r="G230" s="2" t="inlineStr">
        <is>
          <t>Marsh.Ma@cn.ey.com</t>
        </is>
      </c>
      <c r="H230" s="2" t="inlineStr">
        <is>
          <t>Week29 (2027.01.16)</t>
        </is>
      </c>
      <c r="I230" s="2" t="n">
        <v>0.87</v>
      </c>
    </row>
    <row r="231">
      <c r="A231" s="2" t="inlineStr">
        <is>
          <t>PE</t>
        </is>
      </c>
      <c r="B231" s="2" t="inlineStr">
        <is>
          <t>Xiamen Fuhai New Materials Phase Iii Venture Capital Partnership Enterprise(Limi ted Partnership)</t>
        </is>
      </c>
      <c r="C231" s="2" t="inlineStr">
        <is>
          <t>47128515</t>
        </is>
      </c>
      <c r="D231" s="2" t="inlineStr">
        <is>
          <t>AUD2026-12 OFC Fund</t>
        </is>
      </c>
      <c r="E231" s="2" t="inlineStr">
        <is>
          <t>Order47128515- 260501002</t>
        </is>
      </c>
      <c r="F231" s="2" t="inlineStr">
        <is>
          <t>47128515- EDC260501001</t>
        </is>
      </c>
      <c r="G231" s="2" t="inlineStr">
        <is>
          <t>Vivi.W.Yang@cn.ey.com</t>
        </is>
      </c>
      <c r="H231" s="2" t="inlineStr">
        <is>
          <t>Week29 (2027.01.16)</t>
        </is>
      </c>
      <c r="I231" s="2" t="n">
        <v>2.39</v>
      </c>
    </row>
    <row r="232">
      <c r="A232" s="2" t="inlineStr">
        <is>
          <t>公募</t>
        </is>
      </c>
      <c r="B232" s="2" t="inlineStr">
        <is>
          <t>Hang Seng Qianhai Fund Management Company Limited</t>
        </is>
      </c>
      <c r="C232" s="2" t="inlineStr">
        <is>
          <t>47128633</t>
        </is>
      </c>
      <c r="D232" s="2" t="inlineStr">
        <is>
          <t>AUD2026-12 HSQH Funds</t>
        </is>
      </c>
      <c r="E232" s="2" t="inlineStr">
        <is>
          <t>Order47128633- 260501004</t>
        </is>
      </c>
      <c r="F232" s="2" t="inlineStr">
        <is>
          <t>47128633- EDC260501001</t>
        </is>
      </c>
      <c r="G232" s="2" t="inlineStr">
        <is>
          <t>InternA</t>
        </is>
      </c>
      <c r="H232" s="2" t="inlineStr">
        <is>
          <t>Week29 (2027.01.16)</t>
        </is>
      </c>
      <c r="I232" s="2" t="n">
        <v>8.359999999999999</v>
      </c>
    </row>
    <row r="233">
      <c r="A233" s="2" t="inlineStr">
        <is>
          <t>公募</t>
        </is>
      </c>
      <c r="B233" s="2" t="inlineStr">
        <is>
          <t>Hang Seng Qianhai Fund Management Company Limited</t>
        </is>
      </c>
      <c r="C233" s="2" t="inlineStr">
        <is>
          <t>47128633</t>
        </is>
      </c>
      <c r="D233" s="2" t="inlineStr">
        <is>
          <t>AUD2026-12 HSQH Funds</t>
        </is>
      </c>
      <c r="E233" s="2" t="inlineStr">
        <is>
          <t>Order47128633- 260501004</t>
        </is>
      </c>
      <c r="F233" s="2" t="inlineStr">
        <is>
          <t>47128633- EDC260501001</t>
        </is>
      </c>
      <c r="G233" s="2" t="inlineStr">
        <is>
          <t>Marsh.Ma@cn.ey.com</t>
        </is>
      </c>
      <c r="H233" s="2" t="inlineStr">
        <is>
          <t>Week29 (2027.01.16)</t>
        </is>
      </c>
      <c r="I233" s="2" t="n">
        <v>0.73</v>
      </c>
    </row>
    <row r="234">
      <c r="A234" s="2" t="inlineStr">
        <is>
          <t>PE</t>
        </is>
      </c>
      <c r="B234" s="2" t="inlineStr">
        <is>
          <t>Vivo (Suzhou) Health Industry Investment Fund Limited Partnership</t>
        </is>
      </c>
      <c r="C234" s="2" t="inlineStr">
        <is>
          <t>47128684</t>
        </is>
      </c>
      <c r="D234" s="2" t="inlineStr">
        <is>
          <t>AUD2026-12 Vivo Capital</t>
        </is>
      </c>
      <c r="E234" s="2" t="inlineStr">
        <is>
          <t>Order47128684- 260501004</t>
        </is>
      </c>
      <c r="F234" s="2" t="inlineStr">
        <is>
          <t>47128684- EDC260501001</t>
        </is>
      </c>
      <c r="G234" s="2" t="inlineStr">
        <is>
          <t>Marsh.Ma@cn.ey.com</t>
        </is>
      </c>
      <c r="H234" s="2" t="inlineStr">
        <is>
          <t>Week29 (2027.01.16)</t>
        </is>
      </c>
      <c r="I234" s="2" t="n">
        <v>0.28</v>
      </c>
    </row>
    <row r="235">
      <c r="A235" s="2" t="inlineStr">
        <is>
          <t>PE</t>
        </is>
      </c>
      <c r="B235" s="2" t="inlineStr">
        <is>
          <t>Vivo (Suzhou) Health Industry Investment Fund Limited Partnership</t>
        </is>
      </c>
      <c r="C235" s="2" t="inlineStr">
        <is>
          <t>47128684</t>
        </is>
      </c>
      <c r="D235" s="2" t="inlineStr">
        <is>
          <t>AUD2026-12 Vivo Capital</t>
        </is>
      </c>
      <c r="E235" s="2" t="inlineStr">
        <is>
          <t>Order47128684- 260501004</t>
        </is>
      </c>
      <c r="F235" s="2" t="inlineStr">
        <is>
          <t>47128684- EDC260501001</t>
        </is>
      </c>
      <c r="G235" s="2" t="inlineStr">
        <is>
          <t>Vivi.W.Yang@cn.ey.com</t>
        </is>
      </c>
      <c r="H235" s="2" t="inlineStr">
        <is>
          <t>Week29 (2027.01.16)</t>
        </is>
      </c>
      <c r="I235" s="2" t="n">
        <v>0.76</v>
      </c>
    </row>
    <row r="236">
      <c r="A236" s="2" t="inlineStr">
        <is>
          <t>公募</t>
        </is>
      </c>
      <c r="B236" s="2" t="inlineStr">
        <is>
          <t>Invesco Great Wall Fund Management Co.,Ltd.</t>
        </is>
      </c>
      <c r="C236" s="2" t="inlineStr">
        <is>
          <t>47128706</t>
        </is>
      </c>
      <c r="D236" s="2" t="inlineStr">
        <is>
          <t>AUD2026-12 Invesco GW Funds</t>
        </is>
      </c>
      <c r="E236" s="2" t="inlineStr">
        <is>
          <t>Order47128706- 260501003</t>
        </is>
      </c>
      <c r="F236" s="2" t="inlineStr">
        <is>
          <t>47128706- EDC260501001</t>
        </is>
      </c>
      <c r="G236" s="2" t="inlineStr">
        <is>
          <t>InternA</t>
        </is>
      </c>
      <c r="H236" s="2" t="inlineStr">
        <is>
          <t>Week29 (2027.01.16)</t>
        </is>
      </c>
      <c r="I236" s="2" t="n">
        <v>15.76</v>
      </c>
    </row>
    <row r="237">
      <c r="A237" s="2" t="inlineStr">
        <is>
          <t>公募</t>
        </is>
      </c>
      <c r="B237" s="2" t="inlineStr">
        <is>
          <t>Invesco Great Wall Fund Management Co.,Ltd.</t>
        </is>
      </c>
      <c r="C237" s="2" t="inlineStr">
        <is>
          <t>47128706</t>
        </is>
      </c>
      <c r="D237" s="2" t="inlineStr">
        <is>
          <t>AUD2026-12 Invesco GW Funds</t>
        </is>
      </c>
      <c r="E237" s="2" t="inlineStr">
        <is>
          <t>Order47128706- 260501003</t>
        </is>
      </c>
      <c r="F237" s="2" t="inlineStr">
        <is>
          <t>47128706- EDC260501001</t>
        </is>
      </c>
      <c r="G237" s="2" t="inlineStr">
        <is>
          <t>Marsh.Ma@cn.ey.com</t>
        </is>
      </c>
      <c r="H237" s="2" t="inlineStr">
        <is>
          <t>Week29 (2027.01.16)</t>
        </is>
      </c>
      <c r="I237" s="2" t="n">
        <v>1.58</v>
      </c>
    </row>
    <row r="238">
      <c r="A238" s="2" t="inlineStr">
        <is>
          <t>公募</t>
        </is>
      </c>
      <c r="B238" s="2" t="inlineStr">
        <is>
          <t>Invesco Great Wall Fund Management Co.,Ltd.</t>
        </is>
      </c>
      <c r="C238" s="2" t="inlineStr">
        <is>
          <t>47128706</t>
        </is>
      </c>
      <c r="D238" s="2" t="inlineStr">
        <is>
          <t>AUD2026-12 Invesco GW Funds</t>
        </is>
      </c>
      <c r="E238" s="2" t="inlineStr">
        <is>
          <t>Order47128706- 260501003</t>
        </is>
      </c>
      <c r="F238" s="2" t="inlineStr">
        <is>
          <t>47128706- EDC260501001</t>
        </is>
      </c>
      <c r="G238" s="2" t="inlineStr">
        <is>
          <t>Rainbow.MG.Xiao@cn.ey.com</t>
        </is>
      </c>
      <c r="H238" s="2" t="inlineStr">
        <is>
          <t>Week29 (2027.01.16)</t>
        </is>
      </c>
      <c r="I238" s="2" t="n">
        <v>2.38</v>
      </c>
    </row>
    <row r="239">
      <c r="A239" s="2" t="inlineStr">
        <is>
          <t>ICBC</t>
        </is>
      </c>
      <c r="B239" s="2" t="inlineStr">
        <is>
          <t>Industrial And Commercial Bank of China (Macau) Limited</t>
        </is>
      </c>
      <c r="C239" s="2" t="inlineStr">
        <is>
          <t>47129069</t>
        </is>
      </c>
      <c r="D239" s="2" t="inlineStr">
        <is>
          <t>AUD2026-12 ICBCM</t>
        </is>
      </c>
      <c r="E239" s="2" t="inlineStr">
        <is>
          <t>Order47129069- 260731001</t>
        </is>
      </c>
      <c r="F239" s="2" t="inlineStr">
        <is>
          <t>47129069- EDC260731001</t>
        </is>
      </c>
      <c r="G239" s="2" t="inlineStr">
        <is>
          <t>InternA</t>
        </is>
      </c>
      <c r="H239" s="2" t="inlineStr">
        <is>
          <t>Week29 (2027.01.16)</t>
        </is>
      </c>
      <c r="I239" s="2" t="n">
        <v>10.08</v>
      </c>
    </row>
    <row r="240">
      <c r="A240" s="2" t="inlineStr">
        <is>
          <t>ICBC</t>
        </is>
      </c>
      <c r="B240" s="2" t="inlineStr">
        <is>
          <t>Industrial And Commercial Bank of China (Macau) Limited</t>
        </is>
      </c>
      <c r="C240" s="2" t="inlineStr">
        <is>
          <t>47129069</t>
        </is>
      </c>
      <c r="D240" s="2" t="inlineStr">
        <is>
          <t>AUD2026-12 ICBCM</t>
        </is>
      </c>
      <c r="E240" s="2" t="inlineStr">
        <is>
          <t>Order47129069- 260731001</t>
        </is>
      </c>
      <c r="F240" s="2" t="inlineStr">
        <is>
          <t>47129069- EDC260731001</t>
        </is>
      </c>
      <c r="G240" s="2" t="inlineStr">
        <is>
          <t>Marsh.Ma@cn.ey.com</t>
        </is>
      </c>
      <c r="H240" s="2" t="inlineStr">
        <is>
          <t>Week29 (2027.01.16)</t>
        </is>
      </c>
      <c r="I240" s="2" t="n">
        <v>0.7</v>
      </c>
    </row>
    <row r="241">
      <c r="A241" s="2" t="inlineStr">
        <is>
          <t>ICBC</t>
        </is>
      </c>
      <c r="B241" s="2" t="inlineStr">
        <is>
          <t>Industrial And Commercial Bank of China (Macau) Limited</t>
        </is>
      </c>
      <c r="C241" s="2" t="inlineStr">
        <is>
          <t>47129069</t>
        </is>
      </c>
      <c r="D241" s="2" t="inlineStr">
        <is>
          <t>AUD2026-12 ICBCM</t>
        </is>
      </c>
      <c r="E241" s="2" t="inlineStr">
        <is>
          <t>Order47129069- 260731001</t>
        </is>
      </c>
      <c r="F241" s="2" t="inlineStr">
        <is>
          <t>47129069- EDC260731001</t>
        </is>
      </c>
      <c r="G241" s="2" t="inlineStr">
        <is>
          <t>Vivi.W.Yang@cn.ey.com</t>
        </is>
      </c>
      <c r="H241" s="2" t="inlineStr">
        <is>
          <t>Week29 (2027.01.16)</t>
        </is>
      </c>
      <c r="I241" s="2" t="n">
        <v>3.58</v>
      </c>
    </row>
    <row r="242">
      <c r="A242" s="2" t="inlineStr">
        <is>
          <t>ICBC</t>
        </is>
      </c>
      <c r="B242" s="2" t="inlineStr">
        <is>
          <t>Industrial And Commercial Bank of China (Asia) Limited</t>
        </is>
      </c>
      <c r="C242" s="2" t="inlineStr">
        <is>
          <t>47129548</t>
        </is>
      </c>
      <c r="D242" s="2" t="inlineStr">
        <is>
          <t>AUD2026-12 ICBCA</t>
        </is>
      </c>
      <c r="E242" s="2" t="inlineStr">
        <is>
          <t>Order47129548- 260501002</t>
        </is>
      </c>
      <c r="F242" s="2" t="inlineStr">
        <is>
          <t>47129548- EDC260501001</t>
        </is>
      </c>
      <c r="G242" s="2" t="inlineStr">
        <is>
          <t>InternA</t>
        </is>
      </c>
      <c r="H242" s="2" t="inlineStr">
        <is>
          <t>Week29 (2027.01.16)</t>
        </is>
      </c>
      <c r="I242" s="2" t="n">
        <v>5.79</v>
      </c>
    </row>
    <row r="243">
      <c r="A243" s="2" t="inlineStr">
        <is>
          <t>ICBC</t>
        </is>
      </c>
      <c r="B243" s="2" t="inlineStr">
        <is>
          <t>Industrial And Commercial Bank of China (Asia) Limited</t>
        </is>
      </c>
      <c r="C243" s="2" t="inlineStr">
        <is>
          <t>47129548</t>
        </is>
      </c>
      <c r="D243" s="2" t="inlineStr">
        <is>
          <t>AUD2026-12 ICBCA</t>
        </is>
      </c>
      <c r="E243" s="2" t="inlineStr">
        <is>
          <t>Order47129548- 260501002</t>
        </is>
      </c>
      <c r="F243" s="2" t="inlineStr">
        <is>
          <t>47129548- EDC260501001</t>
        </is>
      </c>
      <c r="G243" s="2" t="inlineStr">
        <is>
          <t>InternB</t>
        </is>
      </c>
      <c r="H243" s="2" t="inlineStr">
        <is>
          <t>Week29 (2027.01.16)</t>
        </is>
      </c>
      <c r="I243" s="2" t="n">
        <v>40</v>
      </c>
    </row>
    <row r="244">
      <c r="A244" s="2" t="inlineStr">
        <is>
          <t>ICBC</t>
        </is>
      </c>
      <c r="B244" s="2" t="inlineStr">
        <is>
          <t>Industrial And Commercial Bank of China (Asia) Limited</t>
        </is>
      </c>
      <c r="C244" s="2" t="inlineStr">
        <is>
          <t>47129548</t>
        </is>
      </c>
      <c r="D244" s="2" t="inlineStr">
        <is>
          <t>AUD2026-12 ICBCA</t>
        </is>
      </c>
      <c r="E244" s="2" t="inlineStr">
        <is>
          <t>Order47129548- 260501002</t>
        </is>
      </c>
      <c r="F244" s="2" t="inlineStr">
        <is>
          <t>47129548- EDC260501001</t>
        </is>
      </c>
      <c r="G244" s="2" t="inlineStr">
        <is>
          <t>Marsh.Ma@cn.ey.com</t>
        </is>
      </c>
      <c r="H244" s="2" t="inlineStr">
        <is>
          <t>Week29 (2027.01.16)</t>
        </is>
      </c>
      <c r="I244" s="2" t="n">
        <v>5.11</v>
      </c>
    </row>
    <row r="245">
      <c r="A245" s="2" t="inlineStr">
        <is>
          <t>ICBC</t>
        </is>
      </c>
      <c r="B245" s="2" t="inlineStr">
        <is>
          <t>Industrial And Commercial Bank of China (Asia) Limited</t>
        </is>
      </c>
      <c r="C245" s="2" t="inlineStr">
        <is>
          <t>47129548</t>
        </is>
      </c>
      <c r="D245" s="2" t="inlineStr">
        <is>
          <t>AUD2026-12 ICBCA</t>
        </is>
      </c>
      <c r="E245" s="2" t="inlineStr">
        <is>
          <t>Order47129548- 260501002</t>
        </is>
      </c>
      <c r="F245" s="2" t="inlineStr">
        <is>
          <t>47129548- EDC260501001</t>
        </is>
      </c>
      <c r="G245" s="2" t="inlineStr">
        <is>
          <t>Vivi.W.Yang@cn.ey.com</t>
        </is>
      </c>
      <c r="H245" s="2" t="inlineStr">
        <is>
          <t>Week29 (2027.01.16)</t>
        </is>
      </c>
      <c r="I245" s="2" t="n">
        <v>23.89</v>
      </c>
    </row>
    <row r="246">
      <c r="A246" s="2" t="inlineStr">
        <is>
          <t>公募</t>
        </is>
      </c>
      <c r="B246" s="2" t="inlineStr">
        <is>
          <t>FORTUNE &amp; ROYAL ASSET MANAGEMENT CORPORATION LIMITED</t>
        </is>
      </c>
      <c r="C246" s="2" t="inlineStr">
        <is>
          <t>47128046</t>
        </is>
      </c>
      <c r="D246" s="2" t="inlineStr">
        <is>
          <t>AUD2026-12 FR Funds</t>
        </is>
      </c>
      <c r="E246" s="2" t="inlineStr">
        <is>
          <t>Order47128046- 260501004</t>
        </is>
      </c>
      <c r="F246" s="2" t="inlineStr">
        <is>
          <t>47128046- EDC260504001</t>
        </is>
      </c>
      <c r="G246" s="2" t="inlineStr">
        <is>
          <t>Marsh.Ma@cn.ey.com</t>
        </is>
      </c>
      <c r="H246" s="2" t="inlineStr">
        <is>
          <t>Week30 (2027.01.23)</t>
        </is>
      </c>
      <c r="I246" s="2" t="n">
        <v>1.22</v>
      </c>
    </row>
    <row r="247">
      <c r="A247" s="2" t="inlineStr">
        <is>
          <t>公募</t>
        </is>
      </c>
      <c r="B247" s="2" t="inlineStr">
        <is>
          <t>FORTUNE &amp; ROYAL ASSET MANAGEMENT CORPORATION LIMITED</t>
        </is>
      </c>
      <c r="C247" s="2" t="inlineStr">
        <is>
          <t>47128046</t>
        </is>
      </c>
      <c r="D247" s="2" t="inlineStr">
        <is>
          <t>AUD2026-12 FR Funds</t>
        </is>
      </c>
      <c r="E247" s="2" t="inlineStr">
        <is>
          <t>Order47128046- 260501004</t>
        </is>
      </c>
      <c r="F247" s="2" t="inlineStr">
        <is>
          <t>47128046- EDC260504001</t>
        </is>
      </c>
      <c r="G247" s="2" t="inlineStr">
        <is>
          <t>Yuan.Yuan.YY.Chen@cn.ey.com</t>
        </is>
      </c>
      <c r="H247" s="2" t="inlineStr">
        <is>
          <t>Week30 (2027.01.23)</t>
        </is>
      </c>
      <c r="I247" s="2" t="n">
        <v>14.05</v>
      </c>
    </row>
    <row r="248">
      <c r="A248" s="2" t="inlineStr">
        <is>
          <t>PE</t>
        </is>
      </c>
      <c r="B248" s="2" t="inlineStr">
        <is>
          <t>EverYi Capital Asia Fund, L.P.</t>
        </is>
      </c>
      <c r="C248" s="2" t="inlineStr">
        <is>
          <t>47128108</t>
        </is>
      </c>
      <c r="D248" s="2" t="inlineStr">
        <is>
          <t>AUD2026-12 EverYi Capital</t>
        </is>
      </c>
      <c r="E248" s="2" t="inlineStr">
        <is>
          <t>Order47128108- 260501005</t>
        </is>
      </c>
      <c r="F248" s="2" t="inlineStr">
        <is>
          <t>47128108- EDC260504001</t>
        </is>
      </c>
      <c r="G248" s="2" t="inlineStr">
        <is>
          <t>Luna.CD.Zhang@cn.ey.com</t>
        </is>
      </c>
      <c r="H248" s="2" t="inlineStr">
        <is>
          <t>Week30 (2027.01.23)</t>
        </is>
      </c>
      <c r="I248" s="2" t="n">
        <v>36.14</v>
      </c>
    </row>
    <row r="249">
      <c r="A249" s="2" t="inlineStr">
        <is>
          <t>PE</t>
        </is>
      </c>
      <c r="B249" s="2" t="inlineStr">
        <is>
          <t>EverYi Capital Asia Fund, L.P.</t>
        </is>
      </c>
      <c r="C249" s="2" t="inlineStr">
        <is>
          <t>47128108</t>
        </is>
      </c>
      <c r="D249" s="2" t="inlineStr">
        <is>
          <t>AUD2026-12 EverYi Capital</t>
        </is>
      </c>
      <c r="E249" s="2" t="inlineStr">
        <is>
          <t>Order47128108- 260501005</t>
        </is>
      </c>
      <c r="F249" s="2" t="inlineStr">
        <is>
          <t>47128108- EDC260504001</t>
        </is>
      </c>
      <c r="G249" s="2" t="inlineStr">
        <is>
          <t>Marsh.Ma@cn.ey.com</t>
        </is>
      </c>
      <c r="H249" s="2" t="inlineStr">
        <is>
          <t>Week30 (2027.01.23)</t>
        </is>
      </c>
      <c r="I249" s="2" t="n">
        <v>1.19</v>
      </c>
    </row>
    <row r="250">
      <c r="A250" s="2" t="inlineStr">
        <is>
          <t>PE</t>
        </is>
      </c>
      <c r="B250" s="2" t="inlineStr">
        <is>
          <t>EverYi Capital Asia Fund, L.P.</t>
        </is>
      </c>
      <c r="C250" s="2" t="inlineStr">
        <is>
          <t>47128108</t>
        </is>
      </c>
      <c r="D250" s="2" t="inlineStr">
        <is>
          <t>AUD2026-12 EverYi Capital</t>
        </is>
      </c>
      <c r="E250" s="2" t="inlineStr">
        <is>
          <t>Order47128108- 260501005</t>
        </is>
      </c>
      <c r="F250" s="2" t="inlineStr">
        <is>
          <t>47128108- EDC260504001</t>
        </is>
      </c>
      <c r="G250" s="2" t="inlineStr">
        <is>
          <t>Vivi.W.Yang@cn.ey.com</t>
        </is>
      </c>
      <c r="H250" s="2" t="inlineStr">
        <is>
          <t>Week30 (2027.01.23)</t>
        </is>
      </c>
      <c r="I250" s="2" t="n">
        <v>3.28</v>
      </c>
    </row>
    <row r="251">
      <c r="A251" s="2" t="inlineStr">
        <is>
          <t>PE</t>
        </is>
      </c>
      <c r="B251" s="2" t="inlineStr">
        <is>
          <t>Hangzhou Huaxin Yunkai Equity Shares Investment Partnership Enterprise (Limited Partnership)</t>
        </is>
      </c>
      <c r="C251" s="2" t="inlineStr">
        <is>
          <t>47128202</t>
        </is>
      </c>
      <c r="D251" s="2" t="inlineStr">
        <is>
          <t>AUD2026-12 Hangzhou Huaxin</t>
        </is>
      </c>
      <c r="E251" s="2" t="inlineStr">
        <is>
          <t>Order47128202- 260501004</t>
        </is>
      </c>
      <c r="F251" s="2" t="inlineStr">
        <is>
          <t>47128202- EDC260501001</t>
        </is>
      </c>
      <c r="G251" s="2" t="inlineStr">
        <is>
          <t>Marsh.Ma@cn.ey.com</t>
        </is>
      </c>
      <c r="H251" s="2" t="inlineStr">
        <is>
          <t>Week30 (2027.01.23)</t>
        </is>
      </c>
      <c r="I251" s="2" t="n">
        <v>4.59</v>
      </c>
    </row>
    <row r="252">
      <c r="A252" s="2" t="inlineStr">
        <is>
          <t>PE</t>
        </is>
      </c>
      <c r="B252" s="2" t="inlineStr">
        <is>
          <t>Hangzhou Huaxin Yunkai Equity Shares Investment Partnership Enterprise (Limited Partnership)</t>
        </is>
      </c>
      <c r="C252" s="2" t="inlineStr">
        <is>
          <t>47128202</t>
        </is>
      </c>
      <c r="D252" s="2" t="inlineStr">
        <is>
          <t>AUD2026-12 Hangzhou Huaxin</t>
        </is>
      </c>
      <c r="E252" s="2" t="inlineStr">
        <is>
          <t>Order47128202- 260501004</t>
        </is>
      </c>
      <c r="F252" s="2" t="inlineStr">
        <is>
          <t>47128202- EDC260501001</t>
        </is>
      </c>
      <c r="G252" s="2" t="inlineStr">
        <is>
          <t>Vivi.W.Yang@cn.ey.com</t>
        </is>
      </c>
      <c r="H252" s="2" t="inlineStr">
        <is>
          <t>Week30 (2027.01.23)</t>
        </is>
      </c>
      <c r="I252" s="2" t="n">
        <v>12.62</v>
      </c>
    </row>
    <row r="253">
      <c r="A253" s="2" t="inlineStr">
        <is>
          <t>公募</t>
        </is>
      </c>
      <c r="B253" s="2" t="inlineStr">
        <is>
          <t>Great Wall Fund Management Co., Ltd</t>
        </is>
      </c>
      <c r="C253" s="2" t="inlineStr">
        <is>
          <t>47128364</t>
        </is>
      </c>
      <c r="D253" s="2" t="inlineStr">
        <is>
          <t>AUD2026-12 Great Wall Funds</t>
        </is>
      </c>
      <c r="E253" s="2" t="inlineStr">
        <is>
          <t>Order47128364- 260501004</t>
        </is>
      </c>
      <c r="F253" s="2" t="inlineStr">
        <is>
          <t>47128364- EDC260501001</t>
        </is>
      </c>
      <c r="G253" s="2" t="inlineStr">
        <is>
          <t>Marsh.Ma@cn.ey.com</t>
        </is>
      </c>
      <c r="H253" s="2" t="inlineStr">
        <is>
          <t>Week30 (2027.01.23)</t>
        </is>
      </c>
      <c r="I253" s="2" t="n">
        <v>6.95</v>
      </c>
    </row>
    <row r="254">
      <c r="A254" s="2" t="inlineStr">
        <is>
          <t>公募</t>
        </is>
      </c>
      <c r="B254" s="2" t="inlineStr">
        <is>
          <t>Great Wall Fund Management Co., Ltd</t>
        </is>
      </c>
      <c r="C254" s="2" t="inlineStr">
        <is>
          <t>47128364</t>
        </is>
      </c>
      <c r="D254" s="2" t="inlineStr">
        <is>
          <t>AUD2026-12 Great Wall Funds</t>
        </is>
      </c>
      <c r="E254" s="2" t="inlineStr">
        <is>
          <t>Order47128364- 260501004</t>
        </is>
      </c>
      <c r="F254" s="2" t="inlineStr">
        <is>
          <t>47128364- EDC260501001</t>
        </is>
      </c>
      <c r="G254" s="2" t="inlineStr">
        <is>
          <t>Rainbow.MG.Xiao@cn.ey.com</t>
        </is>
      </c>
      <c r="H254" s="2" t="inlineStr">
        <is>
          <t>Week30 (2027.01.23)</t>
        </is>
      </c>
      <c r="I254" s="2" t="n">
        <v>57.62</v>
      </c>
    </row>
    <row r="255">
      <c r="A255" s="2" t="inlineStr">
        <is>
          <t>公募</t>
        </is>
      </c>
      <c r="B255" s="2" t="inlineStr">
        <is>
          <t>Great Wall Fund Management Co., Ltd</t>
        </is>
      </c>
      <c r="C255" s="2" t="inlineStr">
        <is>
          <t>47128364</t>
        </is>
      </c>
      <c r="D255" s="2" t="inlineStr">
        <is>
          <t>AUD2026-12 Great Wall Funds</t>
        </is>
      </c>
      <c r="E255" s="2" t="inlineStr">
        <is>
          <t>Order47128364- 260501004</t>
        </is>
      </c>
      <c r="F255" s="2" t="inlineStr">
        <is>
          <t>47128364- EDC260501001</t>
        </is>
      </c>
      <c r="G255" s="2" t="inlineStr">
        <is>
          <t>Yuan.Yuan.YY.Chen@cn.ey.com</t>
        </is>
      </c>
      <c r="H255" s="2" t="inlineStr">
        <is>
          <t>Week30 (2027.01.23)</t>
        </is>
      </c>
      <c r="I255" s="2" t="n">
        <v>22.25</v>
      </c>
    </row>
    <row r="256">
      <c r="A256" s="2" t="inlineStr">
        <is>
          <t>公募</t>
        </is>
      </c>
      <c r="B256" s="2" t="inlineStr">
        <is>
          <t>Ping An Fund Management Company Limited</t>
        </is>
      </c>
      <c r="C256" s="2" t="inlineStr">
        <is>
          <t>47128421</t>
        </is>
      </c>
      <c r="D256" s="2" t="inlineStr">
        <is>
          <t>AUD2026-12 PA Funds</t>
        </is>
      </c>
      <c r="E256" s="2" t="inlineStr">
        <is>
          <t>Order47128421- 260501003</t>
        </is>
      </c>
      <c r="F256" s="2" t="inlineStr">
        <is>
          <t>47128421- EDC260501001</t>
        </is>
      </c>
      <c r="G256" s="2" t="inlineStr">
        <is>
          <t>Marsh.Ma@cn.ey.com</t>
        </is>
      </c>
      <c r="H256" s="2" t="inlineStr">
        <is>
          <t>Week30 (2027.01.23)</t>
        </is>
      </c>
      <c r="I256" s="2" t="n">
        <v>2.06</v>
      </c>
    </row>
    <row r="257">
      <c r="A257" s="2" t="inlineStr">
        <is>
          <t>公募</t>
        </is>
      </c>
      <c r="B257" s="2" t="inlineStr">
        <is>
          <t>Ping An Fund Management Company Limited</t>
        </is>
      </c>
      <c r="C257" s="2" t="inlineStr">
        <is>
          <t>47128421</t>
        </is>
      </c>
      <c r="D257" s="2" t="inlineStr">
        <is>
          <t>AUD2026-12 PA Funds</t>
        </is>
      </c>
      <c r="E257" s="2" t="inlineStr">
        <is>
          <t>Order47128421- 260501003</t>
        </is>
      </c>
      <c r="F257" s="2" t="inlineStr">
        <is>
          <t>47128421- EDC260501001</t>
        </is>
      </c>
      <c r="G257" s="2" t="inlineStr">
        <is>
          <t>Yuan.Yuan.YY.Chen@cn.ey.com</t>
        </is>
      </c>
      <c r="H257" s="2" t="inlineStr">
        <is>
          <t>Week30 (2027.01.23)</t>
        </is>
      </c>
      <c r="I257" s="2" t="n">
        <v>23.7</v>
      </c>
    </row>
    <row r="258">
      <c r="A258" s="2" t="inlineStr">
        <is>
          <t>PE</t>
        </is>
      </c>
      <c r="B258" s="2" t="inlineStr">
        <is>
          <t>Xiamen Fuhai New Materials Phase Iii Venture Capital Partnership Enterprise(Limi ted Partnership)</t>
        </is>
      </c>
      <c r="C258" s="2" t="inlineStr">
        <is>
          <t>47128515</t>
        </is>
      </c>
      <c r="D258" s="2" t="inlineStr">
        <is>
          <t>AUD2026-12 OFC Fund</t>
        </is>
      </c>
      <c r="E258" s="2" t="inlineStr">
        <is>
          <t>Order47128515- 260501002</t>
        </is>
      </c>
      <c r="F258" s="2" t="inlineStr">
        <is>
          <t>47128515- EDC260501001</t>
        </is>
      </c>
      <c r="G258" s="2" t="inlineStr">
        <is>
          <t>Luna.CD.Zhang@cn.ey.com</t>
        </is>
      </c>
      <c r="H258" s="2" t="inlineStr">
        <is>
          <t>Week30 (2027.01.23)</t>
        </is>
      </c>
      <c r="I258" s="2" t="n">
        <v>23.86</v>
      </c>
    </row>
    <row r="259">
      <c r="A259" s="2" t="inlineStr">
        <is>
          <t>PE</t>
        </is>
      </c>
      <c r="B259" s="2" t="inlineStr">
        <is>
          <t>Xiamen Fuhai New Materials Phase Iii Venture Capital Partnership Enterprise(Limi ted Partnership)</t>
        </is>
      </c>
      <c r="C259" s="2" t="inlineStr">
        <is>
          <t>47128515</t>
        </is>
      </c>
      <c r="D259" s="2" t="inlineStr">
        <is>
          <t>AUD2026-12 OFC Fund</t>
        </is>
      </c>
      <c r="E259" s="2" t="inlineStr">
        <is>
          <t>Order47128515- 260501002</t>
        </is>
      </c>
      <c r="F259" s="2" t="inlineStr">
        <is>
          <t>47128515- EDC260501001</t>
        </is>
      </c>
      <c r="G259" s="2" t="inlineStr">
        <is>
          <t>Marsh.Ma@cn.ey.com</t>
        </is>
      </c>
      <c r="H259" s="2" t="inlineStr">
        <is>
          <t>Week30 (2027.01.23)</t>
        </is>
      </c>
      <c r="I259" s="2" t="n">
        <v>0.87</v>
      </c>
    </row>
    <row r="260">
      <c r="A260" s="2" t="inlineStr">
        <is>
          <t>PE</t>
        </is>
      </c>
      <c r="B260" s="2" t="inlineStr">
        <is>
          <t>Xiamen Fuhai New Materials Phase Iii Venture Capital Partnership Enterprise(Limi ted Partnership)</t>
        </is>
      </c>
      <c r="C260" s="2" t="inlineStr">
        <is>
          <t>47128515</t>
        </is>
      </c>
      <c r="D260" s="2" t="inlineStr">
        <is>
          <t>AUD2026-12 OFC Fund</t>
        </is>
      </c>
      <c r="E260" s="2" t="inlineStr">
        <is>
          <t>Order47128515- 260501002</t>
        </is>
      </c>
      <c r="F260" s="2" t="inlineStr">
        <is>
          <t>47128515- EDC260501001</t>
        </is>
      </c>
      <c r="G260" s="2" t="inlineStr">
        <is>
          <t>Vivi.W.Yang@cn.ey.com</t>
        </is>
      </c>
      <c r="H260" s="2" t="inlineStr">
        <is>
          <t>Week30 (2027.01.23)</t>
        </is>
      </c>
      <c r="I260" s="2" t="n">
        <v>2.39</v>
      </c>
    </row>
    <row r="261">
      <c r="A261" s="2" t="inlineStr">
        <is>
          <t>公募</t>
        </is>
      </c>
      <c r="B261" s="2" t="inlineStr">
        <is>
          <t>Hang Seng Qianhai Fund Management Company Limited</t>
        </is>
      </c>
      <c r="C261" s="2" t="inlineStr">
        <is>
          <t>47128633</t>
        </is>
      </c>
      <c r="D261" s="2" t="inlineStr">
        <is>
          <t>AUD2026-12 HSQH Funds</t>
        </is>
      </c>
      <c r="E261" s="2" t="inlineStr">
        <is>
          <t>Order47128633- 260501004</t>
        </is>
      </c>
      <c r="F261" s="2" t="inlineStr">
        <is>
          <t>47128633- EDC260501001</t>
        </is>
      </c>
      <c r="G261" s="2" t="inlineStr">
        <is>
          <t>InternA</t>
        </is>
      </c>
      <c r="H261" s="2" t="inlineStr">
        <is>
          <t>Week30 (2027.01.23)</t>
        </is>
      </c>
      <c r="I261" s="2" t="n">
        <v>8.359999999999999</v>
      </c>
    </row>
    <row r="262">
      <c r="A262" s="2" t="inlineStr">
        <is>
          <t>公募</t>
        </is>
      </c>
      <c r="B262" s="2" t="inlineStr">
        <is>
          <t>Hang Seng Qianhai Fund Management Company Limited</t>
        </is>
      </c>
      <c r="C262" s="2" t="inlineStr">
        <is>
          <t>47128633</t>
        </is>
      </c>
      <c r="D262" s="2" t="inlineStr">
        <is>
          <t>AUD2026-12 HSQH Funds</t>
        </is>
      </c>
      <c r="E262" s="2" t="inlineStr">
        <is>
          <t>Order47128633- 260501004</t>
        </is>
      </c>
      <c r="F262" s="2" t="inlineStr">
        <is>
          <t>47128633- EDC260501001</t>
        </is>
      </c>
      <c r="G262" s="2" t="inlineStr">
        <is>
          <t>Marsh.Ma@cn.ey.com</t>
        </is>
      </c>
      <c r="H262" s="2" t="inlineStr">
        <is>
          <t>Week30 (2027.01.23)</t>
        </is>
      </c>
      <c r="I262" s="2" t="n">
        <v>0.73</v>
      </c>
    </row>
    <row r="263">
      <c r="A263" s="2" t="inlineStr">
        <is>
          <t>PE</t>
        </is>
      </c>
      <c r="B263" s="2" t="inlineStr">
        <is>
          <t>Vivo (Suzhou) Health Industry Investment Fund Limited Partnership</t>
        </is>
      </c>
      <c r="C263" s="2" t="inlineStr">
        <is>
          <t>47128684</t>
        </is>
      </c>
      <c r="D263" s="2" t="inlineStr">
        <is>
          <t>AUD2026-12 Vivo Capital</t>
        </is>
      </c>
      <c r="E263" s="2" t="inlineStr">
        <is>
          <t>Order47128684- 260501004</t>
        </is>
      </c>
      <c r="F263" s="2" t="inlineStr">
        <is>
          <t>47128684- EDC260501001</t>
        </is>
      </c>
      <c r="G263" s="2" t="inlineStr">
        <is>
          <t>Marsh.Ma@cn.ey.com</t>
        </is>
      </c>
      <c r="H263" s="2" t="inlineStr">
        <is>
          <t>Week30 (2027.01.23)</t>
        </is>
      </c>
      <c r="I263" s="2" t="n">
        <v>0.28</v>
      </c>
    </row>
    <row r="264">
      <c r="A264" s="2" t="inlineStr">
        <is>
          <t>PE</t>
        </is>
      </c>
      <c r="B264" s="2" t="inlineStr">
        <is>
          <t>Vivo (Suzhou) Health Industry Investment Fund Limited Partnership</t>
        </is>
      </c>
      <c r="C264" s="2" t="inlineStr">
        <is>
          <t>47128684</t>
        </is>
      </c>
      <c r="D264" s="2" t="inlineStr">
        <is>
          <t>AUD2026-12 Vivo Capital</t>
        </is>
      </c>
      <c r="E264" s="2" t="inlineStr">
        <is>
          <t>Order47128684- 260501004</t>
        </is>
      </c>
      <c r="F264" s="2" t="inlineStr">
        <is>
          <t>47128684- EDC260501001</t>
        </is>
      </c>
      <c r="G264" s="2" t="inlineStr">
        <is>
          <t>Vivi.W.Yang@cn.ey.com</t>
        </is>
      </c>
      <c r="H264" s="2" t="inlineStr">
        <is>
          <t>Week30 (2027.01.23)</t>
        </is>
      </c>
      <c r="I264" s="2" t="n">
        <v>0.76</v>
      </c>
    </row>
    <row r="265">
      <c r="A265" s="2" t="inlineStr">
        <is>
          <t>公募</t>
        </is>
      </c>
      <c r="B265" s="2" t="inlineStr">
        <is>
          <t>Invesco Great Wall Fund Management Co.,Ltd.</t>
        </is>
      </c>
      <c r="C265" s="2" t="inlineStr">
        <is>
          <t>47128706</t>
        </is>
      </c>
      <c r="D265" s="2" t="inlineStr">
        <is>
          <t>AUD2026-12 Invesco GW Funds</t>
        </is>
      </c>
      <c r="E265" s="2" t="inlineStr">
        <is>
          <t>Order47128706- 260501003</t>
        </is>
      </c>
      <c r="F265" s="2" t="inlineStr">
        <is>
          <t>47128706- EDC260501001</t>
        </is>
      </c>
      <c r="G265" s="2" t="inlineStr">
        <is>
          <t>InternA</t>
        </is>
      </c>
      <c r="H265" s="2" t="inlineStr">
        <is>
          <t>Week30 (2027.01.23)</t>
        </is>
      </c>
      <c r="I265" s="2" t="n">
        <v>15.76</v>
      </c>
    </row>
    <row r="266">
      <c r="A266" s="2" t="inlineStr">
        <is>
          <t>公募</t>
        </is>
      </c>
      <c r="B266" s="2" t="inlineStr">
        <is>
          <t>Invesco Great Wall Fund Management Co.,Ltd.</t>
        </is>
      </c>
      <c r="C266" s="2" t="inlineStr">
        <is>
          <t>47128706</t>
        </is>
      </c>
      <c r="D266" s="2" t="inlineStr">
        <is>
          <t>AUD2026-12 Invesco GW Funds</t>
        </is>
      </c>
      <c r="E266" s="2" t="inlineStr">
        <is>
          <t>Order47128706- 260501003</t>
        </is>
      </c>
      <c r="F266" s="2" t="inlineStr">
        <is>
          <t>47128706- EDC260501001</t>
        </is>
      </c>
      <c r="G266" s="2" t="inlineStr">
        <is>
          <t>Marsh.Ma@cn.ey.com</t>
        </is>
      </c>
      <c r="H266" s="2" t="inlineStr">
        <is>
          <t>Week30 (2027.01.23)</t>
        </is>
      </c>
      <c r="I266" s="2" t="n">
        <v>1.58</v>
      </c>
    </row>
    <row r="267">
      <c r="A267" s="2" t="inlineStr">
        <is>
          <t>公募</t>
        </is>
      </c>
      <c r="B267" s="2" t="inlineStr">
        <is>
          <t>Invesco Great Wall Fund Management Co.,Ltd.</t>
        </is>
      </c>
      <c r="C267" s="2" t="inlineStr">
        <is>
          <t>47128706</t>
        </is>
      </c>
      <c r="D267" s="2" t="inlineStr">
        <is>
          <t>AUD2026-12 Invesco GW Funds</t>
        </is>
      </c>
      <c r="E267" s="2" t="inlineStr">
        <is>
          <t>Order47128706- 260501003</t>
        </is>
      </c>
      <c r="F267" s="2" t="inlineStr">
        <is>
          <t>47128706- EDC260501001</t>
        </is>
      </c>
      <c r="G267" s="2" t="inlineStr">
        <is>
          <t>Rainbow.MG.Xiao@cn.ey.com</t>
        </is>
      </c>
      <c r="H267" s="2" t="inlineStr">
        <is>
          <t>Week30 (2027.01.23)</t>
        </is>
      </c>
      <c r="I267" s="2" t="n">
        <v>2.38</v>
      </c>
    </row>
    <row r="268">
      <c r="A268" s="2" t="inlineStr">
        <is>
          <t>ICBC</t>
        </is>
      </c>
      <c r="B268" s="2" t="inlineStr">
        <is>
          <t>Industrial And Commercial Bank of China (Macau) Limited</t>
        </is>
      </c>
      <c r="C268" s="2" t="inlineStr">
        <is>
          <t>47129069</t>
        </is>
      </c>
      <c r="D268" s="2" t="inlineStr">
        <is>
          <t>AUD2026-12 ICBCM</t>
        </is>
      </c>
      <c r="E268" s="2" t="inlineStr">
        <is>
          <t>Order47129069- 260731001</t>
        </is>
      </c>
      <c r="F268" s="2" t="inlineStr">
        <is>
          <t>47129069- EDC260731001</t>
        </is>
      </c>
      <c r="G268" s="2" t="inlineStr">
        <is>
          <t>InternA</t>
        </is>
      </c>
      <c r="H268" s="2" t="inlineStr">
        <is>
          <t>Week30 (2027.01.23)</t>
        </is>
      </c>
      <c r="I268" s="2" t="n">
        <v>6.16</v>
      </c>
    </row>
    <row r="269">
      <c r="A269" s="2" t="inlineStr">
        <is>
          <t>ICBC</t>
        </is>
      </c>
      <c r="B269" s="2" t="inlineStr">
        <is>
          <t>Industrial And Commercial Bank of China (Macau) Limited</t>
        </is>
      </c>
      <c r="C269" s="2" t="inlineStr">
        <is>
          <t>47129069</t>
        </is>
      </c>
      <c r="D269" s="2" t="inlineStr">
        <is>
          <t>AUD2026-12 ICBCM</t>
        </is>
      </c>
      <c r="E269" s="2" t="inlineStr">
        <is>
          <t>Order47129069- 260731001</t>
        </is>
      </c>
      <c r="F269" s="2" t="inlineStr">
        <is>
          <t>47129069- EDC260731001</t>
        </is>
      </c>
      <c r="G269" s="2" t="inlineStr">
        <is>
          <t>Marsh.Ma@cn.ey.com</t>
        </is>
      </c>
      <c r="H269" s="2" t="inlineStr">
        <is>
          <t>Week30 (2027.01.23)</t>
        </is>
      </c>
      <c r="I269" s="2" t="n">
        <v>0.7</v>
      </c>
    </row>
    <row r="270">
      <c r="A270" s="2" t="inlineStr">
        <is>
          <t>ICBC</t>
        </is>
      </c>
      <c r="B270" s="2" t="inlineStr">
        <is>
          <t>Industrial And Commercial Bank of China (Macau) Limited</t>
        </is>
      </c>
      <c r="C270" s="2" t="inlineStr">
        <is>
          <t>47129069</t>
        </is>
      </c>
      <c r="D270" s="2" t="inlineStr">
        <is>
          <t>AUD2026-12 ICBCM</t>
        </is>
      </c>
      <c r="E270" s="2" t="inlineStr">
        <is>
          <t>Order47129069- 260731001</t>
        </is>
      </c>
      <c r="F270" s="2" t="inlineStr">
        <is>
          <t>47129069- EDC260731001</t>
        </is>
      </c>
      <c r="G270" s="2" t="inlineStr">
        <is>
          <t>Vivi.W.Yang@cn.ey.com</t>
        </is>
      </c>
      <c r="H270" s="2" t="inlineStr">
        <is>
          <t>Week30 (2027.01.23)</t>
        </is>
      </c>
      <c r="I270" s="2" t="n">
        <v>1.94</v>
      </c>
    </row>
    <row r="271">
      <c r="A271" s="2" t="inlineStr">
        <is>
          <t>ICBC</t>
        </is>
      </c>
      <c r="B271" s="2" t="inlineStr">
        <is>
          <t>Industrial And Commercial Bank of China (Asia) Limited</t>
        </is>
      </c>
      <c r="C271" s="2" t="inlineStr">
        <is>
          <t>47129548</t>
        </is>
      </c>
      <c r="D271" s="2" t="inlineStr">
        <is>
          <t>AUD2026-12 ICBCA</t>
        </is>
      </c>
      <c r="E271" s="2" t="inlineStr">
        <is>
          <t>Order47129548- 260501002</t>
        </is>
      </c>
      <c r="F271" s="2" t="inlineStr">
        <is>
          <t>47129548- EDC260501001</t>
        </is>
      </c>
      <c r="G271" s="2" t="inlineStr">
        <is>
          <t>InternA</t>
        </is>
      </c>
      <c r="H271" s="2" t="inlineStr">
        <is>
          <t>Week30 (2027.01.23)</t>
        </is>
      </c>
      <c r="I271" s="2" t="n">
        <v>9.720000000000001</v>
      </c>
    </row>
    <row r="272">
      <c r="A272" s="2" t="inlineStr">
        <is>
          <t>ICBC</t>
        </is>
      </c>
      <c r="B272" s="2" t="inlineStr">
        <is>
          <t>Industrial And Commercial Bank of China (Asia) Limited</t>
        </is>
      </c>
      <c r="C272" s="2" t="inlineStr">
        <is>
          <t>47129548</t>
        </is>
      </c>
      <c r="D272" s="2" t="inlineStr">
        <is>
          <t>AUD2026-12 ICBCA</t>
        </is>
      </c>
      <c r="E272" s="2" t="inlineStr">
        <is>
          <t>Order47129548- 260501002</t>
        </is>
      </c>
      <c r="F272" s="2" t="inlineStr">
        <is>
          <t>47129548- EDC260501001</t>
        </is>
      </c>
      <c r="G272" s="2" t="inlineStr">
        <is>
          <t>InternB</t>
        </is>
      </c>
      <c r="H272" s="2" t="inlineStr">
        <is>
          <t>Week30 (2027.01.23)</t>
        </is>
      </c>
      <c r="I272" s="2" t="n">
        <v>40</v>
      </c>
    </row>
    <row r="273">
      <c r="A273" s="2" t="inlineStr">
        <is>
          <t>ICBC</t>
        </is>
      </c>
      <c r="B273" s="2" t="inlineStr">
        <is>
          <t>Industrial And Commercial Bank of China (Asia) Limited</t>
        </is>
      </c>
      <c r="C273" s="2" t="inlineStr">
        <is>
          <t>47129548</t>
        </is>
      </c>
      <c r="D273" s="2" t="inlineStr">
        <is>
          <t>AUD2026-12 ICBCA</t>
        </is>
      </c>
      <c r="E273" s="2" t="inlineStr">
        <is>
          <t>Order47129548- 260501002</t>
        </is>
      </c>
      <c r="F273" s="2" t="inlineStr">
        <is>
          <t>47129548- EDC260501001</t>
        </is>
      </c>
      <c r="G273" s="2" t="inlineStr">
        <is>
          <t>Marsh.Ma@cn.ey.com</t>
        </is>
      </c>
      <c r="H273" s="2" t="inlineStr">
        <is>
          <t>Week30 (2027.01.23)</t>
        </is>
      </c>
      <c r="I273" s="2" t="n">
        <v>5.11</v>
      </c>
    </row>
    <row r="274">
      <c r="A274" s="2" t="inlineStr">
        <is>
          <t>ICBC</t>
        </is>
      </c>
      <c r="B274" s="2" t="inlineStr">
        <is>
          <t>Industrial And Commercial Bank of China (Asia) Limited</t>
        </is>
      </c>
      <c r="C274" s="2" t="inlineStr">
        <is>
          <t>47129548</t>
        </is>
      </c>
      <c r="D274" s="2" t="inlineStr">
        <is>
          <t>AUD2026-12 ICBCA</t>
        </is>
      </c>
      <c r="E274" s="2" t="inlineStr">
        <is>
          <t>Order47129548- 260501002</t>
        </is>
      </c>
      <c r="F274" s="2" t="inlineStr">
        <is>
          <t>47129548- EDC260501001</t>
        </is>
      </c>
      <c r="G274" s="2" t="inlineStr">
        <is>
          <t>Vivi.W.Yang@cn.ey.com</t>
        </is>
      </c>
      <c r="H274" s="2" t="inlineStr">
        <is>
          <t>Week30 (2027.01.23)</t>
        </is>
      </c>
      <c r="I274" s="2" t="n">
        <v>18.25</v>
      </c>
    </row>
    <row r="275">
      <c r="A275" s="2" t="inlineStr">
        <is>
          <t>海信</t>
        </is>
      </c>
      <c r="B275" s="2" t="inlineStr">
        <is>
          <t>Hisense Group Holdings Co., Ltd.</t>
        </is>
      </c>
      <c r="C275" s="2" t="inlineStr">
        <is>
          <t>47115559</t>
        </is>
      </c>
      <c r="D275" s="2" t="inlineStr">
        <is>
          <t>IPO2026-03 Project Voyage_CN</t>
        </is>
      </c>
      <c r="E275" s="2" t="inlineStr">
        <is>
          <t>Order47115559- 260729002</t>
        </is>
      </c>
      <c r="F275" s="2" t="inlineStr">
        <is>
          <t>47115559- EDC260729001</t>
        </is>
      </c>
      <c r="G275" s="2" t="inlineStr">
        <is>
          <t>Marsh.Ma@cn.ey.com</t>
        </is>
      </c>
      <c r="H275" s="2" t="inlineStr">
        <is>
          <t>Week31 (2027.01.30)</t>
        </is>
      </c>
      <c r="I275" s="2" t="n">
        <v>1.75</v>
      </c>
    </row>
    <row r="276">
      <c r="A276" s="2" t="inlineStr">
        <is>
          <t>海信</t>
        </is>
      </c>
      <c r="B276" s="2" t="inlineStr">
        <is>
          <t>Hisense Group Holdings Co., Ltd.</t>
        </is>
      </c>
      <c r="C276" s="2" t="inlineStr">
        <is>
          <t>47115559</t>
        </is>
      </c>
      <c r="D276" s="2" t="inlineStr">
        <is>
          <t>IPO2026-03 Project Voyage_CN</t>
        </is>
      </c>
      <c r="E276" s="2" t="inlineStr">
        <is>
          <t>Order47115559- 260729002</t>
        </is>
      </c>
      <c r="F276" s="2" t="inlineStr">
        <is>
          <t>47115559- EDC260729001</t>
        </is>
      </c>
      <c r="G276" s="2" t="inlineStr">
        <is>
          <t>Vivi.W.Yang@cn.ey.com</t>
        </is>
      </c>
      <c r="H276" s="2" t="inlineStr">
        <is>
          <t>Week31 (2027.01.30)</t>
        </is>
      </c>
      <c r="I276" s="2" t="n">
        <v>4.8</v>
      </c>
    </row>
    <row r="277">
      <c r="A277" s="2" t="inlineStr">
        <is>
          <t>公募</t>
        </is>
      </c>
      <c r="B277" s="2" t="inlineStr">
        <is>
          <t>FORTUNE &amp; ROYAL ASSET MANAGEMENT CORPORATION LIMITED</t>
        </is>
      </c>
      <c r="C277" s="2" t="inlineStr">
        <is>
          <t>47128046</t>
        </is>
      </c>
      <c r="D277" s="2" t="inlineStr">
        <is>
          <t>AUD2026-12 FR Funds</t>
        </is>
      </c>
      <c r="E277" s="2" t="inlineStr">
        <is>
          <t>Order47128046- 260501004</t>
        </is>
      </c>
      <c r="F277" s="2" t="inlineStr">
        <is>
          <t>47128046- EDC260504001</t>
        </is>
      </c>
      <c r="G277" s="2" t="inlineStr">
        <is>
          <t>Marsh.Ma@cn.ey.com</t>
        </is>
      </c>
      <c r="H277" s="2" t="inlineStr">
        <is>
          <t>Week31 (2027.01.30)</t>
        </is>
      </c>
      <c r="I277" s="2" t="n">
        <v>1.22</v>
      </c>
    </row>
    <row r="278">
      <c r="A278" s="2" t="inlineStr">
        <is>
          <t>公募</t>
        </is>
      </c>
      <c r="B278" s="2" t="inlineStr">
        <is>
          <t>FORTUNE &amp; ROYAL ASSET MANAGEMENT CORPORATION LIMITED</t>
        </is>
      </c>
      <c r="C278" s="2" t="inlineStr">
        <is>
          <t>47128046</t>
        </is>
      </c>
      <c r="D278" s="2" t="inlineStr">
        <is>
          <t>AUD2026-12 FR Funds</t>
        </is>
      </c>
      <c r="E278" s="2" t="inlineStr">
        <is>
          <t>Order47128046- 260501004</t>
        </is>
      </c>
      <c r="F278" s="2" t="inlineStr">
        <is>
          <t>47128046- EDC260504001</t>
        </is>
      </c>
      <c r="G278" s="2" t="inlineStr">
        <is>
          <t>Yuan.Yuan.YY.Chen@cn.ey.com</t>
        </is>
      </c>
      <c r="H278" s="2" t="inlineStr">
        <is>
          <t>Week31 (2027.01.30)</t>
        </is>
      </c>
      <c r="I278" s="2" t="n">
        <v>14.05</v>
      </c>
    </row>
    <row r="279">
      <c r="A279" s="2" t="inlineStr">
        <is>
          <t>PE</t>
        </is>
      </c>
      <c r="B279" s="2" t="inlineStr">
        <is>
          <t>EverYi Capital Asia Fund, L.P.</t>
        </is>
      </c>
      <c r="C279" s="2" t="inlineStr">
        <is>
          <t>47128108</t>
        </is>
      </c>
      <c r="D279" s="2" t="inlineStr">
        <is>
          <t>AUD2026-12 EverYi Capital</t>
        </is>
      </c>
      <c r="E279" s="2" t="inlineStr">
        <is>
          <t>Order47128108- 260501005</t>
        </is>
      </c>
      <c r="F279" s="2" t="inlineStr">
        <is>
          <t>47128108- EDC260504001</t>
        </is>
      </c>
      <c r="G279" s="2" t="inlineStr">
        <is>
          <t>Luna.CD.Zhang@cn.ey.com</t>
        </is>
      </c>
      <c r="H279" s="2" t="inlineStr">
        <is>
          <t>Week31 (2027.01.30)</t>
        </is>
      </c>
      <c r="I279" s="2" t="n">
        <v>16.04</v>
      </c>
    </row>
    <row r="280">
      <c r="A280" s="2" t="inlineStr">
        <is>
          <t>PE</t>
        </is>
      </c>
      <c r="B280" s="2" t="inlineStr">
        <is>
          <t>EverYi Capital Asia Fund, L.P.</t>
        </is>
      </c>
      <c r="C280" s="2" t="inlineStr">
        <is>
          <t>47128108</t>
        </is>
      </c>
      <c r="D280" s="2" t="inlineStr">
        <is>
          <t>AUD2026-12 EverYi Capital</t>
        </is>
      </c>
      <c r="E280" s="2" t="inlineStr">
        <is>
          <t>Order47128108- 260501005</t>
        </is>
      </c>
      <c r="F280" s="2" t="inlineStr">
        <is>
          <t>47128108- EDC260504001</t>
        </is>
      </c>
      <c r="G280" s="2" t="inlineStr">
        <is>
          <t>Marsh.Ma@cn.ey.com</t>
        </is>
      </c>
      <c r="H280" s="2" t="inlineStr">
        <is>
          <t>Week31 (2027.01.30)</t>
        </is>
      </c>
      <c r="I280" s="2" t="n">
        <v>1.19</v>
      </c>
    </row>
    <row r="281">
      <c r="A281" s="2" t="inlineStr">
        <is>
          <t>PE</t>
        </is>
      </c>
      <c r="B281" s="2" t="inlineStr">
        <is>
          <t>EverYi Capital Asia Fund, L.P.</t>
        </is>
      </c>
      <c r="C281" s="2" t="inlineStr">
        <is>
          <t>47128108</t>
        </is>
      </c>
      <c r="D281" s="2" t="inlineStr">
        <is>
          <t>AUD2026-12 EverYi Capital</t>
        </is>
      </c>
      <c r="E281" s="2" t="inlineStr">
        <is>
          <t>Order47128108- 260501005</t>
        </is>
      </c>
      <c r="F281" s="2" t="inlineStr">
        <is>
          <t>47128108- EDC260504001</t>
        </is>
      </c>
      <c r="G281" s="2" t="inlineStr">
        <is>
          <t>Vivi.W.Yang@cn.ey.com</t>
        </is>
      </c>
      <c r="H281" s="2" t="inlineStr">
        <is>
          <t>Week31 (2027.01.30)</t>
        </is>
      </c>
      <c r="I281" s="2" t="n">
        <v>3.28</v>
      </c>
    </row>
    <row r="282">
      <c r="A282" s="2" t="inlineStr">
        <is>
          <t>PE</t>
        </is>
      </c>
      <c r="B282" s="2" t="inlineStr">
        <is>
          <t>Hangzhou Huaxin Yunkai Equity Shares Investment Partnership Enterprise (Limited Partnership)</t>
        </is>
      </c>
      <c r="C282" s="2" t="inlineStr">
        <is>
          <t>47128202</t>
        </is>
      </c>
      <c r="D282" s="2" t="inlineStr">
        <is>
          <t>AUD2026-12 Hangzhou Huaxin</t>
        </is>
      </c>
      <c r="E282" s="2" t="inlineStr">
        <is>
          <t>Order47128202- 260501004</t>
        </is>
      </c>
      <c r="F282" s="2" t="inlineStr">
        <is>
          <t>47128202- EDC260501001</t>
        </is>
      </c>
      <c r="G282" s="2" t="inlineStr">
        <is>
          <t>Luna.CD.Zhang@cn.ey.com</t>
        </is>
      </c>
      <c r="H282" s="2" t="inlineStr">
        <is>
          <t>Week31 (2027.01.30)</t>
        </is>
      </c>
      <c r="I282" s="2" t="n">
        <v>26.09</v>
      </c>
    </row>
    <row r="283">
      <c r="A283" s="2" t="inlineStr">
        <is>
          <t>PE</t>
        </is>
      </c>
      <c r="B283" s="2" t="inlineStr">
        <is>
          <t>Hangzhou Huaxin Yunkai Equity Shares Investment Partnership Enterprise (Limited Partnership)</t>
        </is>
      </c>
      <c r="C283" s="2" t="inlineStr">
        <is>
          <t>47128202</t>
        </is>
      </c>
      <c r="D283" s="2" t="inlineStr">
        <is>
          <t>AUD2026-12 Hangzhou Huaxin</t>
        </is>
      </c>
      <c r="E283" s="2" t="inlineStr">
        <is>
          <t>Order47128202- 260501004</t>
        </is>
      </c>
      <c r="F283" s="2" t="inlineStr">
        <is>
          <t>47128202- EDC260501001</t>
        </is>
      </c>
      <c r="G283" s="2" t="inlineStr">
        <is>
          <t>Marsh.Ma@cn.ey.com</t>
        </is>
      </c>
      <c r="H283" s="2" t="inlineStr">
        <is>
          <t>Week31 (2027.01.30)</t>
        </is>
      </c>
      <c r="I283" s="2" t="n">
        <v>4.59</v>
      </c>
    </row>
    <row r="284">
      <c r="A284" s="2" t="inlineStr">
        <is>
          <t>PE</t>
        </is>
      </c>
      <c r="B284" s="2" t="inlineStr">
        <is>
          <t>Hangzhou Huaxin Yunkai Equity Shares Investment Partnership Enterprise (Limited Partnership)</t>
        </is>
      </c>
      <c r="C284" s="2" t="inlineStr">
        <is>
          <t>47128202</t>
        </is>
      </c>
      <c r="D284" s="2" t="inlineStr">
        <is>
          <t>AUD2026-12 Hangzhou Huaxin</t>
        </is>
      </c>
      <c r="E284" s="2" t="inlineStr">
        <is>
          <t>Order47128202- 260501004</t>
        </is>
      </c>
      <c r="F284" s="2" t="inlineStr">
        <is>
          <t>47128202- EDC260501001</t>
        </is>
      </c>
      <c r="G284" s="2" t="inlineStr">
        <is>
          <t>Vivi.W.Yang@cn.ey.com</t>
        </is>
      </c>
      <c r="H284" s="2" t="inlineStr">
        <is>
          <t>Week31 (2027.01.30)</t>
        </is>
      </c>
      <c r="I284" s="2" t="n">
        <v>12.62</v>
      </c>
    </row>
    <row r="285">
      <c r="A285" s="2" t="inlineStr">
        <is>
          <t>PE</t>
        </is>
      </c>
      <c r="B285" s="2" t="inlineStr">
        <is>
          <t>Vivo (Suzhou) Health Industry Investment Fund Limited Partnership</t>
        </is>
      </c>
      <c r="C285" s="2" t="inlineStr">
        <is>
          <t>47128359</t>
        </is>
      </c>
      <c r="D285" s="2" t="inlineStr">
        <is>
          <t>AUD2026-12 Arrace Holding</t>
        </is>
      </c>
      <c r="E285" s="2" t="inlineStr">
        <is>
          <t>Order47128359- 260501004</t>
        </is>
      </c>
      <c r="F285" s="2" t="inlineStr">
        <is>
          <t>47128359- EDC260501001</t>
        </is>
      </c>
      <c r="G285" s="2" t="inlineStr">
        <is>
          <t>Luna.CD.Zhang@cn.ey.com</t>
        </is>
      </c>
      <c r="H285" s="2" t="inlineStr">
        <is>
          <t>Week31 (2027.01.30)</t>
        </is>
      </c>
      <c r="I285" s="2" t="n">
        <v>2.49</v>
      </c>
    </row>
    <row r="286">
      <c r="A286" s="2" t="inlineStr">
        <is>
          <t>PE</t>
        </is>
      </c>
      <c r="B286" s="2" t="inlineStr">
        <is>
          <t>Vivo (Suzhou) Health Industry Investment Fund Limited Partnership</t>
        </is>
      </c>
      <c r="C286" s="2" t="inlineStr">
        <is>
          <t>47128359</t>
        </is>
      </c>
      <c r="D286" s="2" t="inlineStr">
        <is>
          <t>AUD2026-12 Arrace Holding</t>
        </is>
      </c>
      <c r="E286" s="2" t="inlineStr">
        <is>
          <t>Order47128359- 260501004</t>
        </is>
      </c>
      <c r="F286" s="2" t="inlineStr">
        <is>
          <t>47128359- EDC260501001</t>
        </is>
      </c>
      <c r="G286" s="2" t="inlineStr">
        <is>
          <t>Marsh.Ma@cn.ey.com</t>
        </is>
      </c>
      <c r="H286" s="2" t="inlineStr">
        <is>
          <t>Week31 (2027.01.30)</t>
        </is>
      </c>
      <c r="I286" s="2" t="n">
        <v>0.28</v>
      </c>
    </row>
    <row r="287">
      <c r="A287" s="2" t="inlineStr">
        <is>
          <t>PE</t>
        </is>
      </c>
      <c r="B287" s="2" t="inlineStr">
        <is>
          <t>Vivo (Suzhou) Health Industry Investment Fund Limited Partnership</t>
        </is>
      </c>
      <c r="C287" s="2" t="inlineStr">
        <is>
          <t>47128359</t>
        </is>
      </c>
      <c r="D287" s="2" t="inlineStr">
        <is>
          <t>AUD2026-12 Arrace Holding</t>
        </is>
      </c>
      <c r="E287" s="2" t="inlineStr">
        <is>
          <t>Order47128359- 260501004</t>
        </is>
      </c>
      <c r="F287" s="2" t="inlineStr">
        <is>
          <t>47128359- EDC260501001</t>
        </is>
      </c>
      <c r="G287" s="2" t="inlineStr">
        <is>
          <t>Vivi.W.Yang@cn.ey.com</t>
        </is>
      </c>
      <c r="H287" s="2" t="inlineStr">
        <is>
          <t>Week31 (2027.01.30)</t>
        </is>
      </c>
      <c r="I287" s="2" t="n">
        <v>0.78</v>
      </c>
    </row>
    <row r="288">
      <c r="A288" s="2" t="inlineStr">
        <is>
          <t>公募</t>
        </is>
      </c>
      <c r="B288" s="2" t="inlineStr">
        <is>
          <t>Great Wall Fund Management Co., Ltd</t>
        </is>
      </c>
      <c r="C288" s="2" t="inlineStr">
        <is>
          <t>47128364</t>
        </is>
      </c>
      <c r="D288" s="2" t="inlineStr">
        <is>
          <t>AUD2026-12 Great Wall Funds</t>
        </is>
      </c>
      <c r="E288" s="2" t="inlineStr">
        <is>
          <t>Order47128364- 260501004</t>
        </is>
      </c>
      <c r="F288" s="2" t="inlineStr">
        <is>
          <t>47128364- EDC260501001</t>
        </is>
      </c>
      <c r="G288" s="2" t="inlineStr">
        <is>
          <t>Marsh.Ma@cn.ey.com</t>
        </is>
      </c>
      <c r="H288" s="2" t="inlineStr">
        <is>
          <t>Week31 (2027.01.30)</t>
        </is>
      </c>
      <c r="I288" s="2" t="n">
        <v>6.95</v>
      </c>
    </row>
    <row r="289">
      <c r="A289" s="2" t="inlineStr">
        <is>
          <t>公募</t>
        </is>
      </c>
      <c r="B289" s="2" t="inlineStr">
        <is>
          <t>Great Wall Fund Management Co., Ltd</t>
        </is>
      </c>
      <c r="C289" s="2" t="inlineStr">
        <is>
          <t>47128364</t>
        </is>
      </c>
      <c r="D289" s="2" t="inlineStr">
        <is>
          <t>AUD2026-12 Great Wall Funds</t>
        </is>
      </c>
      <c r="E289" s="2" t="inlineStr">
        <is>
          <t>Order47128364- 260501004</t>
        </is>
      </c>
      <c r="F289" s="2" t="inlineStr">
        <is>
          <t>47128364- EDC260501001</t>
        </is>
      </c>
      <c r="G289" s="2" t="inlineStr">
        <is>
          <t>Rainbow.MG.Xiao@cn.ey.com</t>
        </is>
      </c>
      <c r="H289" s="2" t="inlineStr">
        <is>
          <t>Week31 (2027.01.30)</t>
        </is>
      </c>
      <c r="I289" s="2" t="n">
        <v>44.07</v>
      </c>
    </row>
    <row r="290">
      <c r="A290" s="2" t="inlineStr">
        <is>
          <t>公募</t>
        </is>
      </c>
      <c r="B290" s="2" t="inlineStr">
        <is>
          <t>Great Wall Fund Management Co., Ltd</t>
        </is>
      </c>
      <c r="C290" s="2" t="inlineStr">
        <is>
          <t>47128364</t>
        </is>
      </c>
      <c r="D290" s="2" t="inlineStr">
        <is>
          <t>AUD2026-12 Great Wall Funds</t>
        </is>
      </c>
      <c r="E290" s="2" t="inlineStr">
        <is>
          <t>Order47128364- 260501004</t>
        </is>
      </c>
      <c r="F290" s="2" t="inlineStr">
        <is>
          <t>47128364- EDC260501001</t>
        </is>
      </c>
      <c r="G290" s="2" t="inlineStr">
        <is>
          <t>Yuan.Yuan.YY.Chen@cn.ey.com</t>
        </is>
      </c>
      <c r="H290" s="2" t="inlineStr">
        <is>
          <t>Week31 (2027.01.30)</t>
        </is>
      </c>
      <c r="I290" s="2" t="n">
        <v>35.8</v>
      </c>
    </row>
    <row r="291">
      <c r="A291" s="2" t="inlineStr">
        <is>
          <t>公募</t>
        </is>
      </c>
      <c r="B291" s="2" t="inlineStr">
        <is>
          <t>Ping An Fund Management Company Limited</t>
        </is>
      </c>
      <c r="C291" s="2" t="inlineStr">
        <is>
          <t>47128421</t>
        </is>
      </c>
      <c r="D291" s="2" t="inlineStr">
        <is>
          <t>AUD2026-12 PA Funds</t>
        </is>
      </c>
      <c r="E291" s="2" t="inlineStr">
        <is>
          <t>Order47128421- 260501003</t>
        </is>
      </c>
      <c r="F291" s="2" t="inlineStr">
        <is>
          <t>47128421- EDC260501001</t>
        </is>
      </c>
      <c r="G291" s="2" t="inlineStr">
        <is>
          <t>Marsh.Ma@cn.ey.com</t>
        </is>
      </c>
      <c r="H291" s="2" t="inlineStr">
        <is>
          <t>Week31 (2027.01.30)</t>
        </is>
      </c>
      <c r="I291" s="2" t="n">
        <v>0.88</v>
      </c>
    </row>
    <row r="292">
      <c r="A292" s="2" t="inlineStr">
        <is>
          <t>公募</t>
        </is>
      </c>
      <c r="B292" s="2" t="inlineStr">
        <is>
          <t>Ping An Fund Management Company Limited</t>
        </is>
      </c>
      <c r="C292" s="2" t="inlineStr">
        <is>
          <t>47128421</t>
        </is>
      </c>
      <c r="D292" s="2" t="inlineStr">
        <is>
          <t>AUD2026-12 PA Funds</t>
        </is>
      </c>
      <c r="E292" s="2" t="inlineStr">
        <is>
          <t>Order47128421- 260501003</t>
        </is>
      </c>
      <c r="F292" s="2" t="inlineStr">
        <is>
          <t>47128421- EDC260501001</t>
        </is>
      </c>
      <c r="G292" s="2" t="inlineStr">
        <is>
          <t>Yuan.Yuan.YY.Chen@cn.ey.com</t>
        </is>
      </c>
      <c r="H292" s="2" t="inlineStr">
        <is>
          <t>Week31 (2027.01.30)</t>
        </is>
      </c>
      <c r="I292" s="2" t="n">
        <v>10.16</v>
      </c>
    </row>
    <row r="293">
      <c r="A293" s="2" t="inlineStr">
        <is>
          <t>PE</t>
        </is>
      </c>
      <c r="B293" s="2" t="inlineStr">
        <is>
          <t>Xiamen Fuhai New Materials Phase Iii Venture Capital Partnership Enterprise(Limi ted Partnership)</t>
        </is>
      </c>
      <c r="C293" s="2" t="inlineStr">
        <is>
          <t>47128515</t>
        </is>
      </c>
      <c r="D293" s="2" t="inlineStr">
        <is>
          <t>AUD2026-12 OFC Fund</t>
        </is>
      </c>
      <c r="E293" s="2" t="inlineStr">
        <is>
          <t>Order47128515- 260501002</t>
        </is>
      </c>
      <c r="F293" s="2" t="inlineStr">
        <is>
          <t>47128515- EDC260501001</t>
        </is>
      </c>
      <c r="G293" s="2" t="inlineStr">
        <is>
          <t>Luna.CD.Zhang@cn.ey.com</t>
        </is>
      </c>
      <c r="H293" s="2" t="inlineStr">
        <is>
          <t>Week31 (2027.01.30)</t>
        </is>
      </c>
      <c r="I293" s="2" t="n">
        <v>3.25</v>
      </c>
    </row>
    <row r="294">
      <c r="A294" s="2" t="inlineStr">
        <is>
          <t>PE</t>
        </is>
      </c>
      <c r="B294" s="2" t="inlineStr">
        <is>
          <t>Xiamen Fuhai New Materials Phase Iii Venture Capital Partnership Enterprise(Limi ted Partnership)</t>
        </is>
      </c>
      <c r="C294" s="2" t="inlineStr">
        <is>
          <t>47128515</t>
        </is>
      </c>
      <c r="D294" s="2" t="inlineStr">
        <is>
          <t>AUD2026-12 OFC Fund</t>
        </is>
      </c>
      <c r="E294" s="2" t="inlineStr">
        <is>
          <t>Order47128515- 260501002</t>
        </is>
      </c>
      <c r="F294" s="2" t="inlineStr">
        <is>
          <t>47128515- EDC260501001</t>
        </is>
      </c>
      <c r="G294" s="2" t="inlineStr">
        <is>
          <t>Marsh.Ma@cn.ey.com</t>
        </is>
      </c>
      <c r="H294" s="2" t="inlineStr">
        <is>
          <t>Week31 (2027.01.30)</t>
        </is>
      </c>
      <c r="I294" s="2" t="n">
        <v>0.37</v>
      </c>
    </row>
    <row r="295">
      <c r="A295" s="2" t="inlineStr">
        <is>
          <t>PE</t>
        </is>
      </c>
      <c r="B295" s="2" t="inlineStr">
        <is>
          <t>Xiamen Fuhai New Materials Phase Iii Venture Capital Partnership Enterprise(Limi ted Partnership)</t>
        </is>
      </c>
      <c r="C295" s="2" t="inlineStr">
        <is>
          <t>47128515</t>
        </is>
      </c>
      <c r="D295" s="2" t="inlineStr">
        <is>
          <t>AUD2026-12 OFC Fund</t>
        </is>
      </c>
      <c r="E295" s="2" t="inlineStr">
        <is>
          <t>Order47128515- 260501002</t>
        </is>
      </c>
      <c r="F295" s="2" t="inlineStr">
        <is>
          <t>47128515- EDC260501001</t>
        </is>
      </c>
      <c r="G295" s="2" t="inlineStr">
        <is>
          <t>Vivi.W.Yang@cn.ey.com</t>
        </is>
      </c>
      <c r="H295" s="2" t="inlineStr">
        <is>
          <t>Week31 (2027.01.30)</t>
        </is>
      </c>
      <c r="I295" s="2" t="n">
        <v>1.02</v>
      </c>
    </row>
    <row r="296">
      <c r="A296" s="2" t="inlineStr">
        <is>
          <t>公募</t>
        </is>
      </c>
      <c r="B296" s="2" t="inlineStr">
        <is>
          <t>Hang Seng Qianhai Fund Management Company Limited</t>
        </is>
      </c>
      <c r="C296" s="2" t="inlineStr">
        <is>
          <t>47128633</t>
        </is>
      </c>
      <c r="D296" s="2" t="inlineStr">
        <is>
          <t>AUD2026-12 HSQH Funds</t>
        </is>
      </c>
      <c r="E296" s="2" t="inlineStr">
        <is>
          <t>Order47128633- 260501004</t>
        </is>
      </c>
      <c r="F296" s="2" t="inlineStr">
        <is>
          <t>47128633- EDC260501001</t>
        </is>
      </c>
      <c r="G296" s="2" t="inlineStr">
        <is>
          <t>InternA</t>
        </is>
      </c>
      <c r="H296" s="2" t="inlineStr">
        <is>
          <t>Week31 (2027.01.30)</t>
        </is>
      </c>
      <c r="I296" s="2" t="n">
        <v>8.359999999999999</v>
      </c>
    </row>
    <row r="297">
      <c r="A297" s="2" t="inlineStr">
        <is>
          <t>公募</t>
        </is>
      </c>
      <c r="B297" s="2" t="inlineStr">
        <is>
          <t>Hang Seng Qianhai Fund Management Company Limited</t>
        </is>
      </c>
      <c r="C297" s="2" t="inlineStr">
        <is>
          <t>47128633</t>
        </is>
      </c>
      <c r="D297" s="2" t="inlineStr">
        <is>
          <t>AUD2026-12 HSQH Funds</t>
        </is>
      </c>
      <c r="E297" s="2" t="inlineStr">
        <is>
          <t>Order47128633- 260501004</t>
        </is>
      </c>
      <c r="F297" s="2" t="inlineStr">
        <is>
          <t>47128633- EDC260501001</t>
        </is>
      </c>
      <c r="G297" s="2" t="inlineStr">
        <is>
          <t>Marsh.Ma@cn.ey.com</t>
        </is>
      </c>
      <c r="H297" s="2" t="inlineStr">
        <is>
          <t>Week31 (2027.01.30)</t>
        </is>
      </c>
      <c r="I297" s="2" t="n">
        <v>0.73</v>
      </c>
    </row>
    <row r="298">
      <c r="A298" s="2" t="inlineStr">
        <is>
          <t>PE</t>
        </is>
      </c>
      <c r="B298" s="2" t="inlineStr">
        <is>
          <t>Vivo (Suzhou) Health Industry Investment Fund Limited Partnership</t>
        </is>
      </c>
      <c r="C298" s="2" t="inlineStr">
        <is>
          <t>47128684</t>
        </is>
      </c>
      <c r="D298" s="2" t="inlineStr">
        <is>
          <t>AUD2026-12 Vivo Capital</t>
        </is>
      </c>
      <c r="E298" s="2" t="inlineStr">
        <is>
          <t>Order47128684- 260501004</t>
        </is>
      </c>
      <c r="F298" s="2" t="inlineStr">
        <is>
          <t>47128684- EDC260501001</t>
        </is>
      </c>
      <c r="G298" s="2" t="inlineStr">
        <is>
          <t>Luna.CD.Zhang@cn.ey.com</t>
        </is>
      </c>
      <c r="H298" s="2" t="inlineStr">
        <is>
          <t>Week31 (2027.01.30)</t>
        </is>
      </c>
      <c r="I298" s="2" t="n">
        <v>12.12</v>
      </c>
    </row>
    <row r="299">
      <c r="A299" s="2" t="inlineStr">
        <is>
          <t>PE</t>
        </is>
      </c>
      <c r="B299" s="2" t="inlineStr">
        <is>
          <t>Vivo (Suzhou) Health Industry Investment Fund Limited Partnership</t>
        </is>
      </c>
      <c r="C299" s="2" t="inlineStr">
        <is>
          <t>47128684</t>
        </is>
      </c>
      <c r="D299" s="2" t="inlineStr">
        <is>
          <t>AUD2026-12 Vivo Capital</t>
        </is>
      </c>
      <c r="E299" s="2" t="inlineStr">
        <is>
          <t>Order47128684- 260501004</t>
        </is>
      </c>
      <c r="F299" s="2" t="inlineStr">
        <is>
          <t>47128684- EDC260501001</t>
        </is>
      </c>
      <c r="G299" s="2" t="inlineStr">
        <is>
          <t>Marsh.Ma@cn.ey.com</t>
        </is>
      </c>
      <c r="H299" s="2" t="inlineStr">
        <is>
          <t>Week31 (2027.01.30)</t>
        </is>
      </c>
      <c r="I299" s="2" t="n">
        <v>0.28</v>
      </c>
    </row>
    <row r="300">
      <c r="A300" s="2" t="inlineStr">
        <is>
          <t>PE</t>
        </is>
      </c>
      <c r="B300" s="2" t="inlineStr">
        <is>
          <t>Vivo (Suzhou) Health Industry Investment Fund Limited Partnership</t>
        </is>
      </c>
      <c r="C300" s="2" t="inlineStr">
        <is>
          <t>47128684</t>
        </is>
      </c>
      <c r="D300" s="2" t="inlineStr">
        <is>
          <t>AUD2026-12 Vivo Capital</t>
        </is>
      </c>
      <c r="E300" s="2" t="inlineStr">
        <is>
          <t>Order47128684- 260501004</t>
        </is>
      </c>
      <c r="F300" s="2" t="inlineStr">
        <is>
          <t>47128684- EDC260501001</t>
        </is>
      </c>
      <c r="G300" s="2" t="inlineStr">
        <is>
          <t>Vivi.W.Yang@cn.ey.com</t>
        </is>
      </c>
      <c r="H300" s="2" t="inlineStr">
        <is>
          <t>Week31 (2027.01.30)</t>
        </is>
      </c>
      <c r="I300" s="2" t="n">
        <v>0.76</v>
      </c>
    </row>
    <row r="301">
      <c r="A301" s="2" t="inlineStr">
        <is>
          <t>公募</t>
        </is>
      </c>
      <c r="B301" s="2" t="inlineStr">
        <is>
          <t>Invesco Great Wall Fund Management Co.,Ltd.</t>
        </is>
      </c>
      <c r="C301" s="2" t="inlineStr">
        <is>
          <t>47128706</t>
        </is>
      </c>
      <c r="D301" s="2" t="inlineStr">
        <is>
          <t>AUD2026-12 Invesco GW Funds</t>
        </is>
      </c>
      <c r="E301" s="2" t="inlineStr">
        <is>
          <t>Order47128706- 260501003</t>
        </is>
      </c>
      <c r="F301" s="2" t="inlineStr">
        <is>
          <t>47128706- EDC260501001</t>
        </is>
      </c>
      <c r="G301" s="2" t="inlineStr">
        <is>
          <t>InternA</t>
        </is>
      </c>
      <c r="H301" s="2" t="inlineStr">
        <is>
          <t>Week31 (2027.01.30)</t>
        </is>
      </c>
      <c r="I301" s="2" t="n">
        <v>2.21</v>
      </c>
    </row>
    <row r="302">
      <c r="A302" s="2" t="inlineStr">
        <is>
          <t>公募</t>
        </is>
      </c>
      <c r="B302" s="2" t="inlineStr">
        <is>
          <t>Invesco Great Wall Fund Management Co.,Ltd.</t>
        </is>
      </c>
      <c r="C302" s="2" t="inlineStr">
        <is>
          <t>47128706</t>
        </is>
      </c>
      <c r="D302" s="2" t="inlineStr">
        <is>
          <t>AUD2026-12 Invesco GW Funds</t>
        </is>
      </c>
      <c r="E302" s="2" t="inlineStr">
        <is>
          <t>Order47128706- 260501003</t>
        </is>
      </c>
      <c r="F302" s="2" t="inlineStr">
        <is>
          <t>47128706- EDC260501001</t>
        </is>
      </c>
      <c r="G302" s="2" t="inlineStr">
        <is>
          <t>Marsh.Ma@cn.ey.com</t>
        </is>
      </c>
      <c r="H302" s="2" t="inlineStr">
        <is>
          <t>Week31 (2027.01.30)</t>
        </is>
      </c>
      <c r="I302" s="2" t="n">
        <v>1.58</v>
      </c>
    </row>
    <row r="303">
      <c r="A303" s="2" t="inlineStr">
        <is>
          <t>公募</t>
        </is>
      </c>
      <c r="B303" s="2" t="inlineStr">
        <is>
          <t>Invesco Great Wall Fund Management Co.,Ltd.</t>
        </is>
      </c>
      <c r="C303" s="2" t="inlineStr">
        <is>
          <t>47128706</t>
        </is>
      </c>
      <c r="D303" s="2" t="inlineStr">
        <is>
          <t>AUD2026-12 Invesco GW Funds</t>
        </is>
      </c>
      <c r="E303" s="2" t="inlineStr">
        <is>
          <t>Order47128706- 260501003</t>
        </is>
      </c>
      <c r="F303" s="2" t="inlineStr">
        <is>
          <t>47128706- EDC260501001</t>
        </is>
      </c>
      <c r="G303" s="2" t="inlineStr">
        <is>
          <t>Rainbow.MG.Xiao@cn.ey.com</t>
        </is>
      </c>
      <c r="H303" s="2" t="inlineStr">
        <is>
          <t>Week31 (2027.01.30)</t>
        </is>
      </c>
      <c r="I303" s="2" t="n">
        <v>15.93</v>
      </c>
    </row>
    <row r="304">
      <c r="A304" s="2" t="inlineStr">
        <is>
          <t>ICBC</t>
        </is>
      </c>
      <c r="B304" s="2" t="inlineStr">
        <is>
          <t>Industrial And Commercial Bank of China (Macau) Limited</t>
        </is>
      </c>
      <c r="C304" s="2" t="inlineStr">
        <is>
          <t>47129069</t>
        </is>
      </c>
      <c r="D304" s="2" t="inlineStr">
        <is>
          <t>AUD2026-12 ICBCM</t>
        </is>
      </c>
      <c r="E304" s="2" t="inlineStr">
        <is>
          <t>Order47129069- 260731001</t>
        </is>
      </c>
      <c r="F304" s="2" t="inlineStr">
        <is>
          <t>47129069- EDC260731001</t>
        </is>
      </c>
      <c r="G304" s="2" t="inlineStr">
        <is>
          <t>InternA</t>
        </is>
      </c>
      <c r="H304" s="2" t="inlineStr">
        <is>
          <t>Week31 (2027.01.30)</t>
        </is>
      </c>
      <c r="I304" s="2" t="n">
        <v>6.16</v>
      </c>
    </row>
    <row r="305">
      <c r="A305" s="2" t="inlineStr">
        <is>
          <t>ICBC</t>
        </is>
      </c>
      <c r="B305" s="2" t="inlineStr">
        <is>
          <t>Industrial And Commercial Bank of China (Macau) Limited</t>
        </is>
      </c>
      <c r="C305" s="2" t="inlineStr">
        <is>
          <t>47129069</t>
        </is>
      </c>
      <c r="D305" s="2" t="inlineStr">
        <is>
          <t>AUD2026-12 ICBCM</t>
        </is>
      </c>
      <c r="E305" s="2" t="inlineStr">
        <is>
          <t>Order47129069- 260731001</t>
        </is>
      </c>
      <c r="F305" s="2" t="inlineStr">
        <is>
          <t>47129069- EDC260731001</t>
        </is>
      </c>
      <c r="G305" s="2" t="inlineStr">
        <is>
          <t>Marsh.Ma@cn.ey.com</t>
        </is>
      </c>
      <c r="H305" s="2" t="inlineStr">
        <is>
          <t>Week31 (2027.01.30)</t>
        </is>
      </c>
      <c r="I305" s="2" t="n">
        <v>0.7</v>
      </c>
    </row>
    <row r="306">
      <c r="A306" s="2" t="inlineStr">
        <is>
          <t>ICBC</t>
        </is>
      </c>
      <c r="B306" s="2" t="inlineStr">
        <is>
          <t>Industrial And Commercial Bank of China (Macau) Limited</t>
        </is>
      </c>
      <c r="C306" s="2" t="inlineStr">
        <is>
          <t>47129069</t>
        </is>
      </c>
      <c r="D306" s="2" t="inlineStr">
        <is>
          <t>AUD2026-12 ICBCM</t>
        </is>
      </c>
      <c r="E306" s="2" t="inlineStr">
        <is>
          <t>Order47129069- 260731001</t>
        </is>
      </c>
      <c r="F306" s="2" t="inlineStr">
        <is>
          <t>47129069- EDC260731001</t>
        </is>
      </c>
      <c r="G306" s="2" t="inlineStr">
        <is>
          <t>Vivi.W.Yang@cn.ey.com</t>
        </is>
      </c>
      <c r="H306" s="2" t="inlineStr">
        <is>
          <t>Week31 (2027.01.30)</t>
        </is>
      </c>
      <c r="I306" s="2" t="n">
        <v>1.94</v>
      </c>
    </row>
    <row r="307">
      <c r="A307" s="2" t="inlineStr">
        <is>
          <t>ICBC</t>
        </is>
      </c>
      <c r="B307" s="2" t="inlineStr">
        <is>
          <t>Industrial And Commercial Bank of China (Asia) Limited</t>
        </is>
      </c>
      <c r="C307" s="2" t="inlineStr">
        <is>
          <t>47129548</t>
        </is>
      </c>
      <c r="D307" s="2" t="inlineStr">
        <is>
          <t>AUD2026-12 ICBCA</t>
        </is>
      </c>
      <c r="E307" s="2" t="inlineStr">
        <is>
          <t>Order47129548- 260501002</t>
        </is>
      </c>
      <c r="F307" s="2" t="inlineStr">
        <is>
          <t>47129548- EDC260501001</t>
        </is>
      </c>
      <c r="G307" s="2" t="inlineStr">
        <is>
          <t>InternA</t>
        </is>
      </c>
      <c r="H307" s="2" t="inlineStr">
        <is>
          <t>Week31 (2027.01.30)</t>
        </is>
      </c>
      <c r="I307" s="2" t="n">
        <v>23.26</v>
      </c>
    </row>
    <row r="308">
      <c r="A308" s="2" t="inlineStr">
        <is>
          <t>ICBC</t>
        </is>
      </c>
      <c r="B308" s="2" t="inlineStr">
        <is>
          <t>Industrial And Commercial Bank of China (Asia) Limited</t>
        </is>
      </c>
      <c r="C308" s="2" t="inlineStr">
        <is>
          <t>47129548</t>
        </is>
      </c>
      <c r="D308" s="2" t="inlineStr">
        <is>
          <t>AUD2026-12 ICBCA</t>
        </is>
      </c>
      <c r="E308" s="2" t="inlineStr">
        <is>
          <t>Order47129548- 260501002</t>
        </is>
      </c>
      <c r="F308" s="2" t="inlineStr">
        <is>
          <t>47129548- EDC260501001</t>
        </is>
      </c>
      <c r="G308" s="2" t="inlineStr">
        <is>
          <t>InternB</t>
        </is>
      </c>
      <c r="H308" s="2" t="inlineStr">
        <is>
          <t>Week31 (2027.01.30)</t>
        </is>
      </c>
      <c r="I308" s="2" t="n">
        <v>40</v>
      </c>
    </row>
    <row r="309">
      <c r="A309" s="2" t="inlineStr">
        <is>
          <t>ICBC</t>
        </is>
      </c>
      <c r="B309" s="2" t="inlineStr">
        <is>
          <t>Industrial And Commercial Bank of China (Asia) Limited</t>
        </is>
      </c>
      <c r="C309" s="2" t="inlineStr">
        <is>
          <t>47129548</t>
        </is>
      </c>
      <c r="D309" s="2" t="inlineStr">
        <is>
          <t>AUD2026-12 ICBCA</t>
        </is>
      </c>
      <c r="E309" s="2" t="inlineStr">
        <is>
          <t>Order47129548- 260501002</t>
        </is>
      </c>
      <c r="F309" s="2" t="inlineStr">
        <is>
          <t>47129548- EDC260501001</t>
        </is>
      </c>
      <c r="G309" s="2" t="inlineStr">
        <is>
          <t>Marsh.Ma@cn.ey.com</t>
        </is>
      </c>
      <c r="H309" s="2" t="inlineStr">
        <is>
          <t>Week31 (2027.01.30)</t>
        </is>
      </c>
      <c r="I309" s="2" t="n">
        <v>5.11</v>
      </c>
    </row>
    <row r="310">
      <c r="A310" s="2" t="inlineStr">
        <is>
          <t>ICBC</t>
        </is>
      </c>
      <c r="B310" s="2" t="inlineStr">
        <is>
          <t>Industrial And Commercial Bank of China (Asia) Limited</t>
        </is>
      </c>
      <c r="C310" s="2" t="inlineStr">
        <is>
          <t>47129548</t>
        </is>
      </c>
      <c r="D310" s="2" t="inlineStr">
        <is>
          <t>AUD2026-12 ICBCA</t>
        </is>
      </c>
      <c r="E310" s="2" t="inlineStr">
        <is>
          <t>Order47129548- 260501002</t>
        </is>
      </c>
      <c r="F310" s="2" t="inlineStr">
        <is>
          <t>47129548- EDC260501001</t>
        </is>
      </c>
      <c r="G310" s="2" t="inlineStr">
        <is>
          <t>Vivi.W.Yang@cn.ey.com</t>
        </is>
      </c>
      <c r="H310" s="2" t="inlineStr">
        <is>
          <t>Week31 (2027.01.30)</t>
        </is>
      </c>
      <c r="I310" s="2" t="n">
        <v>14.05</v>
      </c>
    </row>
    <row r="311">
      <c r="A311" s="2" t="inlineStr">
        <is>
          <t>海信</t>
        </is>
      </c>
      <c r="B311" s="2" t="inlineStr">
        <is>
          <t>Hisense Group Holdings Co., Ltd.</t>
        </is>
      </c>
      <c r="C311" s="2" t="inlineStr">
        <is>
          <t>47115559</t>
        </is>
      </c>
      <c r="D311" s="2" t="inlineStr">
        <is>
          <t>IPO2026-03 Project Voyage_CN</t>
        </is>
      </c>
      <c r="E311" s="2" t="inlineStr">
        <is>
          <t>Order47115559- 260729002</t>
        </is>
      </c>
      <c r="F311" s="2" t="inlineStr">
        <is>
          <t>47115559- EDC260729001</t>
        </is>
      </c>
      <c r="G311" s="2" t="inlineStr">
        <is>
          <t>Marsh.Ma@cn.ey.com</t>
        </is>
      </c>
      <c r="H311" s="2" t="inlineStr">
        <is>
          <t>Week32 (2027.02.06)</t>
        </is>
      </c>
      <c r="I311" s="2" t="n">
        <v>2.44</v>
      </c>
    </row>
    <row r="312">
      <c r="A312" s="2" t="inlineStr">
        <is>
          <t>海信</t>
        </is>
      </c>
      <c r="B312" s="2" t="inlineStr">
        <is>
          <t>Hisense Group Holdings Co., Ltd.</t>
        </is>
      </c>
      <c r="C312" s="2" t="inlineStr">
        <is>
          <t>47115559</t>
        </is>
      </c>
      <c r="D312" s="2" t="inlineStr">
        <is>
          <t>IPO2026-03 Project Voyage_CN</t>
        </is>
      </c>
      <c r="E312" s="2" t="inlineStr">
        <is>
          <t>Order47115559- 260729002</t>
        </is>
      </c>
      <c r="F312" s="2" t="inlineStr">
        <is>
          <t>47115559- EDC260729001</t>
        </is>
      </c>
      <c r="G312" s="2" t="inlineStr">
        <is>
          <t>Vivi.W.Yang@cn.ey.com</t>
        </is>
      </c>
      <c r="H312" s="2" t="inlineStr">
        <is>
          <t>Week32 (2027.02.06)</t>
        </is>
      </c>
      <c r="I312" s="2" t="n">
        <v>6.72</v>
      </c>
    </row>
    <row r="313">
      <c r="A313" s="2" t="inlineStr">
        <is>
          <t>公募</t>
        </is>
      </c>
      <c r="B313" s="2" t="inlineStr">
        <is>
          <t>FORTUNE &amp; ROYAL ASSET MANAGEMENT CORPORATION LIMITED</t>
        </is>
      </c>
      <c r="C313" s="2" t="inlineStr">
        <is>
          <t>47128046</t>
        </is>
      </c>
      <c r="D313" s="2" t="inlineStr">
        <is>
          <t>AUD2026-12 FR Funds</t>
        </is>
      </c>
      <c r="E313" s="2" t="inlineStr">
        <is>
          <t>Order47128046- 260501004</t>
        </is>
      </c>
      <c r="F313" s="2" t="inlineStr">
        <is>
          <t>47128046- EDC260504001</t>
        </is>
      </c>
      <c r="G313" s="2" t="inlineStr">
        <is>
          <t>Marsh.Ma@cn.ey.com</t>
        </is>
      </c>
      <c r="H313" s="2" t="inlineStr">
        <is>
          <t>Week32 (2027.02.06)</t>
        </is>
      </c>
      <c r="I313" s="2" t="n">
        <v>1.22</v>
      </c>
    </row>
    <row r="314">
      <c r="A314" s="2" t="inlineStr">
        <is>
          <t>公募</t>
        </is>
      </c>
      <c r="B314" s="2" t="inlineStr">
        <is>
          <t>FORTUNE &amp; ROYAL ASSET MANAGEMENT CORPORATION LIMITED</t>
        </is>
      </c>
      <c r="C314" s="2" t="inlineStr">
        <is>
          <t>47128046</t>
        </is>
      </c>
      <c r="D314" s="2" t="inlineStr">
        <is>
          <t>AUD2026-12 FR Funds</t>
        </is>
      </c>
      <c r="E314" s="2" t="inlineStr">
        <is>
          <t>Order47128046- 260501004</t>
        </is>
      </c>
      <c r="F314" s="2" t="inlineStr">
        <is>
          <t>47128046- EDC260504001</t>
        </is>
      </c>
      <c r="G314" s="2" t="inlineStr">
        <is>
          <t>Yuan.Yuan.YY.Chen@cn.ey.com</t>
        </is>
      </c>
      <c r="H314" s="2" t="inlineStr">
        <is>
          <t>Week32 (2027.02.06)</t>
        </is>
      </c>
      <c r="I314" s="2" t="n">
        <v>14.05</v>
      </c>
    </row>
    <row r="315">
      <c r="A315" s="2" t="inlineStr">
        <is>
          <t>PE</t>
        </is>
      </c>
      <c r="B315" s="2" t="inlineStr">
        <is>
          <t>EverYi Capital Asia Fund, L.P.</t>
        </is>
      </c>
      <c r="C315" s="2" t="inlineStr">
        <is>
          <t>47128108</t>
        </is>
      </c>
      <c r="D315" s="2" t="inlineStr">
        <is>
          <t>AUD2026-12 EverYi Capital</t>
        </is>
      </c>
      <c r="E315" s="2" t="inlineStr">
        <is>
          <t>Order47128108- 260501005</t>
        </is>
      </c>
      <c r="F315" s="2" t="inlineStr">
        <is>
          <t>47128108- EDC260504001</t>
        </is>
      </c>
      <c r="G315" s="2" t="inlineStr">
        <is>
          <t>Luna.CD.Zhang@cn.ey.com</t>
        </is>
      </c>
      <c r="H315" s="2" t="inlineStr">
        <is>
          <t>Week32 (2027.02.06)</t>
        </is>
      </c>
      <c r="I315" s="2" t="n">
        <v>10.44</v>
      </c>
    </row>
    <row r="316">
      <c r="A316" s="2" t="inlineStr">
        <is>
          <t>PE</t>
        </is>
      </c>
      <c r="B316" s="2" t="inlineStr">
        <is>
          <t>EverYi Capital Asia Fund, L.P.</t>
        </is>
      </c>
      <c r="C316" s="2" t="inlineStr">
        <is>
          <t>47128108</t>
        </is>
      </c>
      <c r="D316" s="2" t="inlineStr">
        <is>
          <t>AUD2026-12 EverYi Capital</t>
        </is>
      </c>
      <c r="E316" s="2" t="inlineStr">
        <is>
          <t>Order47128108- 260501005</t>
        </is>
      </c>
      <c r="F316" s="2" t="inlineStr">
        <is>
          <t>47128108- EDC260504001</t>
        </is>
      </c>
      <c r="G316" s="2" t="inlineStr">
        <is>
          <t>Marsh.Ma@cn.ey.com</t>
        </is>
      </c>
      <c r="H316" s="2" t="inlineStr">
        <is>
          <t>Week32 (2027.02.06)</t>
        </is>
      </c>
      <c r="I316" s="2" t="n">
        <v>1.19</v>
      </c>
    </row>
    <row r="317">
      <c r="A317" s="2" t="inlineStr">
        <is>
          <t>PE</t>
        </is>
      </c>
      <c r="B317" s="2" t="inlineStr">
        <is>
          <t>EverYi Capital Asia Fund, L.P.</t>
        </is>
      </c>
      <c r="C317" s="2" t="inlineStr">
        <is>
          <t>47128108</t>
        </is>
      </c>
      <c r="D317" s="2" t="inlineStr">
        <is>
          <t>AUD2026-12 EverYi Capital</t>
        </is>
      </c>
      <c r="E317" s="2" t="inlineStr">
        <is>
          <t>Order47128108- 260501005</t>
        </is>
      </c>
      <c r="F317" s="2" t="inlineStr">
        <is>
          <t>47128108- EDC260504001</t>
        </is>
      </c>
      <c r="G317" s="2" t="inlineStr">
        <is>
          <t>Vivi.W.Yang@cn.ey.com</t>
        </is>
      </c>
      <c r="H317" s="2" t="inlineStr">
        <is>
          <t>Week32 (2027.02.06)</t>
        </is>
      </c>
      <c r="I317" s="2" t="n">
        <v>3.28</v>
      </c>
    </row>
    <row r="318">
      <c r="A318" s="2" t="inlineStr">
        <is>
          <t>PE</t>
        </is>
      </c>
      <c r="B318" s="2" t="inlineStr">
        <is>
          <t>Hangzhou Huaxin Yunkai Equity Shares Investment Partnership Enterprise (Limited Partnership)</t>
        </is>
      </c>
      <c r="C318" s="2" t="inlineStr">
        <is>
          <t>47128202</t>
        </is>
      </c>
      <c r="D318" s="2" t="inlineStr">
        <is>
          <t>AUD2026-12 Hangzhou Huaxin</t>
        </is>
      </c>
      <c r="E318" s="2" t="inlineStr">
        <is>
          <t>Order47128202- 260501004</t>
        </is>
      </c>
      <c r="F318" s="2" t="inlineStr">
        <is>
          <t>47128202- EDC260501001</t>
        </is>
      </c>
      <c r="G318" s="2" t="inlineStr">
        <is>
          <t>Luna.CD.Zhang@cn.ey.com</t>
        </is>
      </c>
      <c r="H318" s="2" t="inlineStr">
        <is>
          <t>Week32 (2027.02.06)</t>
        </is>
      </c>
      <c r="I318" s="2" t="n">
        <v>42.79</v>
      </c>
    </row>
    <row r="319">
      <c r="A319" s="2" t="inlineStr">
        <is>
          <t>PE</t>
        </is>
      </c>
      <c r="B319" s="2" t="inlineStr">
        <is>
          <t>Hangzhou Huaxin Yunkai Equity Shares Investment Partnership Enterprise (Limited Partnership)</t>
        </is>
      </c>
      <c r="C319" s="2" t="inlineStr">
        <is>
          <t>47128202</t>
        </is>
      </c>
      <c r="D319" s="2" t="inlineStr">
        <is>
          <t>AUD2026-12 Hangzhou Huaxin</t>
        </is>
      </c>
      <c r="E319" s="2" t="inlineStr">
        <is>
          <t>Order47128202- 260501004</t>
        </is>
      </c>
      <c r="F319" s="2" t="inlineStr">
        <is>
          <t>47128202- EDC260501001</t>
        </is>
      </c>
      <c r="G319" s="2" t="inlineStr">
        <is>
          <t>Marsh.Ma@cn.ey.com</t>
        </is>
      </c>
      <c r="H319" s="2" t="inlineStr">
        <is>
          <t>Week32 (2027.02.06)</t>
        </is>
      </c>
      <c r="I319" s="2" t="n">
        <v>4.59</v>
      </c>
    </row>
    <row r="320">
      <c r="A320" s="2" t="inlineStr">
        <is>
          <t>PE</t>
        </is>
      </c>
      <c r="B320" s="2" t="inlineStr">
        <is>
          <t>Hangzhou Huaxin Yunkai Equity Shares Investment Partnership Enterprise (Limited Partnership)</t>
        </is>
      </c>
      <c r="C320" s="2" t="inlineStr">
        <is>
          <t>47128202</t>
        </is>
      </c>
      <c r="D320" s="2" t="inlineStr">
        <is>
          <t>AUD2026-12 Hangzhou Huaxin</t>
        </is>
      </c>
      <c r="E320" s="2" t="inlineStr">
        <is>
          <t>Order47128202- 260501004</t>
        </is>
      </c>
      <c r="F320" s="2" t="inlineStr">
        <is>
          <t>47128202- EDC260501001</t>
        </is>
      </c>
      <c r="G320" s="2" t="inlineStr">
        <is>
          <t>Vivi.W.Yang@cn.ey.com</t>
        </is>
      </c>
      <c r="H320" s="2" t="inlineStr">
        <is>
          <t>Week32 (2027.02.06)</t>
        </is>
      </c>
      <c r="I320" s="2" t="n">
        <v>12.62</v>
      </c>
    </row>
    <row r="321">
      <c r="A321" s="2" t="inlineStr">
        <is>
          <t>PE</t>
        </is>
      </c>
      <c r="B321" s="2" t="inlineStr">
        <is>
          <t>Vivo (Suzhou) Health Industry Investment Fund Limited Partnership</t>
        </is>
      </c>
      <c r="C321" s="2" t="inlineStr">
        <is>
          <t>47128359</t>
        </is>
      </c>
      <c r="D321" s="2" t="inlineStr">
        <is>
          <t>AUD2026-12 Arrace Holding</t>
        </is>
      </c>
      <c r="E321" s="2" t="inlineStr">
        <is>
          <t>Order47128359- 260501004</t>
        </is>
      </c>
      <c r="F321" s="2" t="inlineStr">
        <is>
          <t>47128359- EDC260501001</t>
        </is>
      </c>
      <c r="G321" s="2" t="inlineStr">
        <is>
          <t>Luna.CD.Zhang@cn.ey.com</t>
        </is>
      </c>
      <c r="H321" s="2" t="inlineStr">
        <is>
          <t>Week32 (2027.02.06)</t>
        </is>
      </c>
      <c r="I321" s="2" t="n">
        <v>4.35</v>
      </c>
    </row>
    <row r="322">
      <c r="A322" s="2" t="inlineStr">
        <is>
          <t>PE</t>
        </is>
      </c>
      <c r="B322" s="2" t="inlineStr">
        <is>
          <t>Vivo (Suzhou) Health Industry Investment Fund Limited Partnership</t>
        </is>
      </c>
      <c r="C322" s="2" t="inlineStr">
        <is>
          <t>47128359</t>
        </is>
      </c>
      <c r="D322" s="2" t="inlineStr">
        <is>
          <t>AUD2026-12 Arrace Holding</t>
        </is>
      </c>
      <c r="E322" s="2" t="inlineStr">
        <is>
          <t>Order47128359- 260501004</t>
        </is>
      </c>
      <c r="F322" s="2" t="inlineStr">
        <is>
          <t>47128359- EDC260501001</t>
        </is>
      </c>
      <c r="G322" s="2" t="inlineStr">
        <is>
          <t>Marsh.Ma@cn.ey.com</t>
        </is>
      </c>
      <c r="H322" s="2" t="inlineStr">
        <is>
          <t>Week32 (2027.02.06)</t>
        </is>
      </c>
      <c r="I322" s="2" t="n">
        <v>0.5</v>
      </c>
    </row>
    <row r="323">
      <c r="A323" s="2" t="inlineStr">
        <is>
          <t>PE</t>
        </is>
      </c>
      <c r="B323" s="2" t="inlineStr">
        <is>
          <t>Vivo (Suzhou) Health Industry Investment Fund Limited Partnership</t>
        </is>
      </c>
      <c r="C323" s="2" t="inlineStr">
        <is>
          <t>47128359</t>
        </is>
      </c>
      <c r="D323" s="2" t="inlineStr">
        <is>
          <t>AUD2026-12 Arrace Holding</t>
        </is>
      </c>
      <c r="E323" s="2" t="inlineStr">
        <is>
          <t>Order47128359- 260501004</t>
        </is>
      </c>
      <c r="F323" s="2" t="inlineStr">
        <is>
          <t>47128359- EDC260501001</t>
        </is>
      </c>
      <c r="G323" s="2" t="inlineStr">
        <is>
          <t>Vivi.W.Yang@cn.ey.com</t>
        </is>
      </c>
      <c r="H323" s="2" t="inlineStr">
        <is>
          <t>Week32 (2027.02.06)</t>
        </is>
      </c>
      <c r="I323" s="2" t="n">
        <v>1.37</v>
      </c>
    </row>
    <row r="324">
      <c r="A324" s="2" t="inlineStr">
        <is>
          <t>公募</t>
        </is>
      </c>
      <c r="B324" s="2" t="inlineStr">
        <is>
          <t>Great Wall Fund Management Co., Ltd</t>
        </is>
      </c>
      <c r="C324" s="2" t="inlineStr">
        <is>
          <t>47128364</t>
        </is>
      </c>
      <c r="D324" s="2" t="inlineStr">
        <is>
          <t>AUD2026-12 Great Wall Funds</t>
        </is>
      </c>
      <c r="E324" s="2" t="inlineStr">
        <is>
          <t>Order47128364- 260501004</t>
        </is>
      </c>
      <c r="F324" s="2" t="inlineStr">
        <is>
          <t>47128364- EDC260501001</t>
        </is>
      </c>
      <c r="G324" s="2" t="inlineStr">
        <is>
          <t>Marsh.Ma@cn.ey.com</t>
        </is>
      </c>
      <c r="H324" s="2" t="inlineStr">
        <is>
          <t>Week32 (2027.02.06)</t>
        </is>
      </c>
      <c r="I324" s="2" t="n">
        <v>6.95</v>
      </c>
    </row>
    <row r="325">
      <c r="A325" s="2" t="inlineStr">
        <is>
          <t>公募</t>
        </is>
      </c>
      <c r="B325" s="2" t="inlineStr">
        <is>
          <t>Great Wall Fund Management Co., Ltd</t>
        </is>
      </c>
      <c r="C325" s="2" t="inlineStr">
        <is>
          <t>47128364</t>
        </is>
      </c>
      <c r="D325" s="2" t="inlineStr">
        <is>
          <t>AUD2026-12 Great Wall Funds</t>
        </is>
      </c>
      <c r="E325" s="2" t="inlineStr">
        <is>
          <t>Order47128364- 260501004</t>
        </is>
      </c>
      <c r="F325" s="2" t="inlineStr">
        <is>
          <t>47128364- EDC260501001</t>
        </is>
      </c>
      <c r="G325" s="2" t="inlineStr">
        <is>
          <t>Rainbow.MG.Xiao@cn.ey.com</t>
        </is>
      </c>
      <c r="H325" s="2" t="inlineStr">
        <is>
          <t>Week32 (2027.02.06)</t>
        </is>
      </c>
      <c r="I325" s="2" t="n">
        <v>33.92</v>
      </c>
    </row>
    <row r="326">
      <c r="A326" s="2" t="inlineStr">
        <is>
          <t>公募</t>
        </is>
      </c>
      <c r="B326" s="2" t="inlineStr">
        <is>
          <t>Great Wall Fund Management Co., Ltd</t>
        </is>
      </c>
      <c r="C326" s="2" t="inlineStr">
        <is>
          <t>47128364</t>
        </is>
      </c>
      <c r="D326" s="2" t="inlineStr">
        <is>
          <t>AUD2026-12 Great Wall Funds</t>
        </is>
      </c>
      <c r="E326" s="2" t="inlineStr">
        <is>
          <t>Order47128364- 260501004</t>
        </is>
      </c>
      <c r="F326" s="2" t="inlineStr">
        <is>
          <t>47128364- EDC260501001</t>
        </is>
      </c>
      <c r="G326" s="2" t="inlineStr">
        <is>
          <t>Yuan.Yuan.YY.Chen@cn.ey.com</t>
        </is>
      </c>
      <c r="H326" s="2" t="inlineStr">
        <is>
          <t>Week32 (2027.02.06)</t>
        </is>
      </c>
      <c r="I326" s="2" t="n">
        <v>45.95</v>
      </c>
    </row>
    <row r="327">
      <c r="A327" s="2" t="inlineStr">
        <is>
          <t>公募</t>
        </is>
      </c>
      <c r="B327" s="2" t="inlineStr">
        <is>
          <t>Hang Seng Qianhai Fund Management Company Limited</t>
        </is>
      </c>
      <c r="C327" s="2" t="inlineStr">
        <is>
          <t>47128633</t>
        </is>
      </c>
      <c r="D327" s="2" t="inlineStr">
        <is>
          <t>AUD2026-12 HSQH Funds</t>
        </is>
      </c>
      <c r="E327" s="2" t="inlineStr">
        <is>
          <t>Order47128633- 260501004</t>
        </is>
      </c>
      <c r="F327" s="2" t="inlineStr">
        <is>
          <t>47128633- EDC260501001</t>
        </is>
      </c>
      <c r="G327" s="2" t="inlineStr">
        <is>
          <t>InternA</t>
        </is>
      </c>
      <c r="H327" s="2" t="inlineStr">
        <is>
          <t>Week32 (2027.02.06)</t>
        </is>
      </c>
      <c r="I327" s="2" t="n">
        <v>0.42</v>
      </c>
    </row>
    <row r="328">
      <c r="A328" s="2" t="inlineStr">
        <is>
          <t>公募</t>
        </is>
      </c>
      <c r="B328" s="2" t="inlineStr">
        <is>
          <t>Hang Seng Qianhai Fund Management Company Limited</t>
        </is>
      </c>
      <c r="C328" s="2" t="inlineStr">
        <is>
          <t>47128633</t>
        </is>
      </c>
      <c r="D328" s="2" t="inlineStr">
        <is>
          <t>AUD2026-12 HSQH Funds</t>
        </is>
      </c>
      <c r="E328" s="2" t="inlineStr">
        <is>
          <t>Order47128633- 260501004</t>
        </is>
      </c>
      <c r="F328" s="2" t="inlineStr">
        <is>
          <t>47128633- EDC260501001</t>
        </is>
      </c>
      <c r="G328" s="2" t="inlineStr">
        <is>
          <t>Marsh.Ma@cn.ey.com</t>
        </is>
      </c>
      <c r="H328" s="2" t="inlineStr">
        <is>
          <t>Week32 (2027.02.06)</t>
        </is>
      </c>
      <c r="I328" s="2" t="n">
        <v>0.73</v>
      </c>
    </row>
    <row r="329">
      <c r="A329" s="2" t="inlineStr">
        <is>
          <t>公募</t>
        </is>
      </c>
      <c r="B329" s="2" t="inlineStr">
        <is>
          <t>Hang Seng Qianhai Fund Management Company Limited</t>
        </is>
      </c>
      <c r="C329" s="2" t="inlineStr">
        <is>
          <t>47128633</t>
        </is>
      </c>
      <c r="D329" s="2" t="inlineStr">
        <is>
          <t>AUD2026-12 HSQH Funds</t>
        </is>
      </c>
      <c r="E329" s="2" t="inlineStr">
        <is>
          <t>Order47128633- 260501004</t>
        </is>
      </c>
      <c r="F329" s="2" t="inlineStr">
        <is>
          <t>47128633- EDC260501001</t>
        </is>
      </c>
      <c r="G329" s="2" t="inlineStr">
        <is>
          <t>Rainbow.MG.Xiao@cn.ey.com</t>
        </is>
      </c>
      <c r="H329" s="2" t="inlineStr">
        <is>
          <t>Week32 (2027.02.06)</t>
        </is>
      </c>
      <c r="I329" s="2" t="n">
        <v>7.94</v>
      </c>
    </row>
    <row r="330">
      <c r="A330" s="2" t="inlineStr">
        <is>
          <t>PE</t>
        </is>
      </c>
      <c r="B330" s="2" t="inlineStr">
        <is>
          <t>Vivo (Suzhou) Health Industry Investment Fund Limited Partnership</t>
        </is>
      </c>
      <c r="C330" s="2" t="inlineStr">
        <is>
          <t>47128684</t>
        </is>
      </c>
      <c r="D330" s="2" t="inlineStr">
        <is>
          <t>AUD2026-12 Vivo Capital</t>
        </is>
      </c>
      <c r="E330" s="2" t="inlineStr">
        <is>
          <t>Order47128684- 260501004</t>
        </is>
      </c>
      <c r="F330" s="2" t="inlineStr">
        <is>
          <t>47128684- EDC260501001</t>
        </is>
      </c>
      <c r="G330" s="2" t="inlineStr">
        <is>
          <t>Luna.CD.Zhang@cn.ey.com</t>
        </is>
      </c>
      <c r="H330" s="2" t="inlineStr">
        <is>
          <t>Week32 (2027.02.06)</t>
        </is>
      </c>
      <c r="I330" s="2" t="n">
        <v>2.42</v>
      </c>
    </row>
    <row r="331">
      <c r="A331" s="2" t="inlineStr">
        <is>
          <t>PE</t>
        </is>
      </c>
      <c r="B331" s="2" t="inlineStr">
        <is>
          <t>Vivo (Suzhou) Health Industry Investment Fund Limited Partnership</t>
        </is>
      </c>
      <c r="C331" s="2" t="inlineStr">
        <is>
          <t>47128684</t>
        </is>
      </c>
      <c r="D331" s="2" t="inlineStr">
        <is>
          <t>AUD2026-12 Vivo Capital</t>
        </is>
      </c>
      <c r="E331" s="2" t="inlineStr">
        <is>
          <t>Order47128684- 260501004</t>
        </is>
      </c>
      <c r="F331" s="2" t="inlineStr">
        <is>
          <t>47128684- EDC260501001</t>
        </is>
      </c>
      <c r="G331" s="2" t="inlineStr">
        <is>
          <t>Marsh.Ma@cn.ey.com</t>
        </is>
      </c>
      <c r="H331" s="2" t="inlineStr">
        <is>
          <t>Week32 (2027.02.06)</t>
        </is>
      </c>
      <c r="I331" s="2" t="n">
        <v>0.28</v>
      </c>
    </row>
    <row r="332">
      <c r="A332" s="2" t="inlineStr">
        <is>
          <t>PE</t>
        </is>
      </c>
      <c r="B332" s="2" t="inlineStr">
        <is>
          <t>Vivo (Suzhou) Health Industry Investment Fund Limited Partnership</t>
        </is>
      </c>
      <c r="C332" s="2" t="inlineStr">
        <is>
          <t>47128684</t>
        </is>
      </c>
      <c r="D332" s="2" t="inlineStr">
        <is>
          <t>AUD2026-12 Vivo Capital</t>
        </is>
      </c>
      <c r="E332" s="2" t="inlineStr">
        <is>
          <t>Order47128684- 260501004</t>
        </is>
      </c>
      <c r="F332" s="2" t="inlineStr">
        <is>
          <t>47128684- EDC260501001</t>
        </is>
      </c>
      <c r="G332" s="2" t="inlineStr">
        <is>
          <t>Vivi.W.Yang@cn.ey.com</t>
        </is>
      </c>
      <c r="H332" s="2" t="inlineStr">
        <is>
          <t>Week32 (2027.02.06)</t>
        </is>
      </c>
      <c r="I332" s="2" t="n">
        <v>0.76</v>
      </c>
    </row>
    <row r="333">
      <c r="A333" s="2" t="inlineStr">
        <is>
          <t>公募</t>
        </is>
      </c>
      <c r="B333" s="2" t="inlineStr">
        <is>
          <t>Invesco Great Wall Fund Management Co.,Ltd.</t>
        </is>
      </c>
      <c r="C333" s="2" t="inlineStr">
        <is>
          <t>47128706</t>
        </is>
      </c>
      <c r="D333" s="2" t="inlineStr">
        <is>
          <t>AUD2026-12 Invesco GW Funds</t>
        </is>
      </c>
      <c r="E333" s="2" t="inlineStr">
        <is>
          <t>Order47128706- 260501003</t>
        </is>
      </c>
      <c r="F333" s="2" t="inlineStr">
        <is>
          <t>47128706- EDC260501001</t>
        </is>
      </c>
      <c r="G333" s="2" t="inlineStr">
        <is>
          <t>Marsh.Ma@cn.ey.com</t>
        </is>
      </c>
      <c r="H333" s="2" t="inlineStr">
        <is>
          <t>Week32 (2027.02.06)</t>
        </is>
      </c>
      <c r="I333" s="2" t="n">
        <v>1.58</v>
      </c>
    </row>
    <row r="334">
      <c r="A334" s="2" t="inlineStr">
        <is>
          <t>公募</t>
        </is>
      </c>
      <c r="B334" s="2" t="inlineStr">
        <is>
          <t>Invesco Great Wall Fund Management Co.,Ltd.</t>
        </is>
      </c>
      <c r="C334" s="2" t="inlineStr">
        <is>
          <t>47128706</t>
        </is>
      </c>
      <c r="D334" s="2" t="inlineStr">
        <is>
          <t>AUD2026-12 Invesco GW Funds</t>
        </is>
      </c>
      <c r="E334" s="2" t="inlineStr">
        <is>
          <t>Order47128706- 260501003</t>
        </is>
      </c>
      <c r="F334" s="2" t="inlineStr">
        <is>
          <t>47128706- EDC260501001</t>
        </is>
      </c>
      <c r="G334" s="2" t="inlineStr">
        <is>
          <t>Rainbow.MG.Xiao@cn.ey.com</t>
        </is>
      </c>
      <c r="H334" s="2" t="inlineStr">
        <is>
          <t>Week32 (2027.02.06)</t>
        </is>
      </c>
      <c r="I334" s="2" t="n">
        <v>18.14</v>
      </c>
    </row>
    <row r="335">
      <c r="A335" s="2" t="inlineStr">
        <is>
          <t>ICBC</t>
        </is>
      </c>
      <c r="B335" s="2" t="inlineStr">
        <is>
          <t>Industrial And Commercial Bank of China (Macau) Limited</t>
        </is>
      </c>
      <c r="C335" s="2" t="inlineStr">
        <is>
          <t>47129069</t>
        </is>
      </c>
      <c r="D335" s="2" t="inlineStr">
        <is>
          <t>AUD2026-12 ICBCM</t>
        </is>
      </c>
      <c r="E335" s="2" t="inlineStr">
        <is>
          <t>Order47129069- 260731001</t>
        </is>
      </c>
      <c r="F335" s="2" t="inlineStr">
        <is>
          <t>47129069- EDC260731001</t>
        </is>
      </c>
      <c r="G335" s="2" t="inlineStr">
        <is>
          <t>InternA</t>
        </is>
      </c>
      <c r="H335" s="2" t="inlineStr">
        <is>
          <t>Week32 (2027.02.06)</t>
        </is>
      </c>
      <c r="I335" s="2" t="n">
        <v>6.16</v>
      </c>
    </row>
    <row r="336">
      <c r="A336" s="2" t="inlineStr">
        <is>
          <t>ICBC</t>
        </is>
      </c>
      <c r="B336" s="2" t="inlineStr">
        <is>
          <t>Industrial And Commercial Bank of China (Macau) Limited</t>
        </is>
      </c>
      <c r="C336" s="2" t="inlineStr">
        <is>
          <t>47129069</t>
        </is>
      </c>
      <c r="D336" s="2" t="inlineStr">
        <is>
          <t>AUD2026-12 ICBCM</t>
        </is>
      </c>
      <c r="E336" s="2" t="inlineStr">
        <is>
          <t>Order47129069- 260731001</t>
        </is>
      </c>
      <c r="F336" s="2" t="inlineStr">
        <is>
          <t>47129069- EDC260731001</t>
        </is>
      </c>
      <c r="G336" s="2" t="inlineStr">
        <is>
          <t>Marsh.Ma@cn.ey.com</t>
        </is>
      </c>
      <c r="H336" s="2" t="inlineStr">
        <is>
          <t>Week32 (2027.02.06)</t>
        </is>
      </c>
      <c r="I336" s="2" t="n">
        <v>0.7</v>
      </c>
    </row>
    <row r="337">
      <c r="A337" s="2" t="inlineStr">
        <is>
          <t>ICBC</t>
        </is>
      </c>
      <c r="B337" s="2" t="inlineStr">
        <is>
          <t>Industrial And Commercial Bank of China (Macau) Limited</t>
        </is>
      </c>
      <c r="C337" s="2" t="inlineStr">
        <is>
          <t>47129069</t>
        </is>
      </c>
      <c r="D337" s="2" t="inlineStr">
        <is>
          <t>AUD2026-12 ICBCM</t>
        </is>
      </c>
      <c r="E337" s="2" t="inlineStr">
        <is>
          <t>Order47129069- 260731001</t>
        </is>
      </c>
      <c r="F337" s="2" t="inlineStr">
        <is>
          <t>47129069- EDC260731001</t>
        </is>
      </c>
      <c r="G337" s="2" t="inlineStr">
        <is>
          <t>Vivi.W.Yang@cn.ey.com</t>
        </is>
      </c>
      <c r="H337" s="2" t="inlineStr">
        <is>
          <t>Week32 (2027.02.06)</t>
        </is>
      </c>
      <c r="I337" s="2" t="n">
        <v>1.94</v>
      </c>
    </row>
    <row r="338">
      <c r="A338" s="2" t="inlineStr">
        <is>
          <t>ICBC</t>
        </is>
      </c>
      <c r="B338" s="2" t="inlineStr">
        <is>
          <t>Industrial And Commercial Bank of China (Asia) Limited</t>
        </is>
      </c>
      <c r="C338" s="2" t="inlineStr">
        <is>
          <t>47129548</t>
        </is>
      </c>
      <c r="D338" s="2" t="inlineStr">
        <is>
          <t>AUD2026-12 ICBCA</t>
        </is>
      </c>
      <c r="E338" s="2" t="inlineStr">
        <is>
          <t>Order47129548- 260501002</t>
        </is>
      </c>
      <c r="F338" s="2" t="inlineStr">
        <is>
          <t>47129548- EDC260501001</t>
        </is>
      </c>
      <c r="G338" s="2" t="inlineStr">
        <is>
          <t>InternA</t>
        </is>
      </c>
      <c r="H338" s="2" t="inlineStr">
        <is>
          <t>Week32 (2027.02.06)</t>
        </is>
      </c>
      <c r="I338" s="2" t="n">
        <v>33.42</v>
      </c>
    </row>
    <row r="339">
      <c r="A339" s="2" t="inlineStr">
        <is>
          <t>ICBC</t>
        </is>
      </c>
      <c r="B339" s="2" t="inlineStr">
        <is>
          <t>Industrial And Commercial Bank of China (Asia) Limited</t>
        </is>
      </c>
      <c r="C339" s="2" t="inlineStr">
        <is>
          <t>47129548</t>
        </is>
      </c>
      <c r="D339" s="2" t="inlineStr">
        <is>
          <t>AUD2026-12 ICBCA</t>
        </is>
      </c>
      <c r="E339" s="2" t="inlineStr">
        <is>
          <t>Order47129548- 260501002</t>
        </is>
      </c>
      <c r="F339" s="2" t="inlineStr">
        <is>
          <t>47129548- EDC260501001</t>
        </is>
      </c>
      <c r="G339" s="2" t="inlineStr">
        <is>
          <t>InternB</t>
        </is>
      </c>
      <c r="H339" s="2" t="inlineStr">
        <is>
          <t>Week32 (2027.02.06)</t>
        </is>
      </c>
      <c r="I339" s="2" t="n">
        <v>40</v>
      </c>
    </row>
    <row r="340">
      <c r="A340" s="2" t="inlineStr">
        <is>
          <t>ICBC</t>
        </is>
      </c>
      <c r="B340" s="2" t="inlineStr">
        <is>
          <t>Industrial And Commercial Bank of China (Asia) Limited</t>
        </is>
      </c>
      <c r="C340" s="2" t="inlineStr">
        <is>
          <t>47129548</t>
        </is>
      </c>
      <c r="D340" s="2" t="inlineStr">
        <is>
          <t>AUD2026-12 ICBCA</t>
        </is>
      </c>
      <c r="E340" s="2" t="inlineStr">
        <is>
          <t>Order47129548- 260501002</t>
        </is>
      </c>
      <c r="F340" s="2" t="inlineStr">
        <is>
          <t>47129548- EDC260501001</t>
        </is>
      </c>
      <c r="G340" s="2" t="inlineStr">
        <is>
          <t>Marsh.Ma@cn.ey.com</t>
        </is>
      </c>
      <c r="H340" s="2" t="inlineStr">
        <is>
          <t>Week32 (2027.02.06)</t>
        </is>
      </c>
      <c r="I340" s="2" t="n">
        <v>5.11</v>
      </c>
    </row>
    <row r="341">
      <c r="A341" s="2" t="inlineStr">
        <is>
          <t>ICBC</t>
        </is>
      </c>
      <c r="B341" s="2" t="inlineStr">
        <is>
          <t>Industrial And Commercial Bank of China (Asia) Limited</t>
        </is>
      </c>
      <c r="C341" s="2" t="inlineStr">
        <is>
          <t>47129548</t>
        </is>
      </c>
      <c r="D341" s="2" t="inlineStr">
        <is>
          <t>AUD2026-12 ICBCA</t>
        </is>
      </c>
      <c r="E341" s="2" t="inlineStr">
        <is>
          <t>Order47129548- 260501002</t>
        </is>
      </c>
      <c r="F341" s="2" t="inlineStr">
        <is>
          <t>47129548- EDC260501001</t>
        </is>
      </c>
      <c r="G341" s="2" t="inlineStr">
        <is>
          <t>Vivi.W.Yang@cn.ey.com</t>
        </is>
      </c>
      <c r="H341" s="2" t="inlineStr">
        <is>
          <t>Week32 (2027.02.06)</t>
        </is>
      </c>
      <c r="I341" s="2" t="n">
        <v>14.05</v>
      </c>
    </row>
    <row r="342">
      <c r="A342" s="2" t="inlineStr">
        <is>
          <t>海信</t>
        </is>
      </c>
      <c r="B342" s="2" t="inlineStr">
        <is>
          <t>Hisense Group Holdings Co., Ltd.</t>
        </is>
      </c>
      <c r="C342" s="2" t="inlineStr">
        <is>
          <t>47115559</t>
        </is>
      </c>
      <c r="D342" s="2" t="inlineStr">
        <is>
          <t>IPO2026-03 Project Voyage_CN</t>
        </is>
      </c>
      <c r="E342" s="2" t="inlineStr">
        <is>
          <t>Order47115559- 260729002</t>
        </is>
      </c>
      <c r="F342" s="2" t="inlineStr">
        <is>
          <t>47115559- EDC260729001</t>
        </is>
      </c>
      <c r="G342" s="2" t="inlineStr">
        <is>
          <t>Marsh.Ma@cn.ey.com</t>
        </is>
      </c>
      <c r="H342" s="2" t="inlineStr">
        <is>
          <t>Week33 (2027.02.13)</t>
        </is>
      </c>
      <c r="I342" s="2" t="n">
        <v>2.44</v>
      </c>
    </row>
    <row r="343">
      <c r="A343" s="2" t="inlineStr">
        <is>
          <t>海信</t>
        </is>
      </c>
      <c r="B343" s="2" t="inlineStr">
        <is>
          <t>Hisense Group Holdings Co., Ltd.</t>
        </is>
      </c>
      <c r="C343" s="2" t="inlineStr">
        <is>
          <t>47115559</t>
        </is>
      </c>
      <c r="D343" s="2" t="inlineStr">
        <is>
          <t>IPO2026-03 Project Voyage_CN</t>
        </is>
      </c>
      <c r="E343" s="2" t="inlineStr">
        <is>
          <t>Order47115559- 260729002</t>
        </is>
      </c>
      <c r="F343" s="2" t="inlineStr">
        <is>
          <t>47115559- EDC260729001</t>
        </is>
      </c>
      <c r="G343" s="2" t="inlineStr">
        <is>
          <t>Vivi.W.Yang@cn.ey.com</t>
        </is>
      </c>
      <c r="H343" s="2" t="inlineStr">
        <is>
          <t>Week33 (2027.02.13)</t>
        </is>
      </c>
      <c r="I343" s="2" t="n">
        <v>6.72</v>
      </c>
    </row>
    <row r="344">
      <c r="A344" s="2" t="inlineStr">
        <is>
          <t>公募</t>
        </is>
      </c>
      <c r="B344" s="2" t="inlineStr">
        <is>
          <t>FORTUNE &amp; ROYAL ASSET MANAGEMENT CORPORATION LIMITED</t>
        </is>
      </c>
      <c r="C344" s="2" t="inlineStr">
        <is>
          <t>47128046</t>
        </is>
      </c>
      <c r="D344" s="2" t="inlineStr">
        <is>
          <t>AUD2026-12 FR Funds</t>
        </is>
      </c>
      <c r="E344" s="2" t="inlineStr">
        <is>
          <t>Order47128046- 260501004</t>
        </is>
      </c>
      <c r="F344" s="2" t="inlineStr">
        <is>
          <t>47128046- EDC260504001</t>
        </is>
      </c>
      <c r="G344" s="2" t="inlineStr">
        <is>
          <t>Marsh.Ma@cn.ey.com</t>
        </is>
      </c>
      <c r="H344" s="2" t="inlineStr">
        <is>
          <t>Week33 (2027.02.13)</t>
        </is>
      </c>
      <c r="I344" s="2" t="n">
        <v>1.22</v>
      </c>
    </row>
    <row r="345">
      <c r="A345" s="2" t="inlineStr">
        <is>
          <t>公募</t>
        </is>
      </c>
      <c r="B345" s="2" t="inlineStr">
        <is>
          <t>FORTUNE &amp; ROYAL ASSET MANAGEMENT CORPORATION LIMITED</t>
        </is>
      </c>
      <c r="C345" s="2" t="inlineStr">
        <is>
          <t>47128046</t>
        </is>
      </c>
      <c r="D345" s="2" t="inlineStr">
        <is>
          <t>AUD2026-12 FR Funds</t>
        </is>
      </c>
      <c r="E345" s="2" t="inlineStr">
        <is>
          <t>Order47128046- 260501004</t>
        </is>
      </c>
      <c r="F345" s="2" t="inlineStr">
        <is>
          <t>47128046- EDC260504001</t>
        </is>
      </c>
      <c r="G345" s="2" t="inlineStr">
        <is>
          <t>Yuan.Yuan.YY.Chen@cn.ey.com</t>
        </is>
      </c>
      <c r="H345" s="2" t="inlineStr">
        <is>
          <t>Week33 (2027.02.13)</t>
        </is>
      </c>
      <c r="I345" s="2" t="n">
        <v>14.05</v>
      </c>
    </row>
    <row r="346">
      <c r="A346" s="2" t="inlineStr">
        <is>
          <t>PE</t>
        </is>
      </c>
      <c r="B346" s="2" t="inlineStr">
        <is>
          <t>EverYi Capital Asia Fund, L.P.</t>
        </is>
      </c>
      <c r="C346" s="2" t="inlineStr">
        <is>
          <t>47128108</t>
        </is>
      </c>
      <c r="D346" s="2" t="inlineStr">
        <is>
          <t>AUD2026-12 EverYi Capital</t>
        </is>
      </c>
      <c r="E346" s="2" t="inlineStr">
        <is>
          <t>Order47128108- 260501005</t>
        </is>
      </c>
      <c r="F346" s="2" t="inlineStr">
        <is>
          <t>47128108- EDC260504001</t>
        </is>
      </c>
      <c r="G346" s="2" t="inlineStr">
        <is>
          <t>Luna.CD.Zhang@cn.ey.com</t>
        </is>
      </c>
      <c r="H346" s="2" t="inlineStr">
        <is>
          <t>Week33 (2027.02.13)</t>
        </is>
      </c>
      <c r="I346" s="2" t="n">
        <v>10.44</v>
      </c>
    </row>
    <row r="347">
      <c r="A347" s="2" t="inlineStr">
        <is>
          <t>PE</t>
        </is>
      </c>
      <c r="B347" s="2" t="inlineStr">
        <is>
          <t>EverYi Capital Asia Fund, L.P.</t>
        </is>
      </c>
      <c r="C347" s="2" t="inlineStr">
        <is>
          <t>47128108</t>
        </is>
      </c>
      <c r="D347" s="2" t="inlineStr">
        <is>
          <t>AUD2026-12 EverYi Capital</t>
        </is>
      </c>
      <c r="E347" s="2" t="inlineStr">
        <is>
          <t>Order47128108- 260501005</t>
        </is>
      </c>
      <c r="F347" s="2" t="inlineStr">
        <is>
          <t>47128108- EDC260504001</t>
        </is>
      </c>
      <c r="G347" s="2" t="inlineStr">
        <is>
          <t>Marsh.Ma@cn.ey.com</t>
        </is>
      </c>
      <c r="H347" s="2" t="inlineStr">
        <is>
          <t>Week33 (2027.02.13)</t>
        </is>
      </c>
      <c r="I347" s="2" t="n">
        <v>1.19</v>
      </c>
    </row>
    <row r="348">
      <c r="A348" s="2" t="inlineStr">
        <is>
          <t>PE</t>
        </is>
      </c>
      <c r="B348" s="2" t="inlineStr">
        <is>
          <t>EverYi Capital Asia Fund, L.P.</t>
        </is>
      </c>
      <c r="C348" s="2" t="inlineStr">
        <is>
          <t>47128108</t>
        </is>
      </c>
      <c r="D348" s="2" t="inlineStr">
        <is>
          <t>AUD2026-12 EverYi Capital</t>
        </is>
      </c>
      <c r="E348" s="2" t="inlineStr">
        <is>
          <t>Order47128108- 260501005</t>
        </is>
      </c>
      <c r="F348" s="2" t="inlineStr">
        <is>
          <t>47128108- EDC260504001</t>
        </is>
      </c>
      <c r="G348" s="2" t="inlineStr">
        <is>
          <t>Vivi.W.Yang@cn.ey.com</t>
        </is>
      </c>
      <c r="H348" s="2" t="inlineStr">
        <is>
          <t>Week33 (2027.02.13)</t>
        </is>
      </c>
      <c r="I348" s="2" t="n">
        <v>3.28</v>
      </c>
    </row>
    <row r="349">
      <c r="A349" s="2" t="inlineStr">
        <is>
          <t>PE</t>
        </is>
      </c>
      <c r="B349" s="2" t="inlineStr">
        <is>
          <t>Hangzhou Huaxin Yunkai Equity Shares Investment Partnership Enterprise (Limited Partnership)</t>
        </is>
      </c>
      <c r="C349" s="2" t="inlineStr">
        <is>
          <t>47128202</t>
        </is>
      </c>
      <c r="D349" s="2" t="inlineStr">
        <is>
          <t>AUD2026-12 Hangzhou Huaxin</t>
        </is>
      </c>
      <c r="E349" s="2" t="inlineStr">
        <is>
          <t>Order47128202- 260501004</t>
        </is>
      </c>
      <c r="F349" s="2" t="inlineStr">
        <is>
          <t>47128202- EDC260501001</t>
        </is>
      </c>
      <c r="G349" s="2" t="inlineStr">
        <is>
          <t>Luna.CD.Zhang@cn.ey.com</t>
        </is>
      </c>
      <c r="H349" s="2" t="inlineStr">
        <is>
          <t>Week33 (2027.02.13)</t>
        </is>
      </c>
      <c r="I349" s="2" t="n">
        <v>42.79</v>
      </c>
    </row>
    <row r="350">
      <c r="A350" s="2" t="inlineStr">
        <is>
          <t>PE</t>
        </is>
      </c>
      <c r="B350" s="2" t="inlineStr">
        <is>
          <t>Hangzhou Huaxin Yunkai Equity Shares Investment Partnership Enterprise (Limited Partnership)</t>
        </is>
      </c>
      <c r="C350" s="2" t="inlineStr">
        <is>
          <t>47128202</t>
        </is>
      </c>
      <c r="D350" s="2" t="inlineStr">
        <is>
          <t>AUD2026-12 Hangzhou Huaxin</t>
        </is>
      </c>
      <c r="E350" s="2" t="inlineStr">
        <is>
          <t>Order47128202- 260501004</t>
        </is>
      </c>
      <c r="F350" s="2" t="inlineStr">
        <is>
          <t>47128202- EDC260501001</t>
        </is>
      </c>
      <c r="G350" s="2" t="inlineStr">
        <is>
          <t>Marsh.Ma@cn.ey.com</t>
        </is>
      </c>
      <c r="H350" s="2" t="inlineStr">
        <is>
          <t>Week33 (2027.02.13)</t>
        </is>
      </c>
      <c r="I350" s="2" t="n">
        <v>4.59</v>
      </c>
    </row>
    <row r="351">
      <c r="A351" s="2" t="inlineStr">
        <is>
          <t>PE</t>
        </is>
      </c>
      <c r="B351" s="2" t="inlineStr">
        <is>
          <t>Hangzhou Huaxin Yunkai Equity Shares Investment Partnership Enterprise (Limited Partnership)</t>
        </is>
      </c>
      <c r="C351" s="2" t="inlineStr">
        <is>
          <t>47128202</t>
        </is>
      </c>
      <c r="D351" s="2" t="inlineStr">
        <is>
          <t>AUD2026-12 Hangzhou Huaxin</t>
        </is>
      </c>
      <c r="E351" s="2" t="inlineStr">
        <is>
          <t>Order47128202- 260501004</t>
        </is>
      </c>
      <c r="F351" s="2" t="inlineStr">
        <is>
          <t>47128202- EDC260501001</t>
        </is>
      </c>
      <c r="G351" s="2" t="inlineStr">
        <is>
          <t>Vivi.W.Yang@cn.ey.com</t>
        </is>
      </c>
      <c r="H351" s="2" t="inlineStr">
        <is>
          <t>Week33 (2027.02.13)</t>
        </is>
      </c>
      <c r="I351" s="2" t="n">
        <v>12.62</v>
      </c>
    </row>
    <row r="352">
      <c r="A352" s="2" t="inlineStr">
        <is>
          <t>PE</t>
        </is>
      </c>
      <c r="B352" s="2" t="inlineStr">
        <is>
          <t>Vivo (Suzhou) Health Industry Investment Fund Limited Partnership</t>
        </is>
      </c>
      <c r="C352" s="2" t="inlineStr">
        <is>
          <t>47128359</t>
        </is>
      </c>
      <c r="D352" s="2" t="inlineStr">
        <is>
          <t>AUD2026-12 Arrace Holding</t>
        </is>
      </c>
      <c r="E352" s="2" t="inlineStr">
        <is>
          <t>Order47128359- 260501004</t>
        </is>
      </c>
      <c r="F352" s="2" t="inlineStr">
        <is>
          <t>47128359- EDC260501001</t>
        </is>
      </c>
      <c r="G352" s="2" t="inlineStr">
        <is>
          <t>Luna.CD.Zhang@cn.ey.com</t>
        </is>
      </c>
      <c r="H352" s="2" t="inlineStr">
        <is>
          <t>Week33 (2027.02.13)</t>
        </is>
      </c>
      <c r="I352" s="2" t="n">
        <v>4.35</v>
      </c>
    </row>
    <row r="353">
      <c r="A353" s="2" t="inlineStr">
        <is>
          <t>PE</t>
        </is>
      </c>
      <c r="B353" s="2" t="inlineStr">
        <is>
          <t>Vivo (Suzhou) Health Industry Investment Fund Limited Partnership</t>
        </is>
      </c>
      <c r="C353" s="2" t="inlineStr">
        <is>
          <t>47128359</t>
        </is>
      </c>
      <c r="D353" s="2" t="inlineStr">
        <is>
          <t>AUD2026-12 Arrace Holding</t>
        </is>
      </c>
      <c r="E353" s="2" t="inlineStr">
        <is>
          <t>Order47128359- 260501004</t>
        </is>
      </c>
      <c r="F353" s="2" t="inlineStr">
        <is>
          <t>47128359- EDC260501001</t>
        </is>
      </c>
      <c r="G353" s="2" t="inlineStr">
        <is>
          <t>Marsh.Ma@cn.ey.com</t>
        </is>
      </c>
      <c r="H353" s="2" t="inlineStr">
        <is>
          <t>Week33 (2027.02.13)</t>
        </is>
      </c>
      <c r="I353" s="2" t="n">
        <v>0.5</v>
      </c>
    </row>
    <row r="354">
      <c r="A354" s="2" t="inlineStr">
        <is>
          <t>PE</t>
        </is>
      </c>
      <c r="B354" s="2" t="inlineStr">
        <is>
          <t>Vivo (Suzhou) Health Industry Investment Fund Limited Partnership</t>
        </is>
      </c>
      <c r="C354" s="2" t="inlineStr">
        <is>
          <t>47128359</t>
        </is>
      </c>
      <c r="D354" s="2" t="inlineStr">
        <is>
          <t>AUD2026-12 Arrace Holding</t>
        </is>
      </c>
      <c r="E354" s="2" t="inlineStr">
        <is>
          <t>Order47128359- 260501004</t>
        </is>
      </c>
      <c r="F354" s="2" t="inlineStr">
        <is>
          <t>47128359- EDC260501001</t>
        </is>
      </c>
      <c r="G354" s="2" t="inlineStr">
        <is>
          <t>Vivi.W.Yang@cn.ey.com</t>
        </is>
      </c>
      <c r="H354" s="2" t="inlineStr">
        <is>
          <t>Week33 (2027.02.13)</t>
        </is>
      </c>
      <c r="I354" s="2" t="n">
        <v>1.37</v>
      </c>
    </row>
    <row r="355">
      <c r="A355" s="2" t="inlineStr">
        <is>
          <t>公募</t>
        </is>
      </c>
      <c r="B355" s="2" t="inlineStr">
        <is>
          <t>Great Wall Fund Management Co., Ltd</t>
        </is>
      </c>
      <c r="C355" s="2" t="inlineStr">
        <is>
          <t>47128364</t>
        </is>
      </c>
      <c r="D355" s="2" t="inlineStr">
        <is>
          <t>AUD2026-12 Great Wall Funds</t>
        </is>
      </c>
      <c r="E355" s="2" t="inlineStr">
        <is>
          <t>Order47128364- 260501004</t>
        </is>
      </c>
      <c r="F355" s="2" t="inlineStr">
        <is>
          <t>47128364- EDC260501001</t>
        </is>
      </c>
      <c r="G355" s="2" t="inlineStr">
        <is>
          <t>Marsh.Ma@cn.ey.com</t>
        </is>
      </c>
      <c r="H355" s="2" t="inlineStr">
        <is>
          <t>Week33 (2027.02.13)</t>
        </is>
      </c>
      <c r="I355" s="2" t="n">
        <v>6.95</v>
      </c>
    </row>
    <row r="356">
      <c r="A356" s="2" t="inlineStr">
        <is>
          <t>公募</t>
        </is>
      </c>
      <c r="B356" s="2" t="inlineStr">
        <is>
          <t>Great Wall Fund Management Co., Ltd</t>
        </is>
      </c>
      <c r="C356" s="2" t="inlineStr">
        <is>
          <t>47128364</t>
        </is>
      </c>
      <c r="D356" s="2" t="inlineStr">
        <is>
          <t>AUD2026-12 Great Wall Funds</t>
        </is>
      </c>
      <c r="E356" s="2" t="inlineStr">
        <is>
          <t>Order47128364- 260501004</t>
        </is>
      </c>
      <c r="F356" s="2" t="inlineStr">
        <is>
          <t>47128364- EDC260501001</t>
        </is>
      </c>
      <c r="G356" s="2" t="inlineStr">
        <is>
          <t>Rainbow.MG.Xiao@cn.ey.com</t>
        </is>
      </c>
      <c r="H356" s="2" t="inlineStr">
        <is>
          <t>Week33 (2027.02.13)</t>
        </is>
      </c>
      <c r="I356" s="2" t="n">
        <v>33.92</v>
      </c>
    </row>
    <row r="357">
      <c r="A357" s="2" t="inlineStr">
        <is>
          <t>公募</t>
        </is>
      </c>
      <c r="B357" s="2" t="inlineStr">
        <is>
          <t>Great Wall Fund Management Co., Ltd</t>
        </is>
      </c>
      <c r="C357" s="2" t="inlineStr">
        <is>
          <t>47128364</t>
        </is>
      </c>
      <c r="D357" s="2" t="inlineStr">
        <is>
          <t>AUD2026-12 Great Wall Funds</t>
        </is>
      </c>
      <c r="E357" s="2" t="inlineStr">
        <is>
          <t>Order47128364- 260501004</t>
        </is>
      </c>
      <c r="F357" s="2" t="inlineStr">
        <is>
          <t>47128364- EDC260501001</t>
        </is>
      </c>
      <c r="G357" s="2" t="inlineStr">
        <is>
          <t>Yuan.Yuan.YY.Chen@cn.ey.com</t>
        </is>
      </c>
      <c r="H357" s="2" t="inlineStr">
        <is>
          <t>Week33 (2027.02.13)</t>
        </is>
      </c>
      <c r="I357" s="2" t="n">
        <v>45.95</v>
      </c>
    </row>
    <row r="358">
      <c r="A358" s="2" t="inlineStr">
        <is>
          <t>公募</t>
        </is>
      </c>
      <c r="B358" s="2" t="inlineStr">
        <is>
          <t>Hang Seng Qianhai Fund Management Company Limited</t>
        </is>
      </c>
      <c r="C358" s="2" t="inlineStr">
        <is>
          <t>47128633</t>
        </is>
      </c>
      <c r="D358" s="2" t="inlineStr">
        <is>
          <t>AUD2026-12 HSQH Funds</t>
        </is>
      </c>
      <c r="E358" s="2" t="inlineStr">
        <is>
          <t>Order47128633- 260501004</t>
        </is>
      </c>
      <c r="F358" s="2" t="inlineStr">
        <is>
          <t>47128633- EDC260501001</t>
        </is>
      </c>
      <c r="G358" s="2" t="inlineStr">
        <is>
          <t>InternA</t>
        </is>
      </c>
      <c r="H358" s="2" t="inlineStr">
        <is>
          <t>Week33 (2027.02.13)</t>
        </is>
      </c>
      <c r="I358" s="2" t="n">
        <v>0.42</v>
      </c>
    </row>
    <row r="359">
      <c r="A359" s="2" t="inlineStr">
        <is>
          <t>公募</t>
        </is>
      </c>
      <c r="B359" s="2" t="inlineStr">
        <is>
          <t>Hang Seng Qianhai Fund Management Company Limited</t>
        </is>
      </c>
      <c r="C359" s="2" t="inlineStr">
        <is>
          <t>47128633</t>
        </is>
      </c>
      <c r="D359" s="2" t="inlineStr">
        <is>
          <t>AUD2026-12 HSQH Funds</t>
        </is>
      </c>
      <c r="E359" s="2" t="inlineStr">
        <is>
          <t>Order47128633- 260501004</t>
        </is>
      </c>
      <c r="F359" s="2" t="inlineStr">
        <is>
          <t>47128633- EDC260501001</t>
        </is>
      </c>
      <c r="G359" s="2" t="inlineStr">
        <is>
          <t>Marsh.Ma@cn.ey.com</t>
        </is>
      </c>
      <c r="H359" s="2" t="inlineStr">
        <is>
          <t>Week33 (2027.02.13)</t>
        </is>
      </c>
      <c r="I359" s="2" t="n">
        <v>0.73</v>
      </c>
    </row>
    <row r="360">
      <c r="A360" s="2" t="inlineStr">
        <is>
          <t>公募</t>
        </is>
      </c>
      <c r="B360" s="2" t="inlineStr">
        <is>
          <t>Hang Seng Qianhai Fund Management Company Limited</t>
        </is>
      </c>
      <c r="C360" s="2" t="inlineStr">
        <is>
          <t>47128633</t>
        </is>
      </c>
      <c r="D360" s="2" t="inlineStr">
        <is>
          <t>AUD2026-12 HSQH Funds</t>
        </is>
      </c>
      <c r="E360" s="2" t="inlineStr">
        <is>
          <t>Order47128633- 260501004</t>
        </is>
      </c>
      <c r="F360" s="2" t="inlineStr">
        <is>
          <t>47128633- EDC260501001</t>
        </is>
      </c>
      <c r="G360" s="2" t="inlineStr">
        <is>
          <t>Rainbow.MG.Xiao@cn.ey.com</t>
        </is>
      </c>
      <c r="H360" s="2" t="inlineStr">
        <is>
          <t>Week33 (2027.02.13)</t>
        </is>
      </c>
      <c r="I360" s="2" t="n">
        <v>7.94</v>
      </c>
    </row>
    <row r="361">
      <c r="A361" s="2" t="inlineStr">
        <is>
          <t>PE</t>
        </is>
      </c>
      <c r="B361" s="2" t="inlineStr">
        <is>
          <t>Vivo (Suzhou) Health Industry Investment Fund Limited Partnership</t>
        </is>
      </c>
      <c r="C361" s="2" t="inlineStr">
        <is>
          <t>47128684</t>
        </is>
      </c>
      <c r="D361" s="2" t="inlineStr">
        <is>
          <t>AUD2026-12 Vivo Capital</t>
        </is>
      </c>
      <c r="E361" s="2" t="inlineStr">
        <is>
          <t>Order47128684- 260501004</t>
        </is>
      </c>
      <c r="F361" s="2" t="inlineStr">
        <is>
          <t>47128684- EDC260501001</t>
        </is>
      </c>
      <c r="G361" s="2" t="inlineStr">
        <is>
          <t>Luna.CD.Zhang@cn.ey.com</t>
        </is>
      </c>
      <c r="H361" s="2" t="inlineStr">
        <is>
          <t>Week33 (2027.02.13)</t>
        </is>
      </c>
      <c r="I361" s="2" t="n">
        <v>2.42</v>
      </c>
    </row>
    <row r="362">
      <c r="A362" s="2" t="inlineStr">
        <is>
          <t>PE</t>
        </is>
      </c>
      <c r="B362" s="2" t="inlineStr">
        <is>
          <t>Vivo (Suzhou) Health Industry Investment Fund Limited Partnership</t>
        </is>
      </c>
      <c r="C362" s="2" t="inlineStr">
        <is>
          <t>47128684</t>
        </is>
      </c>
      <c r="D362" s="2" t="inlineStr">
        <is>
          <t>AUD2026-12 Vivo Capital</t>
        </is>
      </c>
      <c r="E362" s="2" t="inlineStr">
        <is>
          <t>Order47128684- 260501004</t>
        </is>
      </c>
      <c r="F362" s="2" t="inlineStr">
        <is>
          <t>47128684- EDC260501001</t>
        </is>
      </c>
      <c r="G362" s="2" t="inlineStr">
        <is>
          <t>Marsh.Ma@cn.ey.com</t>
        </is>
      </c>
      <c r="H362" s="2" t="inlineStr">
        <is>
          <t>Week33 (2027.02.13)</t>
        </is>
      </c>
      <c r="I362" s="2" t="n">
        <v>0.28</v>
      </c>
    </row>
    <row r="363">
      <c r="A363" s="2" t="inlineStr">
        <is>
          <t>PE</t>
        </is>
      </c>
      <c r="B363" s="2" t="inlineStr">
        <is>
          <t>Vivo (Suzhou) Health Industry Investment Fund Limited Partnership</t>
        </is>
      </c>
      <c r="C363" s="2" t="inlineStr">
        <is>
          <t>47128684</t>
        </is>
      </c>
      <c r="D363" s="2" t="inlineStr">
        <is>
          <t>AUD2026-12 Vivo Capital</t>
        </is>
      </c>
      <c r="E363" s="2" t="inlineStr">
        <is>
          <t>Order47128684- 260501004</t>
        </is>
      </c>
      <c r="F363" s="2" t="inlineStr">
        <is>
          <t>47128684- EDC260501001</t>
        </is>
      </c>
      <c r="G363" s="2" t="inlineStr">
        <is>
          <t>Vivi.W.Yang@cn.ey.com</t>
        </is>
      </c>
      <c r="H363" s="2" t="inlineStr">
        <is>
          <t>Week33 (2027.02.13)</t>
        </is>
      </c>
      <c r="I363" s="2" t="n">
        <v>0.76</v>
      </c>
    </row>
    <row r="364">
      <c r="A364" s="2" t="inlineStr">
        <is>
          <t>公募</t>
        </is>
      </c>
      <c r="B364" s="2" t="inlineStr">
        <is>
          <t>Invesco Great Wall Fund Management Co.,Ltd.</t>
        </is>
      </c>
      <c r="C364" s="2" t="inlineStr">
        <is>
          <t>47128706</t>
        </is>
      </c>
      <c r="D364" s="2" t="inlineStr">
        <is>
          <t>AUD2026-12 Invesco GW Funds</t>
        </is>
      </c>
      <c r="E364" s="2" t="inlineStr">
        <is>
          <t>Order47128706- 260501003</t>
        </is>
      </c>
      <c r="F364" s="2" t="inlineStr">
        <is>
          <t>47128706- EDC260501001</t>
        </is>
      </c>
      <c r="G364" s="2" t="inlineStr">
        <is>
          <t>Marsh.Ma@cn.ey.com</t>
        </is>
      </c>
      <c r="H364" s="2" t="inlineStr">
        <is>
          <t>Week33 (2027.02.13)</t>
        </is>
      </c>
      <c r="I364" s="2" t="n">
        <v>1.58</v>
      </c>
    </row>
    <row r="365">
      <c r="A365" s="2" t="inlineStr">
        <is>
          <t>公募</t>
        </is>
      </c>
      <c r="B365" s="2" t="inlineStr">
        <is>
          <t>Invesco Great Wall Fund Management Co.,Ltd.</t>
        </is>
      </c>
      <c r="C365" s="2" t="inlineStr">
        <is>
          <t>47128706</t>
        </is>
      </c>
      <c r="D365" s="2" t="inlineStr">
        <is>
          <t>AUD2026-12 Invesco GW Funds</t>
        </is>
      </c>
      <c r="E365" s="2" t="inlineStr">
        <is>
          <t>Order47128706- 260501003</t>
        </is>
      </c>
      <c r="F365" s="2" t="inlineStr">
        <is>
          <t>47128706- EDC260501001</t>
        </is>
      </c>
      <c r="G365" s="2" t="inlineStr">
        <is>
          <t>Rainbow.MG.Xiao@cn.ey.com</t>
        </is>
      </c>
      <c r="H365" s="2" t="inlineStr">
        <is>
          <t>Week33 (2027.02.13)</t>
        </is>
      </c>
      <c r="I365" s="2" t="n">
        <v>18.14</v>
      </c>
    </row>
    <row r="366">
      <c r="A366" s="2" t="inlineStr">
        <is>
          <t>ICBC</t>
        </is>
      </c>
      <c r="B366" s="2" t="inlineStr">
        <is>
          <t>Industrial And Commercial Bank of China (Macau) Limited</t>
        </is>
      </c>
      <c r="C366" s="2" t="inlineStr">
        <is>
          <t>47129069</t>
        </is>
      </c>
      <c r="D366" s="2" t="inlineStr">
        <is>
          <t>AUD2026-12 ICBCM</t>
        </is>
      </c>
      <c r="E366" s="2" t="inlineStr">
        <is>
          <t>Order47129069- 260731001</t>
        </is>
      </c>
      <c r="F366" s="2" t="inlineStr">
        <is>
          <t>47129069- EDC260731001</t>
        </is>
      </c>
      <c r="G366" s="2" t="inlineStr">
        <is>
          <t>InternA</t>
        </is>
      </c>
      <c r="H366" s="2" t="inlineStr">
        <is>
          <t>Week33 (2027.02.13)</t>
        </is>
      </c>
      <c r="I366" s="2" t="n">
        <v>6.16</v>
      </c>
    </row>
    <row r="367">
      <c r="A367" s="2" t="inlineStr">
        <is>
          <t>ICBC</t>
        </is>
      </c>
      <c r="B367" s="2" t="inlineStr">
        <is>
          <t>Industrial And Commercial Bank of China (Macau) Limited</t>
        </is>
      </c>
      <c r="C367" s="2" t="inlineStr">
        <is>
          <t>47129069</t>
        </is>
      </c>
      <c r="D367" s="2" t="inlineStr">
        <is>
          <t>AUD2026-12 ICBCM</t>
        </is>
      </c>
      <c r="E367" s="2" t="inlineStr">
        <is>
          <t>Order47129069- 260731001</t>
        </is>
      </c>
      <c r="F367" s="2" t="inlineStr">
        <is>
          <t>47129069- EDC260731001</t>
        </is>
      </c>
      <c r="G367" s="2" t="inlineStr">
        <is>
          <t>Marsh.Ma@cn.ey.com</t>
        </is>
      </c>
      <c r="H367" s="2" t="inlineStr">
        <is>
          <t>Week33 (2027.02.13)</t>
        </is>
      </c>
      <c r="I367" s="2" t="n">
        <v>0.7</v>
      </c>
    </row>
    <row r="368">
      <c r="A368" s="2" t="inlineStr">
        <is>
          <t>ICBC</t>
        </is>
      </c>
      <c r="B368" s="2" t="inlineStr">
        <is>
          <t>Industrial And Commercial Bank of China (Macau) Limited</t>
        </is>
      </c>
      <c r="C368" s="2" t="inlineStr">
        <is>
          <t>47129069</t>
        </is>
      </c>
      <c r="D368" s="2" t="inlineStr">
        <is>
          <t>AUD2026-12 ICBCM</t>
        </is>
      </c>
      <c r="E368" s="2" t="inlineStr">
        <is>
          <t>Order47129069- 260731001</t>
        </is>
      </c>
      <c r="F368" s="2" t="inlineStr">
        <is>
          <t>47129069- EDC260731001</t>
        </is>
      </c>
      <c r="G368" s="2" t="inlineStr">
        <is>
          <t>Vivi.W.Yang@cn.ey.com</t>
        </is>
      </c>
      <c r="H368" s="2" t="inlineStr">
        <is>
          <t>Week33 (2027.02.13)</t>
        </is>
      </c>
      <c r="I368" s="2" t="n">
        <v>1.94</v>
      </c>
    </row>
    <row r="369">
      <c r="A369" s="2" t="inlineStr">
        <is>
          <t>HK WAM</t>
        </is>
      </c>
      <c r="B369" s="2" t="inlineStr">
        <is>
          <t>Taikang Asset Management (Hong Kong) Company Limited</t>
        </is>
      </c>
      <c r="C369" s="2" t="inlineStr">
        <is>
          <t>47129130</t>
        </is>
      </c>
      <c r="D369" s="2" t="inlineStr">
        <is>
          <t>AUD2026-12 Taikang HK Comps</t>
        </is>
      </c>
      <c r="E369" s="2" t="inlineStr">
        <is>
          <t>Order47129130- 260814001</t>
        </is>
      </c>
      <c r="F369" s="2" t="inlineStr">
        <is>
          <t>47129130- EDC260814001</t>
        </is>
      </c>
      <c r="G369" s="2" t="inlineStr">
        <is>
          <t>Marsh.Ma@cn.ey.com</t>
        </is>
      </c>
      <c r="H369" s="2" t="inlineStr">
        <is>
          <t>Week33 (2027.02.13)</t>
        </is>
      </c>
      <c r="I369" s="2" t="n">
        <v>0.15</v>
      </c>
    </row>
    <row r="370">
      <c r="A370" s="2" t="inlineStr">
        <is>
          <t>HK WAM</t>
        </is>
      </c>
      <c r="B370" s="2" t="inlineStr">
        <is>
          <t>Taikang Asset Management (Hong Kong) Company Limited</t>
        </is>
      </c>
      <c r="C370" s="2" t="inlineStr">
        <is>
          <t>47129130</t>
        </is>
      </c>
      <c r="D370" s="2" t="inlineStr">
        <is>
          <t>AUD2026-12 Taikang HK Comps</t>
        </is>
      </c>
      <c r="E370" s="2" t="inlineStr">
        <is>
          <t>Order47129130- 260814001</t>
        </is>
      </c>
      <c r="F370" s="2" t="inlineStr">
        <is>
          <t>47129130- EDC260814001</t>
        </is>
      </c>
      <c r="G370" s="2" t="inlineStr">
        <is>
          <t>Vivi.W.Yang@cn.ey.com</t>
        </is>
      </c>
      <c r="H370" s="2" t="inlineStr">
        <is>
          <t>Week33 (2027.02.13)</t>
        </is>
      </c>
      <c r="I370" s="2" t="n">
        <v>0.41</v>
      </c>
    </row>
    <row r="371">
      <c r="A371" s="2" t="inlineStr">
        <is>
          <t>HK WAM</t>
        </is>
      </c>
      <c r="B371" s="2" t="inlineStr">
        <is>
          <t>Ortus Capital Management Limited</t>
        </is>
      </c>
      <c r="C371" s="2" t="inlineStr">
        <is>
          <t>47129432</t>
        </is>
      </c>
      <c r="D371" s="2" t="inlineStr">
        <is>
          <t>AUD2026-12 OCML HK</t>
        </is>
      </c>
      <c r="E371" s="2" t="inlineStr">
        <is>
          <t>Order47129432- 260812001</t>
        </is>
      </c>
      <c r="F371" s="2" t="inlineStr">
        <is>
          <t>47129432- EDC260812001</t>
        </is>
      </c>
      <c r="G371" s="2" t="inlineStr">
        <is>
          <t>Marsh.Ma@cn.ey.com</t>
        </is>
      </c>
      <c r="H371" s="2" t="inlineStr">
        <is>
          <t>Week33 (2027.02.13)</t>
        </is>
      </c>
      <c r="I371" s="2" t="n">
        <v>0.15</v>
      </c>
    </row>
    <row r="372">
      <c r="A372" s="2" t="inlineStr">
        <is>
          <t>HK WAM</t>
        </is>
      </c>
      <c r="B372" s="2" t="inlineStr">
        <is>
          <t>Ortus Capital Management Limited</t>
        </is>
      </c>
      <c r="C372" s="2" t="inlineStr">
        <is>
          <t>47129432</t>
        </is>
      </c>
      <c r="D372" s="2" t="inlineStr">
        <is>
          <t>AUD2026-12 OCML HK</t>
        </is>
      </c>
      <c r="E372" s="2" t="inlineStr">
        <is>
          <t>Order47129432- 260812001</t>
        </is>
      </c>
      <c r="F372" s="2" t="inlineStr">
        <is>
          <t>47129432- EDC260812001</t>
        </is>
      </c>
      <c r="G372" s="2" t="inlineStr">
        <is>
          <t>Vivi.W.Yang@cn.ey.com</t>
        </is>
      </c>
      <c r="H372" s="2" t="inlineStr">
        <is>
          <t>Week33 (2027.02.13)</t>
        </is>
      </c>
      <c r="I372" s="2" t="n">
        <v>0.41</v>
      </c>
    </row>
    <row r="373">
      <c r="A373" s="2" t="inlineStr">
        <is>
          <t>HK WAM</t>
        </is>
      </c>
      <c r="B373" s="2" t="inlineStr">
        <is>
          <t>COS-Capital Hong Kong International Co. Limited</t>
        </is>
      </c>
      <c r="C373" s="2" t="inlineStr">
        <is>
          <t>47129459</t>
        </is>
      </c>
      <c r="D373" s="2" t="inlineStr">
        <is>
          <t>AUD2026-12 COS-CAPITAL HK INTL</t>
        </is>
      </c>
      <c r="E373" s="2" t="inlineStr">
        <is>
          <t>Order47129459- 260812001</t>
        </is>
      </c>
      <c r="F373" s="2" t="inlineStr">
        <is>
          <t>47129459- EDC260812001</t>
        </is>
      </c>
      <c r="G373" s="2" t="inlineStr">
        <is>
          <t>Marsh.Ma@cn.ey.com</t>
        </is>
      </c>
      <c r="H373" s="2" t="inlineStr">
        <is>
          <t>Week33 (2027.02.13)</t>
        </is>
      </c>
      <c r="I373" s="2" t="n">
        <v>0.16</v>
      </c>
    </row>
    <row r="374">
      <c r="A374" s="2" t="inlineStr">
        <is>
          <t>HK WAM</t>
        </is>
      </c>
      <c r="B374" s="2" t="inlineStr">
        <is>
          <t>COS-Capital Hong Kong International Co. Limited</t>
        </is>
      </c>
      <c r="C374" s="2" t="inlineStr">
        <is>
          <t>47129459</t>
        </is>
      </c>
      <c r="D374" s="2" t="inlineStr">
        <is>
          <t>AUD2026-12 COS-CAPITAL HK INTL</t>
        </is>
      </c>
      <c r="E374" s="2" t="inlineStr">
        <is>
          <t>Order47129459- 260812001</t>
        </is>
      </c>
      <c r="F374" s="2" t="inlineStr">
        <is>
          <t>47129459- EDC260812001</t>
        </is>
      </c>
      <c r="G374" s="2" t="inlineStr">
        <is>
          <t>Vivi.W.Yang@cn.ey.com</t>
        </is>
      </c>
      <c r="H374" s="2" t="inlineStr">
        <is>
          <t>Week33 (2027.02.13)</t>
        </is>
      </c>
      <c r="I374" s="2" t="n">
        <v>0.45</v>
      </c>
    </row>
    <row r="375">
      <c r="A375" s="2" t="inlineStr">
        <is>
          <t>ICBC</t>
        </is>
      </c>
      <c r="B375" s="2" t="inlineStr">
        <is>
          <t>Industrial And Commercial Bank of China (Asia) Limited</t>
        </is>
      </c>
      <c r="C375" s="2" t="inlineStr">
        <is>
          <t>47129548</t>
        </is>
      </c>
      <c r="D375" s="2" t="inlineStr">
        <is>
          <t>AUD2026-12 ICBCA</t>
        </is>
      </c>
      <c r="E375" s="2" t="inlineStr">
        <is>
          <t>Order47129548- 260501002</t>
        </is>
      </c>
      <c r="F375" s="2" t="inlineStr">
        <is>
          <t>47129548- EDC260501001</t>
        </is>
      </c>
      <c r="G375" s="2" t="inlineStr">
        <is>
          <t>InternA</t>
        </is>
      </c>
      <c r="H375" s="2" t="inlineStr">
        <is>
          <t>Week33 (2027.02.13)</t>
        </is>
      </c>
      <c r="I375" s="2" t="n">
        <v>29.64</v>
      </c>
    </row>
    <row r="376">
      <c r="A376" s="2" t="inlineStr">
        <is>
          <t>ICBC</t>
        </is>
      </c>
      <c r="B376" s="2" t="inlineStr">
        <is>
          <t>Industrial And Commercial Bank of China (Asia) Limited</t>
        </is>
      </c>
      <c r="C376" s="2" t="inlineStr">
        <is>
          <t>47129548</t>
        </is>
      </c>
      <c r="D376" s="2" t="inlineStr">
        <is>
          <t>AUD2026-12 ICBCA</t>
        </is>
      </c>
      <c r="E376" s="2" t="inlineStr">
        <is>
          <t>Order47129548- 260501002</t>
        </is>
      </c>
      <c r="F376" s="2" t="inlineStr">
        <is>
          <t>47129548- EDC260501001</t>
        </is>
      </c>
      <c r="G376" s="2" t="inlineStr">
        <is>
          <t>InternB</t>
        </is>
      </c>
      <c r="H376" s="2" t="inlineStr">
        <is>
          <t>Week33 (2027.02.13)</t>
        </is>
      </c>
      <c r="I376" s="2" t="n">
        <v>40</v>
      </c>
    </row>
    <row r="377">
      <c r="A377" s="2" t="inlineStr">
        <is>
          <t>ICBC</t>
        </is>
      </c>
      <c r="B377" s="2" t="inlineStr">
        <is>
          <t>Industrial And Commercial Bank of China (Asia) Limited</t>
        </is>
      </c>
      <c r="C377" s="2" t="inlineStr">
        <is>
          <t>47129548</t>
        </is>
      </c>
      <c r="D377" s="2" t="inlineStr">
        <is>
          <t>AUD2026-12 ICBCA</t>
        </is>
      </c>
      <c r="E377" s="2" t="inlineStr">
        <is>
          <t>Order47129548- 260501002</t>
        </is>
      </c>
      <c r="F377" s="2" t="inlineStr">
        <is>
          <t>47129548- EDC260501001</t>
        </is>
      </c>
      <c r="G377" s="2" t="inlineStr">
        <is>
          <t>Marsh.Ma@cn.ey.com</t>
        </is>
      </c>
      <c r="H377" s="2" t="inlineStr">
        <is>
          <t>Week33 (2027.02.13)</t>
        </is>
      </c>
      <c r="I377" s="2" t="n">
        <v>5.11</v>
      </c>
    </row>
    <row r="378">
      <c r="A378" s="2" t="inlineStr">
        <is>
          <t>ICBC</t>
        </is>
      </c>
      <c r="B378" s="2" t="inlineStr">
        <is>
          <t>Industrial And Commercial Bank of China (Asia) Limited</t>
        </is>
      </c>
      <c r="C378" s="2" t="inlineStr">
        <is>
          <t>47129548</t>
        </is>
      </c>
      <c r="D378" s="2" t="inlineStr">
        <is>
          <t>AUD2026-12 ICBCA</t>
        </is>
      </c>
      <c r="E378" s="2" t="inlineStr">
        <is>
          <t>Order47129548- 260501002</t>
        </is>
      </c>
      <c r="F378" s="2" t="inlineStr">
        <is>
          <t>47129548- EDC260501001</t>
        </is>
      </c>
      <c r="G378" s="2" t="inlineStr">
        <is>
          <t>Vivi.W.Yang@cn.ey.com</t>
        </is>
      </c>
      <c r="H378" s="2" t="inlineStr">
        <is>
          <t>Week33 (2027.02.13)</t>
        </is>
      </c>
      <c r="I378" s="2" t="n">
        <v>14.05</v>
      </c>
    </row>
    <row r="379">
      <c r="A379" s="2" t="inlineStr">
        <is>
          <t>HK WAM</t>
        </is>
      </c>
      <c r="B379" s="2" t="inlineStr">
        <is>
          <t>DST Investment Management Limited</t>
        </is>
      </c>
      <c r="C379" s="2" t="inlineStr">
        <is>
          <t>47129679</t>
        </is>
      </c>
      <c r="D379" s="2" t="inlineStr">
        <is>
          <t>AUD2026-12 DST Investment Mgt</t>
        </is>
      </c>
      <c r="E379" s="2" t="inlineStr">
        <is>
          <t>Order47129679- 260814001</t>
        </is>
      </c>
      <c r="F379" s="2" t="inlineStr">
        <is>
          <t>47129679- EDC260814001</t>
        </is>
      </c>
      <c r="G379" s="2" t="inlineStr">
        <is>
          <t>Marsh.Ma@cn.ey.com</t>
        </is>
      </c>
      <c r="H379" s="2" t="inlineStr">
        <is>
          <t>Week33 (2027.02.13)</t>
        </is>
      </c>
      <c r="I379" s="2" t="n">
        <v>0.19</v>
      </c>
    </row>
    <row r="380">
      <c r="A380" s="2" t="inlineStr">
        <is>
          <t>HK WAM</t>
        </is>
      </c>
      <c r="B380" s="2" t="inlineStr">
        <is>
          <t>DST Investment Management Limited</t>
        </is>
      </c>
      <c r="C380" s="2" t="inlineStr">
        <is>
          <t>47129679</t>
        </is>
      </c>
      <c r="D380" s="2" t="inlineStr">
        <is>
          <t>AUD2026-12 DST Investment Mgt</t>
        </is>
      </c>
      <c r="E380" s="2" t="inlineStr">
        <is>
          <t>Order47129679- 260814001</t>
        </is>
      </c>
      <c r="F380" s="2" t="inlineStr">
        <is>
          <t>47129679- EDC260814001</t>
        </is>
      </c>
      <c r="G380" s="2" t="inlineStr">
        <is>
          <t>Vivi.W.Yang@cn.ey.com</t>
        </is>
      </c>
      <c r="H380" s="2" t="inlineStr">
        <is>
          <t>Week33 (2027.02.13)</t>
        </is>
      </c>
      <c r="I380" s="2" t="n">
        <v>0.53</v>
      </c>
    </row>
    <row r="381">
      <c r="A381" s="2" t="inlineStr">
        <is>
          <t>HK WAM</t>
        </is>
      </c>
      <c r="B381" s="2" t="inlineStr">
        <is>
          <t>E Fund International Holdings Limited</t>
        </is>
      </c>
      <c r="C381" s="2" t="inlineStr">
        <is>
          <t>47129692</t>
        </is>
      </c>
      <c r="D381" s="2" t="inlineStr">
        <is>
          <t>AUD2026-12 E Fund IM</t>
        </is>
      </c>
      <c r="E381" s="2" t="inlineStr">
        <is>
          <t>Order47129692- 260814001</t>
        </is>
      </c>
      <c r="F381" s="2" t="inlineStr">
        <is>
          <t>47129692- EDC260814001</t>
        </is>
      </c>
      <c r="G381" s="2" t="inlineStr">
        <is>
          <t>Marsh.Ma@cn.ey.com</t>
        </is>
      </c>
      <c r="H381" s="2" t="inlineStr">
        <is>
          <t>Week33 (2027.02.13)</t>
        </is>
      </c>
      <c r="I381" s="2" t="n">
        <v>0.06</v>
      </c>
    </row>
    <row r="382">
      <c r="A382" s="2" t="inlineStr">
        <is>
          <t>HK WAM</t>
        </is>
      </c>
      <c r="B382" s="2" t="inlineStr">
        <is>
          <t>E Fund International Holdings Limited</t>
        </is>
      </c>
      <c r="C382" s="2" t="inlineStr">
        <is>
          <t>47129692</t>
        </is>
      </c>
      <c r="D382" s="2" t="inlineStr">
        <is>
          <t>AUD2026-12 E Fund IM</t>
        </is>
      </c>
      <c r="E382" s="2" t="inlineStr">
        <is>
          <t>Order47129692- 260814001</t>
        </is>
      </c>
      <c r="F382" s="2" t="inlineStr">
        <is>
          <t>47129692- EDC260814001</t>
        </is>
      </c>
      <c r="G382" s="2" t="inlineStr">
        <is>
          <t>Vivi.W.Yang@cn.ey.com</t>
        </is>
      </c>
      <c r="H382" s="2" t="inlineStr">
        <is>
          <t>Week33 (2027.02.13)</t>
        </is>
      </c>
      <c r="I382" s="2" t="n">
        <v>0.16</v>
      </c>
    </row>
    <row r="383">
      <c r="A383" s="2" t="inlineStr">
        <is>
          <t>HK WAM</t>
        </is>
      </c>
      <c r="B383" s="2" t="inlineStr">
        <is>
          <t>SHINKA CAPITAL MANAGEMENT LIMITED</t>
        </is>
      </c>
      <c r="C383" s="2" t="inlineStr">
        <is>
          <t>47129702</t>
        </is>
      </c>
      <c r="D383" s="2" t="inlineStr">
        <is>
          <t>AUD2026-12 Shinka Capital</t>
        </is>
      </c>
      <c r="E383" s="2" t="inlineStr">
        <is>
          <t>Order47129702- 260814001</t>
        </is>
      </c>
      <c r="F383" s="2" t="inlineStr">
        <is>
          <t>47129702- EDC260814001</t>
        </is>
      </c>
      <c r="G383" s="2" t="inlineStr">
        <is>
          <t>Marsh.Ma@cn.ey.com</t>
        </is>
      </c>
      <c r="H383" s="2" t="inlineStr">
        <is>
          <t>Week33 (2027.02.13)</t>
        </is>
      </c>
      <c r="I383" s="2" t="n">
        <v>0.15</v>
      </c>
    </row>
    <row r="384">
      <c r="A384" s="2" t="inlineStr">
        <is>
          <t>HK WAM</t>
        </is>
      </c>
      <c r="B384" s="2" t="inlineStr">
        <is>
          <t>SHINKA CAPITAL MANAGEMENT LIMITED</t>
        </is>
      </c>
      <c r="C384" s="2" t="inlineStr">
        <is>
          <t>47129702</t>
        </is>
      </c>
      <c r="D384" s="2" t="inlineStr">
        <is>
          <t>AUD2026-12 Shinka Capital</t>
        </is>
      </c>
      <c r="E384" s="2" t="inlineStr">
        <is>
          <t>Order47129702- 260814001</t>
        </is>
      </c>
      <c r="F384" s="2" t="inlineStr">
        <is>
          <t>47129702- EDC260814001</t>
        </is>
      </c>
      <c r="G384" s="2" t="inlineStr">
        <is>
          <t>Vivi.W.Yang@cn.ey.com</t>
        </is>
      </c>
      <c r="H384" s="2" t="inlineStr">
        <is>
          <t>Week33 (2027.02.13)</t>
        </is>
      </c>
      <c r="I384" s="2" t="n">
        <v>0.41</v>
      </c>
    </row>
    <row r="385">
      <c r="A385" s="2" t="inlineStr">
        <is>
          <t>HK WAM</t>
        </is>
      </c>
      <c r="B385" s="2" t="inlineStr">
        <is>
          <t>Boyu Capital Advisory Co. Limited</t>
        </is>
      </c>
      <c r="C385" s="2" t="inlineStr">
        <is>
          <t>47129715</t>
        </is>
      </c>
      <c r="D385" s="2" t="inlineStr">
        <is>
          <t>AUD2026-12 BOYU CAPITAL FUND</t>
        </is>
      </c>
      <c r="E385" s="2" t="inlineStr">
        <is>
          <t>Order47129715- 260814001</t>
        </is>
      </c>
      <c r="F385" s="2" t="inlineStr">
        <is>
          <t>47129715- EDC260814001</t>
        </is>
      </c>
      <c r="G385" s="2" t="inlineStr">
        <is>
          <t>Marsh.Ma@cn.ey.com</t>
        </is>
      </c>
      <c r="H385" s="2" t="inlineStr">
        <is>
          <t>Week33 (2027.02.13)</t>
        </is>
      </c>
      <c r="I385" s="2" t="n">
        <v>0.16</v>
      </c>
    </row>
    <row r="386">
      <c r="A386" s="2" t="inlineStr">
        <is>
          <t>HK WAM</t>
        </is>
      </c>
      <c r="B386" s="2" t="inlineStr">
        <is>
          <t>Boyu Capital Advisory Co. Limited</t>
        </is>
      </c>
      <c r="C386" s="2" t="inlineStr">
        <is>
          <t>47129715</t>
        </is>
      </c>
      <c r="D386" s="2" t="inlineStr">
        <is>
          <t>AUD2026-12 BOYU CAPITAL FUND</t>
        </is>
      </c>
      <c r="E386" s="2" t="inlineStr">
        <is>
          <t>Order47129715- 260814001</t>
        </is>
      </c>
      <c r="F386" s="2" t="inlineStr">
        <is>
          <t>47129715- EDC260814001</t>
        </is>
      </c>
      <c r="G386" s="2" t="inlineStr">
        <is>
          <t>Vivi.W.Yang@cn.ey.com</t>
        </is>
      </c>
      <c r="H386" s="2" t="inlineStr">
        <is>
          <t>Week33 (2027.02.13)</t>
        </is>
      </c>
      <c r="I386" s="2" t="n">
        <v>0.45</v>
      </c>
    </row>
    <row r="387">
      <c r="A387" s="2" t="inlineStr">
        <is>
          <t>海信</t>
        </is>
      </c>
      <c r="B387" s="2" t="inlineStr">
        <is>
          <t>Hisense Group Holdings Co., Ltd.</t>
        </is>
      </c>
      <c r="C387" s="2" t="inlineStr">
        <is>
          <t>47115559</t>
        </is>
      </c>
      <c r="D387" s="2" t="inlineStr">
        <is>
          <t>IPO2026-03 Project Voyage_CN</t>
        </is>
      </c>
      <c r="E387" s="2" t="inlineStr">
        <is>
          <t>Order47115559- 260729002</t>
        </is>
      </c>
      <c r="F387" s="2" t="inlineStr">
        <is>
          <t>47115559- EDC260729001</t>
        </is>
      </c>
      <c r="G387" s="2" t="inlineStr">
        <is>
          <t>Marsh.Ma@cn.ey.com</t>
        </is>
      </c>
      <c r="H387" s="2" t="inlineStr">
        <is>
          <t>Week34 (2027.02.20)</t>
        </is>
      </c>
      <c r="I387" s="2" t="n">
        <v>2.44</v>
      </c>
    </row>
    <row r="388">
      <c r="A388" s="2" t="inlineStr">
        <is>
          <t>海信</t>
        </is>
      </c>
      <c r="B388" s="2" t="inlineStr">
        <is>
          <t>Hisense Group Holdings Co., Ltd.</t>
        </is>
      </c>
      <c r="C388" s="2" t="inlineStr">
        <is>
          <t>47115559</t>
        </is>
      </c>
      <c r="D388" s="2" t="inlineStr">
        <is>
          <t>IPO2026-03 Project Voyage_CN</t>
        </is>
      </c>
      <c r="E388" s="2" t="inlineStr">
        <is>
          <t>Order47115559- 260729002</t>
        </is>
      </c>
      <c r="F388" s="2" t="inlineStr">
        <is>
          <t>47115559- EDC260729001</t>
        </is>
      </c>
      <c r="G388" s="2" t="inlineStr">
        <is>
          <t>Vivi.W.Yang@cn.ey.com</t>
        </is>
      </c>
      <c r="H388" s="2" t="inlineStr">
        <is>
          <t>Week34 (2027.02.20)</t>
        </is>
      </c>
      <c r="I388" s="2" t="n">
        <v>6.72</v>
      </c>
    </row>
    <row r="389">
      <c r="A389" s="2" t="inlineStr">
        <is>
          <t>公募</t>
        </is>
      </c>
      <c r="B389" s="2" t="inlineStr">
        <is>
          <t>FORTUNE &amp; ROYAL ASSET MANAGEMENT CORPORATION LIMITED</t>
        </is>
      </c>
      <c r="C389" s="2" t="inlineStr">
        <is>
          <t>47128046</t>
        </is>
      </c>
      <c r="D389" s="2" t="inlineStr">
        <is>
          <t>AUD2026-12 FR Funds</t>
        </is>
      </c>
      <c r="E389" s="2" t="inlineStr">
        <is>
          <t>Order47128046- 260501004</t>
        </is>
      </c>
      <c r="F389" s="2" t="inlineStr">
        <is>
          <t>47128046- EDC260504001</t>
        </is>
      </c>
      <c r="G389" s="2" t="inlineStr">
        <is>
          <t>Marsh.Ma@cn.ey.com</t>
        </is>
      </c>
      <c r="H389" s="2" t="inlineStr">
        <is>
          <t>Week34 (2027.02.20)</t>
        </is>
      </c>
      <c r="I389" s="2" t="n">
        <v>1.22</v>
      </c>
    </row>
    <row r="390">
      <c r="A390" s="2" t="inlineStr">
        <is>
          <t>公募</t>
        </is>
      </c>
      <c r="B390" s="2" t="inlineStr">
        <is>
          <t>FORTUNE &amp; ROYAL ASSET MANAGEMENT CORPORATION LIMITED</t>
        </is>
      </c>
      <c r="C390" s="2" t="inlineStr">
        <is>
          <t>47128046</t>
        </is>
      </c>
      <c r="D390" s="2" t="inlineStr">
        <is>
          <t>AUD2026-12 FR Funds</t>
        </is>
      </c>
      <c r="E390" s="2" t="inlineStr">
        <is>
          <t>Order47128046- 260501004</t>
        </is>
      </c>
      <c r="F390" s="2" t="inlineStr">
        <is>
          <t>47128046- EDC260504001</t>
        </is>
      </c>
      <c r="G390" s="2" t="inlineStr">
        <is>
          <t>Yuan.Yuan.YY.Chen@cn.ey.com</t>
        </is>
      </c>
      <c r="H390" s="2" t="inlineStr">
        <is>
          <t>Week34 (2027.02.20)</t>
        </is>
      </c>
      <c r="I390" s="2" t="n">
        <v>14.05</v>
      </c>
    </row>
    <row r="391">
      <c r="A391" s="2" t="inlineStr">
        <is>
          <t>PE</t>
        </is>
      </c>
      <c r="B391" s="2" t="inlineStr">
        <is>
          <t>Hangzhou Huaxin Yunkai Equity Shares Investment Partnership Enterprise (Limited Partnership)</t>
        </is>
      </c>
      <c r="C391" s="2" t="inlineStr">
        <is>
          <t>47128202</t>
        </is>
      </c>
      <c r="D391" s="2" t="inlineStr">
        <is>
          <t>AUD2026-12 Hangzhou Huaxin</t>
        </is>
      </c>
      <c r="E391" s="2" t="inlineStr">
        <is>
          <t>Order47128202- 260501004</t>
        </is>
      </c>
      <c r="F391" s="2" t="inlineStr">
        <is>
          <t>47128202- EDC260501001</t>
        </is>
      </c>
      <c r="G391" s="2" t="inlineStr">
        <is>
          <t>Luna.CD.Zhang@cn.ey.com</t>
        </is>
      </c>
      <c r="H391" s="2" t="inlineStr">
        <is>
          <t>Week34 (2027.02.20)</t>
        </is>
      </c>
      <c r="I391" s="2" t="n">
        <v>69.09999999999999</v>
      </c>
    </row>
    <row r="392">
      <c r="A392" s="2" t="inlineStr">
        <is>
          <t>PE</t>
        </is>
      </c>
      <c r="B392" s="2" t="inlineStr">
        <is>
          <t>Hangzhou Huaxin Yunkai Equity Shares Investment Partnership Enterprise (Limited Partnership)</t>
        </is>
      </c>
      <c r="C392" s="2" t="inlineStr">
        <is>
          <t>47128202</t>
        </is>
      </c>
      <c r="D392" s="2" t="inlineStr">
        <is>
          <t>AUD2026-12 Hangzhou Huaxin</t>
        </is>
      </c>
      <c r="E392" s="2" t="inlineStr">
        <is>
          <t>Order47128202- 260501004</t>
        </is>
      </c>
      <c r="F392" s="2" t="inlineStr">
        <is>
          <t>47128202- EDC260501001</t>
        </is>
      </c>
      <c r="G392" s="2" t="inlineStr">
        <is>
          <t>Marsh.Ma@cn.ey.com</t>
        </is>
      </c>
      <c r="H392" s="2" t="inlineStr">
        <is>
          <t>Week34 (2027.02.20)</t>
        </is>
      </c>
      <c r="I392" s="2" t="n">
        <v>3.93</v>
      </c>
    </row>
    <row r="393">
      <c r="A393" s="2" t="inlineStr">
        <is>
          <t>PE</t>
        </is>
      </c>
      <c r="B393" s="2" t="inlineStr">
        <is>
          <t>Hangzhou Huaxin Yunkai Equity Shares Investment Partnership Enterprise (Limited Partnership)</t>
        </is>
      </c>
      <c r="C393" s="2" t="inlineStr">
        <is>
          <t>47128202</t>
        </is>
      </c>
      <c r="D393" s="2" t="inlineStr">
        <is>
          <t>AUD2026-12 Hangzhou Huaxin</t>
        </is>
      </c>
      <c r="E393" s="2" t="inlineStr">
        <is>
          <t>Order47128202- 260501004</t>
        </is>
      </c>
      <c r="F393" s="2" t="inlineStr">
        <is>
          <t>47128202- EDC260501001</t>
        </is>
      </c>
      <c r="G393" s="2" t="inlineStr">
        <is>
          <t>Rainbow.MG.Xiao@cn.ey.com</t>
        </is>
      </c>
      <c r="H393" s="2" t="inlineStr">
        <is>
          <t>Week34 (2027.02.20)</t>
        </is>
      </c>
      <c r="I393" s="2" t="n">
        <v>12</v>
      </c>
    </row>
    <row r="394">
      <c r="A394" s="2" t="inlineStr">
        <is>
          <t>PE</t>
        </is>
      </c>
      <c r="B394" s="2" t="inlineStr">
        <is>
          <t>Hangzhou Huaxin Yunkai Equity Shares Investment Partnership Enterprise (Limited Partnership)</t>
        </is>
      </c>
      <c r="C394" s="2" t="inlineStr">
        <is>
          <t>47128202</t>
        </is>
      </c>
      <c r="D394" s="2" t="inlineStr">
        <is>
          <t>AUD2026-12 Hangzhou Huaxin</t>
        </is>
      </c>
      <c r="E394" s="2" t="inlineStr">
        <is>
          <t>Order47128202- 260501004</t>
        </is>
      </c>
      <c r="F394" s="2" t="inlineStr">
        <is>
          <t>47128202- EDC260501001</t>
        </is>
      </c>
      <c r="G394" s="2" t="inlineStr">
        <is>
          <t>Vivi.W.Yang@cn.ey.com</t>
        </is>
      </c>
      <c r="H394" s="2" t="inlineStr">
        <is>
          <t>Week34 (2027.02.20)</t>
        </is>
      </c>
      <c r="I394" s="2" t="n">
        <v>10.82</v>
      </c>
    </row>
    <row r="395">
      <c r="A395" s="2" t="inlineStr">
        <is>
          <t>PE</t>
        </is>
      </c>
      <c r="B395" s="2" t="inlineStr">
        <is>
          <t>Hangzhou Huaxin Yunkai Equity Shares Investment Partnership Enterprise (Limited Partnership)</t>
        </is>
      </c>
      <c r="C395" s="2" t="inlineStr">
        <is>
          <t>47128202</t>
        </is>
      </c>
      <c r="D395" s="2" t="inlineStr">
        <is>
          <t>AUD2026-12 Hangzhou Huaxin</t>
        </is>
      </c>
      <c r="E395" s="2" t="inlineStr">
        <is>
          <t>Order47128202- 260501004</t>
        </is>
      </c>
      <c r="F395" s="2" t="inlineStr">
        <is>
          <t>47128202- EDC260501001</t>
        </is>
      </c>
      <c r="G395" s="2" t="inlineStr">
        <is>
          <t>Yuan.Yuan.YY.Chen@cn.ey.com</t>
        </is>
      </c>
      <c r="H395" s="2" t="inlineStr">
        <is>
          <t>Week34 (2027.02.20)</t>
        </is>
      </c>
      <c r="I395" s="2" t="n">
        <v>12</v>
      </c>
    </row>
    <row r="396">
      <c r="A396" s="2" t="inlineStr">
        <is>
          <t>PE</t>
        </is>
      </c>
      <c r="B396" s="2" t="inlineStr">
        <is>
          <t>Vivo (Suzhou) Health Industry Investment Fund Limited Partnership</t>
        </is>
      </c>
      <c r="C396" s="2" t="inlineStr">
        <is>
          <t>47128359</t>
        </is>
      </c>
      <c r="D396" s="2" t="inlineStr">
        <is>
          <t>AUD2026-12 Arrace Holding</t>
        </is>
      </c>
      <c r="E396" s="2" t="inlineStr">
        <is>
          <t>Order47128359- 260501004</t>
        </is>
      </c>
      <c r="F396" s="2" t="inlineStr">
        <is>
          <t>47128359- EDC260501001</t>
        </is>
      </c>
      <c r="G396" s="2" t="inlineStr">
        <is>
          <t>Luna.CD.Zhang@cn.ey.com</t>
        </is>
      </c>
      <c r="H396" s="2" t="inlineStr">
        <is>
          <t>Week34 (2027.02.20)</t>
        </is>
      </c>
      <c r="I396" s="2" t="n">
        <v>1.86</v>
      </c>
    </row>
    <row r="397">
      <c r="A397" s="2" t="inlineStr">
        <is>
          <t>PE</t>
        </is>
      </c>
      <c r="B397" s="2" t="inlineStr">
        <is>
          <t>Vivo (Suzhou) Health Industry Investment Fund Limited Partnership</t>
        </is>
      </c>
      <c r="C397" s="2" t="inlineStr">
        <is>
          <t>47128359</t>
        </is>
      </c>
      <c r="D397" s="2" t="inlineStr">
        <is>
          <t>AUD2026-12 Arrace Holding</t>
        </is>
      </c>
      <c r="E397" s="2" t="inlineStr">
        <is>
          <t>Order47128359- 260501004</t>
        </is>
      </c>
      <c r="F397" s="2" t="inlineStr">
        <is>
          <t>47128359- EDC260501001</t>
        </is>
      </c>
      <c r="G397" s="2" t="inlineStr">
        <is>
          <t>Marsh.Ma@cn.ey.com</t>
        </is>
      </c>
      <c r="H397" s="2" t="inlineStr">
        <is>
          <t>Week34 (2027.02.20)</t>
        </is>
      </c>
      <c r="I397" s="2" t="n">
        <v>0.21</v>
      </c>
    </row>
    <row r="398">
      <c r="A398" s="2" t="inlineStr">
        <is>
          <t>PE</t>
        </is>
      </c>
      <c r="B398" s="2" t="inlineStr">
        <is>
          <t>Vivo (Suzhou) Health Industry Investment Fund Limited Partnership</t>
        </is>
      </c>
      <c r="C398" s="2" t="inlineStr">
        <is>
          <t>47128359</t>
        </is>
      </c>
      <c r="D398" s="2" t="inlineStr">
        <is>
          <t>AUD2026-12 Arrace Holding</t>
        </is>
      </c>
      <c r="E398" s="2" t="inlineStr">
        <is>
          <t>Order47128359- 260501004</t>
        </is>
      </c>
      <c r="F398" s="2" t="inlineStr">
        <is>
          <t>47128359- EDC260501001</t>
        </is>
      </c>
      <c r="G398" s="2" t="inlineStr">
        <is>
          <t>Vivi.W.Yang@cn.ey.com</t>
        </is>
      </c>
      <c r="H398" s="2" t="inlineStr">
        <is>
          <t>Week34 (2027.02.20)</t>
        </is>
      </c>
      <c r="I398" s="2" t="n">
        <v>0.59</v>
      </c>
    </row>
    <row r="399">
      <c r="A399" s="2" t="inlineStr">
        <is>
          <t>公募</t>
        </is>
      </c>
      <c r="B399" s="2" t="inlineStr">
        <is>
          <t>Great Wall Fund Management Co., Ltd</t>
        </is>
      </c>
      <c r="C399" s="2" t="inlineStr">
        <is>
          <t>47128364</t>
        </is>
      </c>
      <c r="D399" s="2" t="inlineStr">
        <is>
          <t>AUD2026-12 Great Wall Funds</t>
        </is>
      </c>
      <c r="E399" s="2" t="inlineStr">
        <is>
          <t>Order47128364- 260501004</t>
        </is>
      </c>
      <c r="F399" s="2" t="inlineStr">
        <is>
          <t>47128364- EDC260501001</t>
        </is>
      </c>
      <c r="G399" s="2" t="inlineStr">
        <is>
          <t>Marsh.Ma@cn.ey.com</t>
        </is>
      </c>
      <c r="H399" s="2" t="inlineStr">
        <is>
          <t>Week34 (2027.02.20)</t>
        </is>
      </c>
      <c r="I399" s="2" t="n">
        <v>6.95</v>
      </c>
    </row>
    <row r="400">
      <c r="A400" s="2" t="inlineStr">
        <is>
          <t>公募</t>
        </is>
      </c>
      <c r="B400" s="2" t="inlineStr">
        <is>
          <t>Great Wall Fund Management Co., Ltd</t>
        </is>
      </c>
      <c r="C400" s="2" t="inlineStr">
        <is>
          <t>47128364</t>
        </is>
      </c>
      <c r="D400" s="2" t="inlineStr">
        <is>
          <t>AUD2026-12 Great Wall Funds</t>
        </is>
      </c>
      <c r="E400" s="2" t="inlineStr">
        <is>
          <t>Order47128364- 260501004</t>
        </is>
      </c>
      <c r="F400" s="2" t="inlineStr">
        <is>
          <t>47128364- EDC260501001</t>
        </is>
      </c>
      <c r="G400" s="2" t="inlineStr">
        <is>
          <t>Rainbow.MG.Xiao@cn.ey.com</t>
        </is>
      </c>
      <c r="H400" s="2" t="inlineStr">
        <is>
          <t>Week34 (2027.02.20)</t>
        </is>
      </c>
      <c r="I400" s="2" t="n">
        <v>33.92</v>
      </c>
    </row>
    <row r="401">
      <c r="A401" s="2" t="inlineStr">
        <is>
          <t>公募</t>
        </is>
      </c>
      <c r="B401" s="2" t="inlineStr">
        <is>
          <t>Great Wall Fund Management Co., Ltd</t>
        </is>
      </c>
      <c r="C401" s="2" t="inlineStr">
        <is>
          <t>47128364</t>
        </is>
      </c>
      <c r="D401" s="2" t="inlineStr">
        <is>
          <t>AUD2026-12 Great Wall Funds</t>
        </is>
      </c>
      <c r="E401" s="2" t="inlineStr">
        <is>
          <t>Order47128364- 260501004</t>
        </is>
      </c>
      <c r="F401" s="2" t="inlineStr">
        <is>
          <t>47128364- EDC260501001</t>
        </is>
      </c>
      <c r="G401" s="2" t="inlineStr">
        <is>
          <t>Yuan.Yuan.YY.Chen@cn.ey.com</t>
        </is>
      </c>
      <c r="H401" s="2" t="inlineStr">
        <is>
          <t>Week34 (2027.02.20)</t>
        </is>
      </c>
      <c r="I401" s="2" t="n">
        <v>45.95</v>
      </c>
    </row>
    <row r="402">
      <c r="A402" s="2" t="inlineStr">
        <is>
          <t>公募</t>
        </is>
      </c>
      <c r="B402" s="2" t="inlineStr">
        <is>
          <t>Hang Seng Qianhai Fund Management Company Limited</t>
        </is>
      </c>
      <c r="C402" s="2" t="inlineStr">
        <is>
          <t>47128633</t>
        </is>
      </c>
      <c r="D402" s="2" t="inlineStr">
        <is>
          <t>AUD2026-12 HSQH Funds</t>
        </is>
      </c>
      <c r="E402" s="2" t="inlineStr">
        <is>
          <t>Order47128633- 260501004</t>
        </is>
      </c>
      <c r="F402" s="2" t="inlineStr">
        <is>
          <t>47128633- EDC260501001</t>
        </is>
      </c>
      <c r="G402" s="2" t="inlineStr">
        <is>
          <t>InternA</t>
        </is>
      </c>
      <c r="H402" s="2" t="inlineStr">
        <is>
          <t>Week34 (2027.02.20)</t>
        </is>
      </c>
      <c r="I402" s="2" t="n">
        <v>0.42</v>
      </c>
    </row>
    <row r="403">
      <c r="A403" s="2" t="inlineStr">
        <is>
          <t>公募</t>
        </is>
      </c>
      <c r="B403" s="2" t="inlineStr">
        <is>
          <t>Hang Seng Qianhai Fund Management Company Limited</t>
        </is>
      </c>
      <c r="C403" s="2" t="inlineStr">
        <is>
          <t>47128633</t>
        </is>
      </c>
      <c r="D403" s="2" t="inlineStr">
        <is>
          <t>AUD2026-12 HSQH Funds</t>
        </is>
      </c>
      <c r="E403" s="2" t="inlineStr">
        <is>
          <t>Order47128633- 260501004</t>
        </is>
      </c>
      <c r="F403" s="2" t="inlineStr">
        <is>
          <t>47128633- EDC260501001</t>
        </is>
      </c>
      <c r="G403" s="2" t="inlineStr">
        <is>
          <t>Marsh.Ma@cn.ey.com</t>
        </is>
      </c>
      <c r="H403" s="2" t="inlineStr">
        <is>
          <t>Week34 (2027.02.20)</t>
        </is>
      </c>
      <c r="I403" s="2" t="n">
        <v>0.73</v>
      </c>
    </row>
    <row r="404">
      <c r="A404" s="2" t="inlineStr">
        <is>
          <t>公募</t>
        </is>
      </c>
      <c r="B404" s="2" t="inlineStr">
        <is>
          <t>Hang Seng Qianhai Fund Management Company Limited</t>
        </is>
      </c>
      <c r="C404" s="2" t="inlineStr">
        <is>
          <t>47128633</t>
        </is>
      </c>
      <c r="D404" s="2" t="inlineStr">
        <is>
          <t>AUD2026-12 HSQH Funds</t>
        </is>
      </c>
      <c r="E404" s="2" t="inlineStr">
        <is>
          <t>Order47128633- 260501004</t>
        </is>
      </c>
      <c r="F404" s="2" t="inlineStr">
        <is>
          <t>47128633- EDC260501001</t>
        </is>
      </c>
      <c r="G404" s="2" t="inlineStr">
        <is>
          <t>Rainbow.MG.Xiao@cn.ey.com</t>
        </is>
      </c>
      <c r="H404" s="2" t="inlineStr">
        <is>
          <t>Week34 (2027.02.20)</t>
        </is>
      </c>
      <c r="I404" s="2" t="n">
        <v>7.94</v>
      </c>
    </row>
    <row r="405">
      <c r="A405" s="2" t="inlineStr">
        <is>
          <t>PE</t>
        </is>
      </c>
      <c r="B405" s="2" t="inlineStr">
        <is>
          <t>Vivo (Suzhou) Health Industry Investment Fund Limited Partnership</t>
        </is>
      </c>
      <c r="C405" s="2" t="inlineStr">
        <is>
          <t>47128684</t>
        </is>
      </c>
      <c r="D405" s="2" t="inlineStr">
        <is>
          <t>AUD2026-12 Vivo Capital</t>
        </is>
      </c>
      <c r="E405" s="2" t="inlineStr">
        <is>
          <t>Order47128684- 260501004</t>
        </is>
      </c>
      <c r="F405" s="2" t="inlineStr">
        <is>
          <t>47128684- EDC260501001</t>
        </is>
      </c>
      <c r="G405" s="2" t="inlineStr">
        <is>
          <t>Luna.CD.Zhang@cn.ey.com</t>
        </is>
      </c>
      <c r="H405" s="2" t="inlineStr">
        <is>
          <t>Week34 (2027.02.20)</t>
        </is>
      </c>
      <c r="I405" s="2" t="n">
        <v>1.04</v>
      </c>
    </row>
    <row r="406">
      <c r="A406" s="2" t="inlineStr">
        <is>
          <t>PE</t>
        </is>
      </c>
      <c r="B406" s="2" t="inlineStr">
        <is>
          <t>Vivo (Suzhou) Health Industry Investment Fund Limited Partnership</t>
        </is>
      </c>
      <c r="C406" s="2" t="inlineStr">
        <is>
          <t>47128684</t>
        </is>
      </c>
      <c r="D406" s="2" t="inlineStr">
        <is>
          <t>AUD2026-12 Vivo Capital</t>
        </is>
      </c>
      <c r="E406" s="2" t="inlineStr">
        <is>
          <t>Order47128684- 260501004</t>
        </is>
      </c>
      <c r="F406" s="2" t="inlineStr">
        <is>
          <t>47128684- EDC260501001</t>
        </is>
      </c>
      <c r="G406" s="2" t="inlineStr">
        <is>
          <t>Marsh.Ma@cn.ey.com</t>
        </is>
      </c>
      <c r="H406" s="2" t="inlineStr">
        <is>
          <t>Week34 (2027.02.20)</t>
        </is>
      </c>
      <c r="I406" s="2" t="n">
        <v>0.12</v>
      </c>
    </row>
    <row r="407">
      <c r="A407" s="2" t="inlineStr">
        <is>
          <t>PE</t>
        </is>
      </c>
      <c r="B407" s="2" t="inlineStr">
        <is>
          <t>Vivo (Suzhou) Health Industry Investment Fund Limited Partnership</t>
        </is>
      </c>
      <c r="C407" s="2" t="inlineStr">
        <is>
          <t>47128684</t>
        </is>
      </c>
      <c r="D407" s="2" t="inlineStr">
        <is>
          <t>AUD2026-12 Vivo Capital</t>
        </is>
      </c>
      <c r="E407" s="2" t="inlineStr">
        <is>
          <t>Order47128684- 260501004</t>
        </is>
      </c>
      <c r="F407" s="2" t="inlineStr">
        <is>
          <t>47128684- EDC260501001</t>
        </is>
      </c>
      <c r="G407" s="2" t="inlineStr">
        <is>
          <t>Vivi.W.Yang@cn.ey.com</t>
        </is>
      </c>
      <c r="H407" s="2" t="inlineStr">
        <is>
          <t>Week34 (2027.02.20)</t>
        </is>
      </c>
      <c r="I407" s="2" t="n">
        <v>0.33</v>
      </c>
    </row>
    <row r="408">
      <c r="A408" s="2" t="inlineStr">
        <is>
          <t>公募</t>
        </is>
      </c>
      <c r="B408" s="2" t="inlineStr">
        <is>
          <t>Invesco Great Wall Fund Management Co.,Ltd.</t>
        </is>
      </c>
      <c r="C408" s="2" t="inlineStr">
        <is>
          <t>47128706</t>
        </is>
      </c>
      <c r="D408" s="2" t="inlineStr">
        <is>
          <t>AUD2026-12 Invesco GW Funds</t>
        </is>
      </c>
      <c r="E408" s="2" t="inlineStr">
        <is>
          <t>Order47128706- 260501003</t>
        </is>
      </c>
      <c r="F408" s="2" t="inlineStr">
        <is>
          <t>47128706- EDC260501001</t>
        </is>
      </c>
      <c r="G408" s="2" t="inlineStr">
        <is>
          <t>Marsh.Ma@cn.ey.com</t>
        </is>
      </c>
      <c r="H408" s="2" t="inlineStr">
        <is>
          <t>Week34 (2027.02.20)</t>
        </is>
      </c>
      <c r="I408" s="2" t="n">
        <v>1.58</v>
      </c>
    </row>
    <row r="409">
      <c r="A409" s="2" t="inlineStr">
        <is>
          <t>公募</t>
        </is>
      </c>
      <c r="B409" s="2" t="inlineStr">
        <is>
          <t>Invesco Great Wall Fund Management Co.,Ltd.</t>
        </is>
      </c>
      <c r="C409" s="2" t="inlineStr">
        <is>
          <t>47128706</t>
        </is>
      </c>
      <c r="D409" s="2" t="inlineStr">
        <is>
          <t>AUD2026-12 Invesco GW Funds</t>
        </is>
      </c>
      <c r="E409" s="2" t="inlineStr">
        <is>
          <t>Order47128706- 260501003</t>
        </is>
      </c>
      <c r="F409" s="2" t="inlineStr">
        <is>
          <t>47128706- EDC260501001</t>
        </is>
      </c>
      <c r="G409" s="2" t="inlineStr">
        <is>
          <t>Rainbow.MG.Xiao@cn.ey.com</t>
        </is>
      </c>
      <c r="H409" s="2" t="inlineStr">
        <is>
          <t>Week34 (2027.02.20)</t>
        </is>
      </c>
      <c r="I409" s="2" t="n">
        <v>18.14</v>
      </c>
    </row>
    <row r="410">
      <c r="A410" s="2" t="inlineStr">
        <is>
          <t>ICBC</t>
        </is>
      </c>
      <c r="B410" s="2" t="inlineStr">
        <is>
          <t>Industrial And Commercial Bank of China (Macau) Limited</t>
        </is>
      </c>
      <c r="C410" s="2" t="inlineStr">
        <is>
          <t>47129069</t>
        </is>
      </c>
      <c r="D410" s="2" t="inlineStr">
        <is>
          <t>AUD2026-12 ICBCM</t>
        </is>
      </c>
      <c r="E410" s="2" t="inlineStr">
        <is>
          <t>Order47129069- 260731001</t>
        </is>
      </c>
      <c r="F410" s="2" t="inlineStr">
        <is>
          <t>47129069- EDC260731001</t>
        </is>
      </c>
      <c r="G410" s="2" t="inlineStr">
        <is>
          <t>InternA</t>
        </is>
      </c>
      <c r="H410" s="2" t="inlineStr">
        <is>
          <t>Week34 (2027.02.20)</t>
        </is>
      </c>
      <c r="I410" s="2" t="n">
        <v>6.16</v>
      </c>
    </row>
    <row r="411">
      <c r="A411" s="2" t="inlineStr">
        <is>
          <t>ICBC</t>
        </is>
      </c>
      <c r="B411" s="2" t="inlineStr">
        <is>
          <t>Industrial And Commercial Bank of China (Macau) Limited</t>
        </is>
      </c>
      <c r="C411" s="2" t="inlineStr">
        <is>
          <t>47129069</t>
        </is>
      </c>
      <c r="D411" s="2" t="inlineStr">
        <is>
          <t>AUD2026-12 ICBCM</t>
        </is>
      </c>
      <c r="E411" s="2" t="inlineStr">
        <is>
          <t>Order47129069- 260731001</t>
        </is>
      </c>
      <c r="F411" s="2" t="inlineStr">
        <is>
          <t>47129069- EDC260731001</t>
        </is>
      </c>
      <c r="G411" s="2" t="inlineStr">
        <is>
          <t>Marsh.Ma@cn.ey.com</t>
        </is>
      </c>
      <c r="H411" s="2" t="inlineStr">
        <is>
          <t>Week34 (2027.02.20)</t>
        </is>
      </c>
      <c r="I411" s="2" t="n">
        <v>0.7</v>
      </c>
    </row>
    <row r="412">
      <c r="A412" s="2" t="inlineStr">
        <is>
          <t>ICBC</t>
        </is>
      </c>
      <c r="B412" s="2" t="inlineStr">
        <is>
          <t>Industrial And Commercial Bank of China (Macau) Limited</t>
        </is>
      </c>
      <c r="C412" s="2" t="inlineStr">
        <is>
          <t>47129069</t>
        </is>
      </c>
      <c r="D412" s="2" t="inlineStr">
        <is>
          <t>AUD2026-12 ICBCM</t>
        </is>
      </c>
      <c r="E412" s="2" t="inlineStr">
        <is>
          <t>Order47129069- 260731001</t>
        </is>
      </c>
      <c r="F412" s="2" t="inlineStr">
        <is>
          <t>47129069- EDC260731001</t>
        </is>
      </c>
      <c r="G412" s="2" t="inlineStr">
        <is>
          <t>Vivi.W.Yang@cn.ey.com</t>
        </is>
      </c>
      <c r="H412" s="2" t="inlineStr">
        <is>
          <t>Week34 (2027.02.20)</t>
        </is>
      </c>
      <c r="I412" s="2" t="n">
        <v>1.94</v>
      </c>
    </row>
    <row r="413">
      <c r="A413" s="2" t="inlineStr">
        <is>
          <t>HK WAM</t>
        </is>
      </c>
      <c r="B413" s="2" t="inlineStr">
        <is>
          <t>Taikang Asset Management (Hong Kong) Company Limited</t>
        </is>
      </c>
      <c r="C413" s="2" t="inlineStr">
        <is>
          <t>47129130</t>
        </is>
      </c>
      <c r="D413" s="2" t="inlineStr">
        <is>
          <t>AUD2026-12 Taikang HK Comps</t>
        </is>
      </c>
      <c r="E413" s="2" t="inlineStr">
        <is>
          <t>Order47129130- 260814001</t>
        </is>
      </c>
      <c r="F413" s="2" t="inlineStr">
        <is>
          <t>47129130- EDC260814001</t>
        </is>
      </c>
      <c r="G413" s="2" t="inlineStr">
        <is>
          <t>Marsh.Ma@cn.ey.com</t>
        </is>
      </c>
      <c r="H413" s="2" t="inlineStr">
        <is>
          <t>Week34 (2027.02.20)</t>
        </is>
      </c>
      <c r="I413" s="2" t="n">
        <v>0.21</v>
      </c>
    </row>
    <row r="414">
      <c r="A414" s="2" t="inlineStr">
        <is>
          <t>HK WAM</t>
        </is>
      </c>
      <c r="B414" s="2" t="inlineStr">
        <is>
          <t>Taikang Asset Management (Hong Kong) Company Limited</t>
        </is>
      </c>
      <c r="C414" s="2" t="inlineStr">
        <is>
          <t>47129130</t>
        </is>
      </c>
      <c r="D414" s="2" t="inlineStr">
        <is>
          <t>AUD2026-12 Taikang HK Comps</t>
        </is>
      </c>
      <c r="E414" s="2" t="inlineStr">
        <is>
          <t>Order47129130- 260814001</t>
        </is>
      </c>
      <c r="F414" s="2" t="inlineStr">
        <is>
          <t>47129130- EDC260814001</t>
        </is>
      </c>
      <c r="G414" s="2" t="inlineStr">
        <is>
          <t>Vivi.W.Yang@cn.ey.com</t>
        </is>
      </c>
      <c r="H414" s="2" t="inlineStr">
        <is>
          <t>Week34 (2027.02.20)</t>
        </is>
      </c>
      <c r="I414" s="2" t="n">
        <v>0.57</v>
      </c>
    </row>
    <row r="415">
      <c r="A415" s="2" t="inlineStr">
        <is>
          <t>HK WAM</t>
        </is>
      </c>
      <c r="B415" s="2" t="inlineStr">
        <is>
          <t>Ortus Capital Management Limited</t>
        </is>
      </c>
      <c r="C415" s="2" t="inlineStr">
        <is>
          <t>47129432</t>
        </is>
      </c>
      <c r="D415" s="2" t="inlineStr">
        <is>
          <t>AUD2026-12 OCML HK</t>
        </is>
      </c>
      <c r="E415" s="2" t="inlineStr">
        <is>
          <t>Order47129432- 260812001</t>
        </is>
      </c>
      <c r="F415" s="2" t="inlineStr">
        <is>
          <t>47129432- EDC260812001</t>
        </is>
      </c>
      <c r="G415" s="2" t="inlineStr">
        <is>
          <t>Marsh.Ma@cn.ey.com</t>
        </is>
      </c>
      <c r="H415" s="2" t="inlineStr">
        <is>
          <t>Week34 (2027.02.20)</t>
        </is>
      </c>
      <c r="I415" s="2" t="n">
        <v>0.21</v>
      </c>
    </row>
    <row r="416">
      <c r="A416" s="2" t="inlineStr">
        <is>
          <t>HK WAM</t>
        </is>
      </c>
      <c r="B416" s="2" t="inlineStr">
        <is>
          <t>Ortus Capital Management Limited</t>
        </is>
      </c>
      <c r="C416" s="2" t="inlineStr">
        <is>
          <t>47129432</t>
        </is>
      </c>
      <c r="D416" s="2" t="inlineStr">
        <is>
          <t>AUD2026-12 OCML HK</t>
        </is>
      </c>
      <c r="E416" s="2" t="inlineStr">
        <is>
          <t>Order47129432- 260812001</t>
        </is>
      </c>
      <c r="F416" s="2" t="inlineStr">
        <is>
          <t>47129432- EDC260812001</t>
        </is>
      </c>
      <c r="G416" s="2" t="inlineStr">
        <is>
          <t>Vivi.W.Yang@cn.ey.com</t>
        </is>
      </c>
      <c r="H416" s="2" t="inlineStr">
        <is>
          <t>Week34 (2027.02.20)</t>
        </is>
      </c>
      <c r="I416" s="2" t="n">
        <v>0.58</v>
      </c>
    </row>
    <row r="417">
      <c r="A417" s="2" t="inlineStr">
        <is>
          <t>HK WAM</t>
        </is>
      </c>
      <c r="B417" s="2" t="inlineStr">
        <is>
          <t>COS-Capital Hong Kong International Co. Limited</t>
        </is>
      </c>
      <c r="C417" s="2" t="inlineStr">
        <is>
          <t>47129459</t>
        </is>
      </c>
      <c r="D417" s="2" t="inlineStr">
        <is>
          <t>AUD2026-12 COS-CAPITAL HK INTL</t>
        </is>
      </c>
      <c r="E417" s="2" t="inlineStr">
        <is>
          <t>Order47129459- 260812001</t>
        </is>
      </c>
      <c r="F417" s="2" t="inlineStr">
        <is>
          <t>47129459- EDC260812001</t>
        </is>
      </c>
      <c r="G417" s="2" t="inlineStr">
        <is>
          <t>Marsh.Ma@cn.ey.com</t>
        </is>
      </c>
      <c r="H417" s="2" t="inlineStr">
        <is>
          <t>Week34 (2027.02.20)</t>
        </is>
      </c>
      <c r="I417" s="2" t="n">
        <v>0.23</v>
      </c>
    </row>
    <row r="418">
      <c r="A418" s="2" t="inlineStr">
        <is>
          <t>HK WAM</t>
        </is>
      </c>
      <c r="B418" s="2" t="inlineStr">
        <is>
          <t>COS-Capital Hong Kong International Co. Limited</t>
        </is>
      </c>
      <c r="C418" s="2" t="inlineStr">
        <is>
          <t>47129459</t>
        </is>
      </c>
      <c r="D418" s="2" t="inlineStr">
        <is>
          <t>AUD2026-12 COS-CAPITAL HK INTL</t>
        </is>
      </c>
      <c r="E418" s="2" t="inlineStr">
        <is>
          <t>Order47129459- 260812001</t>
        </is>
      </c>
      <c r="F418" s="2" t="inlineStr">
        <is>
          <t>47129459- EDC260812001</t>
        </is>
      </c>
      <c r="G418" s="2" t="inlineStr">
        <is>
          <t>Vivi.W.Yang@cn.ey.com</t>
        </is>
      </c>
      <c r="H418" s="2" t="inlineStr">
        <is>
          <t>Week34 (2027.02.20)</t>
        </is>
      </c>
      <c r="I418" s="2" t="n">
        <v>0.63</v>
      </c>
    </row>
    <row r="419">
      <c r="A419" s="2" t="inlineStr">
        <is>
          <t>ICBC</t>
        </is>
      </c>
      <c r="B419" s="2" t="inlineStr">
        <is>
          <t>Industrial And Commercial Bank of China (Asia) Limited</t>
        </is>
      </c>
      <c r="C419" s="2" t="inlineStr">
        <is>
          <t>47129548</t>
        </is>
      </c>
      <c r="D419" s="2" t="inlineStr">
        <is>
          <t>AUD2026-12 ICBCA</t>
        </is>
      </c>
      <c r="E419" s="2" t="inlineStr">
        <is>
          <t>Order47129548- 260501002</t>
        </is>
      </c>
      <c r="F419" s="2" t="inlineStr">
        <is>
          <t>47129548- EDC260501001</t>
        </is>
      </c>
      <c r="G419" s="2" t="inlineStr">
        <is>
          <t>InternA</t>
        </is>
      </c>
      <c r="H419" s="2" t="inlineStr">
        <is>
          <t>Week34 (2027.02.20)</t>
        </is>
      </c>
      <c r="I419" s="2" t="n">
        <v>4.7</v>
      </c>
    </row>
    <row r="420">
      <c r="A420" s="2" t="inlineStr">
        <is>
          <t>ICBC</t>
        </is>
      </c>
      <c r="B420" s="2" t="inlineStr">
        <is>
          <t>Industrial And Commercial Bank of China (Asia) Limited</t>
        </is>
      </c>
      <c r="C420" s="2" t="inlineStr">
        <is>
          <t>47129548</t>
        </is>
      </c>
      <c r="D420" s="2" t="inlineStr">
        <is>
          <t>AUD2026-12 ICBCA</t>
        </is>
      </c>
      <c r="E420" s="2" t="inlineStr">
        <is>
          <t>Order47129548- 260501002</t>
        </is>
      </c>
      <c r="F420" s="2" t="inlineStr">
        <is>
          <t>47129548- EDC260501001</t>
        </is>
      </c>
      <c r="G420" s="2" t="inlineStr">
        <is>
          <t>InternB</t>
        </is>
      </c>
      <c r="H420" s="2" t="inlineStr">
        <is>
          <t>Week34 (2027.02.20)</t>
        </is>
      </c>
      <c r="I420" s="2" t="n">
        <v>40</v>
      </c>
    </row>
    <row r="421">
      <c r="A421" s="2" t="inlineStr">
        <is>
          <t>ICBC</t>
        </is>
      </c>
      <c r="B421" s="2" t="inlineStr">
        <is>
          <t>Industrial And Commercial Bank of China (Asia) Limited</t>
        </is>
      </c>
      <c r="C421" s="2" t="inlineStr">
        <is>
          <t>47129548</t>
        </is>
      </c>
      <c r="D421" s="2" t="inlineStr">
        <is>
          <t>AUD2026-12 ICBCA</t>
        </is>
      </c>
      <c r="E421" s="2" t="inlineStr">
        <is>
          <t>Order47129548- 260501002</t>
        </is>
      </c>
      <c r="F421" s="2" t="inlineStr">
        <is>
          <t>47129548- EDC260501001</t>
        </is>
      </c>
      <c r="G421" s="2" t="inlineStr">
        <is>
          <t>Marsh.Ma@cn.ey.com</t>
        </is>
      </c>
      <c r="H421" s="2" t="inlineStr">
        <is>
          <t>Week34 (2027.02.20)</t>
        </is>
      </c>
      <c r="I421" s="2" t="n">
        <v>5.11</v>
      </c>
    </row>
    <row r="422">
      <c r="A422" s="2" t="inlineStr">
        <is>
          <t>ICBC</t>
        </is>
      </c>
      <c r="B422" s="2" t="inlineStr">
        <is>
          <t>Industrial And Commercial Bank of China (Asia) Limited</t>
        </is>
      </c>
      <c r="C422" s="2" t="inlineStr">
        <is>
          <t>47129548</t>
        </is>
      </c>
      <c r="D422" s="2" t="inlineStr">
        <is>
          <t>AUD2026-12 ICBCA</t>
        </is>
      </c>
      <c r="E422" s="2" t="inlineStr">
        <is>
          <t>Order47129548- 260501002</t>
        </is>
      </c>
      <c r="F422" s="2" t="inlineStr">
        <is>
          <t>47129548- EDC260501001</t>
        </is>
      </c>
      <c r="G422" s="2" t="inlineStr">
        <is>
          <t>Vivi.W.Yang@cn.ey.com</t>
        </is>
      </c>
      <c r="H422" s="2" t="inlineStr">
        <is>
          <t>Week34 (2027.02.20)</t>
        </is>
      </c>
      <c r="I422" s="2" t="n">
        <v>14.05</v>
      </c>
    </row>
    <row r="423">
      <c r="A423" s="2" t="inlineStr">
        <is>
          <t>HK WAM</t>
        </is>
      </c>
      <c r="B423" s="2" t="inlineStr">
        <is>
          <t>DST Investment Management Limited</t>
        </is>
      </c>
      <c r="C423" s="2" t="inlineStr">
        <is>
          <t>47129679</t>
        </is>
      </c>
      <c r="D423" s="2" t="inlineStr">
        <is>
          <t>AUD2026-12 DST Investment Mgt</t>
        </is>
      </c>
      <c r="E423" s="2" t="inlineStr">
        <is>
          <t>Order47129679- 260814001</t>
        </is>
      </c>
      <c r="F423" s="2" t="inlineStr">
        <is>
          <t>47129679- EDC260814001</t>
        </is>
      </c>
      <c r="G423" s="2" t="inlineStr">
        <is>
          <t>Marsh.Ma@cn.ey.com</t>
        </is>
      </c>
      <c r="H423" s="2" t="inlineStr">
        <is>
          <t>Week34 (2027.02.20)</t>
        </is>
      </c>
      <c r="I423" s="2" t="n">
        <v>0.27</v>
      </c>
    </row>
    <row r="424">
      <c r="A424" s="2" t="inlineStr">
        <is>
          <t>HK WAM</t>
        </is>
      </c>
      <c r="B424" s="2" t="inlineStr">
        <is>
          <t>DST Investment Management Limited</t>
        </is>
      </c>
      <c r="C424" s="2" t="inlineStr">
        <is>
          <t>47129679</t>
        </is>
      </c>
      <c r="D424" s="2" t="inlineStr">
        <is>
          <t>AUD2026-12 DST Investment Mgt</t>
        </is>
      </c>
      <c r="E424" s="2" t="inlineStr">
        <is>
          <t>Order47129679- 260814001</t>
        </is>
      </c>
      <c r="F424" s="2" t="inlineStr">
        <is>
          <t>47129679- EDC260814001</t>
        </is>
      </c>
      <c r="G424" s="2" t="inlineStr">
        <is>
          <t>Vivi.W.Yang@cn.ey.com</t>
        </is>
      </c>
      <c r="H424" s="2" t="inlineStr">
        <is>
          <t>Week34 (2027.02.20)</t>
        </is>
      </c>
      <c r="I424" s="2" t="n">
        <v>0.74</v>
      </c>
    </row>
    <row r="425">
      <c r="A425" s="2" t="inlineStr">
        <is>
          <t>HK WAM</t>
        </is>
      </c>
      <c r="B425" s="2" t="inlineStr">
        <is>
          <t>E Fund International Holdings Limited</t>
        </is>
      </c>
      <c r="C425" s="2" t="inlineStr">
        <is>
          <t>47129692</t>
        </is>
      </c>
      <c r="D425" s="2" t="inlineStr">
        <is>
          <t>AUD2026-12 E Fund IM</t>
        </is>
      </c>
      <c r="E425" s="2" t="inlineStr">
        <is>
          <t>Order47129692- 260814001</t>
        </is>
      </c>
      <c r="F425" s="2" t="inlineStr">
        <is>
          <t>47129692- EDC260814001</t>
        </is>
      </c>
      <c r="G425" s="2" t="inlineStr">
        <is>
          <t>Marsh.Ma@cn.ey.com</t>
        </is>
      </c>
      <c r="H425" s="2" t="inlineStr">
        <is>
          <t>Week34 (2027.02.20)</t>
        </is>
      </c>
      <c r="I425" s="2" t="n">
        <v>0.08</v>
      </c>
    </row>
    <row r="426">
      <c r="A426" s="2" t="inlineStr">
        <is>
          <t>HK WAM</t>
        </is>
      </c>
      <c r="B426" s="2" t="inlineStr">
        <is>
          <t>E Fund International Holdings Limited</t>
        </is>
      </c>
      <c r="C426" s="2" t="inlineStr">
        <is>
          <t>47129692</t>
        </is>
      </c>
      <c r="D426" s="2" t="inlineStr">
        <is>
          <t>AUD2026-12 E Fund IM</t>
        </is>
      </c>
      <c r="E426" s="2" t="inlineStr">
        <is>
          <t>Order47129692- 260814001</t>
        </is>
      </c>
      <c r="F426" s="2" t="inlineStr">
        <is>
          <t>47129692- EDC260814001</t>
        </is>
      </c>
      <c r="G426" s="2" t="inlineStr">
        <is>
          <t>Vivi.W.Yang@cn.ey.com</t>
        </is>
      </c>
      <c r="H426" s="2" t="inlineStr">
        <is>
          <t>Week34 (2027.02.20)</t>
        </is>
      </c>
      <c r="I426" s="2" t="n">
        <v>0.23</v>
      </c>
    </row>
    <row r="427">
      <c r="A427" s="2" t="inlineStr">
        <is>
          <t>HK WAM</t>
        </is>
      </c>
      <c r="B427" s="2" t="inlineStr">
        <is>
          <t>SHINKA CAPITAL MANAGEMENT LIMITED</t>
        </is>
      </c>
      <c r="C427" s="2" t="inlineStr">
        <is>
          <t>47129702</t>
        </is>
      </c>
      <c r="D427" s="2" t="inlineStr">
        <is>
          <t>AUD2026-12 Shinka Capital</t>
        </is>
      </c>
      <c r="E427" s="2" t="inlineStr">
        <is>
          <t>Order47129702- 260814001</t>
        </is>
      </c>
      <c r="F427" s="2" t="inlineStr">
        <is>
          <t>47129702- EDC260814001</t>
        </is>
      </c>
      <c r="G427" s="2" t="inlineStr">
        <is>
          <t>Marsh.Ma@cn.ey.com</t>
        </is>
      </c>
      <c r="H427" s="2" t="inlineStr">
        <is>
          <t>Week34 (2027.02.20)</t>
        </is>
      </c>
      <c r="I427" s="2" t="n">
        <v>0.21</v>
      </c>
    </row>
    <row r="428">
      <c r="A428" s="2" t="inlineStr">
        <is>
          <t>HK WAM</t>
        </is>
      </c>
      <c r="B428" s="2" t="inlineStr">
        <is>
          <t>SHINKA CAPITAL MANAGEMENT LIMITED</t>
        </is>
      </c>
      <c r="C428" s="2" t="inlineStr">
        <is>
          <t>47129702</t>
        </is>
      </c>
      <c r="D428" s="2" t="inlineStr">
        <is>
          <t>AUD2026-12 Shinka Capital</t>
        </is>
      </c>
      <c r="E428" s="2" t="inlineStr">
        <is>
          <t>Order47129702- 260814001</t>
        </is>
      </c>
      <c r="F428" s="2" t="inlineStr">
        <is>
          <t>47129702- EDC260814001</t>
        </is>
      </c>
      <c r="G428" s="2" t="inlineStr">
        <is>
          <t>Vivi.W.Yang@cn.ey.com</t>
        </is>
      </c>
      <c r="H428" s="2" t="inlineStr">
        <is>
          <t>Week34 (2027.02.20)</t>
        </is>
      </c>
      <c r="I428" s="2" t="n">
        <v>0.57</v>
      </c>
    </row>
    <row r="429">
      <c r="A429" s="2" t="inlineStr">
        <is>
          <t>HK WAM</t>
        </is>
      </c>
      <c r="B429" s="2" t="inlineStr">
        <is>
          <t>Boyu Capital Advisory Co. Limited</t>
        </is>
      </c>
      <c r="C429" s="2" t="inlineStr">
        <is>
          <t>47129715</t>
        </is>
      </c>
      <c r="D429" s="2" t="inlineStr">
        <is>
          <t>AUD2026-12 BOYU CAPITAL FUND</t>
        </is>
      </c>
      <c r="E429" s="2" t="inlineStr">
        <is>
          <t>Order47129715- 260814001</t>
        </is>
      </c>
      <c r="F429" s="2" t="inlineStr">
        <is>
          <t>47129715- EDC260814001</t>
        </is>
      </c>
      <c r="G429" s="2" t="inlineStr">
        <is>
          <t>Marsh.Ma@cn.ey.com</t>
        </is>
      </c>
      <c r="H429" s="2" t="inlineStr">
        <is>
          <t>Week34 (2027.02.20)</t>
        </is>
      </c>
      <c r="I429" s="2" t="n">
        <v>0.23</v>
      </c>
    </row>
    <row r="430">
      <c r="A430" s="2" t="inlineStr">
        <is>
          <t>HK WAM</t>
        </is>
      </c>
      <c r="B430" s="2" t="inlineStr">
        <is>
          <t>Boyu Capital Advisory Co. Limited</t>
        </is>
      </c>
      <c r="C430" s="2" t="inlineStr">
        <is>
          <t>47129715</t>
        </is>
      </c>
      <c r="D430" s="2" t="inlineStr">
        <is>
          <t>AUD2026-12 BOYU CAPITAL FUND</t>
        </is>
      </c>
      <c r="E430" s="2" t="inlineStr">
        <is>
          <t>Order47129715- 260814001</t>
        </is>
      </c>
      <c r="F430" s="2" t="inlineStr">
        <is>
          <t>47129715- EDC260814001</t>
        </is>
      </c>
      <c r="G430" s="2" t="inlineStr">
        <is>
          <t>Vivi.W.Yang@cn.ey.com</t>
        </is>
      </c>
      <c r="H430" s="2" t="inlineStr">
        <is>
          <t>Week34 (2027.02.20)</t>
        </is>
      </c>
      <c r="I430" s="2" t="n">
        <v>0.63</v>
      </c>
    </row>
    <row r="431">
      <c r="A431" s="2" t="inlineStr">
        <is>
          <t>海信</t>
        </is>
      </c>
      <c r="B431" s="2" t="inlineStr">
        <is>
          <t>Hisense Group Holdings Co., Ltd.</t>
        </is>
      </c>
      <c r="C431" s="2" t="inlineStr">
        <is>
          <t>47115559</t>
        </is>
      </c>
      <c r="D431" s="2" t="inlineStr">
        <is>
          <t>IPO2026-03 Project Voyage_CN</t>
        </is>
      </c>
      <c r="E431" s="2" t="inlineStr">
        <is>
          <t>Order47115559- 260729002</t>
        </is>
      </c>
      <c r="F431" s="2" t="inlineStr">
        <is>
          <t>47115559- EDC260729001</t>
        </is>
      </c>
      <c r="G431" s="2" t="inlineStr">
        <is>
          <t>Luna.CD.Zhang@cn.ey.com</t>
        </is>
      </c>
      <c r="H431" s="2" t="inlineStr">
        <is>
          <t>Week35 (2027.02.27)</t>
        </is>
      </c>
      <c r="I431" s="2" t="n">
        <v>8.19</v>
      </c>
    </row>
    <row r="432">
      <c r="A432" s="2" t="inlineStr">
        <is>
          <t>海信</t>
        </is>
      </c>
      <c r="B432" s="2" t="inlineStr">
        <is>
          <t>Hisense Group Holdings Co., Ltd.</t>
        </is>
      </c>
      <c r="C432" s="2" t="inlineStr">
        <is>
          <t>47115559</t>
        </is>
      </c>
      <c r="D432" s="2" t="inlineStr">
        <is>
          <t>IPO2026-03 Project Voyage_CN</t>
        </is>
      </c>
      <c r="E432" s="2" t="inlineStr">
        <is>
          <t>Order47115559- 260729002</t>
        </is>
      </c>
      <c r="F432" s="2" t="inlineStr">
        <is>
          <t>47115559- EDC260729001</t>
        </is>
      </c>
      <c r="G432" s="2" t="inlineStr">
        <is>
          <t>Marsh.Ma@cn.ey.com</t>
        </is>
      </c>
      <c r="H432" s="2" t="inlineStr">
        <is>
          <t>Week35 (2027.02.27)</t>
        </is>
      </c>
      <c r="I432" s="2" t="n">
        <v>2.44</v>
      </c>
    </row>
    <row r="433">
      <c r="A433" s="2" t="inlineStr">
        <is>
          <t>海信</t>
        </is>
      </c>
      <c r="B433" s="2" t="inlineStr">
        <is>
          <t>Hisense Group Holdings Co., Ltd.</t>
        </is>
      </c>
      <c r="C433" s="2" t="inlineStr">
        <is>
          <t>47115559</t>
        </is>
      </c>
      <c r="D433" s="2" t="inlineStr">
        <is>
          <t>IPO2026-03 Project Voyage_CN</t>
        </is>
      </c>
      <c r="E433" s="2" t="inlineStr">
        <is>
          <t>Order47115559- 260729002</t>
        </is>
      </c>
      <c r="F433" s="2" t="inlineStr">
        <is>
          <t>47115559- EDC260729001</t>
        </is>
      </c>
      <c r="G433" s="2" t="inlineStr">
        <is>
          <t>Rainbow.MG.Xiao@cn.ey.com</t>
        </is>
      </c>
      <c r="H433" s="2" t="inlineStr">
        <is>
          <t>Week35 (2027.02.27)</t>
        </is>
      </c>
      <c r="I433" s="2" t="n">
        <v>29.9</v>
      </c>
    </row>
    <row r="434">
      <c r="A434" s="2" t="inlineStr">
        <is>
          <t>海信</t>
        </is>
      </c>
      <c r="B434" s="2" t="inlineStr">
        <is>
          <t>Hisense Group Holdings Co., Ltd.</t>
        </is>
      </c>
      <c r="C434" s="2" t="inlineStr">
        <is>
          <t>47115559</t>
        </is>
      </c>
      <c r="D434" s="2" t="inlineStr">
        <is>
          <t>IPO2026-03 Project Voyage_CN</t>
        </is>
      </c>
      <c r="E434" s="2" t="inlineStr">
        <is>
          <t>Order47115559- 260729002</t>
        </is>
      </c>
      <c r="F434" s="2" t="inlineStr">
        <is>
          <t>47115559- EDC260729001</t>
        </is>
      </c>
      <c r="G434" s="2" t="inlineStr">
        <is>
          <t>Vivi.W.Yang@cn.ey.com</t>
        </is>
      </c>
      <c r="H434" s="2" t="inlineStr">
        <is>
          <t>Week35 (2027.02.27)</t>
        </is>
      </c>
      <c r="I434" s="2" t="n">
        <v>6.72</v>
      </c>
    </row>
    <row r="435">
      <c r="A435" s="2" t="inlineStr">
        <is>
          <t>公募</t>
        </is>
      </c>
      <c r="B435" s="2" t="inlineStr">
        <is>
          <t>FORTUNE &amp; ROYAL ASSET MANAGEMENT CORPORATION LIMITED</t>
        </is>
      </c>
      <c r="C435" s="2" t="inlineStr">
        <is>
          <t>47128046</t>
        </is>
      </c>
      <c r="D435" s="2" t="inlineStr">
        <is>
          <t>AUD2026-12 FR Funds</t>
        </is>
      </c>
      <c r="E435" s="2" t="inlineStr">
        <is>
          <t>Order47128046- 260501004</t>
        </is>
      </c>
      <c r="F435" s="2" t="inlineStr">
        <is>
          <t>47128046- EDC260504001</t>
        </is>
      </c>
      <c r="G435" s="2" t="inlineStr">
        <is>
          <t>Marsh.Ma@cn.ey.com</t>
        </is>
      </c>
      <c r="H435" s="2" t="inlineStr">
        <is>
          <t>Week35 (2027.02.27)</t>
        </is>
      </c>
      <c r="I435" s="2" t="n">
        <v>0.52</v>
      </c>
    </row>
    <row r="436">
      <c r="A436" s="2" t="inlineStr">
        <is>
          <t>公募</t>
        </is>
      </c>
      <c r="B436" s="2" t="inlineStr">
        <is>
          <t>FORTUNE &amp; ROYAL ASSET MANAGEMENT CORPORATION LIMITED</t>
        </is>
      </c>
      <c r="C436" s="2" t="inlineStr">
        <is>
          <t>47128046</t>
        </is>
      </c>
      <c r="D436" s="2" t="inlineStr">
        <is>
          <t>AUD2026-12 FR Funds</t>
        </is>
      </c>
      <c r="E436" s="2" t="inlineStr">
        <is>
          <t>Order47128046- 260501004</t>
        </is>
      </c>
      <c r="F436" s="2" t="inlineStr">
        <is>
          <t>47128046- EDC260504001</t>
        </is>
      </c>
      <c r="G436" s="2" t="inlineStr">
        <is>
          <t>Yuan.Yuan.YY.Chen@cn.ey.com</t>
        </is>
      </c>
      <c r="H436" s="2" t="inlineStr">
        <is>
          <t>Week35 (2027.02.27)</t>
        </is>
      </c>
      <c r="I436" s="2" t="n">
        <v>6.02</v>
      </c>
    </row>
    <row r="437">
      <c r="A437" s="2" t="inlineStr">
        <is>
          <t>PE</t>
        </is>
      </c>
      <c r="B437" s="2" t="inlineStr">
        <is>
          <t>Hangzhou Huaxin Yunkai Equity Shares Investment Partnership Enterprise (Limited Partnership)</t>
        </is>
      </c>
      <c r="C437" s="2" t="inlineStr">
        <is>
          <t>47128202</t>
        </is>
      </c>
      <c r="D437" s="2" t="inlineStr">
        <is>
          <t>AUD2026-12 Hangzhou Huaxin</t>
        </is>
      </c>
      <c r="E437" s="2" t="inlineStr">
        <is>
          <t>Order47128202- 260501004</t>
        </is>
      </c>
      <c r="F437" s="2" t="inlineStr">
        <is>
          <t>47128202- EDC260501001</t>
        </is>
      </c>
      <c r="G437" s="2" t="inlineStr">
        <is>
          <t>Luna.CD.Zhang@cn.ey.com</t>
        </is>
      </c>
      <c r="H437" s="2" t="inlineStr">
        <is>
          <t>Week35 (2027.02.27)</t>
        </is>
      </c>
      <c r="I437" s="2" t="n">
        <v>36.19</v>
      </c>
    </row>
    <row r="438">
      <c r="A438" s="2" t="inlineStr">
        <is>
          <t>公募</t>
        </is>
      </c>
      <c r="B438" s="2" t="inlineStr">
        <is>
          <t>Great Wall Fund Management Co., Ltd</t>
        </is>
      </c>
      <c r="C438" s="2" t="inlineStr">
        <is>
          <t>47128364</t>
        </is>
      </c>
      <c r="D438" s="2" t="inlineStr">
        <is>
          <t>AUD2026-12 Great Wall Funds</t>
        </is>
      </c>
      <c r="E438" s="2" t="inlineStr">
        <is>
          <t>Order47128364- 260501004</t>
        </is>
      </c>
      <c r="F438" s="2" t="inlineStr">
        <is>
          <t>47128364- EDC260501001</t>
        </is>
      </c>
      <c r="G438" s="2" t="inlineStr">
        <is>
          <t>Marsh.Ma@cn.ey.com</t>
        </is>
      </c>
      <c r="H438" s="2" t="inlineStr">
        <is>
          <t>Week35 (2027.02.27)</t>
        </is>
      </c>
      <c r="I438" s="2" t="n">
        <v>2.98</v>
      </c>
    </row>
    <row r="439">
      <c r="A439" s="2" t="inlineStr">
        <is>
          <t>公募</t>
        </is>
      </c>
      <c r="B439" s="2" t="inlineStr">
        <is>
          <t>Great Wall Fund Management Co., Ltd</t>
        </is>
      </c>
      <c r="C439" s="2" t="inlineStr">
        <is>
          <t>47128364</t>
        </is>
      </c>
      <c r="D439" s="2" t="inlineStr">
        <is>
          <t>AUD2026-12 Great Wall Funds</t>
        </is>
      </c>
      <c r="E439" s="2" t="inlineStr">
        <is>
          <t>Order47128364- 260501004</t>
        </is>
      </c>
      <c r="F439" s="2" t="inlineStr">
        <is>
          <t>47128364- EDC260501001</t>
        </is>
      </c>
      <c r="G439" s="2" t="inlineStr">
        <is>
          <t>Yuan.Yuan.YY.Chen@cn.ey.com</t>
        </is>
      </c>
      <c r="H439" s="2" t="inlineStr">
        <is>
          <t>Week35 (2027.02.27)</t>
        </is>
      </c>
      <c r="I439" s="2" t="n">
        <v>34.23</v>
      </c>
    </row>
    <row r="440">
      <c r="A440" s="2" t="inlineStr">
        <is>
          <t>PE</t>
        </is>
      </c>
      <c r="B440" s="2" t="inlineStr">
        <is>
          <t>WP Financial Investment, LP</t>
        </is>
      </c>
      <c r="C440" s="2" t="inlineStr">
        <is>
          <t>47128469</t>
        </is>
      </c>
      <c r="D440" s="2" t="inlineStr">
        <is>
          <t>AUD2026-12 Warburg Pincus US Fund</t>
        </is>
      </c>
      <c r="E440" s="2" t="inlineStr">
        <is>
          <t>Order47128469- 260501002</t>
        </is>
      </c>
      <c r="F440" s="2" t="inlineStr">
        <is>
          <t>47128469- EDC260501001</t>
        </is>
      </c>
      <c r="G440" s="2" t="inlineStr">
        <is>
          <t>Luna.CD.Zhang@cn.ey.com</t>
        </is>
      </c>
      <c r="H440" s="2" t="inlineStr">
        <is>
          <t>Week35 (2027.02.27)</t>
        </is>
      </c>
      <c r="I440" s="2" t="n">
        <v>8.27</v>
      </c>
    </row>
    <row r="441">
      <c r="A441" s="2" t="inlineStr">
        <is>
          <t>PE</t>
        </is>
      </c>
      <c r="B441" s="2" t="inlineStr">
        <is>
          <t>WP Financial Investment, LP</t>
        </is>
      </c>
      <c r="C441" s="2" t="inlineStr">
        <is>
          <t>47128469</t>
        </is>
      </c>
      <c r="D441" s="2" t="inlineStr">
        <is>
          <t>AUD2026-12 Warburg Pincus US Fund</t>
        </is>
      </c>
      <c r="E441" s="2" t="inlineStr">
        <is>
          <t>Order47128469- 260501002</t>
        </is>
      </c>
      <c r="F441" s="2" t="inlineStr">
        <is>
          <t>47128469- EDC260501001</t>
        </is>
      </c>
      <c r="G441" s="2" t="inlineStr">
        <is>
          <t>Marsh.Ma@cn.ey.com</t>
        </is>
      </c>
      <c r="H441" s="2" t="inlineStr">
        <is>
          <t>Week35 (2027.02.27)</t>
        </is>
      </c>
      <c r="I441" s="2" t="n">
        <v>0.9399999999999999</v>
      </c>
    </row>
    <row r="442">
      <c r="A442" s="2" t="inlineStr">
        <is>
          <t>PE</t>
        </is>
      </c>
      <c r="B442" s="2" t="inlineStr">
        <is>
          <t>WP Financial Investment, LP</t>
        </is>
      </c>
      <c r="C442" s="2" t="inlineStr">
        <is>
          <t>47128469</t>
        </is>
      </c>
      <c r="D442" s="2" t="inlineStr">
        <is>
          <t>AUD2026-12 Warburg Pincus US Fund</t>
        </is>
      </c>
      <c r="E442" s="2" t="inlineStr">
        <is>
          <t>Order47128469- 260501002</t>
        </is>
      </c>
      <c r="F442" s="2" t="inlineStr">
        <is>
          <t>47128469- EDC260501001</t>
        </is>
      </c>
      <c r="G442" s="2" t="inlineStr">
        <is>
          <t>Vivi.W.Yang@cn.ey.com</t>
        </is>
      </c>
      <c r="H442" s="2" t="inlineStr">
        <is>
          <t>Week35 (2027.02.27)</t>
        </is>
      </c>
      <c r="I442" s="2" t="n">
        <v>2.6</v>
      </c>
    </row>
    <row r="443">
      <c r="A443" s="2" t="inlineStr">
        <is>
          <t>公募</t>
        </is>
      </c>
      <c r="B443" s="2" t="inlineStr">
        <is>
          <t>Hang Seng Qianhai Fund Management Company Limited</t>
        </is>
      </c>
      <c r="C443" s="2" t="inlineStr">
        <is>
          <t>47128633</t>
        </is>
      </c>
      <c r="D443" s="2" t="inlineStr">
        <is>
          <t>AUD2026-12 HSQH Funds</t>
        </is>
      </c>
      <c r="E443" s="2" t="inlineStr">
        <is>
          <t>Order47128633- 260501004</t>
        </is>
      </c>
      <c r="F443" s="2" t="inlineStr">
        <is>
          <t>47128633- EDC260501001</t>
        </is>
      </c>
      <c r="G443" s="2" t="inlineStr">
        <is>
          <t>Marsh.Ma@cn.ey.com</t>
        </is>
      </c>
      <c r="H443" s="2" t="inlineStr">
        <is>
          <t>Week35 (2027.02.27)</t>
        </is>
      </c>
      <c r="I443" s="2" t="n">
        <v>0.73</v>
      </c>
    </row>
    <row r="444">
      <c r="A444" s="2" t="inlineStr">
        <is>
          <t>公募</t>
        </is>
      </c>
      <c r="B444" s="2" t="inlineStr">
        <is>
          <t>Hang Seng Qianhai Fund Management Company Limited</t>
        </is>
      </c>
      <c r="C444" s="2" t="inlineStr">
        <is>
          <t>47128633</t>
        </is>
      </c>
      <c r="D444" s="2" t="inlineStr">
        <is>
          <t>AUD2026-12 HSQH Funds</t>
        </is>
      </c>
      <c r="E444" s="2" t="inlineStr">
        <is>
          <t>Order47128633- 260501004</t>
        </is>
      </c>
      <c r="F444" s="2" t="inlineStr">
        <is>
          <t>47128633- EDC260501001</t>
        </is>
      </c>
      <c r="G444" s="2" t="inlineStr">
        <is>
          <t>Yuan.Yuan.YY.Chen@cn.ey.com</t>
        </is>
      </c>
      <c r="H444" s="2" t="inlineStr">
        <is>
          <t>Week35 (2027.02.27)</t>
        </is>
      </c>
      <c r="I444" s="2" t="n">
        <v>8.359999999999999</v>
      </c>
    </row>
    <row r="445">
      <c r="A445" s="2" t="inlineStr">
        <is>
          <t>公募</t>
        </is>
      </c>
      <c r="B445" s="2" t="inlineStr">
        <is>
          <t>Invesco Great Wall Fund Management Co.,Ltd.</t>
        </is>
      </c>
      <c r="C445" s="2" t="inlineStr">
        <is>
          <t>47128706</t>
        </is>
      </c>
      <c r="D445" s="2" t="inlineStr">
        <is>
          <t>AUD2026-12 Invesco GW Funds</t>
        </is>
      </c>
      <c r="E445" s="2" t="inlineStr">
        <is>
          <t>Order47128706- 260501003</t>
        </is>
      </c>
      <c r="F445" s="2" t="inlineStr">
        <is>
          <t>47128706- EDC260501001</t>
        </is>
      </c>
      <c r="G445" s="2" t="inlineStr">
        <is>
          <t>Marsh.Ma@cn.ey.com</t>
        </is>
      </c>
      <c r="H445" s="2" t="inlineStr">
        <is>
          <t>Week35 (2027.02.27)</t>
        </is>
      </c>
      <c r="I445" s="2" t="n">
        <v>0.68</v>
      </c>
    </row>
    <row r="446">
      <c r="A446" s="2" t="inlineStr">
        <is>
          <t>公募</t>
        </is>
      </c>
      <c r="B446" s="2" t="inlineStr">
        <is>
          <t>Invesco Great Wall Fund Management Co.,Ltd.</t>
        </is>
      </c>
      <c r="C446" s="2" t="inlineStr">
        <is>
          <t>47128706</t>
        </is>
      </c>
      <c r="D446" s="2" t="inlineStr">
        <is>
          <t>AUD2026-12 Invesco GW Funds</t>
        </is>
      </c>
      <c r="E446" s="2" t="inlineStr">
        <is>
          <t>Order47128706- 260501003</t>
        </is>
      </c>
      <c r="F446" s="2" t="inlineStr">
        <is>
          <t>47128706- EDC260501001</t>
        </is>
      </c>
      <c r="G446" s="2" t="inlineStr">
        <is>
          <t>Yuan.Yuan.YY.Chen@cn.ey.com</t>
        </is>
      </c>
      <c r="H446" s="2" t="inlineStr">
        <is>
          <t>Week35 (2027.02.27)</t>
        </is>
      </c>
      <c r="I446" s="2" t="n">
        <v>7.77</v>
      </c>
    </row>
    <row r="447">
      <c r="A447" s="2" t="inlineStr">
        <is>
          <t>ICBC</t>
        </is>
      </c>
      <c r="B447" s="2" t="inlineStr">
        <is>
          <t>Industrial And Commercial Bank of China (Macau) Limited</t>
        </is>
      </c>
      <c r="C447" s="2" t="inlineStr">
        <is>
          <t>47129069</t>
        </is>
      </c>
      <c r="D447" s="2" t="inlineStr">
        <is>
          <t>AUD2026-12 ICBCM</t>
        </is>
      </c>
      <c r="E447" s="2" t="inlineStr">
        <is>
          <t>Order47129069- 260731001</t>
        </is>
      </c>
      <c r="F447" s="2" t="inlineStr">
        <is>
          <t>47129069- EDC260731001</t>
        </is>
      </c>
      <c r="G447" s="2" t="inlineStr">
        <is>
          <t>Marsh.Ma@cn.ey.com</t>
        </is>
      </c>
      <c r="H447" s="2" t="inlineStr">
        <is>
          <t>Week35 (2027.02.27)</t>
        </is>
      </c>
      <c r="I447" s="2" t="n">
        <v>0.2</v>
      </c>
    </row>
    <row r="448">
      <c r="A448" s="2" t="inlineStr">
        <is>
          <t>ICBC</t>
        </is>
      </c>
      <c r="B448" s="2" t="inlineStr">
        <is>
          <t>Industrial And Commercial Bank of China (Macau) Limited</t>
        </is>
      </c>
      <c r="C448" s="2" t="inlineStr">
        <is>
          <t>47129069</t>
        </is>
      </c>
      <c r="D448" s="2" t="inlineStr">
        <is>
          <t>AUD2026-12 ICBCM</t>
        </is>
      </c>
      <c r="E448" s="2" t="inlineStr">
        <is>
          <t>Order47129069- 260731001</t>
        </is>
      </c>
      <c r="F448" s="2" t="inlineStr">
        <is>
          <t>47129069- EDC260731001</t>
        </is>
      </c>
      <c r="G448" s="2" t="inlineStr">
        <is>
          <t>Rainbow.MG.Xiao@cn.ey.com</t>
        </is>
      </c>
      <c r="H448" s="2" t="inlineStr">
        <is>
          <t>Week35 (2027.02.27)</t>
        </is>
      </c>
      <c r="I448" s="2" t="n">
        <v>1.76</v>
      </c>
    </row>
    <row r="449">
      <c r="A449" s="2" t="inlineStr">
        <is>
          <t>ICBC</t>
        </is>
      </c>
      <c r="B449" s="2" t="inlineStr">
        <is>
          <t>Industrial And Commercial Bank of China (Macau) Limited</t>
        </is>
      </c>
      <c r="C449" s="2" t="inlineStr">
        <is>
          <t>47129069</t>
        </is>
      </c>
      <c r="D449" s="2" t="inlineStr">
        <is>
          <t>AUD2026-12 ICBCM</t>
        </is>
      </c>
      <c r="E449" s="2" t="inlineStr">
        <is>
          <t>Order47129069- 260731001</t>
        </is>
      </c>
      <c r="F449" s="2" t="inlineStr">
        <is>
          <t>47129069- EDC260731001</t>
        </is>
      </c>
      <c r="G449" s="2" t="inlineStr">
        <is>
          <t>Vivi.W.Yang@cn.ey.com</t>
        </is>
      </c>
      <c r="H449" s="2" t="inlineStr">
        <is>
          <t>Week35 (2027.02.27)</t>
        </is>
      </c>
      <c r="I449" s="2" t="n">
        <v>0.55</v>
      </c>
    </row>
    <row r="450">
      <c r="A450" s="2" t="inlineStr">
        <is>
          <t>HK WAM</t>
        </is>
      </c>
      <c r="B450" s="2" t="inlineStr">
        <is>
          <t>Taikang Asset Management (Hong Kong) Company Limited</t>
        </is>
      </c>
      <c r="C450" s="2" t="inlineStr">
        <is>
          <t>47129130</t>
        </is>
      </c>
      <c r="D450" s="2" t="inlineStr">
        <is>
          <t>AUD2026-12 Taikang HK Comps</t>
        </is>
      </c>
      <c r="E450" s="2" t="inlineStr">
        <is>
          <t>Order47129130- 260814001</t>
        </is>
      </c>
      <c r="F450" s="2" t="inlineStr">
        <is>
          <t>47129130- EDC260814001</t>
        </is>
      </c>
      <c r="G450" s="2" t="inlineStr">
        <is>
          <t>Marsh.Ma@cn.ey.com</t>
        </is>
      </c>
      <c r="H450" s="2" t="inlineStr">
        <is>
          <t>Week35 (2027.02.27)</t>
        </is>
      </c>
      <c r="I450" s="2" t="n">
        <v>0.21</v>
      </c>
    </row>
    <row r="451">
      <c r="A451" s="2" t="inlineStr">
        <is>
          <t>HK WAM</t>
        </is>
      </c>
      <c r="B451" s="2" t="inlineStr">
        <is>
          <t>Taikang Asset Management (Hong Kong) Company Limited</t>
        </is>
      </c>
      <c r="C451" s="2" t="inlineStr">
        <is>
          <t>47129130</t>
        </is>
      </c>
      <c r="D451" s="2" t="inlineStr">
        <is>
          <t>AUD2026-12 Taikang HK Comps</t>
        </is>
      </c>
      <c r="E451" s="2" t="inlineStr">
        <is>
          <t>Order47129130- 260814001</t>
        </is>
      </c>
      <c r="F451" s="2" t="inlineStr">
        <is>
          <t>47129130- EDC260814001</t>
        </is>
      </c>
      <c r="G451" s="2" t="inlineStr">
        <is>
          <t>Vivi.W.Yang@cn.ey.com</t>
        </is>
      </c>
      <c r="H451" s="2" t="inlineStr">
        <is>
          <t>Week35 (2027.02.27)</t>
        </is>
      </c>
      <c r="I451" s="2" t="n">
        <v>0.57</v>
      </c>
    </row>
    <row r="452">
      <c r="A452" s="2" t="inlineStr">
        <is>
          <t>HK WAM</t>
        </is>
      </c>
      <c r="B452" s="2" t="inlineStr">
        <is>
          <t>HashKey Capital Limited</t>
        </is>
      </c>
      <c r="C452" s="2" t="inlineStr">
        <is>
          <t>47129402</t>
        </is>
      </c>
      <c r="D452" s="2" t="inlineStr">
        <is>
          <t>AUD2026-12 Hashkey OFC Funds</t>
        </is>
      </c>
      <c r="E452" s="2" t="inlineStr">
        <is>
          <t>Order47129402- 260829001</t>
        </is>
      </c>
      <c r="F452" s="2" t="inlineStr">
        <is>
          <t>47129402- EDC260829001</t>
        </is>
      </c>
      <c r="G452" s="2" t="inlineStr">
        <is>
          <t>Marsh.Ma@cn.ey.com</t>
        </is>
      </c>
      <c r="H452" s="2" t="inlineStr">
        <is>
          <t>Week35 (2027.02.27)</t>
        </is>
      </c>
      <c r="I452" s="2" t="n">
        <v>0.75</v>
      </c>
    </row>
    <row r="453">
      <c r="A453" s="2" t="inlineStr">
        <is>
          <t>HK WAM</t>
        </is>
      </c>
      <c r="B453" s="2" t="inlineStr">
        <is>
          <t>HashKey Capital Limited</t>
        </is>
      </c>
      <c r="C453" s="2" t="inlineStr">
        <is>
          <t>47129402</t>
        </is>
      </c>
      <c r="D453" s="2" t="inlineStr">
        <is>
          <t>AUD2026-12 Hashkey OFC Funds</t>
        </is>
      </c>
      <c r="E453" s="2" t="inlineStr">
        <is>
          <t>Order47129402- 260829001</t>
        </is>
      </c>
      <c r="F453" s="2" t="inlineStr">
        <is>
          <t>47129402- EDC260829001</t>
        </is>
      </c>
      <c r="G453" s="2" t="inlineStr">
        <is>
          <t>Vivi.W.Yang@cn.ey.com</t>
        </is>
      </c>
      <c r="H453" s="2" t="inlineStr">
        <is>
          <t>Week35 (2027.02.27)</t>
        </is>
      </c>
      <c r="I453" s="2" t="n">
        <v>2.06</v>
      </c>
    </row>
    <row r="454">
      <c r="A454" s="2" t="inlineStr">
        <is>
          <t>HK WAM</t>
        </is>
      </c>
      <c r="B454" s="2" t="inlineStr">
        <is>
          <t>Ortus Capital Management Limited</t>
        </is>
      </c>
      <c r="C454" s="2" t="inlineStr">
        <is>
          <t>47129432</t>
        </is>
      </c>
      <c r="D454" s="2" t="inlineStr">
        <is>
          <t>AUD2026-12 OCML HK</t>
        </is>
      </c>
      <c r="E454" s="2" t="inlineStr">
        <is>
          <t>Order47129432- 260812001</t>
        </is>
      </c>
      <c r="F454" s="2" t="inlineStr">
        <is>
          <t>47129432- EDC260812001</t>
        </is>
      </c>
      <c r="G454" s="2" t="inlineStr">
        <is>
          <t>Marsh.Ma@cn.ey.com</t>
        </is>
      </c>
      <c r="H454" s="2" t="inlineStr">
        <is>
          <t>Week35 (2027.02.27)</t>
        </is>
      </c>
      <c r="I454" s="2" t="n">
        <v>0.21</v>
      </c>
    </row>
    <row r="455">
      <c r="A455" s="2" t="inlineStr">
        <is>
          <t>HK WAM</t>
        </is>
      </c>
      <c r="B455" s="2" t="inlineStr">
        <is>
          <t>Ortus Capital Management Limited</t>
        </is>
      </c>
      <c r="C455" s="2" t="inlineStr">
        <is>
          <t>47129432</t>
        </is>
      </c>
      <c r="D455" s="2" t="inlineStr">
        <is>
          <t>AUD2026-12 OCML HK</t>
        </is>
      </c>
      <c r="E455" s="2" t="inlineStr">
        <is>
          <t>Order47129432- 260812001</t>
        </is>
      </c>
      <c r="F455" s="2" t="inlineStr">
        <is>
          <t>47129432- EDC260812001</t>
        </is>
      </c>
      <c r="G455" s="2" t="inlineStr">
        <is>
          <t>Vivi.W.Yang@cn.ey.com</t>
        </is>
      </c>
      <c r="H455" s="2" t="inlineStr">
        <is>
          <t>Week35 (2027.02.27)</t>
        </is>
      </c>
      <c r="I455" s="2" t="n">
        <v>0.58</v>
      </c>
    </row>
    <row r="456">
      <c r="A456" s="2" t="inlineStr">
        <is>
          <t>HK WAM</t>
        </is>
      </c>
      <c r="B456" s="2" t="inlineStr">
        <is>
          <t>COS-Capital Hong Kong International Co. Limited</t>
        </is>
      </c>
      <c r="C456" s="2" t="inlineStr">
        <is>
          <t>47129459</t>
        </is>
      </c>
      <c r="D456" s="2" t="inlineStr">
        <is>
          <t>AUD2026-12 COS-CAPITAL HK INTL</t>
        </is>
      </c>
      <c r="E456" s="2" t="inlineStr">
        <is>
          <t>Order47129459- 260812001</t>
        </is>
      </c>
      <c r="F456" s="2" t="inlineStr">
        <is>
          <t>47129459- EDC260812001</t>
        </is>
      </c>
      <c r="G456" s="2" t="inlineStr">
        <is>
          <t>Marsh.Ma@cn.ey.com</t>
        </is>
      </c>
      <c r="H456" s="2" t="inlineStr">
        <is>
          <t>Week35 (2027.02.27)</t>
        </is>
      </c>
      <c r="I456" s="2" t="n">
        <v>0.23</v>
      </c>
    </row>
    <row r="457">
      <c r="A457" s="2" t="inlineStr">
        <is>
          <t>HK WAM</t>
        </is>
      </c>
      <c r="B457" s="2" t="inlineStr">
        <is>
          <t>COS-Capital Hong Kong International Co. Limited</t>
        </is>
      </c>
      <c r="C457" s="2" t="inlineStr">
        <is>
          <t>47129459</t>
        </is>
      </c>
      <c r="D457" s="2" t="inlineStr">
        <is>
          <t>AUD2026-12 COS-CAPITAL HK INTL</t>
        </is>
      </c>
      <c r="E457" s="2" t="inlineStr">
        <is>
          <t>Order47129459- 260812001</t>
        </is>
      </c>
      <c r="F457" s="2" t="inlineStr">
        <is>
          <t>47129459- EDC260812001</t>
        </is>
      </c>
      <c r="G457" s="2" t="inlineStr">
        <is>
          <t>Vivi.W.Yang@cn.ey.com</t>
        </is>
      </c>
      <c r="H457" s="2" t="inlineStr">
        <is>
          <t>Week35 (2027.02.27)</t>
        </is>
      </c>
      <c r="I457" s="2" t="n">
        <v>0.63</v>
      </c>
    </row>
    <row r="458">
      <c r="A458" s="2" t="inlineStr">
        <is>
          <t>ICBC</t>
        </is>
      </c>
      <c r="B458" s="2" t="inlineStr">
        <is>
          <t>Industrial And Commercial Bank of China (Asia) Limited</t>
        </is>
      </c>
      <c r="C458" s="2" t="inlineStr">
        <is>
          <t>47129548</t>
        </is>
      </c>
      <c r="D458" s="2" t="inlineStr">
        <is>
          <t>AUD2026-12 ICBCA</t>
        </is>
      </c>
      <c r="E458" s="2" t="inlineStr">
        <is>
          <t>Order47129548- 260501002</t>
        </is>
      </c>
      <c r="F458" s="2" t="inlineStr">
        <is>
          <t>47129548- EDC260501001</t>
        </is>
      </c>
      <c r="G458" s="2" t="inlineStr">
        <is>
          <t>InternA</t>
        </is>
      </c>
      <c r="H458" s="2" t="inlineStr">
        <is>
          <t>Week35 (2027.02.27)</t>
        </is>
      </c>
      <c r="I458" s="2" t="n">
        <v>4.7</v>
      </c>
    </row>
    <row r="459">
      <c r="A459" s="2" t="inlineStr">
        <is>
          <t>ICBC</t>
        </is>
      </c>
      <c r="B459" s="2" t="inlineStr">
        <is>
          <t>Industrial And Commercial Bank of China (Asia) Limited</t>
        </is>
      </c>
      <c r="C459" s="2" t="inlineStr">
        <is>
          <t>47129548</t>
        </is>
      </c>
      <c r="D459" s="2" t="inlineStr">
        <is>
          <t>AUD2026-12 ICBCA</t>
        </is>
      </c>
      <c r="E459" s="2" t="inlineStr">
        <is>
          <t>Order47129548- 260501002</t>
        </is>
      </c>
      <c r="F459" s="2" t="inlineStr">
        <is>
          <t>47129548- EDC260501001</t>
        </is>
      </c>
      <c r="G459" s="2" t="inlineStr">
        <is>
          <t>InternB</t>
        </is>
      </c>
      <c r="H459" s="2" t="inlineStr">
        <is>
          <t>Week35 (2027.02.27)</t>
        </is>
      </c>
      <c r="I459" s="2" t="n">
        <v>40</v>
      </c>
    </row>
    <row r="460">
      <c r="A460" s="2" t="inlineStr">
        <is>
          <t>ICBC</t>
        </is>
      </c>
      <c r="B460" s="2" t="inlineStr">
        <is>
          <t>Industrial And Commercial Bank of China (Asia) Limited</t>
        </is>
      </c>
      <c r="C460" s="2" t="inlineStr">
        <is>
          <t>47129548</t>
        </is>
      </c>
      <c r="D460" s="2" t="inlineStr">
        <is>
          <t>AUD2026-12 ICBCA</t>
        </is>
      </c>
      <c r="E460" s="2" t="inlineStr">
        <is>
          <t>Order47129548- 260501002</t>
        </is>
      </c>
      <c r="F460" s="2" t="inlineStr">
        <is>
          <t>47129548- EDC260501001</t>
        </is>
      </c>
      <c r="G460" s="2" t="inlineStr">
        <is>
          <t>Marsh.Ma@cn.ey.com</t>
        </is>
      </c>
      <c r="H460" s="2" t="inlineStr">
        <is>
          <t>Week35 (2027.02.27)</t>
        </is>
      </c>
      <c r="I460" s="2" t="n">
        <v>5.11</v>
      </c>
    </row>
    <row r="461">
      <c r="A461" s="2" t="inlineStr">
        <is>
          <t>ICBC</t>
        </is>
      </c>
      <c r="B461" s="2" t="inlineStr">
        <is>
          <t>Industrial And Commercial Bank of China (Asia) Limited</t>
        </is>
      </c>
      <c r="C461" s="2" t="inlineStr">
        <is>
          <t>47129548</t>
        </is>
      </c>
      <c r="D461" s="2" t="inlineStr">
        <is>
          <t>AUD2026-12 ICBCA</t>
        </is>
      </c>
      <c r="E461" s="2" t="inlineStr">
        <is>
          <t>Order47129548- 260501002</t>
        </is>
      </c>
      <c r="F461" s="2" t="inlineStr">
        <is>
          <t>47129548- EDC260501001</t>
        </is>
      </c>
      <c r="G461" s="2" t="inlineStr">
        <is>
          <t>Vivi.W.Yang@cn.ey.com</t>
        </is>
      </c>
      <c r="H461" s="2" t="inlineStr">
        <is>
          <t>Week35 (2027.02.27)</t>
        </is>
      </c>
      <c r="I461" s="2" t="n">
        <v>14.05</v>
      </c>
    </row>
    <row r="462">
      <c r="A462" s="2" t="inlineStr">
        <is>
          <t>HK WAM</t>
        </is>
      </c>
      <c r="B462" s="2" t="inlineStr">
        <is>
          <t>DST Investment Management Limited</t>
        </is>
      </c>
      <c r="C462" s="2" t="inlineStr">
        <is>
          <t>47129679</t>
        </is>
      </c>
      <c r="D462" s="2" t="inlineStr">
        <is>
          <t>AUD2026-12 DST Investment Mgt</t>
        </is>
      </c>
      <c r="E462" s="2" t="inlineStr">
        <is>
          <t>Order47129679- 260814001</t>
        </is>
      </c>
      <c r="F462" s="2" t="inlineStr">
        <is>
          <t>47129679- EDC260814001</t>
        </is>
      </c>
      <c r="G462" s="2" t="inlineStr">
        <is>
          <t>Marsh.Ma@cn.ey.com</t>
        </is>
      </c>
      <c r="H462" s="2" t="inlineStr">
        <is>
          <t>Week35 (2027.02.27)</t>
        </is>
      </c>
      <c r="I462" s="2" t="n">
        <v>0.27</v>
      </c>
    </row>
    <row r="463">
      <c r="A463" s="2" t="inlineStr">
        <is>
          <t>HK WAM</t>
        </is>
      </c>
      <c r="B463" s="2" t="inlineStr">
        <is>
          <t>DST Investment Management Limited</t>
        </is>
      </c>
      <c r="C463" s="2" t="inlineStr">
        <is>
          <t>47129679</t>
        </is>
      </c>
      <c r="D463" s="2" t="inlineStr">
        <is>
          <t>AUD2026-12 DST Investment Mgt</t>
        </is>
      </c>
      <c r="E463" s="2" t="inlineStr">
        <is>
          <t>Order47129679- 260814001</t>
        </is>
      </c>
      <c r="F463" s="2" t="inlineStr">
        <is>
          <t>47129679- EDC260814001</t>
        </is>
      </c>
      <c r="G463" s="2" t="inlineStr">
        <is>
          <t>Vivi.W.Yang@cn.ey.com</t>
        </is>
      </c>
      <c r="H463" s="2" t="inlineStr">
        <is>
          <t>Week35 (2027.02.27)</t>
        </is>
      </c>
      <c r="I463" s="2" t="n">
        <v>0.74</v>
      </c>
    </row>
    <row r="464">
      <c r="A464" s="2" t="inlineStr">
        <is>
          <t>HK WAM</t>
        </is>
      </c>
      <c r="B464" s="2" t="inlineStr">
        <is>
          <t>E Fund International Holdings Limited</t>
        </is>
      </c>
      <c r="C464" s="2" t="inlineStr">
        <is>
          <t>47129692</t>
        </is>
      </c>
      <c r="D464" s="2" t="inlineStr">
        <is>
          <t>AUD2026-12 E Fund IM</t>
        </is>
      </c>
      <c r="E464" s="2" t="inlineStr">
        <is>
          <t>Order47129692- 260814001</t>
        </is>
      </c>
      <c r="F464" s="2" t="inlineStr">
        <is>
          <t>47129692- EDC260814001</t>
        </is>
      </c>
      <c r="G464" s="2" t="inlineStr">
        <is>
          <t>Luna.CD.Zhang@cn.ey.com</t>
        </is>
      </c>
      <c r="H464" s="2" t="inlineStr">
        <is>
          <t>Week35 (2027.02.27)</t>
        </is>
      </c>
      <c r="I464" s="2" t="n">
        <v>1.96</v>
      </c>
    </row>
    <row r="465">
      <c r="A465" s="2" t="inlineStr">
        <is>
          <t>HK WAM</t>
        </is>
      </c>
      <c r="B465" s="2" t="inlineStr">
        <is>
          <t>E Fund International Holdings Limited</t>
        </is>
      </c>
      <c r="C465" s="2" t="inlineStr">
        <is>
          <t>47129692</t>
        </is>
      </c>
      <c r="D465" s="2" t="inlineStr">
        <is>
          <t>AUD2026-12 E Fund IM</t>
        </is>
      </c>
      <c r="E465" s="2" t="inlineStr">
        <is>
          <t>Order47129692- 260814001</t>
        </is>
      </c>
      <c r="F465" s="2" t="inlineStr">
        <is>
          <t>47129692- EDC260814001</t>
        </is>
      </c>
      <c r="G465" s="2" t="inlineStr">
        <is>
          <t>Marsh.Ma@cn.ey.com</t>
        </is>
      </c>
      <c r="H465" s="2" t="inlineStr">
        <is>
          <t>Week35 (2027.02.27)</t>
        </is>
      </c>
      <c r="I465" s="2" t="n">
        <v>0.08</v>
      </c>
    </row>
    <row r="466">
      <c r="A466" s="2" t="inlineStr">
        <is>
          <t>HK WAM</t>
        </is>
      </c>
      <c r="B466" s="2" t="inlineStr">
        <is>
          <t>E Fund International Holdings Limited</t>
        </is>
      </c>
      <c r="C466" s="2" t="inlineStr">
        <is>
          <t>47129692</t>
        </is>
      </c>
      <c r="D466" s="2" t="inlineStr">
        <is>
          <t>AUD2026-12 E Fund IM</t>
        </is>
      </c>
      <c r="E466" s="2" t="inlineStr">
        <is>
          <t>Order47129692- 260814001</t>
        </is>
      </c>
      <c r="F466" s="2" t="inlineStr">
        <is>
          <t>47129692- EDC260814001</t>
        </is>
      </c>
      <c r="G466" s="2" t="inlineStr">
        <is>
          <t>Vivi.W.Yang@cn.ey.com</t>
        </is>
      </c>
      <c r="H466" s="2" t="inlineStr">
        <is>
          <t>Week35 (2027.02.27)</t>
        </is>
      </c>
      <c r="I466" s="2" t="n">
        <v>0.23</v>
      </c>
    </row>
    <row r="467">
      <c r="A467" s="2" t="inlineStr">
        <is>
          <t>HK WAM</t>
        </is>
      </c>
      <c r="B467" s="2" t="inlineStr">
        <is>
          <t>SHINKA CAPITAL MANAGEMENT LIMITED</t>
        </is>
      </c>
      <c r="C467" s="2" t="inlineStr">
        <is>
          <t>47129702</t>
        </is>
      </c>
      <c r="D467" s="2" t="inlineStr">
        <is>
          <t>AUD2026-12 Shinka Capital</t>
        </is>
      </c>
      <c r="E467" s="2" t="inlineStr">
        <is>
          <t>Order47129702- 260814001</t>
        </is>
      </c>
      <c r="F467" s="2" t="inlineStr">
        <is>
          <t>47129702- EDC260814001</t>
        </is>
      </c>
      <c r="G467" s="2" t="inlineStr">
        <is>
          <t>Marsh.Ma@cn.ey.com</t>
        </is>
      </c>
      <c r="H467" s="2" t="inlineStr">
        <is>
          <t>Week35 (2027.02.27)</t>
        </is>
      </c>
      <c r="I467" s="2" t="n">
        <v>0.21</v>
      </c>
    </row>
    <row r="468">
      <c r="A468" s="2" t="inlineStr">
        <is>
          <t>HK WAM</t>
        </is>
      </c>
      <c r="B468" s="2" t="inlineStr">
        <is>
          <t>SHINKA CAPITAL MANAGEMENT LIMITED</t>
        </is>
      </c>
      <c r="C468" s="2" t="inlineStr">
        <is>
          <t>47129702</t>
        </is>
      </c>
      <c r="D468" s="2" t="inlineStr">
        <is>
          <t>AUD2026-12 Shinka Capital</t>
        </is>
      </c>
      <c r="E468" s="2" t="inlineStr">
        <is>
          <t>Order47129702- 260814001</t>
        </is>
      </c>
      <c r="F468" s="2" t="inlineStr">
        <is>
          <t>47129702- EDC260814001</t>
        </is>
      </c>
      <c r="G468" s="2" t="inlineStr">
        <is>
          <t>Vivi.W.Yang@cn.ey.com</t>
        </is>
      </c>
      <c r="H468" s="2" t="inlineStr">
        <is>
          <t>Week35 (2027.02.27)</t>
        </is>
      </c>
      <c r="I468" s="2" t="n">
        <v>0.57</v>
      </c>
    </row>
    <row r="469">
      <c r="A469" s="2" t="inlineStr">
        <is>
          <t>HK WAM</t>
        </is>
      </c>
      <c r="B469" s="2" t="inlineStr">
        <is>
          <t>Boyu Capital Advisory Co. Limited</t>
        </is>
      </c>
      <c r="C469" s="2" t="inlineStr">
        <is>
          <t>47129715</t>
        </is>
      </c>
      <c r="D469" s="2" t="inlineStr">
        <is>
          <t>AUD2026-12 BOYU CAPITAL FUND</t>
        </is>
      </c>
      <c r="E469" s="2" t="inlineStr">
        <is>
          <t>Order47129715- 260814001</t>
        </is>
      </c>
      <c r="F469" s="2" t="inlineStr">
        <is>
          <t>47129715- EDC260814001</t>
        </is>
      </c>
      <c r="G469" s="2" t="inlineStr">
        <is>
          <t>Luna.CD.Zhang@cn.ey.com</t>
        </is>
      </c>
      <c r="H469" s="2" t="inlineStr">
        <is>
          <t>Week35 (2027.02.27)</t>
        </is>
      </c>
      <c r="I469" s="2" t="n">
        <v>5.4</v>
      </c>
    </row>
    <row r="470">
      <c r="A470" s="2" t="inlineStr">
        <is>
          <t>HK WAM</t>
        </is>
      </c>
      <c r="B470" s="2" t="inlineStr">
        <is>
          <t>Boyu Capital Advisory Co. Limited</t>
        </is>
      </c>
      <c r="C470" s="2" t="inlineStr">
        <is>
          <t>47129715</t>
        </is>
      </c>
      <c r="D470" s="2" t="inlineStr">
        <is>
          <t>AUD2026-12 BOYU CAPITAL FUND</t>
        </is>
      </c>
      <c r="E470" s="2" t="inlineStr">
        <is>
          <t>Order47129715- 260814001</t>
        </is>
      </c>
      <c r="F470" s="2" t="inlineStr">
        <is>
          <t>47129715- EDC260814001</t>
        </is>
      </c>
      <c r="G470" s="2" t="inlineStr">
        <is>
          <t>Marsh.Ma@cn.ey.com</t>
        </is>
      </c>
      <c r="H470" s="2" t="inlineStr">
        <is>
          <t>Week35 (2027.02.27)</t>
        </is>
      </c>
      <c r="I470" s="2" t="n">
        <v>0.23</v>
      </c>
    </row>
    <row r="471">
      <c r="A471" s="2" t="inlineStr">
        <is>
          <t>HK WAM</t>
        </is>
      </c>
      <c r="B471" s="2" t="inlineStr">
        <is>
          <t>Boyu Capital Advisory Co. Limited</t>
        </is>
      </c>
      <c r="C471" s="2" t="inlineStr">
        <is>
          <t>47129715</t>
        </is>
      </c>
      <c r="D471" s="2" t="inlineStr">
        <is>
          <t>AUD2026-12 BOYU CAPITAL FUND</t>
        </is>
      </c>
      <c r="E471" s="2" t="inlineStr">
        <is>
          <t>Order47129715- 260814001</t>
        </is>
      </c>
      <c r="F471" s="2" t="inlineStr">
        <is>
          <t>47129715- EDC260814001</t>
        </is>
      </c>
      <c r="G471" s="2" t="inlineStr">
        <is>
          <t>Vivi.W.Yang@cn.ey.com</t>
        </is>
      </c>
      <c r="H471" s="2" t="inlineStr">
        <is>
          <t>Week35 (2027.02.27)</t>
        </is>
      </c>
      <c r="I471" s="2" t="n">
        <v>0.63</v>
      </c>
    </row>
    <row r="472">
      <c r="A472" s="2" t="inlineStr">
        <is>
          <t>招银</t>
        </is>
      </c>
      <c r="B472" s="2" t="inlineStr">
        <is>
          <t>CMB International Leasing Management Limited</t>
        </is>
      </c>
      <c r="C472" s="2" t="inlineStr">
        <is>
          <t>47133720</t>
        </is>
      </c>
      <c r="D472" s="2" t="inlineStr">
        <is>
          <t>AUD2026-12 CMBILM</t>
        </is>
      </c>
      <c r="E472" s="2" t="inlineStr">
        <is>
          <t>Order47133720- 260504003</t>
        </is>
      </c>
      <c r="F472" s="2" t="inlineStr">
        <is>
          <t>47133720- EDC260504003</t>
        </is>
      </c>
      <c r="G472" s="2" t="inlineStr">
        <is>
          <t>Rainbow.MG.Xiao@cn.ey.com</t>
        </is>
      </c>
      <c r="H472" s="2" t="inlineStr">
        <is>
          <t>Week35 (2027.02.27)</t>
        </is>
      </c>
      <c r="I472" s="2" t="n">
        <v>28.34</v>
      </c>
    </row>
    <row r="473">
      <c r="A473" s="2" t="inlineStr">
        <is>
          <t>招银</t>
        </is>
      </c>
      <c r="B473" s="2" t="inlineStr">
        <is>
          <t>CMB International Leasing Management Limited</t>
        </is>
      </c>
      <c r="C473" s="2" t="inlineStr">
        <is>
          <t>47133720</t>
        </is>
      </c>
      <c r="D473" s="2" t="inlineStr">
        <is>
          <t>AUD2026-12 CMBILM</t>
        </is>
      </c>
      <c r="E473" s="2" t="inlineStr">
        <is>
          <t>Order47133720- 260504003</t>
        </is>
      </c>
      <c r="F473" s="2" t="inlineStr">
        <is>
          <t>47133720- EDC260504003</t>
        </is>
      </c>
      <c r="G473" s="2" t="inlineStr">
        <is>
          <t>Yuan.Yuan.YY.Chen@cn.ey.com</t>
        </is>
      </c>
      <c r="H473" s="2" t="inlineStr">
        <is>
          <t>Week35 (2027.02.27)</t>
        </is>
      </c>
      <c r="I473" s="2" t="n">
        <v>3.61</v>
      </c>
    </row>
    <row r="474">
      <c r="A474" s="2" t="inlineStr">
        <is>
          <t>海信</t>
        </is>
      </c>
      <c r="B474" s="2" t="inlineStr">
        <is>
          <t>Hisense Group Holdings Co., Ltd.</t>
        </is>
      </c>
      <c r="C474" s="2" t="inlineStr">
        <is>
          <t>47115559</t>
        </is>
      </c>
      <c r="D474" s="2" t="inlineStr">
        <is>
          <t>IPO2026-03 Project Voyage_CN</t>
        </is>
      </c>
      <c r="E474" s="2" t="inlineStr">
        <is>
          <t>Order47115559- 260729002</t>
        </is>
      </c>
      <c r="F474" s="2" t="inlineStr">
        <is>
          <t>47115559- EDC260729001</t>
        </is>
      </c>
      <c r="G474" s="2" t="inlineStr">
        <is>
          <t>Luna.CD.Zhang@cn.ey.com</t>
        </is>
      </c>
      <c r="H474" s="2" t="inlineStr">
        <is>
          <t>Week36 (2027.03.06)</t>
        </is>
      </c>
      <c r="I474" s="2" t="n">
        <v>49.02</v>
      </c>
    </row>
    <row r="475">
      <c r="A475" s="2" t="inlineStr">
        <is>
          <t>海信</t>
        </is>
      </c>
      <c r="B475" s="2" t="inlineStr">
        <is>
          <t>Hisense Group Holdings Co., Ltd.</t>
        </is>
      </c>
      <c r="C475" s="2" t="inlineStr">
        <is>
          <t>47115559</t>
        </is>
      </c>
      <c r="D475" s="2" t="inlineStr">
        <is>
          <t>IPO2026-03 Project Voyage_CN</t>
        </is>
      </c>
      <c r="E475" s="2" t="inlineStr">
        <is>
          <t>Order47115559- 260729002</t>
        </is>
      </c>
      <c r="F475" s="2" t="inlineStr">
        <is>
          <t>47115559- EDC260729001</t>
        </is>
      </c>
      <c r="G475" s="2" t="inlineStr">
        <is>
          <t>Marsh.Ma@cn.ey.com</t>
        </is>
      </c>
      <c r="H475" s="2" t="inlineStr">
        <is>
          <t>Week36 (2027.03.06)</t>
        </is>
      </c>
      <c r="I475" s="2" t="n">
        <v>2.44</v>
      </c>
    </row>
    <row r="476">
      <c r="A476" s="2" t="inlineStr">
        <is>
          <t>海信</t>
        </is>
      </c>
      <c r="B476" s="2" t="inlineStr">
        <is>
          <t>Hisense Group Holdings Co., Ltd.</t>
        </is>
      </c>
      <c r="C476" s="2" t="inlineStr">
        <is>
          <t>47115559</t>
        </is>
      </c>
      <c r="D476" s="2" t="inlineStr">
        <is>
          <t>IPO2026-03 Project Voyage_CN</t>
        </is>
      </c>
      <c r="E476" s="2" t="inlineStr">
        <is>
          <t>Order47115559- 260729002</t>
        </is>
      </c>
      <c r="F476" s="2" t="inlineStr">
        <is>
          <t>47115559- EDC260729001</t>
        </is>
      </c>
      <c r="G476" s="2" t="inlineStr">
        <is>
          <t>Rainbow.MG.Xiao@cn.ey.com</t>
        </is>
      </c>
      <c r="H476" s="2" t="inlineStr">
        <is>
          <t>Week36 (2027.03.06)</t>
        </is>
      </c>
      <c r="I476" s="2" t="n">
        <v>35.13</v>
      </c>
    </row>
    <row r="477">
      <c r="A477" s="2" t="inlineStr">
        <is>
          <t>海信</t>
        </is>
      </c>
      <c r="B477" s="2" t="inlineStr">
        <is>
          <t>Hisense Group Holdings Co., Ltd.</t>
        </is>
      </c>
      <c r="C477" s="2" t="inlineStr">
        <is>
          <t>47115559</t>
        </is>
      </c>
      <c r="D477" s="2" t="inlineStr">
        <is>
          <t>IPO2026-03 Project Voyage_CN</t>
        </is>
      </c>
      <c r="E477" s="2" t="inlineStr">
        <is>
          <t>Order47115559- 260729002</t>
        </is>
      </c>
      <c r="F477" s="2" t="inlineStr">
        <is>
          <t>47115559- EDC260729001</t>
        </is>
      </c>
      <c r="G477" s="2" t="inlineStr">
        <is>
          <t>Vivi.W.Yang@cn.ey.com</t>
        </is>
      </c>
      <c r="H477" s="2" t="inlineStr">
        <is>
          <t>Week36 (2027.03.06)</t>
        </is>
      </c>
      <c r="I477" s="2" t="n">
        <v>6.72</v>
      </c>
    </row>
    <row r="478">
      <c r="A478" s="2" t="inlineStr">
        <is>
          <t>PE</t>
        </is>
      </c>
      <c r="B478" s="2" t="inlineStr">
        <is>
          <t>WP Financial Investment, LP</t>
        </is>
      </c>
      <c r="C478" s="2" t="inlineStr">
        <is>
          <t>47128469</t>
        </is>
      </c>
      <c r="D478" s="2" t="inlineStr">
        <is>
          <t>AUD2026-12 Warburg Pincus US Fund</t>
        </is>
      </c>
      <c r="E478" s="2" t="inlineStr">
        <is>
          <t>Order47128469- 260501002</t>
        </is>
      </c>
      <c r="F478" s="2" t="inlineStr">
        <is>
          <t>47128469- EDC260501001</t>
        </is>
      </c>
      <c r="G478" s="2" t="inlineStr">
        <is>
          <t>Luna.CD.Zhang@cn.ey.com</t>
        </is>
      </c>
      <c r="H478" s="2" t="inlineStr">
        <is>
          <t>Week36 (2027.03.06)</t>
        </is>
      </c>
      <c r="I478" s="2" t="n">
        <v>8.27</v>
      </c>
    </row>
    <row r="479">
      <c r="A479" s="2" t="inlineStr">
        <is>
          <t>PE</t>
        </is>
      </c>
      <c r="B479" s="2" t="inlineStr">
        <is>
          <t>WP Financial Investment, LP</t>
        </is>
      </c>
      <c r="C479" s="2" t="inlineStr">
        <is>
          <t>47128469</t>
        </is>
      </c>
      <c r="D479" s="2" t="inlineStr">
        <is>
          <t>AUD2026-12 Warburg Pincus US Fund</t>
        </is>
      </c>
      <c r="E479" s="2" t="inlineStr">
        <is>
          <t>Order47128469- 260501002</t>
        </is>
      </c>
      <c r="F479" s="2" t="inlineStr">
        <is>
          <t>47128469- EDC260501001</t>
        </is>
      </c>
      <c r="G479" s="2" t="inlineStr">
        <is>
          <t>Marsh.Ma@cn.ey.com</t>
        </is>
      </c>
      <c r="H479" s="2" t="inlineStr">
        <is>
          <t>Week36 (2027.03.06)</t>
        </is>
      </c>
      <c r="I479" s="2" t="n">
        <v>0.9399999999999999</v>
      </c>
    </row>
    <row r="480">
      <c r="A480" s="2" t="inlineStr">
        <is>
          <t>PE</t>
        </is>
      </c>
      <c r="B480" s="2" t="inlineStr">
        <is>
          <t>WP Financial Investment, LP</t>
        </is>
      </c>
      <c r="C480" s="2" t="inlineStr">
        <is>
          <t>47128469</t>
        </is>
      </c>
      <c r="D480" s="2" t="inlineStr">
        <is>
          <t>AUD2026-12 Warburg Pincus US Fund</t>
        </is>
      </c>
      <c r="E480" s="2" t="inlineStr">
        <is>
          <t>Order47128469- 260501002</t>
        </is>
      </c>
      <c r="F480" s="2" t="inlineStr">
        <is>
          <t>47128469- EDC260501001</t>
        </is>
      </c>
      <c r="G480" s="2" t="inlineStr">
        <is>
          <t>Vivi.W.Yang@cn.ey.com</t>
        </is>
      </c>
      <c r="H480" s="2" t="inlineStr">
        <is>
          <t>Week36 (2027.03.06)</t>
        </is>
      </c>
      <c r="I480" s="2" t="n">
        <v>2.6</v>
      </c>
    </row>
    <row r="481">
      <c r="A481" s="2" t="inlineStr">
        <is>
          <t>公募</t>
        </is>
      </c>
      <c r="B481" s="2" t="inlineStr">
        <is>
          <t>Hang Seng Qianhai Fund Management Company Limited</t>
        </is>
      </c>
      <c r="C481" s="2" t="inlineStr">
        <is>
          <t>47128633</t>
        </is>
      </c>
      <c r="D481" s="2" t="inlineStr">
        <is>
          <t>AUD2026-12 HSQH Funds</t>
        </is>
      </c>
      <c r="E481" s="2" t="inlineStr">
        <is>
          <t>Order47128633- 260501004</t>
        </is>
      </c>
      <c r="F481" s="2" t="inlineStr">
        <is>
          <t>47128633- EDC260501001</t>
        </is>
      </c>
      <c r="G481" s="2" t="inlineStr">
        <is>
          <t>Marsh.Ma@cn.ey.com</t>
        </is>
      </c>
      <c r="H481" s="2" t="inlineStr">
        <is>
          <t>Week36 (2027.03.06)</t>
        </is>
      </c>
      <c r="I481" s="2" t="n">
        <v>0.73</v>
      </c>
    </row>
    <row r="482">
      <c r="A482" s="2" t="inlineStr">
        <is>
          <t>公募</t>
        </is>
      </c>
      <c r="B482" s="2" t="inlineStr">
        <is>
          <t>Hang Seng Qianhai Fund Management Company Limited</t>
        </is>
      </c>
      <c r="C482" s="2" t="inlineStr">
        <is>
          <t>47128633</t>
        </is>
      </c>
      <c r="D482" s="2" t="inlineStr">
        <is>
          <t>AUD2026-12 HSQH Funds</t>
        </is>
      </c>
      <c r="E482" s="2" t="inlineStr">
        <is>
          <t>Order47128633- 260501004</t>
        </is>
      </c>
      <c r="F482" s="2" t="inlineStr">
        <is>
          <t>47128633- EDC260501001</t>
        </is>
      </c>
      <c r="G482" s="2" t="inlineStr">
        <is>
          <t>Yuan.Yuan.YY.Chen@cn.ey.com</t>
        </is>
      </c>
      <c r="H482" s="2" t="inlineStr">
        <is>
          <t>Week36 (2027.03.06)</t>
        </is>
      </c>
      <c r="I482" s="2" t="n">
        <v>8.359999999999999</v>
      </c>
    </row>
    <row r="483">
      <c r="A483" s="2" t="inlineStr">
        <is>
          <t>HK WAM</t>
        </is>
      </c>
      <c r="B483" s="2" t="inlineStr">
        <is>
          <t>Taikang Asset Management (Hong Kong) Company Limited</t>
        </is>
      </c>
      <c r="C483" s="2" t="inlineStr">
        <is>
          <t>47129130</t>
        </is>
      </c>
      <c r="D483" s="2" t="inlineStr">
        <is>
          <t>AUD2026-12 Taikang HK Comps</t>
        </is>
      </c>
      <c r="E483" s="2" t="inlineStr">
        <is>
          <t>Order47129130- 260814001</t>
        </is>
      </c>
      <c r="F483" s="2" t="inlineStr">
        <is>
          <t>47129130- EDC260814001</t>
        </is>
      </c>
      <c r="G483" s="2" t="inlineStr">
        <is>
          <t>Marsh.Ma@cn.ey.com</t>
        </is>
      </c>
      <c r="H483" s="2" t="inlineStr">
        <is>
          <t>Week36 (2027.03.06)</t>
        </is>
      </c>
      <c r="I483" s="2" t="n">
        <v>0.21</v>
      </c>
    </row>
    <row r="484">
      <c r="A484" s="2" t="inlineStr">
        <is>
          <t>HK WAM</t>
        </is>
      </c>
      <c r="B484" s="2" t="inlineStr">
        <is>
          <t>Taikang Asset Management (Hong Kong) Company Limited</t>
        </is>
      </c>
      <c r="C484" s="2" t="inlineStr">
        <is>
          <t>47129130</t>
        </is>
      </c>
      <c r="D484" s="2" t="inlineStr">
        <is>
          <t>AUD2026-12 Taikang HK Comps</t>
        </is>
      </c>
      <c r="E484" s="2" t="inlineStr">
        <is>
          <t>Order47129130- 260814001</t>
        </is>
      </c>
      <c r="F484" s="2" t="inlineStr">
        <is>
          <t>47129130- EDC260814001</t>
        </is>
      </c>
      <c r="G484" s="2" t="inlineStr">
        <is>
          <t>Rainbow.MG.Xiao@cn.ey.com</t>
        </is>
      </c>
      <c r="H484" s="2" t="inlineStr">
        <is>
          <t>Week36 (2027.03.06)</t>
        </is>
      </c>
      <c r="I484" s="2" t="n">
        <v>6.73</v>
      </c>
    </row>
    <row r="485">
      <c r="A485" s="2" t="inlineStr">
        <is>
          <t>HK WAM</t>
        </is>
      </c>
      <c r="B485" s="2" t="inlineStr">
        <is>
          <t>Taikang Asset Management (Hong Kong) Company Limited</t>
        </is>
      </c>
      <c r="C485" s="2" t="inlineStr">
        <is>
          <t>47129130</t>
        </is>
      </c>
      <c r="D485" s="2" t="inlineStr">
        <is>
          <t>AUD2026-12 Taikang HK Comps</t>
        </is>
      </c>
      <c r="E485" s="2" t="inlineStr">
        <is>
          <t>Order47129130- 260814001</t>
        </is>
      </c>
      <c r="F485" s="2" t="inlineStr">
        <is>
          <t>47129130- EDC260814001</t>
        </is>
      </c>
      <c r="G485" s="2" t="inlineStr">
        <is>
          <t>Vivi.W.Yang@cn.ey.com</t>
        </is>
      </c>
      <c r="H485" s="2" t="inlineStr">
        <is>
          <t>Week36 (2027.03.06)</t>
        </is>
      </c>
      <c r="I485" s="2" t="n">
        <v>0.57</v>
      </c>
    </row>
    <row r="486">
      <c r="A486" s="2" t="inlineStr">
        <is>
          <t>HK WAM</t>
        </is>
      </c>
      <c r="B486" s="2" t="inlineStr">
        <is>
          <t>HashKey Capital Limited</t>
        </is>
      </c>
      <c r="C486" s="2" t="inlineStr">
        <is>
          <t>47129402</t>
        </is>
      </c>
      <c r="D486" s="2" t="inlineStr">
        <is>
          <t>AUD2026-12 Hashkey OFC Funds</t>
        </is>
      </c>
      <c r="E486" s="2" t="inlineStr">
        <is>
          <t>Order47129402- 260829001</t>
        </is>
      </c>
      <c r="F486" s="2" t="inlineStr">
        <is>
          <t>47129402- EDC260829001</t>
        </is>
      </c>
      <c r="G486" s="2" t="inlineStr">
        <is>
          <t>Marsh.Ma@cn.ey.com</t>
        </is>
      </c>
      <c r="H486" s="2" t="inlineStr">
        <is>
          <t>Week36 (2027.03.06)</t>
        </is>
      </c>
      <c r="I486" s="2" t="n">
        <v>1.05</v>
      </c>
    </row>
    <row r="487">
      <c r="A487" s="2" t="inlineStr">
        <is>
          <t>HK WAM</t>
        </is>
      </c>
      <c r="B487" s="2" t="inlineStr">
        <is>
          <t>HashKey Capital Limited</t>
        </is>
      </c>
      <c r="C487" s="2" t="inlineStr">
        <is>
          <t>47129402</t>
        </is>
      </c>
      <c r="D487" s="2" t="inlineStr">
        <is>
          <t>AUD2026-12 Hashkey OFC Funds</t>
        </is>
      </c>
      <c r="E487" s="2" t="inlineStr">
        <is>
          <t>Order47129402- 260829001</t>
        </is>
      </c>
      <c r="F487" s="2" t="inlineStr">
        <is>
          <t>47129402- EDC260829001</t>
        </is>
      </c>
      <c r="G487" s="2" t="inlineStr">
        <is>
          <t>Rainbow.MG.Xiao@cn.ey.com</t>
        </is>
      </c>
      <c r="H487" s="2" t="inlineStr">
        <is>
          <t>Week36 (2027.03.06)</t>
        </is>
      </c>
      <c r="I487" s="2" t="n">
        <v>15.77</v>
      </c>
    </row>
    <row r="488">
      <c r="A488" s="2" t="inlineStr">
        <is>
          <t>HK WAM</t>
        </is>
      </c>
      <c r="B488" s="2" t="inlineStr">
        <is>
          <t>HashKey Capital Limited</t>
        </is>
      </c>
      <c r="C488" s="2" t="inlineStr">
        <is>
          <t>47129402</t>
        </is>
      </c>
      <c r="D488" s="2" t="inlineStr">
        <is>
          <t>AUD2026-12 Hashkey OFC Funds</t>
        </is>
      </c>
      <c r="E488" s="2" t="inlineStr">
        <is>
          <t>Order47129402- 260829001</t>
        </is>
      </c>
      <c r="F488" s="2" t="inlineStr">
        <is>
          <t>47129402- EDC260829001</t>
        </is>
      </c>
      <c r="G488" s="2" t="inlineStr">
        <is>
          <t>Vivi.W.Yang@cn.ey.com</t>
        </is>
      </c>
      <c r="H488" s="2" t="inlineStr">
        <is>
          <t>Week36 (2027.03.06)</t>
        </is>
      </c>
      <c r="I488" s="2" t="n">
        <v>2.89</v>
      </c>
    </row>
    <row r="489">
      <c r="A489" s="2" t="inlineStr">
        <is>
          <t>HK WAM</t>
        </is>
      </c>
      <c r="B489" s="2" t="inlineStr">
        <is>
          <t>Ortus Capital Management Limited</t>
        </is>
      </c>
      <c r="C489" s="2" t="inlineStr">
        <is>
          <t>47129432</t>
        </is>
      </c>
      <c r="D489" s="2" t="inlineStr">
        <is>
          <t>AUD2026-12 OCML HK</t>
        </is>
      </c>
      <c r="E489" s="2" t="inlineStr">
        <is>
          <t>Order47129432- 260812001</t>
        </is>
      </c>
      <c r="F489" s="2" t="inlineStr">
        <is>
          <t>47129432- EDC260812001</t>
        </is>
      </c>
      <c r="G489" s="2" t="inlineStr">
        <is>
          <t>Marsh.Ma@cn.ey.com</t>
        </is>
      </c>
      <c r="H489" s="2" t="inlineStr">
        <is>
          <t>Week36 (2027.03.06)</t>
        </is>
      </c>
      <c r="I489" s="2" t="n">
        <v>0.21</v>
      </c>
    </row>
    <row r="490">
      <c r="A490" s="2" t="inlineStr">
        <is>
          <t>HK WAM</t>
        </is>
      </c>
      <c r="B490" s="2" t="inlineStr">
        <is>
          <t>Ortus Capital Management Limited</t>
        </is>
      </c>
      <c r="C490" s="2" t="inlineStr">
        <is>
          <t>47129432</t>
        </is>
      </c>
      <c r="D490" s="2" t="inlineStr">
        <is>
          <t>AUD2026-12 OCML HK</t>
        </is>
      </c>
      <c r="E490" s="2" t="inlineStr">
        <is>
          <t>Order47129432- 260812001</t>
        </is>
      </c>
      <c r="F490" s="2" t="inlineStr">
        <is>
          <t>47129432- EDC260812001</t>
        </is>
      </c>
      <c r="G490" s="2" t="inlineStr">
        <is>
          <t>Rainbow.MG.Xiao@cn.ey.com</t>
        </is>
      </c>
      <c r="H490" s="2" t="inlineStr">
        <is>
          <t>Week36 (2027.03.06)</t>
        </is>
      </c>
      <c r="I490" s="2" t="n">
        <v>2.38</v>
      </c>
    </row>
    <row r="491">
      <c r="A491" s="2" t="inlineStr">
        <is>
          <t>HK WAM</t>
        </is>
      </c>
      <c r="B491" s="2" t="inlineStr">
        <is>
          <t>Ortus Capital Management Limited</t>
        </is>
      </c>
      <c r="C491" s="2" t="inlineStr">
        <is>
          <t>47129432</t>
        </is>
      </c>
      <c r="D491" s="2" t="inlineStr">
        <is>
          <t>AUD2026-12 OCML HK</t>
        </is>
      </c>
      <c r="E491" s="2" t="inlineStr">
        <is>
          <t>Order47129432- 260812001</t>
        </is>
      </c>
      <c r="F491" s="2" t="inlineStr">
        <is>
          <t>47129432- EDC260812001</t>
        </is>
      </c>
      <c r="G491" s="2" t="inlineStr">
        <is>
          <t>Vivi.W.Yang@cn.ey.com</t>
        </is>
      </c>
      <c r="H491" s="2" t="inlineStr">
        <is>
          <t>Week36 (2027.03.06)</t>
        </is>
      </c>
      <c r="I491" s="2" t="n">
        <v>0.58</v>
      </c>
    </row>
    <row r="492">
      <c r="A492" s="2" t="inlineStr">
        <is>
          <t>HK WAM</t>
        </is>
      </c>
      <c r="B492" s="2" t="inlineStr">
        <is>
          <t>COS-Capital Hong Kong International Co. Limited</t>
        </is>
      </c>
      <c r="C492" s="2" t="inlineStr">
        <is>
          <t>47129459</t>
        </is>
      </c>
      <c r="D492" s="2" t="inlineStr">
        <is>
          <t>AUD2026-12 COS-CAPITAL HK INTL</t>
        </is>
      </c>
      <c r="E492" s="2" t="inlineStr">
        <is>
          <t>Order47129459- 260812001</t>
        </is>
      </c>
      <c r="F492" s="2" t="inlineStr">
        <is>
          <t>47129459- EDC260812001</t>
        </is>
      </c>
      <c r="G492" s="2" t="inlineStr">
        <is>
          <t>Marsh.Ma@cn.ey.com</t>
        </is>
      </c>
      <c r="H492" s="2" t="inlineStr">
        <is>
          <t>Week36 (2027.03.06)</t>
        </is>
      </c>
      <c r="I492" s="2" t="n">
        <v>0.23</v>
      </c>
    </row>
    <row r="493">
      <c r="A493" s="2" t="inlineStr">
        <is>
          <t>HK WAM</t>
        </is>
      </c>
      <c r="B493" s="2" t="inlineStr">
        <is>
          <t>COS-Capital Hong Kong International Co. Limited</t>
        </is>
      </c>
      <c r="C493" s="2" t="inlineStr">
        <is>
          <t>47129459</t>
        </is>
      </c>
      <c r="D493" s="2" t="inlineStr">
        <is>
          <t>AUD2026-12 COS-CAPITAL HK INTL</t>
        </is>
      </c>
      <c r="E493" s="2" t="inlineStr">
        <is>
          <t>Order47129459- 260812001</t>
        </is>
      </c>
      <c r="F493" s="2" t="inlineStr">
        <is>
          <t>47129459- EDC260812001</t>
        </is>
      </c>
      <c r="G493" s="2" t="inlineStr">
        <is>
          <t>Vivi.W.Yang@cn.ey.com</t>
        </is>
      </c>
      <c r="H493" s="2" t="inlineStr">
        <is>
          <t>Week36 (2027.03.06)</t>
        </is>
      </c>
      <c r="I493" s="2" t="n">
        <v>0.63</v>
      </c>
    </row>
    <row r="494">
      <c r="A494" s="2" t="inlineStr">
        <is>
          <t>ICBC</t>
        </is>
      </c>
      <c r="B494" s="2" t="inlineStr">
        <is>
          <t>Industrial And Commercial Bank of China (Asia) Limited</t>
        </is>
      </c>
      <c r="C494" s="2" t="inlineStr">
        <is>
          <t>47129548</t>
        </is>
      </c>
      <c r="D494" s="2" t="inlineStr">
        <is>
          <t>AUD2026-12 ICBCA</t>
        </is>
      </c>
      <c r="E494" s="2" t="inlineStr">
        <is>
          <t>Order47129548- 260501002</t>
        </is>
      </c>
      <c r="F494" s="2" t="inlineStr">
        <is>
          <t>47129548- EDC260501001</t>
        </is>
      </c>
      <c r="G494" s="2" t="inlineStr">
        <is>
          <t>Marsh.Ma@cn.ey.com</t>
        </is>
      </c>
      <c r="H494" s="2" t="inlineStr">
        <is>
          <t>Week36 (2027.03.06)</t>
        </is>
      </c>
      <c r="I494" s="2" t="n">
        <v>5.11</v>
      </c>
    </row>
    <row r="495">
      <c r="A495" s="2" t="inlineStr">
        <is>
          <t>ICBC</t>
        </is>
      </c>
      <c r="B495" s="2" t="inlineStr">
        <is>
          <t>Industrial And Commercial Bank of China (Asia) Limited</t>
        </is>
      </c>
      <c r="C495" s="2" t="inlineStr">
        <is>
          <t>47129548</t>
        </is>
      </c>
      <c r="D495" s="2" t="inlineStr">
        <is>
          <t>AUD2026-12 ICBCA</t>
        </is>
      </c>
      <c r="E495" s="2" t="inlineStr">
        <is>
          <t>Order47129548- 260501002</t>
        </is>
      </c>
      <c r="F495" s="2" t="inlineStr">
        <is>
          <t>47129548- EDC260501001</t>
        </is>
      </c>
      <c r="G495" s="2" t="inlineStr">
        <is>
          <t>Vivi.W.Yang@cn.ey.com</t>
        </is>
      </c>
      <c r="H495" s="2" t="inlineStr">
        <is>
          <t>Week36 (2027.03.06)</t>
        </is>
      </c>
      <c r="I495" s="2" t="n">
        <v>14.05</v>
      </c>
    </row>
    <row r="496">
      <c r="A496" s="2" t="inlineStr">
        <is>
          <t>ICBC</t>
        </is>
      </c>
      <c r="B496" s="2" t="inlineStr">
        <is>
          <t>Industrial And Commercial Bank of China (Asia) Limited</t>
        </is>
      </c>
      <c r="C496" s="2" t="inlineStr">
        <is>
          <t>47129548</t>
        </is>
      </c>
      <c r="D496" s="2" t="inlineStr">
        <is>
          <t>AUD2026-12 ICBCA</t>
        </is>
      </c>
      <c r="E496" s="2" t="inlineStr">
        <is>
          <t>Order47129548- 260501002</t>
        </is>
      </c>
      <c r="F496" s="2" t="inlineStr">
        <is>
          <t>47129548- EDC260501001</t>
        </is>
      </c>
      <c r="G496" s="2" t="inlineStr">
        <is>
          <t>Yuan.Yuan.YY.Chen@cn.ey.com</t>
        </is>
      </c>
      <c r="H496" s="2" t="inlineStr">
        <is>
          <t>Week36 (2027.03.06)</t>
        </is>
      </c>
      <c r="I496" s="2" t="n">
        <v>44.7</v>
      </c>
    </row>
    <row r="497">
      <c r="A497" s="2" t="inlineStr">
        <is>
          <t>HK WAM</t>
        </is>
      </c>
      <c r="B497" s="2" t="inlineStr">
        <is>
          <t>DST Investment Management Limited</t>
        </is>
      </c>
      <c r="C497" s="2" t="inlineStr">
        <is>
          <t>47129679</t>
        </is>
      </c>
      <c r="D497" s="2" t="inlineStr">
        <is>
          <t>AUD2026-12 DST Investment Mgt</t>
        </is>
      </c>
      <c r="E497" s="2" t="inlineStr">
        <is>
          <t>Order47129679- 260814001</t>
        </is>
      </c>
      <c r="F497" s="2" t="inlineStr">
        <is>
          <t>47129679- EDC260814001</t>
        </is>
      </c>
      <c r="G497" s="2" t="inlineStr">
        <is>
          <t>Marsh.Ma@cn.ey.com</t>
        </is>
      </c>
      <c r="H497" s="2" t="inlineStr">
        <is>
          <t>Week36 (2027.03.06)</t>
        </is>
      </c>
      <c r="I497" s="2" t="n">
        <v>0.27</v>
      </c>
    </row>
    <row r="498">
      <c r="A498" s="2" t="inlineStr">
        <is>
          <t>HK WAM</t>
        </is>
      </c>
      <c r="B498" s="2" t="inlineStr">
        <is>
          <t>DST Investment Management Limited</t>
        </is>
      </c>
      <c r="C498" s="2" t="inlineStr">
        <is>
          <t>47129679</t>
        </is>
      </c>
      <c r="D498" s="2" t="inlineStr">
        <is>
          <t>AUD2026-12 DST Investment Mgt</t>
        </is>
      </c>
      <c r="E498" s="2" t="inlineStr">
        <is>
          <t>Order47129679- 260814001</t>
        </is>
      </c>
      <c r="F498" s="2" t="inlineStr">
        <is>
          <t>47129679- EDC260814001</t>
        </is>
      </c>
      <c r="G498" s="2" t="inlineStr">
        <is>
          <t>Vivi.W.Yang@cn.ey.com</t>
        </is>
      </c>
      <c r="H498" s="2" t="inlineStr">
        <is>
          <t>Week36 (2027.03.06)</t>
        </is>
      </c>
      <c r="I498" s="2" t="n">
        <v>0.74</v>
      </c>
    </row>
    <row r="499">
      <c r="A499" s="2" t="inlineStr">
        <is>
          <t>HK WAM</t>
        </is>
      </c>
      <c r="B499" s="2" t="inlineStr">
        <is>
          <t>E Fund International Holdings Limited</t>
        </is>
      </c>
      <c r="C499" s="2" t="inlineStr">
        <is>
          <t>47129692</t>
        </is>
      </c>
      <c r="D499" s="2" t="inlineStr">
        <is>
          <t>AUD2026-12 E Fund IM</t>
        </is>
      </c>
      <c r="E499" s="2" t="inlineStr">
        <is>
          <t>Order47129692- 260814001</t>
        </is>
      </c>
      <c r="F499" s="2" t="inlineStr">
        <is>
          <t>47129692- EDC260814001</t>
        </is>
      </c>
      <c r="G499" s="2" t="inlineStr">
        <is>
          <t>Luna.CD.Zhang@cn.ey.com</t>
        </is>
      </c>
      <c r="H499" s="2" t="inlineStr">
        <is>
          <t>Week36 (2027.03.06)</t>
        </is>
      </c>
      <c r="I499" s="2" t="n">
        <v>0.72</v>
      </c>
    </row>
    <row r="500">
      <c r="A500" s="2" t="inlineStr">
        <is>
          <t>HK WAM</t>
        </is>
      </c>
      <c r="B500" s="2" t="inlineStr">
        <is>
          <t>E Fund International Holdings Limited</t>
        </is>
      </c>
      <c r="C500" s="2" t="inlineStr">
        <is>
          <t>47129692</t>
        </is>
      </c>
      <c r="D500" s="2" t="inlineStr">
        <is>
          <t>AUD2026-12 E Fund IM</t>
        </is>
      </c>
      <c r="E500" s="2" t="inlineStr">
        <is>
          <t>Order47129692- 260814001</t>
        </is>
      </c>
      <c r="F500" s="2" t="inlineStr">
        <is>
          <t>47129692- EDC260814001</t>
        </is>
      </c>
      <c r="G500" s="2" t="inlineStr">
        <is>
          <t>Marsh.Ma@cn.ey.com</t>
        </is>
      </c>
      <c r="H500" s="2" t="inlineStr">
        <is>
          <t>Week36 (2027.03.06)</t>
        </is>
      </c>
      <c r="I500" s="2" t="n">
        <v>0.08</v>
      </c>
    </row>
    <row r="501">
      <c r="A501" s="2" t="inlineStr">
        <is>
          <t>HK WAM</t>
        </is>
      </c>
      <c r="B501" s="2" t="inlineStr">
        <is>
          <t>E Fund International Holdings Limited</t>
        </is>
      </c>
      <c r="C501" s="2" t="inlineStr">
        <is>
          <t>47129692</t>
        </is>
      </c>
      <c r="D501" s="2" t="inlineStr">
        <is>
          <t>AUD2026-12 E Fund IM</t>
        </is>
      </c>
      <c r="E501" s="2" t="inlineStr">
        <is>
          <t>Order47129692- 260814001</t>
        </is>
      </c>
      <c r="F501" s="2" t="inlineStr">
        <is>
          <t>47129692- EDC260814001</t>
        </is>
      </c>
      <c r="G501" s="2" t="inlineStr">
        <is>
          <t>Vivi.W.Yang@cn.ey.com</t>
        </is>
      </c>
      <c r="H501" s="2" t="inlineStr">
        <is>
          <t>Week36 (2027.03.06)</t>
        </is>
      </c>
      <c r="I501" s="2" t="n">
        <v>0.23</v>
      </c>
    </row>
    <row r="502">
      <c r="A502" s="2" t="inlineStr">
        <is>
          <t>HK WAM</t>
        </is>
      </c>
      <c r="B502" s="2" t="inlineStr">
        <is>
          <t>SHINKA CAPITAL MANAGEMENT LIMITED</t>
        </is>
      </c>
      <c r="C502" s="2" t="inlineStr">
        <is>
          <t>47129702</t>
        </is>
      </c>
      <c r="D502" s="2" t="inlineStr">
        <is>
          <t>AUD2026-12 Shinka Capital</t>
        </is>
      </c>
      <c r="E502" s="2" t="inlineStr">
        <is>
          <t>Order47129702- 260814001</t>
        </is>
      </c>
      <c r="F502" s="2" t="inlineStr">
        <is>
          <t>47129702- EDC260814001</t>
        </is>
      </c>
      <c r="G502" s="2" t="inlineStr">
        <is>
          <t>Marsh.Ma@cn.ey.com</t>
        </is>
      </c>
      <c r="H502" s="2" t="inlineStr">
        <is>
          <t>Week36 (2027.03.06)</t>
        </is>
      </c>
      <c r="I502" s="2" t="n">
        <v>0.21</v>
      </c>
    </row>
    <row r="503">
      <c r="A503" s="2" t="inlineStr">
        <is>
          <t>HK WAM</t>
        </is>
      </c>
      <c r="B503" s="2" t="inlineStr">
        <is>
          <t>SHINKA CAPITAL MANAGEMENT LIMITED</t>
        </is>
      </c>
      <c r="C503" s="2" t="inlineStr">
        <is>
          <t>47129702</t>
        </is>
      </c>
      <c r="D503" s="2" t="inlineStr">
        <is>
          <t>AUD2026-12 Shinka Capital</t>
        </is>
      </c>
      <c r="E503" s="2" t="inlineStr">
        <is>
          <t>Order47129702- 260814001</t>
        </is>
      </c>
      <c r="F503" s="2" t="inlineStr">
        <is>
          <t>47129702- EDC260814001</t>
        </is>
      </c>
      <c r="G503" s="2" t="inlineStr">
        <is>
          <t>Vivi.W.Yang@cn.ey.com</t>
        </is>
      </c>
      <c r="H503" s="2" t="inlineStr">
        <is>
          <t>Week36 (2027.03.06)</t>
        </is>
      </c>
      <c r="I503" s="2" t="n">
        <v>0.57</v>
      </c>
    </row>
    <row r="504">
      <c r="A504" s="2" t="inlineStr">
        <is>
          <t>HK WAM</t>
        </is>
      </c>
      <c r="B504" s="2" t="inlineStr">
        <is>
          <t>Boyu Capital Advisory Co. Limited</t>
        </is>
      </c>
      <c r="C504" s="2" t="inlineStr">
        <is>
          <t>47129715</t>
        </is>
      </c>
      <c r="D504" s="2" t="inlineStr">
        <is>
          <t>AUD2026-12 BOYU CAPITAL FUND</t>
        </is>
      </c>
      <c r="E504" s="2" t="inlineStr">
        <is>
          <t>Order47129715- 260814001</t>
        </is>
      </c>
      <c r="F504" s="2" t="inlineStr">
        <is>
          <t>47129715- EDC260814001</t>
        </is>
      </c>
      <c r="G504" s="2" t="inlineStr">
        <is>
          <t>Luna.CD.Zhang@cn.ey.com</t>
        </is>
      </c>
      <c r="H504" s="2" t="inlineStr">
        <is>
          <t>Week36 (2027.03.06)</t>
        </is>
      </c>
      <c r="I504" s="2" t="n">
        <v>1.99</v>
      </c>
    </row>
    <row r="505">
      <c r="A505" s="2" t="inlineStr">
        <is>
          <t>HK WAM</t>
        </is>
      </c>
      <c r="B505" s="2" t="inlineStr">
        <is>
          <t>Boyu Capital Advisory Co. Limited</t>
        </is>
      </c>
      <c r="C505" s="2" t="inlineStr">
        <is>
          <t>47129715</t>
        </is>
      </c>
      <c r="D505" s="2" t="inlineStr">
        <is>
          <t>AUD2026-12 BOYU CAPITAL FUND</t>
        </is>
      </c>
      <c r="E505" s="2" t="inlineStr">
        <is>
          <t>Order47129715- 260814001</t>
        </is>
      </c>
      <c r="F505" s="2" t="inlineStr">
        <is>
          <t>47129715- EDC260814001</t>
        </is>
      </c>
      <c r="G505" s="2" t="inlineStr">
        <is>
          <t>Marsh.Ma@cn.ey.com</t>
        </is>
      </c>
      <c r="H505" s="2" t="inlineStr">
        <is>
          <t>Week36 (2027.03.06)</t>
        </is>
      </c>
      <c r="I505" s="2" t="n">
        <v>0.23</v>
      </c>
    </row>
    <row r="506">
      <c r="A506" s="2" t="inlineStr">
        <is>
          <t>HK WAM</t>
        </is>
      </c>
      <c r="B506" s="2" t="inlineStr">
        <is>
          <t>Boyu Capital Advisory Co. Limited</t>
        </is>
      </c>
      <c r="C506" s="2" t="inlineStr">
        <is>
          <t>47129715</t>
        </is>
      </c>
      <c r="D506" s="2" t="inlineStr">
        <is>
          <t>AUD2026-12 BOYU CAPITAL FUND</t>
        </is>
      </c>
      <c r="E506" s="2" t="inlineStr">
        <is>
          <t>Order47129715- 260814001</t>
        </is>
      </c>
      <c r="F506" s="2" t="inlineStr">
        <is>
          <t>47129715- EDC260814001</t>
        </is>
      </c>
      <c r="G506" s="2" t="inlineStr">
        <is>
          <t>Vivi.W.Yang@cn.ey.com</t>
        </is>
      </c>
      <c r="H506" s="2" t="inlineStr">
        <is>
          <t>Week36 (2027.03.06)</t>
        </is>
      </c>
      <c r="I506" s="2" t="n">
        <v>0.63</v>
      </c>
    </row>
    <row r="507">
      <c r="A507" s="2" t="inlineStr">
        <is>
          <t>海信</t>
        </is>
      </c>
      <c r="B507" s="2" t="inlineStr">
        <is>
          <t>Hisense Group Holdings Co., Ltd.</t>
        </is>
      </c>
      <c r="C507" s="2" t="inlineStr">
        <is>
          <t>47115559</t>
        </is>
      </c>
      <c r="D507" s="2" t="inlineStr">
        <is>
          <t>IPO2026-03 Project Voyage_CN</t>
        </is>
      </c>
      <c r="E507" s="2" t="inlineStr">
        <is>
          <t>Order47115559- 260729002</t>
        </is>
      </c>
      <c r="F507" s="2" t="inlineStr">
        <is>
          <t>47115559- EDC260729001</t>
        </is>
      </c>
      <c r="G507" s="2" t="inlineStr">
        <is>
          <t>Luna.CD.Zhang@cn.ey.com</t>
        </is>
      </c>
      <c r="H507" s="2" t="inlineStr">
        <is>
          <t>Week37 (2027.03.13)</t>
        </is>
      </c>
      <c r="I507" s="2" t="n">
        <v>21.39</v>
      </c>
    </row>
    <row r="508">
      <c r="A508" s="2" t="inlineStr">
        <is>
          <t>海信</t>
        </is>
      </c>
      <c r="B508" s="2" t="inlineStr">
        <is>
          <t>Hisense Group Holdings Co., Ltd.</t>
        </is>
      </c>
      <c r="C508" s="2" t="inlineStr">
        <is>
          <t>47115559</t>
        </is>
      </c>
      <c r="D508" s="2" t="inlineStr">
        <is>
          <t>IPO2026-03 Project Voyage_CN</t>
        </is>
      </c>
      <c r="E508" s="2" t="inlineStr">
        <is>
          <t>Order47115559- 260729002</t>
        </is>
      </c>
      <c r="F508" s="2" t="inlineStr">
        <is>
          <t>47115559- EDC260729001</t>
        </is>
      </c>
      <c r="G508" s="2" t="inlineStr">
        <is>
          <t>Marsh.Ma@cn.ey.com</t>
        </is>
      </c>
      <c r="H508" s="2" t="inlineStr">
        <is>
          <t>Week37 (2027.03.13)</t>
        </is>
      </c>
      <c r="I508" s="2" t="n">
        <v>2.44</v>
      </c>
    </row>
    <row r="509">
      <c r="A509" s="2" t="inlineStr">
        <is>
          <t>海信</t>
        </is>
      </c>
      <c r="B509" s="2" t="inlineStr">
        <is>
          <t>Hisense Group Holdings Co., Ltd.</t>
        </is>
      </c>
      <c r="C509" s="2" t="inlineStr">
        <is>
          <t>47115559</t>
        </is>
      </c>
      <c r="D509" s="2" t="inlineStr">
        <is>
          <t>IPO2026-03 Project Voyage_CN</t>
        </is>
      </c>
      <c r="E509" s="2" t="inlineStr">
        <is>
          <t>Order47115559- 260729002</t>
        </is>
      </c>
      <c r="F509" s="2" t="inlineStr">
        <is>
          <t>47115559- EDC260729001</t>
        </is>
      </c>
      <c r="G509" s="2" t="inlineStr">
        <is>
          <t>Vivi.W.Yang@cn.ey.com</t>
        </is>
      </c>
      <c r="H509" s="2" t="inlineStr">
        <is>
          <t>Week37 (2027.03.13)</t>
        </is>
      </c>
      <c r="I509" s="2" t="n">
        <v>6.72</v>
      </c>
    </row>
    <row r="510">
      <c r="A510" s="2" t="inlineStr">
        <is>
          <t>公募</t>
        </is>
      </c>
      <c r="B510" s="2" t="inlineStr">
        <is>
          <t>Hang Seng Qianhai Fund Management Company Limited</t>
        </is>
      </c>
      <c r="C510" s="2" t="inlineStr">
        <is>
          <t>47128633</t>
        </is>
      </c>
      <c r="D510" s="2" t="inlineStr">
        <is>
          <t>AUD2026-12 HSQH Funds</t>
        </is>
      </c>
      <c r="E510" s="2" t="inlineStr">
        <is>
          <t>Order47128633- 260501004</t>
        </is>
      </c>
      <c r="F510" s="2" t="inlineStr">
        <is>
          <t>47128633- EDC260501001</t>
        </is>
      </c>
      <c r="G510" s="2" t="inlineStr">
        <is>
          <t>Marsh.Ma@cn.ey.com</t>
        </is>
      </c>
      <c r="H510" s="2" t="inlineStr">
        <is>
          <t>Week37 (2027.03.13)</t>
        </is>
      </c>
      <c r="I510" s="2" t="n">
        <v>0.73</v>
      </c>
    </row>
    <row r="511">
      <c r="A511" s="2" t="inlineStr">
        <is>
          <t>公募</t>
        </is>
      </c>
      <c r="B511" s="2" t="inlineStr">
        <is>
          <t>Hang Seng Qianhai Fund Management Company Limited</t>
        </is>
      </c>
      <c r="C511" s="2" t="inlineStr">
        <is>
          <t>47128633</t>
        </is>
      </c>
      <c r="D511" s="2" t="inlineStr">
        <is>
          <t>AUD2026-12 HSQH Funds</t>
        </is>
      </c>
      <c r="E511" s="2" t="inlineStr">
        <is>
          <t>Order47128633- 260501004</t>
        </is>
      </c>
      <c r="F511" s="2" t="inlineStr">
        <is>
          <t>47128633- EDC260501001</t>
        </is>
      </c>
      <c r="G511" s="2" t="inlineStr">
        <is>
          <t>Yuan.Yuan.YY.Chen@cn.ey.com</t>
        </is>
      </c>
      <c r="H511" s="2" t="inlineStr">
        <is>
          <t>Week37 (2027.03.13)</t>
        </is>
      </c>
      <c r="I511" s="2" t="n">
        <v>8.359999999999999</v>
      </c>
    </row>
    <row r="512">
      <c r="A512" s="2" t="inlineStr">
        <is>
          <t>HK WAM</t>
        </is>
      </c>
      <c r="B512" s="2" t="inlineStr">
        <is>
          <t>Taikang Asset Management (Hong Kong) Company Limited</t>
        </is>
      </c>
      <c r="C512" s="2" t="inlineStr">
        <is>
          <t>47129130</t>
        </is>
      </c>
      <c r="D512" s="2" t="inlineStr">
        <is>
          <t>AUD2026-12 Taikang HK Comps</t>
        </is>
      </c>
      <c r="E512" s="2" t="inlineStr">
        <is>
          <t>Order47129130- 260814001</t>
        </is>
      </c>
      <c r="F512" s="2" t="inlineStr">
        <is>
          <t>47129130- EDC260814001</t>
        </is>
      </c>
      <c r="G512" s="2" t="inlineStr">
        <is>
          <t>Luna.CD.Zhang@cn.ey.com</t>
        </is>
      </c>
      <c r="H512" s="2" t="inlineStr">
        <is>
          <t>Week37 (2027.03.13)</t>
        </is>
      </c>
      <c r="I512" s="2" t="n">
        <v>1.81</v>
      </c>
    </row>
    <row r="513">
      <c r="A513" s="2" t="inlineStr">
        <is>
          <t>HK WAM</t>
        </is>
      </c>
      <c r="B513" s="2" t="inlineStr">
        <is>
          <t>Taikang Asset Management (Hong Kong) Company Limited</t>
        </is>
      </c>
      <c r="C513" s="2" t="inlineStr">
        <is>
          <t>47129130</t>
        </is>
      </c>
      <c r="D513" s="2" t="inlineStr">
        <is>
          <t>AUD2026-12 Taikang HK Comps</t>
        </is>
      </c>
      <c r="E513" s="2" t="inlineStr">
        <is>
          <t>Order47129130- 260814001</t>
        </is>
      </c>
      <c r="F513" s="2" t="inlineStr">
        <is>
          <t>47129130- EDC260814001</t>
        </is>
      </c>
      <c r="G513" s="2" t="inlineStr">
        <is>
          <t>Marsh.Ma@cn.ey.com</t>
        </is>
      </c>
      <c r="H513" s="2" t="inlineStr">
        <is>
          <t>Week37 (2027.03.13)</t>
        </is>
      </c>
      <c r="I513" s="2" t="n">
        <v>0.21</v>
      </c>
    </row>
    <row r="514">
      <c r="A514" s="2" t="inlineStr">
        <is>
          <t>HK WAM</t>
        </is>
      </c>
      <c r="B514" s="2" t="inlineStr">
        <is>
          <t>Taikang Asset Management (Hong Kong) Company Limited</t>
        </is>
      </c>
      <c r="C514" s="2" t="inlineStr">
        <is>
          <t>47129130</t>
        </is>
      </c>
      <c r="D514" s="2" t="inlineStr">
        <is>
          <t>AUD2026-12 Taikang HK Comps</t>
        </is>
      </c>
      <c r="E514" s="2" t="inlineStr">
        <is>
          <t>Order47129130- 260814001</t>
        </is>
      </c>
      <c r="F514" s="2" t="inlineStr">
        <is>
          <t>47129130- EDC260814001</t>
        </is>
      </c>
      <c r="G514" s="2" t="inlineStr">
        <is>
          <t>Vivi.W.Yang@cn.ey.com</t>
        </is>
      </c>
      <c r="H514" s="2" t="inlineStr">
        <is>
          <t>Week37 (2027.03.13)</t>
        </is>
      </c>
      <c r="I514" s="2" t="n">
        <v>0.57</v>
      </c>
    </row>
    <row r="515">
      <c r="A515" s="2" t="inlineStr">
        <is>
          <t>HK WAM</t>
        </is>
      </c>
      <c r="B515" s="2" t="inlineStr">
        <is>
          <t>HashKey Capital Limited</t>
        </is>
      </c>
      <c r="C515" s="2" t="inlineStr">
        <is>
          <t>47129402</t>
        </is>
      </c>
      <c r="D515" s="2" t="inlineStr">
        <is>
          <t>AUD2026-12 Hashkey OFC Funds</t>
        </is>
      </c>
      <c r="E515" s="2" t="inlineStr">
        <is>
          <t>Order47129402- 260829001</t>
        </is>
      </c>
      <c r="F515" s="2" t="inlineStr">
        <is>
          <t>47129402- EDC260829001</t>
        </is>
      </c>
      <c r="G515" s="2" t="inlineStr">
        <is>
          <t>Luna.CD.Zhang@cn.ey.com</t>
        </is>
      </c>
      <c r="H515" s="2" t="inlineStr">
        <is>
          <t>Week37 (2027.03.13)</t>
        </is>
      </c>
      <c r="I515" s="2" t="n">
        <v>9.199999999999999</v>
      </c>
    </row>
    <row r="516">
      <c r="A516" s="2" t="inlineStr">
        <is>
          <t>HK WAM</t>
        </is>
      </c>
      <c r="B516" s="2" t="inlineStr">
        <is>
          <t>HashKey Capital Limited</t>
        </is>
      </c>
      <c r="C516" s="2" t="inlineStr">
        <is>
          <t>47129402</t>
        </is>
      </c>
      <c r="D516" s="2" t="inlineStr">
        <is>
          <t>AUD2026-12 Hashkey OFC Funds</t>
        </is>
      </c>
      <c r="E516" s="2" t="inlineStr">
        <is>
          <t>Order47129402- 260829001</t>
        </is>
      </c>
      <c r="F516" s="2" t="inlineStr">
        <is>
          <t>47129402- EDC260829001</t>
        </is>
      </c>
      <c r="G516" s="2" t="inlineStr">
        <is>
          <t>Marsh.Ma@cn.ey.com</t>
        </is>
      </c>
      <c r="H516" s="2" t="inlineStr">
        <is>
          <t>Week37 (2027.03.13)</t>
        </is>
      </c>
      <c r="I516" s="2" t="n">
        <v>1.05</v>
      </c>
    </row>
    <row r="517">
      <c r="A517" s="2" t="inlineStr">
        <is>
          <t>HK WAM</t>
        </is>
      </c>
      <c r="B517" s="2" t="inlineStr">
        <is>
          <t>HashKey Capital Limited</t>
        </is>
      </c>
      <c r="C517" s="2" t="inlineStr">
        <is>
          <t>47129402</t>
        </is>
      </c>
      <c r="D517" s="2" t="inlineStr">
        <is>
          <t>AUD2026-12 Hashkey OFC Funds</t>
        </is>
      </c>
      <c r="E517" s="2" t="inlineStr">
        <is>
          <t>Order47129402- 260829001</t>
        </is>
      </c>
      <c r="F517" s="2" t="inlineStr">
        <is>
          <t>47129402- EDC260829001</t>
        </is>
      </c>
      <c r="G517" s="2" t="inlineStr">
        <is>
          <t>Vivi.W.Yang@cn.ey.com</t>
        </is>
      </c>
      <c r="H517" s="2" t="inlineStr">
        <is>
          <t>Week37 (2027.03.13)</t>
        </is>
      </c>
      <c r="I517" s="2" t="n">
        <v>2.89</v>
      </c>
    </row>
    <row r="518">
      <c r="A518" s="2" t="inlineStr">
        <is>
          <t>HK WAM</t>
        </is>
      </c>
      <c r="B518" s="2" t="inlineStr">
        <is>
          <t>Ortus Capital Management Limited</t>
        </is>
      </c>
      <c r="C518" s="2" t="inlineStr">
        <is>
          <t>47129432</t>
        </is>
      </c>
      <c r="D518" s="2" t="inlineStr">
        <is>
          <t>AUD2026-12 OCML HK</t>
        </is>
      </c>
      <c r="E518" s="2" t="inlineStr">
        <is>
          <t>Order47129432- 260812001</t>
        </is>
      </c>
      <c r="F518" s="2" t="inlineStr">
        <is>
          <t>47129432- EDC260812001</t>
        </is>
      </c>
      <c r="G518" s="2" t="inlineStr">
        <is>
          <t>Luna.CD.Zhang@cn.ey.com</t>
        </is>
      </c>
      <c r="H518" s="2" t="inlineStr">
        <is>
          <t>Week37 (2027.03.13)</t>
        </is>
      </c>
      <c r="I518" s="2" t="n">
        <v>6.27</v>
      </c>
    </row>
    <row r="519">
      <c r="A519" s="2" t="inlineStr">
        <is>
          <t>HK WAM</t>
        </is>
      </c>
      <c r="B519" s="2" t="inlineStr">
        <is>
          <t>Ortus Capital Management Limited</t>
        </is>
      </c>
      <c r="C519" s="2" t="inlineStr">
        <is>
          <t>47129432</t>
        </is>
      </c>
      <c r="D519" s="2" t="inlineStr">
        <is>
          <t>AUD2026-12 OCML HK</t>
        </is>
      </c>
      <c r="E519" s="2" t="inlineStr">
        <is>
          <t>Order47129432- 260812001</t>
        </is>
      </c>
      <c r="F519" s="2" t="inlineStr">
        <is>
          <t>47129432- EDC260812001</t>
        </is>
      </c>
      <c r="G519" s="2" t="inlineStr">
        <is>
          <t>Marsh.Ma@cn.ey.com</t>
        </is>
      </c>
      <c r="H519" s="2" t="inlineStr">
        <is>
          <t>Week37 (2027.03.13)</t>
        </is>
      </c>
      <c r="I519" s="2" t="n">
        <v>0.21</v>
      </c>
    </row>
    <row r="520">
      <c r="A520" s="2" t="inlineStr">
        <is>
          <t>HK WAM</t>
        </is>
      </c>
      <c r="B520" s="2" t="inlineStr">
        <is>
          <t>Ortus Capital Management Limited</t>
        </is>
      </c>
      <c r="C520" s="2" t="inlineStr">
        <is>
          <t>47129432</t>
        </is>
      </c>
      <c r="D520" s="2" t="inlineStr">
        <is>
          <t>AUD2026-12 OCML HK</t>
        </is>
      </c>
      <c r="E520" s="2" t="inlineStr">
        <is>
          <t>Order47129432- 260812001</t>
        </is>
      </c>
      <c r="F520" s="2" t="inlineStr">
        <is>
          <t>47129432- EDC260812001</t>
        </is>
      </c>
      <c r="G520" s="2" t="inlineStr">
        <is>
          <t>Vivi.W.Yang@cn.ey.com</t>
        </is>
      </c>
      <c r="H520" s="2" t="inlineStr">
        <is>
          <t>Week37 (2027.03.13)</t>
        </is>
      </c>
      <c r="I520" s="2" t="n">
        <v>0.58</v>
      </c>
    </row>
    <row r="521">
      <c r="A521" s="2" t="inlineStr">
        <is>
          <t>HK WAM</t>
        </is>
      </c>
      <c r="B521" s="2" t="inlineStr">
        <is>
          <t>COS-Capital Hong Kong International Co. Limited</t>
        </is>
      </c>
      <c r="C521" s="2" t="inlineStr">
        <is>
          <t>47129459</t>
        </is>
      </c>
      <c r="D521" s="2" t="inlineStr">
        <is>
          <t>AUD2026-12 COS-CAPITAL HK INTL</t>
        </is>
      </c>
      <c r="E521" s="2" t="inlineStr">
        <is>
          <t>Order47129459- 260812001</t>
        </is>
      </c>
      <c r="F521" s="2" t="inlineStr">
        <is>
          <t>47129459- EDC260812001</t>
        </is>
      </c>
      <c r="G521" s="2" t="inlineStr">
        <is>
          <t>Luna.CD.Zhang@cn.ey.com</t>
        </is>
      </c>
      <c r="H521" s="2" t="inlineStr">
        <is>
          <t>Week37 (2027.03.13)</t>
        </is>
      </c>
      <c r="I521" s="2" t="n">
        <v>9.449999999999999</v>
      </c>
    </row>
    <row r="522">
      <c r="A522" s="2" t="inlineStr">
        <is>
          <t>HK WAM</t>
        </is>
      </c>
      <c r="B522" s="2" t="inlineStr">
        <is>
          <t>COS-Capital Hong Kong International Co. Limited</t>
        </is>
      </c>
      <c r="C522" s="2" t="inlineStr">
        <is>
          <t>47129459</t>
        </is>
      </c>
      <c r="D522" s="2" t="inlineStr">
        <is>
          <t>AUD2026-12 COS-CAPITAL HK INTL</t>
        </is>
      </c>
      <c r="E522" s="2" t="inlineStr">
        <is>
          <t>Order47129459- 260812001</t>
        </is>
      </c>
      <c r="F522" s="2" t="inlineStr">
        <is>
          <t>47129459- EDC260812001</t>
        </is>
      </c>
      <c r="G522" s="2" t="inlineStr">
        <is>
          <t>Marsh.Ma@cn.ey.com</t>
        </is>
      </c>
      <c r="H522" s="2" t="inlineStr">
        <is>
          <t>Week37 (2027.03.13)</t>
        </is>
      </c>
      <c r="I522" s="2" t="n">
        <v>0.23</v>
      </c>
    </row>
    <row r="523">
      <c r="A523" s="2" t="inlineStr">
        <is>
          <t>HK WAM</t>
        </is>
      </c>
      <c r="B523" s="2" t="inlineStr">
        <is>
          <t>COS-Capital Hong Kong International Co. Limited</t>
        </is>
      </c>
      <c r="C523" s="2" t="inlineStr">
        <is>
          <t>47129459</t>
        </is>
      </c>
      <c r="D523" s="2" t="inlineStr">
        <is>
          <t>AUD2026-12 COS-CAPITAL HK INTL</t>
        </is>
      </c>
      <c r="E523" s="2" t="inlineStr">
        <is>
          <t>Order47129459- 260812001</t>
        </is>
      </c>
      <c r="F523" s="2" t="inlineStr">
        <is>
          <t>47129459- EDC260812001</t>
        </is>
      </c>
      <c r="G523" s="2" t="inlineStr">
        <is>
          <t>Vivi.W.Yang@cn.ey.com</t>
        </is>
      </c>
      <c r="H523" s="2" t="inlineStr">
        <is>
          <t>Week37 (2027.03.13)</t>
        </is>
      </c>
      <c r="I523" s="2" t="n">
        <v>0.63</v>
      </c>
    </row>
    <row r="524">
      <c r="A524" s="2" t="inlineStr">
        <is>
          <t>ICBC</t>
        </is>
      </c>
      <c r="B524" s="2" t="inlineStr">
        <is>
          <t>Industrial And Commercial Bank of China (Asia) Limited</t>
        </is>
      </c>
      <c r="C524" s="2" t="inlineStr">
        <is>
          <t>47129548</t>
        </is>
      </c>
      <c r="D524" s="2" t="inlineStr">
        <is>
          <t>AUD2026-12 ICBCA</t>
        </is>
      </c>
      <c r="E524" s="2" t="inlineStr">
        <is>
          <t>Order47129548- 260501002</t>
        </is>
      </c>
      <c r="F524" s="2" t="inlineStr">
        <is>
          <t>47129548- EDC260501001</t>
        </is>
      </c>
      <c r="G524" s="2" t="inlineStr">
        <is>
          <t>Marsh.Ma@cn.ey.com</t>
        </is>
      </c>
      <c r="H524" s="2" t="inlineStr">
        <is>
          <t>Week37 (2027.03.13)</t>
        </is>
      </c>
      <c r="I524" s="2" t="n">
        <v>5.11</v>
      </c>
    </row>
    <row r="525">
      <c r="A525" s="2" t="inlineStr">
        <is>
          <t>ICBC</t>
        </is>
      </c>
      <c r="B525" s="2" t="inlineStr">
        <is>
          <t>Industrial And Commercial Bank of China (Asia) Limited</t>
        </is>
      </c>
      <c r="C525" s="2" t="inlineStr">
        <is>
          <t>47129548</t>
        </is>
      </c>
      <c r="D525" s="2" t="inlineStr">
        <is>
          <t>AUD2026-12 ICBCA</t>
        </is>
      </c>
      <c r="E525" s="2" t="inlineStr">
        <is>
          <t>Order47129548- 260501002</t>
        </is>
      </c>
      <c r="F525" s="2" t="inlineStr">
        <is>
          <t>47129548- EDC260501001</t>
        </is>
      </c>
      <c r="G525" s="2" t="inlineStr">
        <is>
          <t>Vivi.W.Yang@cn.ey.com</t>
        </is>
      </c>
      <c r="H525" s="2" t="inlineStr">
        <is>
          <t>Week37 (2027.03.13)</t>
        </is>
      </c>
      <c r="I525" s="2" t="n">
        <v>14.05</v>
      </c>
    </row>
    <row r="526">
      <c r="A526" s="2" t="inlineStr">
        <is>
          <t>ICBC</t>
        </is>
      </c>
      <c r="B526" s="2" t="inlineStr">
        <is>
          <t>Industrial And Commercial Bank of China (Asia) Limited</t>
        </is>
      </c>
      <c r="C526" s="2" t="inlineStr">
        <is>
          <t>47129548</t>
        </is>
      </c>
      <c r="D526" s="2" t="inlineStr">
        <is>
          <t>AUD2026-12 ICBCA</t>
        </is>
      </c>
      <c r="E526" s="2" t="inlineStr">
        <is>
          <t>Order47129548- 260501002</t>
        </is>
      </c>
      <c r="F526" s="2" t="inlineStr">
        <is>
          <t>47129548- EDC260501001</t>
        </is>
      </c>
      <c r="G526" s="2" t="inlineStr">
        <is>
          <t>Yuan.Yuan.YY.Chen@cn.ey.com</t>
        </is>
      </c>
      <c r="H526" s="2" t="inlineStr">
        <is>
          <t>Week37 (2027.03.13)</t>
        </is>
      </c>
      <c r="I526" s="2" t="n">
        <v>44.7</v>
      </c>
    </row>
    <row r="527">
      <c r="A527" s="2" t="inlineStr">
        <is>
          <t>HK WAM</t>
        </is>
      </c>
      <c r="B527" s="2" t="inlineStr">
        <is>
          <t>DST Investment Management Limited</t>
        </is>
      </c>
      <c r="C527" s="2" t="inlineStr">
        <is>
          <t>47129679</t>
        </is>
      </c>
      <c r="D527" s="2" t="inlineStr">
        <is>
          <t>AUD2026-12 DST Investment Mgt</t>
        </is>
      </c>
      <c r="E527" s="2" t="inlineStr">
        <is>
          <t>Order47129679- 260814001</t>
        </is>
      </c>
      <c r="F527" s="2" t="inlineStr">
        <is>
          <t>47129679- EDC260814001</t>
        </is>
      </c>
      <c r="G527" s="2" t="inlineStr">
        <is>
          <t>Luna.CD.Zhang@cn.ey.com</t>
        </is>
      </c>
      <c r="H527" s="2" t="inlineStr">
        <is>
          <t>Week37 (2027.03.13)</t>
        </is>
      </c>
      <c r="I527" s="2" t="n">
        <v>9.17</v>
      </c>
    </row>
    <row r="528">
      <c r="A528" s="2" t="inlineStr">
        <is>
          <t>HK WAM</t>
        </is>
      </c>
      <c r="B528" s="2" t="inlineStr">
        <is>
          <t>DST Investment Management Limited</t>
        </is>
      </c>
      <c r="C528" s="2" t="inlineStr">
        <is>
          <t>47129679</t>
        </is>
      </c>
      <c r="D528" s="2" t="inlineStr">
        <is>
          <t>AUD2026-12 DST Investment Mgt</t>
        </is>
      </c>
      <c r="E528" s="2" t="inlineStr">
        <is>
          <t>Order47129679- 260814001</t>
        </is>
      </c>
      <c r="F528" s="2" t="inlineStr">
        <is>
          <t>47129679- EDC260814001</t>
        </is>
      </c>
      <c r="G528" s="2" t="inlineStr">
        <is>
          <t>Marsh.Ma@cn.ey.com</t>
        </is>
      </c>
      <c r="H528" s="2" t="inlineStr">
        <is>
          <t>Week37 (2027.03.13)</t>
        </is>
      </c>
      <c r="I528" s="2" t="n">
        <v>0.27</v>
      </c>
    </row>
    <row r="529">
      <c r="A529" s="2" t="inlineStr">
        <is>
          <t>HK WAM</t>
        </is>
      </c>
      <c r="B529" s="2" t="inlineStr">
        <is>
          <t>DST Investment Management Limited</t>
        </is>
      </c>
      <c r="C529" s="2" t="inlineStr">
        <is>
          <t>47129679</t>
        </is>
      </c>
      <c r="D529" s="2" t="inlineStr">
        <is>
          <t>AUD2026-12 DST Investment Mgt</t>
        </is>
      </c>
      <c r="E529" s="2" t="inlineStr">
        <is>
          <t>Order47129679- 260814001</t>
        </is>
      </c>
      <c r="F529" s="2" t="inlineStr">
        <is>
          <t>47129679- EDC260814001</t>
        </is>
      </c>
      <c r="G529" s="2" t="inlineStr">
        <is>
          <t>Rainbow.MG.Xiao@cn.ey.com</t>
        </is>
      </c>
      <c r="H529" s="2" t="inlineStr">
        <is>
          <t>Week37 (2027.03.13)</t>
        </is>
      </c>
      <c r="I529" s="2" t="n">
        <v>1.88</v>
      </c>
    </row>
    <row r="530">
      <c r="A530" s="2" t="inlineStr">
        <is>
          <t>HK WAM</t>
        </is>
      </c>
      <c r="B530" s="2" t="inlineStr">
        <is>
          <t>DST Investment Management Limited</t>
        </is>
      </c>
      <c r="C530" s="2" t="inlineStr">
        <is>
          <t>47129679</t>
        </is>
      </c>
      <c r="D530" s="2" t="inlineStr">
        <is>
          <t>AUD2026-12 DST Investment Mgt</t>
        </is>
      </c>
      <c r="E530" s="2" t="inlineStr">
        <is>
          <t>Order47129679- 260814001</t>
        </is>
      </c>
      <c r="F530" s="2" t="inlineStr">
        <is>
          <t>47129679- EDC260814001</t>
        </is>
      </c>
      <c r="G530" s="2" t="inlineStr">
        <is>
          <t>Vivi.W.Yang@cn.ey.com</t>
        </is>
      </c>
      <c r="H530" s="2" t="inlineStr">
        <is>
          <t>Week37 (2027.03.13)</t>
        </is>
      </c>
      <c r="I530" s="2" t="n">
        <v>0.74</v>
      </c>
    </row>
    <row r="531">
      <c r="A531" s="2" t="inlineStr">
        <is>
          <t>HK WAM</t>
        </is>
      </c>
      <c r="B531" s="2" t="inlineStr">
        <is>
          <t>E Fund International Holdings Limited</t>
        </is>
      </c>
      <c r="C531" s="2" t="inlineStr">
        <is>
          <t>47129692</t>
        </is>
      </c>
      <c r="D531" s="2" t="inlineStr">
        <is>
          <t>AUD2026-12 E Fund IM</t>
        </is>
      </c>
      <c r="E531" s="2" t="inlineStr">
        <is>
          <t>Order47129692- 260814001</t>
        </is>
      </c>
      <c r="F531" s="2" t="inlineStr">
        <is>
          <t>47129692- EDC260814001</t>
        </is>
      </c>
      <c r="G531" s="2" t="inlineStr">
        <is>
          <t>Luna.CD.Zhang@cn.ey.com</t>
        </is>
      </c>
      <c r="H531" s="2" t="inlineStr">
        <is>
          <t>Week37 (2027.03.13)</t>
        </is>
      </c>
      <c r="I531" s="2" t="n">
        <v>0.72</v>
      </c>
    </row>
    <row r="532">
      <c r="A532" s="2" t="inlineStr">
        <is>
          <t>HK WAM</t>
        </is>
      </c>
      <c r="B532" s="2" t="inlineStr">
        <is>
          <t>E Fund International Holdings Limited</t>
        </is>
      </c>
      <c r="C532" s="2" t="inlineStr">
        <is>
          <t>47129692</t>
        </is>
      </c>
      <c r="D532" s="2" t="inlineStr">
        <is>
          <t>AUD2026-12 E Fund IM</t>
        </is>
      </c>
      <c r="E532" s="2" t="inlineStr">
        <is>
          <t>Order47129692- 260814001</t>
        </is>
      </c>
      <c r="F532" s="2" t="inlineStr">
        <is>
          <t>47129692- EDC260814001</t>
        </is>
      </c>
      <c r="G532" s="2" t="inlineStr">
        <is>
          <t>Marsh.Ma@cn.ey.com</t>
        </is>
      </c>
      <c r="H532" s="2" t="inlineStr">
        <is>
          <t>Week37 (2027.03.13)</t>
        </is>
      </c>
      <c r="I532" s="2" t="n">
        <v>0.08</v>
      </c>
    </row>
    <row r="533">
      <c r="A533" s="2" t="inlineStr">
        <is>
          <t>HK WAM</t>
        </is>
      </c>
      <c r="B533" s="2" t="inlineStr">
        <is>
          <t>E Fund International Holdings Limited</t>
        </is>
      </c>
      <c r="C533" s="2" t="inlineStr">
        <is>
          <t>47129692</t>
        </is>
      </c>
      <c r="D533" s="2" t="inlineStr">
        <is>
          <t>AUD2026-12 E Fund IM</t>
        </is>
      </c>
      <c r="E533" s="2" t="inlineStr">
        <is>
          <t>Order47129692- 260814001</t>
        </is>
      </c>
      <c r="F533" s="2" t="inlineStr">
        <is>
          <t>47129692- EDC260814001</t>
        </is>
      </c>
      <c r="G533" s="2" t="inlineStr">
        <is>
          <t>Vivi.W.Yang@cn.ey.com</t>
        </is>
      </c>
      <c r="H533" s="2" t="inlineStr">
        <is>
          <t>Week37 (2027.03.13)</t>
        </is>
      </c>
      <c r="I533" s="2" t="n">
        <v>0.23</v>
      </c>
    </row>
    <row r="534">
      <c r="A534" s="2" t="inlineStr">
        <is>
          <t>HK WAM</t>
        </is>
      </c>
      <c r="B534" s="2" t="inlineStr">
        <is>
          <t>SHINKA CAPITAL MANAGEMENT LIMITED</t>
        </is>
      </c>
      <c r="C534" s="2" t="inlineStr">
        <is>
          <t>47129702</t>
        </is>
      </c>
      <c r="D534" s="2" t="inlineStr">
        <is>
          <t>AUD2026-12 Shinka Capital</t>
        </is>
      </c>
      <c r="E534" s="2" t="inlineStr">
        <is>
          <t>Order47129702- 260814001</t>
        </is>
      </c>
      <c r="F534" s="2" t="inlineStr">
        <is>
          <t>47129702- EDC260814001</t>
        </is>
      </c>
      <c r="G534" s="2" t="inlineStr">
        <is>
          <t>Marsh.Ma@cn.ey.com</t>
        </is>
      </c>
      <c r="H534" s="2" t="inlineStr">
        <is>
          <t>Week37 (2027.03.13)</t>
        </is>
      </c>
      <c r="I534" s="2" t="n">
        <v>0.21</v>
      </c>
    </row>
    <row r="535">
      <c r="A535" s="2" t="inlineStr">
        <is>
          <t>HK WAM</t>
        </is>
      </c>
      <c r="B535" s="2" t="inlineStr">
        <is>
          <t>SHINKA CAPITAL MANAGEMENT LIMITED</t>
        </is>
      </c>
      <c r="C535" s="2" t="inlineStr">
        <is>
          <t>47129702</t>
        </is>
      </c>
      <c r="D535" s="2" t="inlineStr">
        <is>
          <t>AUD2026-12 Shinka Capital</t>
        </is>
      </c>
      <c r="E535" s="2" t="inlineStr">
        <is>
          <t>Order47129702- 260814001</t>
        </is>
      </c>
      <c r="F535" s="2" t="inlineStr">
        <is>
          <t>47129702- EDC260814001</t>
        </is>
      </c>
      <c r="G535" s="2" t="inlineStr">
        <is>
          <t>Rainbow.MG.Xiao@cn.ey.com</t>
        </is>
      </c>
      <c r="H535" s="2" t="inlineStr">
        <is>
          <t>Week37 (2027.03.13)</t>
        </is>
      </c>
      <c r="I535" s="2" t="n">
        <v>8.539999999999999</v>
      </c>
    </row>
    <row r="536">
      <c r="A536" s="2" t="inlineStr">
        <is>
          <t>HK WAM</t>
        </is>
      </c>
      <c r="B536" s="2" t="inlineStr">
        <is>
          <t>SHINKA CAPITAL MANAGEMENT LIMITED</t>
        </is>
      </c>
      <c r="C536" s="2" t="inlineStr">
        <is>
          <t>47129702</t>
        </is>
      </c>
      <c r="D536" s="2" t="inlineStr">
        <is>
          <t>AUD2026-12 Shinka Capital</t>
        </is>
      </c>
      <c r="E536" s="2" t="inlineStr">
        <is>
          <t>Order47129702- 260814001</t>
        </is>
      </c>
      <c r="F536" s="2" t="inlineStr">
        <is>
          <t>47129702- EDC260814001</t>
        </is>
      </c>
      <c r="G536" s="2" t="inlineStr">
        <is>
          <t>Vivi.W.Yang@cn.ey.com</t>
        </is>
      </c>
      <c r="H536" s="2" t="inlineStr">
        <is>
          <t>Week37 (2027.03.13)</t>
        </is>
      </c>
      <c r="I536" s="2" t="n">
        <v>0.57</v>
      </c>
    </row>
    <row r="537">
      <c r="A537" s="2" t="inlineStr">
        <is>
          <t>HK WAM</t>
        </is>
      </c>
      <c r="B537" s="2" t="inlineStr">
        <is>
          <t>Boyu Capital Advisory Co. Limited</t>
        </is>
      </c>
      <c r="C537" s="2" t="inlineStr">
        <is>
          <t>47129715</t>
        </is>
      </c>
      <c r="D537" s="2" t="inlineStr">
        <is>
          <t>AUD2026-12 BOYU CAPITAL FUND</t>
        </is>
      </c>
      <c r="E537" s="2" t="inlineStr">
        <is>
          <t>Order47129715- 260814001</t>
        </is>
      </c>
      <c r="F537" s="2" t="inlineStr">
        <is>
          <t>47129715- EDC260814001</t>
        </is>
      </c>
      <c r="G537" s="2" t="inlineStr">
        <is>
          <t>Luna.CD.Zhang@cn.ey.com</t>
        </is>
      </c>
      <c r="H537" s="2" t="inlineStr">
        <is>
          <t>Week37 (2027.03.13)</t>
        </is>
      </c>
      <c r="I537" s="2" t="n">
        <v>1.99</v>
      </c>
    </row>
    <row r="538">
      <c r="A538" s="2" t="inlineStr">
        <is>
          <t>HK WAM</t>
        </is>
      </c>
      <c r="B538" s="2" t="inlineStr">
        <is>
          <t>Boyu Capital Advisory Co. Limited</t>
        </is>
      </c>
      <c r="C538" s="2" t="inlineStr">
        <is>
          <t>47129715</t>
        </is>
      </c>
      <c r="D538" s="2" t="inlineStr">
        <is>
          <t>AUD2026-12 BOYU CAPITAL FUND</t>
        </is>
      </c>
      <c r="E538" s="2" t="inlineStr">
        <is>
          <t>Order47129715- 260814001</t>
        </is>
      </c>
      <c r="F538" s="2" t="inlineStr">
        <is>
          <t>47129715- EDC260814001</t>
        </is>
      </c>
      <c r="G538" s="2" t="inlineStr">
        <is>
          <t>Marsh.Ma@cn.ey.com</t>
        </is>
      </c>
      <c r="H538" s="2" t="inlineStr">
        <is>
          <t>Week37 (2027.03.13)</t>
        </is>
      </c>
      <c r="I538" s="2" t="n">
        <v>0.23</v>
      </c>
    </row>
    <row r="539">
      <c r="A539" s="2" t="inlineStr">
        <is>
          <t>HK WAM</t>
        </is>
      </c>
      <c r="B539" s="2" t="inlineStr">
        <is>
          <t>Boyu Capital Advisory Co. Limited</t>
        </is>
      </c>
      <c r="C539" s="2" t="inlineStr">
        <is>
          <t>47129715</t>
        </is>
      </c>
      <c r="D539" s="2" t="inlineStr">
        <is>
          <t>AUD2026-12 BOYU CAPITAL FUND</t>
        </is>
      </c>
      <c r="E539" s="2" t="inlineStr">
        <is>
          <t>Order47129715- 260814001</t>
        </is>
      </c>
      <c r="F539" s="2" t="inlineStr">
        <is>
          <t>47129715- EDC260814001</t>
        </is>
      </c>
      <c r="G539" s="2" t="inlineStr">
        <is>
          <t>Vivi.W.Yang@cn.ey.com</t>
        </is>
      </c>
      <c r="H539" s="2" t="inlineStr">
        <is>
          <t>Week37 (2027.03.13)</t>
        </is>
      </c>
      <c r="I539" s="2" t="n">
        <v>0.63</v>
      </c>
    </row>
    <row r="540">
      <c r="A540" s="2" t="inlineStr">
        <is>
          <t>海信</t>
        </is>
      </c>
      <c r="B540" s="2" t="inlineStr">
        <is>
          <t>Hisense Group Holdings Co., Ltd.</t>
        </is>
      </c>
      <c r="C540" s="2" t="inlineStr">
        <is>
          <t>47115559</t>
        </is>
      </c>
      <c r="D540" s="2" t="inlineStr">
        <is>
          <t>IPO2026-03 Project Voyage_CN</t>
        </is>
      </c>
      <c r="E540" s="2" t="inlineStr">
        <is>
          <t>Order47115559- 260729002</t>
        </is>
      </c>
      <c r="F540" s="2" t="inlineStr">
        <is>
          <t>47115559- EDC260729001</t>
        </is>
      </c>
      <c r="G540" s="2" t="inlineStr">
        <is>
          <t>Luna.CD.Zhang@cn.ey.com</t>
        </is>
      </c>
      <c r="H540" s="2" t="inlineStr">
        <is>
          <t>Week38 (2027.03.20)</t>
        </is>
      </c>
      <c r="I540" s="2" t="n">
        <v>21.39</v>
      </c>
    </row>
    <row r="541">
      <c r="A541" s="2" t="inlineStr">
        <is>
          <t>海信</t>
        </is>
      </c>
      <c r="B541" s="2" t="inlineStr">
        <is>
          <t>Hisense Group Holdings Co., Ltd.</t>
        </is>
      </c>
      <c r="C541" s="2" t="inlineStr">
        <is>
          <t>47115559</t>
        </is>
      </c>
      <c r="D541" s="2" t="inlineStr">
        <is>
          <t>IPO2026-03 Project Voyage_CN</t>
        </is>
      </c>
      <c r="E541" s="2" t="inlineStr">
        <is>
          <t>Order47115559- 260729002</t>
        </is>
      </c>
      <c r="F541" s="2" t="inlineStr">
        <is>
          <t>47115559- EDC260729001</t>
        </is>
      </c>
      <c r="G541" s="2" t="inlineStr">
        <is>
          <t>Marsh.Ma@cn.ey.com</t>
        </is>
      </c>
      <c r="H541" s="2" t="inlineStr">
        <is>
          <t>Week38 (2027.03.20)</t>
        </is>
      </c>
      <c r="I541" s="2" t="n">
        <v>2.44</v>
      </c>
    </row>
    <row r="542">
      <c r="A542" s="2" t="inlineStr">
        <is>
          <t>海信</t>
        </is>
      </c>
      <c r="B542" s="2" t="inlineStr">
        <is>
          <t>Hisense Group Holdings Co., Ltd.</t>
        </is>
      </c>
      <c r="C542" s="2" t="inlineStr">
        <is>
          <t>47115559</t>
        </is>
      </c>
      <c r="D542" s="2" t="inlineStr">
        <is>
          <t>IPO2026-03 Project Voyage_CN</t>
        </is>
      </c>
      <c r="E542" s="2" t="inlineStr">
        <is>
          <t>Order47115559- 260729002</t>
        </is>
      </c>
      <c r="F542" s="2" t="inlineStr">
        <is>
          <t>47115559- EDC260729001</t>
        </is>
      </c>
      <c r="G542" s="2" t="inlineStr">
        <is>
          <t>Vivi.W.Yang@cn.ey.com</t>
        </is>
      </c>
      <c r="H542" s="2" t="inlineStr">
        <is>
          <t>Week38 (2027.03.20)</t>
        </is>
      </c>
      <c r="I542" s="2" t="n">
        <v>6.72</v>
      </c>
    </row>
    <row r="543">
      <c r="A543" s="2" t="inlineStr">
        <is>
          <t>公募</t>
        </is>
      </c>
      <c r="B543" s="2" t="inlineStr">
        <is>
          <t>Hang Seng Qianhai Fund Management Company Limited</t>
        </is>
      </c>
      <c r="C543" s="2" t="inlineStr">
        <is>
          <t>47128633</t>
        </is>
      </c>
      <c r="D543" s="2" t="inlineStr">
        <is>
          <t>AUD2026-12 HSQH Funds</t>
        </is>
      </c>
      <c r="E543" s="2" t="inlineStr">
        <is>
          <t>Order47128633- 260501004</t>
        </is>
      </c>
      <c r="F543" s="2" t="inlineStr">
        <is>
          <t>47128633- EDC260501001</t>
        </is>
      </c>
      <c r="G543" s="2" t="inlineStr">
        <is>
          <t>Marsh.Ma@cn.ey.com</t>
        </is>
      </c>
      <c r="H543" s="2" t="inlineStr">
        <is>
          <t>Week38 (2027.03.20)</t>
        </is>
      </c>
      <c r="I543" s="2" t="n">
        <v>0.73</v>
      </c>
    </row>
    <row r="544">
      <c r="A544" s="2" t="inlineStr">
        <is>
          <t>公募</t>
        </is>
      </c>
      <c r="B544" s="2" t="inlineStr">
        <is>
          <t>Hang Seng Qianhai Fund Management Company Limited</t>
        </is>
      </c>
      <c r="C544" s="2" t="inlineStr">
        <is>
          <t>47128633</t>
        </is>
      </c>
      <c r="D544" s="2" t="inlineStr">
        <is>
          <t>AUD2026-12 HSQH Funds</t>
        </is>
      </c>
      <c r="E544" s="2" t="inlineStr">
        <is>
          <t>Order47128633- 260501004</t>
        </is>
      </c>
      <c r="F544" s="2" t="inlineStr">
        <is>
          <t>47128633- EDC260501001</t>
        </is>
      </c>
      <c r="G544" s="2" t="inlineStr">
        <is>
          <t>Yuan.Yuan.YY.Chen@cn.ey.com</t>
        </is>
      </c>
      <c r="H544" s="2" t="inlineStr">
        <is>
          <t>Week38 (2027.03.20)</t>
        </is>
      </c>
      <c r="I544" s="2" t="n">
        <v>8.359999999999999</v>
      </c>
    </row>
    <row r="545">
      <c r="A545" s="2" t="inlineStr">
        <is>
          <t>HK WAM</t>
        </is>
      </c>
      <c r="B545" s="2" t="inlineStr">
        <is>
          <t>Taikang Asset Management (Hong Kong) Company Limited</t>
        </is>
      </c>
      <c r="C545" s="2" t="inlineStr">
        <is>
          <t>47129130</t>
        </is>
      </c>
      <c r="D545" s="2" t="inlineStr">
        <is>
          <t>AUD2026-12 Taikang HK Comps</t>
        </is>
      </c>
      <c r="E545" s="2" t="inlineStr">
        <is>
          <t>Order47129130- 260814001</t>
        </is>
      </c>
      <c r="F545" s="2" t="inlineStr">
        <is>
          <t>47129130- EDC260814001</t>
        </is>
      </c>
      <c r="G545" s="2" t="inlineStr">
        <is>
          <t>Luna.CD.Zhang@cn.ey.com</t>
        </is>
      </c>
      <c r="H545" s="2" t="inlineStr">
        <is>
          <t>Week38 (2027.03.20)</t>
        </is>
      </c>
      <c r="I545" s="2" t="n">
        <v>1.81</v>
      </c>
    </row>
    <row r="546">
      <c r="A546" s="2" t="inlineStr">
        <is>
          <t>HK WAM</t>
        </is>
      </c>
      <c r="B546" s="2" t="inlineStr">
        <is>
          <t>Taikang Asset Management (Hong Kong) Company Limited</t>
        </is>
      </c>
      <c r="C546" s="2" t="inlineStr">
        <is>
          <t>47129130</t>
        </is>
      </c>
      <c r="D546" s="2" t="inlineStr">
        <is>
          <t>AUD2026-12 Taikang HK Comps</t>
        </is>
      </c>
      <c r="E546" s="2" t="inlineStr">
        <is>
          <t>Order47129130- 260814001</t>
        </is>
      </c>
      <c r="F546" s="2" t="inlineStr">
        <is>
          <t>47129130- EDC260814001</t>
        </is>
      </c>
      <c r="G546" s="2" t="inlineStr">
        <is>
          <t>Marsh.Ma@cn.ey.com</t>
        </is>
      </c>
      <c r="H546" s="2" t="inlineStr">
        <is>
          <t>Week38 (2027.03.20)</t>
        </is>
      </c>
      <c r="I546" s="2" t="n">
        <v>0.21</v>
      </c>
    </row>
    <row r="547">
      <c r="A547" s="2" t="inlineStr">
        <is>
          <t>HK WAM</t>
        </is>
      </c>
      <c r="B547" s="2" t="inlineStr">
        <is>
          <t>Taikang Asset Management (Hong Kong) Company Limited</t>
        </is>
      </c>
      <c r="C547" s="2" t="inlineStr">
        <is>
          <t>47129130</t>
        </is>
      </c>
      <c r="D547" s="2" t="inlineStr">
        <is>
          <t>AUD2026-12 Taikang HK Comps</t>
        </is>
      </c>
      <c r="E547" s="2" t="inlineStr">
        <is>
          <t>Order47129130- 260814001</t>
        </is>
      </c>
      <c r="F547" s="2" t="inlineStr">
        <is>
          <t>47129130- EDC260814001</t>
        </is>
      </c>
      <c r="G547" s="2" t="inlineStr">
        <is>
          <t>Vivi.W.Yang@cn.ey.com</t>
        </is>
      </c>
      <c r="H547" s="2" t="inlineStr">
        <is>
          <t>Week38 (2027.03.20)</t>
        </is>
      </c>
      <c r="I547" s="2" t="n">
        <v>0.57</v>
      </c>
    </row>
    <row r="548">
      <c r="A548" s="2" t="inlineStr">
        <is>
          <t>HK WAM</t>
        </is>
      </c>
      <c r="B548" s="2" t="inlineStr">
        <is>
          <t>HashKey Capital Limited</t>
        </is>
      </c>
      <c r="C548" s="2" t="inlineStr">
        <is>
          <t>47129402</t>
        </is>
      </c>
      <c r="D548" s="2" t="inlineStr">
        <is>
          <t>AUD2026-12 Hashkey OFC Funds</t>
        </is>
      </c>
      <c r="E548" s="2" t="inlineStr">
        <is>
          <t>Order47129402- 260829001</t>
        </is>
      </c>
      <c r="F548" s="2" t="inlineStr">
        <is>
          <t>47129402- EDC260829001</t>
        </is>
      </c>
      <c r="G548" s="2" t="inlineStr">
        <is>
          <t>Luna.CD.Zhang@cn.ey.com</t>
        </is>
      </c>
      <c r="H548" s="2" t="inlineStr">
        <is>
          <t>Week38 (2027.03.20)</t>
        </is>
      </c>
      <c r="I548" s="2" t="n">
        <v>9.199999999999999</v>
      </c>
    </row>
    <row r="549">
      <c r="A549" s="2" t="inlineStr">
        <is>
          <t>HK WAM</t>
        </is>
      </c>
      <c r="B549" s="2" t="inlineStr">
        <is>
          <t>HashKey Capital Limited</t>
        </is>
      </c>
      <c r="C549" s="2" t="inlineStr">
        <is>
          <t>47129402</t>
        </is>
      </c>
      <c r="D549" s="2" t="inlineStr">
        <is>
          <t>AUD2026-12 Hashkey OFC Funds</t>
        </is>
      </c>
      <c r="E549" s="2" t="inlineStr">
        <is>
          <t>Order47129402- 260829001</t>
        </is>
      </c>
      <c r="F549" s="2" t="inlineStr">
        <is>
          <t>47129402- EDC260829001</t>
        </is>
      </c>
      <c r="G549" s="2" t="inlineStr">
        <is>
          <t>Marsh.Ma@cn.ey.com</t>
        </is>
      </c>
      <c r="H549" s="2" t="inlineStr">
        <is>
          <t>Week38 (2027.03.20)</t>
        </is>
      </c>
      <c r="I549" s="2" t="n">
        <v>1.05</v>
      </c>
    </row>
    <row r="550">
      <c r="A550" s="2" t="inlineStr">
        <is>
          <t>HK WAM</t>
        </is>
      </c>
      <c r="B550" s="2" t="inlineStr">
        <is>
          <t>HashKey Capital Limited</t>
        </is>
      </c>
      <c r="C550" s="2" t="inlineStr">
        <is>
          <t>47129402</t>
        </is>
      </c>
      <c r="D550" s="2" t="inlineStr">
        <is>
          <t>AUD2026-12 Hashkey OFC Funds</t>
        </is>
      </c>
      <c r="E550" s="2" t="inlineStr">
        <is>
          <t>Order47129402- 260829001</t>
        </is>
      </c>
      <c r="F550" s="2" t="inlineStr">
        <is>
          <t>47129402- EDC260829001</t>
        </is>
      </c>
      <c r="G550" s="2" t="inlineStr">
        <is>
          <t>Vivi.W.Yang@cn.ey.com</t>
        </is>
      </c>
      <c r="H550" s="2" t="inlineStr">
        <is>
          <t>Week38 (2027.03.20)</t>
        </is>
      </c>
      <c r="I550" s="2" t="n">
        <v>2.89</v>
      </c>
    </row>
    <row r="551">
      <c r="A551" s="2" t="inlineStr">
        <is>
          <t>HK WAM</t>
        </is>
      </c>
      <c r="B551" s="2" t="inlineStr">
        <is>
          <t>Ortus Capital Management Limited</t>
        </is>
      </c>
      <c r="C551" s="2" t="inlineStr">
        <is>
          <t>47129432</t>
        </is>
      </c>
      <c r="D551" s="2" t="inlineStr">
        <is>
          <t>AUD2026-12 OCML HK</t>
        </is>
      </c>
      <c r="E551" s="2" t="inlineStr">
        <is>
          <t>Order47129432- 260812001</t>
        </is>
      </c>
      <c r="F551" s="2" t="inlineStr">
        <is>
          <t>47129432- EDC260812001</t>
        </is>
      </c>
      <c r="G551" s="2" t="inlineStr">
        <is>
          <t>Luna.CD.Zhang@cn.ey.com</t>
        </is>
      </c>
      <c r="H551" s="2" t="inlineStr">
        <is>
          <t>Week38 (2027.03.20)</t>
        </is>
      </c>
      <c r="I551" s="2" t="n">
        <v>1.83</v>
      </c>
    </row>
    <row r="552">
      <c r="A552" s="2" t="inlineStr">
        <is>
          <t>HK WAM</t>
        </is>
      </c>
      <c r="B552" s="2" t="inlineStr">
        <is>
          <t>Ortus Capital Management Limited</t>
        </is>
      </c>
      <c r="C552" s="2" t="inlineStr">
        <is>
          <t>47129432</t>
        </is>
      </c>
      <c r="D552" s="2" t="inlineStr">
        <is>
          <t>AUD2026-12 OCML HK</t>
        </is>
      </c>
      <c r="E552" s="2" t="inlineStr">
        <is>
          <t>Order47129432- 260812001</t>
        </is>
      </c>
      <c r="F552" s="2" t="inlineStr">
        <is>
          <t>47129432- EDC260812001</t>
        </is>
      </c>
      <c r="G552" s="2" t="inlineStr">
        <is>
          <t>Marsh.Ma@cn.ey.com</t>
        </is>
      </c>
      <c r="H552" s="2" t="inlineStr">
        <is>
          <t>Week38 (2027.03.20)</t>
        </is>
      </c>
      <c r="I552" s="2" t="n">
        <v>0.21</v>
      </c>
    </row>
    <row r="553">
      <c r="A553" s="2" t="inlineStr">
        <is>
          <t>HK WAM</t>
        </is>
      </c>
      <c r="B553" s="2" t="inlineStr">
        <is>
          <t>Ortus Capital Management Limited</t>
        </is>
      </c>
      <c r="C553" s="2" t="inlineStr">
        <is>
          <t>47129432</t>
        </is>
      </c>
      <c r="D553" s="2" t="inlineStr">
        <is>
          <t>AUD2026-12 OCML HK</t>
        </is>
      </c>
      <c r="E553" s="2" t="inlineStr">
        <is>
          <t>Order47129432- 260812001</t>
        </is>
      </c>
      <c r="F553" s="2" t="inlineStr">
        <is>
          <t>47129432- EDC260812001</t>
        </is>
      </c>
      <c r="G553" s="2" t="inlineStr">
        <is>
          <t>Vivi.W.Yang@cn.ey.com</t>
        </is>
      </c>
      <c r="H553" s="2" t="inlineStr">
        <is>
          <t>Week38 (2027.03.20)</t>
        </is>
      </c>
      <c r="I553" s="2" t="n">
        <v>0.58</v>
      </c>
    </row>
    <row r="554">
      <c r="A554" s="2" t="inlineStr">
        <is>
          <t>HK WAM</t>
        </is>
      </c>
      <c r="B554" s="2" t="inlineStr">
        <is>
          <t>COS-Capital Hong Kong International Co. Limited</t>
        </is>
      </c>
      <c r="C554" s="2" t="inlineStr">
        <is>
          <t>47129459</t>
        </is>
      </c>
      <c r="D554" s="2" t="inlineStr">
        <is>
          <t>AUD2026-12 COS-CAPITAL HK INTL</t>
        </is>
      </c>
      <c r="E554" s="2" t="inlineStr">
        <is>
          <t>Order47129459- 260812001</t>
        </is>
      </c>
      <c r="F554" s="2" t="inlineStr">
        <is>
          <t>47129459- EDC260812001</t>
        </is>
      </c>
      <c r="G554" s="2" t="inlineStr">
        <is>
          <t>Luna.CD.Zhang@cn.ey.com</t>
        </is>
      </c>
      <c r="H554" s="2" t="inlineStr">
        <is>
          <t>Week38 (2027.03.20)</t>
        </is>
      </c>
      <c r="I554" s="2" t="n">
        <v>2</v>
      </c>
    </row>
    <row r="555">
      <c r="A555" s="2" t="inlineStr">
        <is>
          <t>HK WAM</t>
        </is>
      </c>
      <c r="B555" s="2" t="inlineStr">
        <is>
          <t>COS-Capital Hong Kong International Co. Limited</t>
        </is>
      </c>
      <c r="C555" s="2" t="inlineStr">
        <is>
          <t>47129459</t>
        </is>
      </c>
      <c r="D555" s="2" t="inlineStr">
        <is>
          <t>AUD2026-12 COS-CAPITAL HK INTL</t>
        </is>
      </c>
      <c r="E555" s="2" t="inlineStr">
        <is>
          <t>Order47129459- 260812001</t>
        </is>
      </c>
      <c r="F555" s="2" t="inlineStr">
        <is>
          <t>47129459- EDC260812001</t>
        </is>
      </c>
      <c r="G555" s="2" t="inlineStr">
        <is>
          <t>Marsh.Ma@cn.ey.com</t>
        </is>
      </c>
      <c r="H555" s="2" t="inlineStr">
        <is>
          <t>Week38 (2027.03.20)</t>
        </is>
      </c>
      <c r="I555" s="2" t="n">
        <v>0.23</v>
      </c>
    </row>
    <row r="556">
      <c r="A556" s="2" t="inlineStr">
        <is>
          <t>HK WAM</t>
        </is>
      </c>
      <c r="B556" s="2" t="inlineStr">
        <is>
          <t>COS-Capital Hong Kong International Co. Limited</t>
        </is>
      </c>
      <c r="C556" s="2" t="inlineStr">
        <is>
          <t>47129459</t>
        </is>
      </c>
      <c r="D556" s="2" t="inlineStr">
        <is>
          <t>AUD2026-12 COS-CAPITAL HK INTL</t>
        </is>
      </c>
      <c r="E556" s="2" t="inlineStr">
        <is>
          <t>Order47129459- 260812001</t>
        </is>
      </c>
      <c r="F556" s="2" t="inlineStr">
        <is>
          <t>47129459- EDC260812001</t>
        </is>
      </c>
      <c r="G556" s="2" t="inlineStr">
        <is>
          <t>Vivi.W.Yang@cn.ey.com</t>
        </is>
      </c>
      <c r="H556" s="2" t="inlineStr">
        <is>
          <t>Week38 (2027.03.20)</t>
        </is>
      </c>
      <c r="I556" s="2" t="n">
        <v>0.63</v>
      </c>
    </row>
    <row r="557">
      <c r="A557" s="2" t="inlineStr">
        <is>
          <t>ICBC</t>
        </is>
      </c>
      <c r="B557" s="2" t="inlineStr">
        <is>
          <t>Industrial And Commercial Bank of China (Asia) Limited</t>
        </is>
      </c>
      <c r="C557" s="2" t="inlineStr">
        <is>
          <t>47129548</t>
        </is>
      </c>
      <c r="D557" s="2" t="inlineStr">
        <is>
          <t>AUD2026-12 ICBCA</t>
        </is>
      </c>
      <c r="E557" s="2" t="inlineStr">
        <is>
          <t>Order47129548- 260501002</t>
        </is>
      </c>
      <c r="F557" s="2" t="inlineStr">
        <is>
          <t>47129548- EDC260501001</t>
        </is>
      </c>
      <c r="G557" s="2" t="inlineStr">
        <is>
          <t>Marsh.Ma@cn.ey.com</t>
        </is>
      </c>
      <c r="H557" s="2" t="inlineStr">
        <is>
          <t>Week38 (2027.03.20)</t>
        </is>
      </c>
      <c r="I557" s="2" t="n">
        <v>5.11</v>
      </c>
    </row>
    <row r="558">
      <c r="A558" s="2" t="inlineStr">
        <is>
          <t>ICBC</t>
        </is>
      </c>
      <c r="B558" s="2" t="inlineStr">
        <is>
          <t>Industrial And Commercial Bank of China (Asia) Limited</t>
        </is>
      </c>
      <c r="C558" s="2" t="inlineStr">
        <is>
          <t>47129548</t>
        </is>
      </c>
      <c r="D558" s="2" t="inlineStr">
        <is>
          <t>AUD2026-12 ICBCA</t>
        </is>
      </c>
      <c r="E558" s="2" t="inlineStr">
        <is>
          <t>Order47129548- 260501002</t>
        </is>
      </c>
      <c r="F558" s="2" t="inlineStr">
        <is>
          <t>47129548- EDC260501001</t>
        </is>
      </c>
      <c r="G558" s="2" t="inlineStr">
        <is>
          <t>Vivi.W.Yang@cn.ey.com</t>
        </is>
      </c>
      <c r="H558" s="2" t="inlineStr">
        <is>
          <t>Week38 (2027.03.20)</t>
        </is>
      </c>
      <c r="I558" s="2" t="n">
        <v>14.05</v>
      </c>
    </row>
    <row r="559">
      <c r="A559" s="2" t="inlineStr">
        <is>
          <t>ICBC</t>
        </is>
      </c>
      <c r="B559" s="2" t="inlineStr">
        <is>
          <t>Industrial And Commercial Bank of China (Asia) Limited</t>
        </is>
      </c>
      <c r="C559" s="2" t="inlineStr">
        <is>
          <t>47129548</t>
        </is>
      </c>
      <c r="D559" s="2" t="inlineStr">
        <is>
          <t>AUD2026-12 ICBCA</t>
        </is>
      </c>
      <c r="E559" s="2" t="inlineStr">
        <is>
          <t>Order47129548- 260501002</t>
        </is>
      </c>
      <c r="F559" s="2" t="inlineStr">
        <is>
          <t>47129548- EDC260501001</t>
        </is>
      </c>
      <c r="G559" s="2" t="inlineStr">
        <is>
          <t>Yuan.Yuan.YY.Chen@cn.ey.com</t>
        </is>
      </c>
      <c r="H559" s="2" t="inlineStr">
        <is>
          <t>Week38 (2027.03.20)</t>
        </is>
      </c>
      <c r="I559" s="2" t="n">
        <v>44.7</v>
      </c>
    </row>
    <row r="560">
      <c r="A560" s="2" t="inlineStr">
        <is>
          <t>HK WAM</t>
        </is>
      </c>
      <c r="B560" s="2" t="inlineStr">
        <is>
          <t>DST Investment Management Limited</t>
        </is>
      </c>
      <c r="C560" s="2" t="inlineStr">
        <is>
          <t>47129679</t>
        </is>
      </c>
      <c r="D560" s="2" t="inlineStr">
        <is>
          <t>AUD2026-12 DST Investment Mgt</t>
        </is>
      </c>
      <c r="E560" s="2" t="inlineStr">
        <is>
          <t>Order47129679- 260814001</t>
        </is>
      </c>
      <c r="F560" s="2" t="inlineStr">
        <is>
          <t>47129679- EDC260814001</t>
        </is>
      </c>
      <c r="G560" s="2" t="inlineStr">
        <is>
          <t>Luna.CD.Zhang@cn.ey.com</t>
        </is>
      </c>
      <c r="H560" s="2" t="inlineStr">
        <is>
          <t>Week38 (2027.03.20)</t>
        </is>
      </c>
      <c r="I560" s="2" t="n">
        <v>2.34</v>
      </c>
    </row>
    <row r="561">
      <c r="A561" s="2" t="inlineStr">
        <is>
          <t>HK WAM</t>
        </is>
      </c>
      <c r="B561" s="2" t="inlineStr">
        <is>
          <t>DST Investment Management Limited</t>
        </is>
      </c>
      <c r="C561" s="2" t="inlineStr">
        <is>
          <t>47129679</t>
        </is>
      </c>
      <c r="D561" s="2" t="inlineStr">
        <is>
          <t>AUD2026-12 DST Investment Mgt</t>
        </is>
      </c>
      <c r="E561" s="2" t="inlineStr">
        <is>
          <t>Order47129679- 260814001</t>
        </is>
      </c>
      <c r="F561" s="2" t="inlineStr">
        <is>
          <t>47129679- EDC260814001</t>
        </is>
      </c>
      <c r="G561" s="2" t="inlineStr">
        <is>
          <t>Marsh.Ma@cn.ey.com</t>
        </is>
      </c>
      <c r="H561" s="2" t="inlineStr">
        <is>
          <t>Week38 (2027.03.20)</t>
        </is>
      </c>
      <c r="I561" s="2" t="n">
        <v>0.27</v>
      </c>
    </row>
    <row r="562">
      <c r="A562" s="2" t="inlineStr">
        <is>
          <t>HK WAM</t>
        </is>
      </c>
      <c r="B562" s="2" t="inlineStr">
        <is>
          <t>DST Investment Management Limited</t>
        </is>
      </c>
      <c r="C562" s="2" t="inlineStr">
        <is>
          <t>47129679</t>
        </is>
      </c>
      <c r="D562" s="2" t="inlineStr">
        <is>
          <t>AUD2026-12 DST Investment Mgt</t>
        </is>
      </c>
      <c r="E562" s="2" t="inlineStr">
        <is>
          <t>Order47129679- 260814001</t>
        </is>
      </c>
      <c r="F562" s="2" t="inlineStr">
        <is>
          <t>47129679- EDC260814001</t>
        </is>
      </c>
      <c r="G562" s="2" t="inlineStr">
        <is>
          <t>Vivi.W.Yang@cn.ey.com</t>
        </is>
      </c>
      <c r="H562" s="2" t="inlineStr">
        <is>
          <t>Week38 (2027.03.20)</t>
        </is>
      </c>
      <c r="I562" s="2" t="n">
        <v>0.74</v>
      </c>
    </row>
    <row r="563">
      <c r="A563" s="2" t="inlineStr">
        <is>
          <t>HK WAM</t>
        </is>
      </c>
      <c r="B563" s="2" t="inlineStr">
        <is>
          <t>E Fund International Holdings Limited</t>
        </is>
      </c>
      <c r="C563" s="2" t="inlineStr">
        <is>
          <t>47129692</t>
        </is>
      </c>
      <c r="D563" s="2" t="inlineStr">
        <is>
          <t>AUD2026-12 E Fund IM</t>
        </is>
      </c>
      <c r="E563" s="2" t="inlineStr">
        <is>
          <t>Order47129692- 260814001</t>
        </is>
      </c>
      <c r="F563" s="2" t="inlineStr">
        <is>
          <t>47129692- EDC260814001</t>
        </is>
      </c>
      <c r="G563" s="2" t="inlineStr">
        <is>
          <t>Luna.CD.Zhang@cn.ey.com</t>
        </is>
      </c>
      <c r="H563" s="2" t="inlineStr">
        <is>
          <t>Week38 (2027.03.20)</t>
        </is>
      </c>
      <c r="I563" s="2" t="n">
        <v>0.1</v>
      </c>
    </row>
    <row r="564">
      <c r="A564" s="2" t="inlineStr">
        <is>
          <t>HK WAM</t>
        </is>
      </c>
      <c r="B564" s="2" t="inlineStr">
        <is>
          <t>E Fund International Holdings Limited</t>
        </is>
      </c>
      <c r="C564" s="2" t="inlineStr">
        <is>
          <t>47129692</t>
        </is>
      </c>
      <c r="D564" s="2" t="inlineStr">
        <is>
          <t>AUD2026-12 E Fund IM</t>
        </is>
      </c>
      <c r="E564" s="2" t="inlineStr">
        <is>
          <t>Order47129692- 260814001</t>
        </is>
      </c>
      <c r="F564" s="2" t="inlineStr">
        <is>
          <t>47129692- EDC260814001</t>
        </is>
      </c>
      <c r="G564" s="2" t="inlineStr">
        <is>
          <t>Marsh.Ma@cn.ey.com</t>
        </is>
      </c>
      <c r="H564" s="2" t="inlineStr">
        <is>
          <t>Week38 (2027.03.20)</t>
        </is>
      </c>
      <c r="I564" s="2" t="n">
        <v>0.01</v>
      </c>
    </row>
    <row r="565">
      <c r="A565" s="2" t="inlineStr">
        <is>
          <t>HK WAM</t>
        </is>
      </c>
      <c r="B565" s="2" t="inlineStr">
        <is>
          <t>E Fund International Holdings Limited</t>
        </is>
      </c>
      <c r="C565" s="2" t="inlineStr">
        <is>
          <t>47129692</t>
        </is>
      </c>
      <c r="D565" s="2" t="inlineStr">
        <is>
          <t>AUD2026-12 E Fund IM</t>
        </is>
      </c>
      <c r="E565" s="2" t="inlineStr">
        <is>
          <t>Order47129692- 260814001</t>
        </is>
      </c>
      <c r="F565" s="2" t="inlineStr">
        <is>
          <t>47129692- EDC260814001</t>
        </is>
      </c>
      <c r="G565" s="2" t="inlineStr">
        <is>
          <t>Vivi.W.Yang@cn.ey.com</t>
        </is>
      </c>
      <c r="H565" s="2" t="inlineStr">
        <is>
          <t>Week38 (2027.03.20)</t>
        </is>
      </c>
      <c r="I565" s="2" t="n">
        <v>0.03</v>
      </c>
    </row>
    <row r="566">
      <c r="A566" s="2" t="inlineStr">
        <is>
          <t>HK WAM</t>
        </is>
      </c>
      <c r="B566" s="2" t="inlineStr">
        <is>
          <t>SHINKA CAPITAL MANAGEMENT LIMITED</t>
        </is>
      </c>
      <c r="C566" s="2" t="inlineStr">
        <is>
          <t>47129702</t>
        </is>
      </c>
      <c r="D566" s="2" t="inlineStr">
        <is>
          <t>AUD2026-12 Shinka Capital</t>
        </is>
      </c>
      <c r="E566" s="2" t="inlineStr">
        <is>
          <t>Order47129702- 260814001</t>
        </is>
      </c>
      <c r="F566" s="2" t="inlineStr">
        <is>
          <t>47129702- EDC260814001</t>
        </is>
      </c>
      <c r="G566" s="2" t="inlineStr">
        <is>
          <t>Luna.CD.Zhang@cn.ey.com</t>
        </is>
      </c>
      <c r="H566" s="2" t="inlineStr">
        <is>
          <t>Week38 (2027.03.20)</t>
        </is>
      </c>
      <c r="I566" s="2" t="n">
        <v>1.81</v>
      </c>
    </row>
    <row r="567">
      <c r="A567" s="2" t="inlineStr">
        <is>
          <t>HK WAM</t>
        </is>
      </c>
      <c r="B567" s="2" t="inlineStr">
        <is>
          <t>SHINKA CAPITAL MANAGEMENT LIMITED</t>
        </is>
      </c>
      <c r="C567" s="2" t="inlineStr">
        <is>
          <t>47129702</t>
        </is>
      </c>
      <c r="D567" s="2" t="inlineStr">
        <is>
          <t>AUD2026-12 Shinka Capital</t>
        </is>
      </c>
      <c r="E567" s="2" t="inlineStr">
        <is>
          <t>Order47129702- 260814001</t>
        </is>
      </c>
      <c r="F567" s="2" t="inlineStr">
        <is>
          <t>47129702- EDC260814001</t>
        </is>
      </c>
      <c r="G567" s="2" t="inlineStr">
        <is>
          <t>Marsh.Ma@cn.ey.com</t>
        </is>
      </c>
      <c r="H567" s="2" t="inlineStr">
        <is>
          <t>Week38 (2027.03.20)</t>
        </is>
      </c>
      <c r="I567" s="2" t="n">
        <v>0.21</v>
      </c>
    </row>
    <row r="568">
      <c r="A568" s="2" t="inlineStr">
        <is>
          <t>HK WAM</t>
        </is>
      </c>
      <c r="B568" s="2" t="inlineStr">
        <is>
          <t>SHINKA CAPITAL MANAGEMENT LIMITED</t>
        </is>
      </c>
      <c r="C568" s="2" t="inlineStr">
        <is>
          <t>47129702</t>
        </is>
      </c>
      <c r="D568" s="2" t="inlineStr">
        <is>
          <t>AUD2026-12 Shinka Capital</t>
        </is>
      </c>
      <c r="E568" s="2" t="inlineStr">
        <is>
          <t>Order47129702- 260814001</t>
        </is>
      </c>
      <c r="F568" s="2" t="inlineStr">
        <is>
          <t>47129702- EDC260814001</t>
        </is>
      </c>
      <c r="G568" s="2" t="inlineStr">
        <is>
          <t>Vivi.W.Yang@cn.ey.com</t>
        </is>
      </c>
      <c r="H568" s="2" t="inlineStr">
        <is>
          <t>Week38 (2027.03.20)</t>
        </is>
      </c>
      <c r="I568" s="2" t="n">
        <v>0.57</v>
      </c>
    </row>
    <row r="569">
      <c r="A569" s="2" t="inlineStr">
        <is>
          <t>HK WAM</t>
        </is>
      </c>
      <c r="B569" s="2" t="inlineStr">
        <is>
          <t>Boyu Capital Advisory Co. Limited</t>
        </is>
      </c>
      <c r="C569" s="2" t="inlineStr">
        <is>
          <t>47129715</t>
        </is>
      </c>
      <c r="D569" s="2" t="inlineStr">
        <is>
          <t>AUD2026-12 BOYU CAPITAL FUND</t>
        </is>
      </c>
      <c r="E569" s="2" t="inlineStr">
        <is>
          <t>Order47129715- 260814001</t>
        </is>
      </c>
      <c r="F569" s="2" t="inlineStr">
        <is>
          <t>47129715- EDC260814001</t>
        </is>
      </c>
      <c r="G569" s="2" t="inlineStr">
        <is>
          <t>Luna.CD.Zhang@cn.ey.com</t>
        </is>
      </c>
      <c r="H569" s="2" t="inlineStr">
        <is>
          <t>Week38 (2027.03.20)</t>
        </is>
      </c>
      <c r="I569" s="2" t="n">
        <v>0.28</v>
      </c>
    </row>
    <row r="570">
      <c r="A570" s="2" t="inlineStr">
        <is>
          <t>HK WAM</t>
        </is>
      </c>
      <c r="B570" s="2" t="inlineStr">
        <is>
          <t>Boyu Capital Advisory Co. Limited</t>
        </is>
      </c>
      <c r="C570" s="2" t="inlineStr">
        <is>
          <t>47129715</t>
        </is>
      </c>
      <c r="D570" s="2" t="inlineStr">
        <is>
          <t>AUD2026-12 BOYU CAPITAL FUND</t>
        </is>
      </c>
      <c r="E570" s="2" t="inlineStr">
        <is>
          <t>Order47129715- 260814001</t>
        </is>
      </c>
      <c r="F570" s="2" t="inlineStr">
        <is>
          <t>47129715- EDC260814001</t>
        </is>
      </c>
      <c r="G570" s="2" t="inlineStr">
        <is>
          <t>Marsh.Ma@cn.ey.com</t>
        </is>
      </c>
      <c r="H570" s="2" t="inlineStr">
        <is>
          <t>Week38 (2027.03.20)</t>
        </is>
      </c>
      <c r="I570" s="2" t="n">
        <v>0.03</v>
      </c>
    </row>
    <row r="571">
      <c r="A571" s="2" t="inlineStr">
        <is>
          <t>HK WAM</t>
        </is>
      </c>
      <c r="B571" s="2" t="inlineStr">
        <is>
          <t>Boyu Capital Advisory Co. Limited</t>
        </is>
      </c>
      <c r="C571" s="2" t="inlineStr">
        <is>
          <t>47129715</t>
        </is>
      </c>
      <c r="D571" s="2" t="inlineStr">
        <is>
          <t>AUD2026-12 BOYU CAPITAL FUND</t>
        </is>
      </c>
      <c r="E571" s="2" t="inlineStr">
        <is>
          <t>Order47129715- 260814001</t>
        </is>
      </c>
      <c r="F571" s="2" t="inlineStr">
        <is>
          <t>47129715- EDC260814001</t>
        </is>
      </c>
      <c r="G571" s="2" t="inlineStr">
        <is>
          <t>Vivi.W.Yang@cn.ey.com</t>
        </is>
      </c>
      <c r="H571" s="2" t="inlineStr">
        <is>
          <t>Week38 (2027.03.20)</t>
        </is>
      </c>
      <c r="I571" s="2" t="n">
        <v>0.09</v>
      </c>
    </row>
    <row r="572">
      <c r="A572" s="2" t="inlineStr">
        <is>
          <t>招银</t>
        </is>
      </c>
      <c r="B572" s="2" t="inlineStr">
        <is>
          <t>CMB International Leasing Management Limited</t>
        </is>
      </c>
      <c r="C572" s="2" t="inlineStr">
        <is>
          <t>47133720</t>
        </is>
      </c>
      <c r="D572" s="2" t="inlineStr">
        <is>
          <t>AUD2026-12 CMBILM</t>
        </is>
      </c>
      <c r="E572" s="2" t="inlineStr">
        <is>
          <t>Order47133720- 260504003</t>
        </is>
      </c>
      <c r="F572" s="2" t="inlineStr">
        <is>
          <t>47133720- EDC260504003</t>
        </is>
      </c>
      <c r="G572" s="2" t="inlineStr">
        <is>
          <t>Marsh.Ma@cn.ey.com</t>
        </is>
      </c>
      <c r="H572" s="2" t="inlineStr">
        <is>
          <t>Week38 (2027.03.20)</t>
        </is>
      </c>
      <c r="I572" s="2" t="n">
        <v>3.37</v>
      </c>
    </row>
    <row r="573">
      <c r="A573" s="2" t="inlineStr">
        <is>
          <t>招银</t>
        </is>
      </c>
      <c r="B573" s="2" t="inlineStr">
        <is>
          <t>CMB International Leasing Management Limited</t>
        </is>
      </c>
      <c r="C573" s="2" t="inlineStr">
        <is>
          <t>47133720</t>
        </is>
      </c>
      <c r="D573" s="2" t="inlineStr">
        <is>
          <t>AUD2026-12 CMBILM</t>
        </is>
      </c>
      <c r="E573" s="2" t="inlineStr">
        <is>
          <t>Order47133720- 260504003</t>
        </is>
      </c>
      <c r="F573" s="2" t="inlineStr">
        <is>
          <t>47133720- EDC260504003</t>
        </is>
      </c>
      <c r="G573" s="2" t="inlineStr">
        <is>
          <t>Rainbow.MG.Xiao@cn.ey.com</t>
        </is>
      </c>
      <c r="H573" s="2" t="inlineStr">
        <is>
          <t>Week38 (2027.03.20)</t>
        </is>
      </c>
      <c r="I573" s="2" t="n">
        <v>22.53</v>
      </c>
    </row>
    <row r="574">
      <c r="A574" s="2" t="inlineStr">
        <is>
          <t>招银</t>
        </is>
      </c>
      <c r="B574" s="2" t="inlineStr">
        <is>
          <t>CMB International Leasing Management Limited</t>
        </is>
      </c>
      <c r="C574" s="2" t="inlineStr">
        <is>
          <t>47133720</t>
        </is>
      </c>
      <c r="D574" s="2" t="inlineStr">
        <is>
          <t>AUD2026-12 CMBILM</t>
        </is>
      </c>
      <c r="E574" s="2" t="inlineStr">
        <is>
          <t>Order47133720- 260504003</t>
        </is>
      </c>
      <c r="F574" s="2" t="inlineStr">
        <is>
          <t>47133720- EDC260504003</t>
        </is>
      </c>
      <c r="G574" s="2" t="inlineStr">
        <is>
          <t>Vivi.W.Yang@cn.ey.com</t>
        </is>
      </c>
      <c r="H574" s="2" t="inlineStr">
        <is>
          <t>Week38 (2027.03.20)</t>
        </is>
      </c>
      <c r="I574" s="2" t="n">
        <v>9.26</v>
      </c>
    </row>
    <row r="575">
      <c r="A575" s="2" t="inlineStr">
        <is>
          <t>招银</t>
        </is>
      </c>
      <c r="B575" s="2" t="inlineStr">
        <is>
          <t>CMB International Leasing Management Limited</t>
        </is>
      </c>
      <c r="C575" s="2" t="inlineStr">
        <is>
          <t>47133720</t>
        </is>
      </c>
      <c r="D575" s="2" t="inlineStr">
        <is>
          <t>AUD2026-12 CMBILM</t>
        </is>
      </c>
      <c r="E575" s="2" t="inlineStr">
        <is>
          <t>Order47133720- 260504003</t>
        </is>
      </c>
      <c r="F575" s="2" t="inlineStr">
        <is>
          <t>47133720- EDC260504003</t>
        </is>
      </c>
      <c r="G575" s="2" t="inlineStr">
        <is>
          <t>Yuan.Yuan.YY.Chen@cn.ey.com</t>
        </is>
      </c>
      <c r="H575" s="2" t="inlineStr">
        <is>
          <t>Week38 (2027.03.20)</t>
        </is>
      </c>
      <c r="I575" s="2" t="n">
        <v>6.94</v>
      </c>
    </row>
    <row r="576">
      <c r="A576" s="2" t="inlineStr">
        <is>
          <t>海信</t>
        </is>
      </c>
      <c r="B576" s="2" t="inlineStr">
        <is>
          <t>Hisense Group Holdings Co., Ltd.</t>
        </is>
      </c>
      <c r="C576" s="2" t="inlineStr">
        <is>
          <t>47115559</t>
        </is>
      </c>
      <c r="D576" s="2" t="inlineStr">
        <is>
          <t>IPO2026-03 Project Voyage_CN</t>
        </is>
      </c>
      <c r="E576" s="2" t="inlineStr">
        <is>
          <t>Order47115559- 260729002</t>
        </is>
      </c>
      <c r="F576" s="2" t="inlineStr">
        <is>
          <t>47115559- EDC260729001</t>
        </is>
      </c>
      <c r="G576" s="2" t="inlineStr">
        <is>
          <t>Luna.CD.Zhang@cn.ey.com</t>
        </is>
      </c>
      <c r="H576" s="2" t="inlineStr">
        <is>
          <t>Week39 (2027.03.27)</t>
        </is>
      </c>
      <c r="I576" s="2" t="n">
        <v>12.22</v>
      </c>
    </row>
    <row r="577">
      <c r="A577" s="2" t="inlineStr">
        <is>
          <t>海信</t>
        </is>
      </c>
      <c r="B577" s="2" t="inlineStr">
        <is>
          <t>Hisense Group Holdings Co., Ltd.</t>
        </is>
      </c>
      <c r="C577" s="2" t="inlineStr">
        <is>
          <t>47115559</t>
        </is>
      </c>
      <c r="D577" s="2" t="inlineStr">
        <is>
          <t>IPO2026-03 Project Voyage_CN</t>
        </is>
      </c>
      <c r="E577" s="2" t="inlineStr">
        <is>
          <t>Order47115559- 260729002</t>
        </is>
      </c>
      <c r="F577" s="2" t="inlineStr">
        <is>
          <t>47115559- EDC260729001</t>
        </is>
      </c>
      <c r="G577" s="2" t="inlineStr">
        <is>
          <t>Marsh.Ma@cn.ey.com</t>
        </is>
      </c>
      <c r="H577" s="2" t="inlineStr">
        <is>
          <t>Week39 (2027.03.27)</t>
        </is>
      </c>
      <c r="I577" s="2" t="n">
        <v>1.4</v>
      </c>
    </row>
    <row r="578">
      <c r="A578" s="2" t="inlineStr">
        <is>
          <t>海信</t>
        </is>
      </c>
      <c r="B578" s="2" t="inlineStr">
        <is>
          <t>Hisense Group Holdings Co., Ltd.</t>
        </is>
      </c>
      <c r="C578" s="2" t="inlineStr">
        <is>
          <t>47115559</t>
        </is>
      </c>
      <c r="D578" s="2" t="inlineStr">
        <is>
          <t>IPO2026-03 Project Voyage_CN</t>
        </is>
      </c>
      <c r="E578" s="2" t="inlineStr">
        <is>
          <t>Order47115559- 260729002</t>
        </is>
      </c>
      <c r="F578" s="2" t="inlineStr">
        <is>
          <t>47115559- EDC260729001</t>
        </is>
      </c>
      <c r="G578" s="2" t="inlineStr">
        <is>
          <t>Vivi.W.Yang@cn.ey.com</t>
        </is>
      </c>
      <c r="H578" s="2" t="inlineStr">
        <is>
          <t>Week39 (2027.03.27)</t>
        </is>
      </c>
      <c r="I578" s="2" t="n">
        <v>3.84</v>
      </c>
    </row>
    <row r="579">
      <c r="A579" s="2" t="inlineStr">
        <is>
          <t>公募</t>
        </is>
      </c>
      <c r="B579" s="2" t="inlineStr">
        <is>
          <t>Hang Seng Qianhai Fund Management Company Limited</t>
        </is>
      </c>
      <c r="C579" s="2" t="inlineStr">
        <is>
          <t>47128633</t>
        </is>
      </c>
      <c r="D579" s="2" t="inlineStr">
        <is>
          <t>AUD2026-12 HSQH Funds</t>
        </is>
      </c>
      <c r="E579" s="2" t="inlineStr">
        <is>
          <t>Order47128633- 260501004</t>
        </is>
      </c>
      <c r="F579" s="2" t="inlineStr">
        <is>
          <t>47128633- EDC260501001</t>
        </is>
      </c>
      <c r="G579" s="2" t="inlineStr">
        <is>
          <t>Marsh.Ma@cn.ey.com</t>
        </is>
      </c>
      <c r="H579" s="2" t="inlineStr">
        <is>
          <t>Week39 (2027.03.27)</t>
        </is>
      </c>
      <c r="I579" s="2" t="n">
        <v>0.52</v>
      </c>
    </row>
    <row r="580">
      <c r="A580" s="2" t="inlineStr">
        <is>
          <t>公募</t>
        </is>
      </c>
      <c r="B580" s="2" t="inlineStr">
        <is>
          <t>Hang Seng Qianhai Fund Management Company Limited</t>
        </is>
      </c>
      <c r="C580" s="2" t="inlineStr">
        <is>
          <t>47128633</t>
        </is>
      </c>
      <c r="D580" s="2" t="inlineStr">
        <is>
          <t>AUD2026-12 HSQH Funds</t>
        </is>
      </c>
      <c r="E580" s="2" t="inlineStr">
        <is>
          <t>Order47128633- 260501004</t>
        </is>
      </c>
      <c r="F580" s="2" t="inlineStr">
        <is>
          <t>47128633- EDC260501001</t>
        </is>
      </c>
      <c r="G580" s="2" t="inlineStr">
        <is>
          <t>Yuan.Yuan.YY.Chen@cn.ey.com</t>
        </is>
      </c>
      <c r="H580" s="2" t="inlineStr">
        <is>
          <t>Week39 (2027.03.27)</t>
        </is>
      </c>
      <c r="I580" s="2" t="n">
        <v>5.97</v>
      </c>
    </row>
    <row r="581">
      <c r="A581" s="2" t="inlineStr">
        <is>
          <t>HK WAM</t>
        </is>
      </c>
      <c r="B581" s="2" t="inlineStr">
        <is>
          <t>Taikang Asset Management (Hong Kong) Company Limited</t>
        </is>
      </c>
      <c r="C581" s="2" t="inlineStr">
        <is>
          <t>47129130</t>
        </is>
      </c>
      <c r="D581" s="2" t="inlineStr">
        <is>
          <t>AUD2026-12 Taikang HK Comps</t>
        </is>
      </c>
      <c r="E581" s="2" t="inlineStr">
        <is>
          <t>Order47129130- 260814001</t>
        </is>
      </c>
      <c r="F581" s="2" t="inlineStr">
        <is>
          <t>47129130- EDC260814001</t>
        </is>
      </c>
      <c r="G581" s="2" t="inlineStr">
        <is>
          <t>Luna.CD.Zhang@cn.ey.com</t>
        </is>
      </c>
      <c r="H581" s="2" t="inlineStr">
        <is>
          <t>Week39 (2027.03.27)</t>
        </is>
      </c>
      <c r="I581" s="2" t="n">
        <v>1.55</v>
      </c>
    </row>
    <row r="582">
      <c r="A582" s="2" t="inlineStr">
        <is>
          <t>HK WAM</t>
        </is>
      </c>
      <c r="B582" s="2" t="inlineStr">
        <is>
          <t>Taikang Asset Management (Hong Kong) Company Limited</t>
        </is>
      </c>
      <c r="C582" s="2" t="inlineStr">
        <is>
          <t>47129130</t>
        </is>
      </c>
      <c r="D582" s="2" t="inlineStr">
        <is>
          <t>AUD2026-12 Taikang HK Comps</t>
        </is>
      </c>
      <c r="E582" s="2" t="inlineStr">
        <is>
          <t>Order47129130- 260814001</t>
        </is>
      </c>
      <c r="F582" s="2" t="inlineStr">
        <is>
          <t>47129130- EDC260814001</t>
        </is>
      </c>
      <c r="G582" s="2" t="inlineStr">
        <is>
          <t>Marsh.Ma@cn.ey.com</t>
        </is>
      </c>
      <c r="H582" s="2" t="inlineStr">
        <is>
          <t>Week39 (2027.03.27)</t>
        </is>
      </c>
      <c r="I582" s="2" t="n">
        <v>0.18</v>
      </c>
    </row>
    <row r="583">
      <c r="A583" s="2" t="inlineStr">
        <is>
          <t>HK WAM</t>
        </is>
      </c>
      <c r="B583" s="2" t="inlineStr">
        <is>
          <t>Taikang Asset Management (Hong Kong) Company Limited</t>
        </is>
      </c>
      <c r="C583" s="2" t="inlineStr">
        <is>
          <t>47129130</t>
        </is>
      </c>
      <c r="D583" s="2" t="inlineStr">
        <is>
          <t>AUD2026-12 Taikang HK Comps</t>
        </is>
      </c>
      <c r="E583" s="2" t="inlineStr">
        <is>
          <t>Order47129130- 260814001</t>
        </is>
      </c>
      <c r="F583" s="2" t="inlineStr">
        <is>
          <t>47129130- EDC260814001</t>
        </is>
      </c>
      <c r="G583" s="2" t="inlineStr">
        <is>
          <t>Vivi.W.Yang@cn.ey.com</t>
        </is>
      </c>
      <c r="H583" s="2" t="inlineStr">
        <is>
          <t>Week39 (2027.03.27)</t>
        </is>
      </c>
      <c r="I583" s="2" t="n">
        <v>0.49</v>
      </c>
    </row>
    <row r="584">
      <c r="A584" s="2" t="inlineStr">
        <is>
          <t>HK WAM</t>
        </is>
      </c>
      <c r="B584" s="2" t="inlineStr">
        <is>
          <t>HashKey Capital Limited</t>
        </is>
      </c>
      <c r="C584" s="2" t="inlineStr">
        <is>
          <t>47129402</t>
        </is>
      </c>
      <c r="D584" s="2" t="inlineStr">
        <is>
          <t>AUD2026-12 Hashkey OFC Funds</t>
        </is>
      </c>
      <c r="E584" s="2" t="inlineStr">
        <is>
          <t>Order47129402- 260829001</t>
        </is>
      </c>
      <c r="F584" s="2" t="inlineStr">
        <is>
          <t>47129402- EDC260829001</t>
        </is>
      </c>
      <c r="G584" s="2" t="inlineStr">
        <is>
          <t>Luna.CD.Zhang@cn.ey.com</t>
        </is>
      </c>
      <c r="H584" s="2" t="inlineStr">
        <is>
          <t>Week39 (2027.03.27)</t>
        </is>
      </c>
      <c r="I584" s="2" t="n">
        <v>7.88</v>
      </c>
    </row>
    <row r="585">
      <c r="A585" s="2" t="inlineStr">
        <is>
          <t>HK WAM</t>
        </is>
      </c>
      <c r="B585" s="2" t="inlineStr">
        <is>
          <t>HashKey Capital Limited</t>
        </is>
      </c>
      <c r="C585" s="2" t="inlineStr">
        <is>
          <t>47129402</t>
        </is>
      </c>
      <c r="D585" s="2" t="inlineStr">
        <is>
          <t>AUD2026-12 Hashkey OFC Funds</t>
        </is>
      </c>
      <c r="E585" s="2" t="inlineStr">
        <is>
          <t>Order47129402- 260829001</t>
        </is>
      </c>
      <c r="F585" s="2" t="inlineStr">
        <is>
          <t>47129402- EDC260829001</t>
        </is>
      </c>
      <c r="G585" s="2" t="inlineStr">
        <is>
          <t>Marsh.Ma@cn.ey.com</t>
        </is>
      </c>
      <c r="H585" s="2" t="inlineStr">
        <is>
          <t>Week39 (2027.03.27)</t>
        </is>
      </c>
      <c r="I585" s="2" t="n">
        <v>0.9</v>
      </c>
    </row>
    <row r="586">
      <c r="A586" s="2" t="inlineStr">
        <is>
          <t>HK WAM</t>
        </is>
      </c>
      <c r="B586" s="2" t="inlineStr">
        <is>
          <t>HashKey Capital Limited</t>
        </is>
      </c>
      <c r="C586" s="2" t="inlineStr">
        <is>
          <t>47129402</t>
        </is>
      </c>
      <c r="D586" s="2" t="inlineStr">
        <is>
          <t>AUD2026-12 Hashkey OFC Funds</t>
        </is>
      </c>
      <c r="E586" s="2" t="inlineStr">
        <is>
          <t>Order47129402- 260829001</t>
        </is>
      </c>
      <c r="F586" s="2" t="inlineStr">
        <is>
          <t>47129402- EDC260829001</t>
        </is>
      </c>
      <c r="G586" s="2" t="inlineStr">
        <is>
          <t>Vivi.W.Yang@cn.ey.com</t>
        </is>
      </c>
      <c r="H586" s="2" t="inlineStr">
        <is>
          <t>Week39 (2027.03.27)</t>
        </is>
      </c>
      <c r="I586" s="2" t="n">
        <v>2.48</v>
      </c>
    </row>
    <row r="587">
      <c r="A587" s="2" t="inlineStr">
        <is>
          <t>HK WAM</t>
        </is>
      </c>
      <c r="B587" s="2" t="inlineStr">
        <is>
          <t>Ortus Capital Management Limited</t>
        </is>
      </c>
      <c r="C587" s="2" t="inlineStr">
        <is>
          <t>47129432</t>
        </is>
      </c>
      <c r="D587" s="2" t="inlineStr">
        <is>
          <t>AUD2026-12 OCML HK</t>
        </is>
      </c>
      <c r="E587" s="2" t="inlineStr">
        <is>
          <t>Order47129432- 260812001</t>
        </is>
      </c>
      <c r="F587" s="2" t="inlineStr">
        <is>
          <t>47129432- EDC260812001</t>
        </is>
      </c>
      <c r="G587" s="2" t="inlineStr">
        <is>
          <t>Luna.CD.Zhang@cn.ey.com</t>
        </is>
      </c>
      <c r="H587" s="2" t="inlineStr">
        <is>
          <t>Week39 (2027.03.27)</t>
        </is>
      </c>
      <c r="I587" s="2" t="n">
        <v>1.57</v>
      </c>
    </row>
    <row r="588">
      <c r="A588" s="2" t="inlineStr">
        <is>
          <t>HK WAM</t>
        </is>
      </c>
      <c r="B588" s="2" t="inlineStr">
        <is>
          <t>Ortus Capital Management Limited</t>
        </is>
      </c>
      <c r="C588" s="2" t="inlineStr">
        <is>
          <t>47129432</t>
        </is>
      </c>
      <c r="D588" s="2" t="inlineStr">
        <is>
          <t>AUD2026-12 OCML HK</t>
        </is>
      </c>
      <c r="E588" s="2" t="inlineStr">
        <is>
          <t>Order47129432- 260812001</t>
        </is>
      </c>
      <c r="F588" s="2" t="inlineStr">
        <is>
          <t>47129432- EDC260812001</t>
        </is>
      </c>
      <c r="G588" s="2" t="inlineStr">
        <is>
          <t>Marsh.Ma@cn.ey.com</t>
        </is>
      </c>
      <c r="H588" s="2" t="inlineStr">
        <is>
          <t>Week39 (2027.03.27)</t>
        </is>
      </c>
      <c r="I588" s="2" t="n">
        <v>0.18</v>
      </c>
    </row>
    <row r="589">
      <c r="A589" s="2" t="inlineStr">
        <is>
          <t>HK WAM</t>
        </is>
      </c>
      <c r="B589" s="2" t="inlineStr">
        <is>
          <t>Ortus Capital Management Limited</t>
        </is>
      </c>
      <c r="C589" s="2" t="inlineStr">
        <is>
          <t>47129432</t>
        </is>
      </c>
      <c r="D589" s="2" t="inlineStr">
        <is>
          <t>AUD2026-12 OCML HK</t>
        </is>
      </c>
      <c r="E589" s="2" t="inlineStr">
        <is>
          <t>Order47129432- 260812001</t>
        </is>
      </c>
      <c r="F589" s="2" t="inlineStr">
        <is>
          <t>47129432- EDC260812001</t>
        </is>
      </c>
      <c r="G589" s="2" t="inlineStr">
        <is>
          <t>Vivi.W.Yang@cn.ey.com</t>
        </is>
      </c>
      <c r="H589" s="2" t="inlineStr">
        <is>
          <t>Week39 (2027.03.27)</t>
        </is>
      </c>
      <c r="I589" s="2" t="n">
        <v>0.49</v>
      </c>
    </row>
    <row r="590">
      <c r="A590" s="2" t="inlineStr">
        <is>
          <t>HK WAM</t>
        </is>
      </c>
      <c r="B590" s="2" t="inlineStr">
        <is>
          <t>COS-Capital Hong Kong International Co. Limited</t>
        </is>
      </c>
      <c r="C590" s="2" t="inlineStr">
        <is>
          <t>47129459</t>
        </is>
      </c>
      <c r="D590" s="2" t="inlineStr">
        <is>
          <t>AUD2026-12 COS-CAPITAL HK INTL</t>
        </is>
      </c>
      <c r="E590" s="2" t="inlineStr">
        <is>
          <t>Order47129459- 260812001</t>
        </is>
      </c>
      <c r="F590" s="2" t="inlineStr">
        <is>
          <t>47129459- EDC260812001</t>
        </is>
      </c>
      <c r="G590" s="2" t="inlineStr">
        <is>
          <t>Luna.CD.Zhang@cn.ey.com</t>
        </is>
      </c>
      <c r="H590" s="2" t="inlineStr">
        <is>
          <t>Week39 (2027.03.27)</t>
        </is>
      </c>
      <c r="I590" s="2" t="n">
        <v>1.72</v>
      </c>
    </row>
    <row r="591">
      <c r="A591" s="2" t="inlineStr">
        <is>
          <t>HK WAM</t>
        </is>
      </c>
      <c r="B591" s="2" t="inlineStr">
        <is>
          <t>COS-Capital Hong Kong International Co. Limited</t>
        </is>
      </c>
      <c r="C591" s="2" t="inlineStr">
        <is>
          <t>47129459</t>
        </is>
      </c>
      <c r="D591" s="2" t="inlineStr">
        <is>
          <t>AUD2026-12 COS-CAPITAL HK INTL</t>
        </is>
      </c>
      <c r="E591" s="2" t="inlineStr">
        <is>
          <t>Order47129459- 260812001</t>
        </is>
      </c>
      <c r="F591" s="2" t="inlineStr">
        <is>
          <t>47129459- EDC260812001</t>
        </is>
      </c>
      <c r="G591" s="2" t="inlineStr">
        <is>
          <t>Marsh.Ma@cn.ey.com</t>
        </is>
      </c>
      <c r="H591" s="2" t="inlineStr">
        <is>
          <t>Week39 (2027.03.27)</t>
        </is>
      </c>
      <c r="I591" s="2" t="n">
        <v>0.2</v>
      </c>
    </row>
    <row r="592">
      <c r="A592" s="2" t="inlineStr">
        <is>
          <t>HK WAM</t>
        </is>
      </c>
      <c r="B592" s="2" t="inlineStr">
        <is>
          <t>COS-Capital Hong Kong International Co. Limited</t>
        </is>
      </c>
      <c r="C592" s="2" t="inlineStr">
        <is>
          <t>47129459</t>
        </is>
      </c>
      <c r="D592" s="2" t="inlineStr">
        <is>
          <t>AUD2026-12 COS-CAPITAL HK INTL</t>
        </is>
      </c>
      <c r="E592" s="2" t="inlineStr">
        <is>
          <t>Order47129459- 260812001</t>
        </is>
      </c>
      <c r="F592" s="2" t="inlineStr">
        <is>
          <t>47129459- EDC260812001</t>
        </is>
      </c>
      <c r="G592" s="2" t="inlineStr">
        <is>
          <t>Vivi.W.Yang@cn.ey.com</t>
        </is>
      </c>
      <c r="H592" s="2" t="inlineStr">
        <is>
          <t>Week39 (2027.03.27)</t>
        </is>
      </c>
      <c r="I592" s="2" t="n">
        <v>0.54</v>
      </c>
    </row>
    <row r="593">
      <c r="A593" s="2" t="inlineStr">
        <is>
          <t>ICBC</t>
        </is>
      </c>
      <c r="B593" s="2" t="inlineStr">
        <is>
          <t>Industrial And Commercial Bank of China (Asia) Limited</t>
        </is>
      </c>
      <c r="C593" s="2" t="inlineStr">
        <is>
          <t>47129548</t>
        </is>
      </c>
      <c r="D593" s="2" t="inlineStr">
        <is>
          <t>AUD2026-12 ICBCA</t>
        </is>
      </c>
      <c r="E593" s="2" t="inlineStr">
        <is>
          <t>Order47129548- 260501002</t>
        </is>
      </c>
      <c r="F593" s="2" t="inlineStr">
        <is>
          <t>47129548- EDC260501001</t>
        </is>
      </c>
      <c r="G593" s="2" t="inlineStr">
        <is>
          <t>Marsh.Ma@cn.ey.com</t>
        </is>
      </c>
      <c r="H593" s="2" t="inlineStr">
        <is>
          <t>Week39 (2027.03.27)</t>
        </is>
      </c>
      <c r="I593" s="2" t="n">
        <v>3.65</v>
      </c>
    </row>
    <row r="594">
      <c r="A594" s="2" t="inlineStr">
        <is>
          <t>ICBC</t>
        </is>
      </c>
      <c r="B594" s="2" t="inlineStr">
        <is>
          <t>Industrial And Commercial Bank of China (Asia) Limited</t>
        </is>
      </c>
      <c r="C594" s="2" t="inlineStr">
        <is>
          <t>47129548</t>
        </is>
      </c>
      <c r="D594" s="2" t="inlineStr">
        <is>
          <t>AUD2026-12 ICBCA</t>
        </is>
      </c>
      <c r="E594" s="2" t="inlineStr">
        <is>
          <t>Order47129548- 260501002</t>
        </is>
      </c>
      <c r="F594" s="2" t="inlineStr">
        <is>
          <t>47129548- EDC260501001</t>
        </is>
      </c>
      <c r="G594" s="2" t="inlineStr">
        <is>
          <t>Vivi.W.Yang@cn.ey.com</t>
        </is>
      </c>
      <c r="H594" s="2" t="inlineStr">
        <is>
          <t>Week39 (2027.03.27)</t>
        </is>
      </c>
      <c r="I594" s="2" t="n">
        <v>10.03</v>
      </c>
    </row>
    <row r="595">
      <c r="A595" s="2" t="inlineStr">
        <is>
          <t>ICBC</t>
        </is>
      </c>
      <c r="B595" s="2" t="inlineStr">
        <is>
          <t>Industrial And Commercial Bank of China (Asia) Limited</t>
        </is>
      </c>
      <c r="C595" s="2" t="inlineStr">
        <is>
          <t>47129548</t>
        </is>
      </c>
      <c r="D595" s="2" t="inlineStr">
        <is>
          <t>AUD2026-12 ICBCA</t>
        </is>
      </c>
      <c r="E595" s="2" t="inlineStr">
        <is>
          <t>Order47129548- 260501002</t>
        </is>
      </c>
      <c r="F595" s="2" t="inlineStr">
        <is>
          <t>47129548- EDC260501001</t>
        </is>
      </c>
      <c r="G595" s="2" t="inlineStr">
        <is>
          <t>Yuan.Yuan.YY.Chen@cn.ey.com</t>
        </is>
      </c>
      <c r="H595" s="2" t="inlineStr">
        <is>
          <t>Week39 (2027.03.27)</t>
        </is>
      </c>
      <c r="I595" s="2" t="n">
        <v>31.93</v>
      </c>
    </row>
    <row r="596">
      <c r="A596" s="2" t="inlineStr">
        <is>
          <t>HK WAM</t>
        </is>
      </c>
      <c r="B596" s="2" t="inlineStr">
        <is>
          <t>DST Investment Management Limited</t>
        </is>
      </c>
      <c r="C596" s="2" t="inlineStr">
        <is>
          <t>47129679</t>
        </is>
      </c>
      <c r="D596" s="2" t="inlineStr">
        <is>
          <t>AUD2026-12 DST Investment Mgt</t>
        </is>
      </c>
      <c r="E596" s="2" t="inlineStr">
        <is>
          <t>Order47129679- 260814001</t>
        </is>
      </c>
      <c r="F596" s="2" t="inlineStr">
        <is>
          <t>47129679- EDC260814001</t>
        </is>
      </c>
      <c r="G596" s="2" t="inlineStr">
        <is>
          <t>Luna.CD.Zhang@cn.ey.com</t>
        </is>
      </c>
      <c r="H596" s="2" t="inlineStr">
        <is>
          <t>Week39 (2027.03.27)</t>
        </is>
      </c>
      <c r="I596" s="2" t="n">
        <v>2.01</v>
      </c>
    </row>
    <row r="597">
      <c r="A597" s="2" t="inlineStr">
        <is>
          <t>HK WAM</t>
        </is>
      </c>
      <c r="B597" s="2" t="inlineStr">
        <is>
          <t>DST Investment Management Limited</t>
        </is>
      </c>
      <c r="C597" s="2" t="inlineStr">
        <is>
          <t>47129679</t>
        </is>
      </c>
      <c r="D597" s="2" t="inlineStr">
        <is>
          <t>AUD2026-12 DST Investment Mgt</t>
        </is>
      </c>
      <c r="E597" s="2" t="inlineStr">
        <is>
          <t>Order47129679- 260814001</t>
        </is>
      </c>
      <c r="F597" s="2" t="inlineStr">
        <is>
          <t>47129679- EDC260814001</t>
        </is>
      </c>
      <c r="G597" s="2" t="inlineStr">
        <is>
          <t>Marsh.Ma@cn.ey.com</t>
        </is>
      </c>
      <c r="H597" s="2" t="inlineStr">
        <is>
          <t>Week39 (2027.03.27)</t>
        </is>
      </c>
      <c r="I597" s="2" t="n">
        <v>0.23</v>
      </c>
    </row>
    <row r="598">
      <c r="A598" s="2" t="inlineStr">
        <is>
          <t>HK WAM</t>
        </is>
      </c>
      <c r="B598" s="2" t="inlineStr">
        <is>
          <t>DST Investment Management Limited</t>
        </is>
      </c>
      <c r="C598" s="2" t="inlineStr">
        <is>
          <t>47129679</t>
        </is>
      </c>
      <c r="D598" s="2" t="inlineStr">
        <is>
          <t>AUD2026-12 DST Investment Mgt</t>
        </is>
      </c>
      <c r="E598" s="2" t="inlineStr">
        <is>
          <t>Order47129679- 260814001</t>
        </is>
      </c>
      <c r="F598" s="2" t="inlineStr">
        <is>
          <t>47129679- EDC260814001</t>
        </is>
      </c>
      <c r="G598" s="2" t="inlineStr">
        <is>
          <t>Vivi.W.Yang@cn.ey.com</t>
        </is>
      </c>
      <c r="H598" s="2" t="inlineStr">
        <is>
          <t>Week39 (2027.03.27)</t>
        </is>
      </c>
      <c r="I598" s="2" t="n">
        <v>0.63</v>
      </c>
    </row>
    <row r="599">
      <c r="A599" s="2" t="inlineStr">
        <is>
          <t>HK WAM</t>
        </is>
      </c>
      <c r="B599" s="2" t="inlineStr">
        <is>
          <t>SHINKA CAPITAL MANAGEMENT LIMITED</t>
        </is>
      </c>
      <c r="C599" s="2" t="inlineStr">
        <is>
          <t>47129702</t>
        </is>
      </c>
      <c r="D599" s="2" t="inlineStr">
        <is>
          <t>AUD2026-12 Shinka Capital</t>
        </is>
      </c>
      <c r="E599" s="2" t="inlineStr">
        <is>
          <t>Order47129702- 260814001</t>
        </is>
      </c>
      <c r="F599" s="2" t="inlineStr">
        <is>
          <t>47129702- EDC260814001</t>
        </is>
      </c>
      <c r="G599" s="2" t="inlineStr">
        <is>
          <t>Luna.CD.Zhang@cn.ey.com</t>
        </is>
      </c>
      <c r="H599" s="2" t="inlineStr">
        <is>
          <t>Week39 (2027.03.27)</t>
        </is>
      </c>
      <c r="I599" s="2" t="n">
        <v>1.55</v>
      </c>
    </row>
    <row r="600">
      <c r="A600" s="2" t="inlineStr">
        <is>
          <t>HK WAM</t>
        </is>
      </c>
      <c r="B600" s="2" t="inlineStr">
        <is>
          <t>SHINKA CAPITAL MANAGEMENT LIMITED</t>
        </is>
      </c>
      <c r="C600" s="2" t="inlineStr">
        <is>
          <t>47129702</t>
        </is>
      </c>
      <c r="D600" s="2" t="inlineStr">
        <is>
          <t>AUD2026-12 Shinka Capital</t>
        </is>
      </c>
      <c r="E600" s="2" t="inlineStr">
        <is>
          <t>Order47129702- 260814001</t>
        </is>
      </c>
      <c r="F600" s="2" t="inlineStr">
        <is>
          <t>47129702- EDC260814001</t>
        </is>
      </c>
      <c r="G600" s="2" t="inlineStr">
        <is>
          <t>Marsh.Ma@cn.ey.com</t>
        </is>
      </c>
      <c r="H600" s="2" t="inlineStr">
        <is>
          <t>Week39 (2027.03.27)</t>
        </is>
      </c>
      <c r="I600" s="2" t="n">
        <v>0.18</v>
      </c>
    </row>
    <row r="601">
      <c r="A601" s="2" t="inlineStr">
        <is>
          <t>HK WAM</t>
        </is>
      </c>
      <c r="B601" s="2" t="inlineStr">
        <is>
          <t>SHINKA CAPITAL MANAGEMENT LIMITED</t>
        </is>
      </c>
      <c r="C601" s="2" t="inlineStr">
        <is>
          <t>47129702</t>
        </is>
      </c>
      <c r="D601" s="2" t="inlineStr">
        <is>
          <t>AUD2026-12 Shinka Capital</t>
        </is>
      </c>
      <c r="E601" s="2" t="inlineStr">
        <is>
          <t>Order47129702- 260814001</t>
        </is>
      </c>
      <c r="F601" s="2" t="inlineStr">
        <is>
          <t>47129702- EDC260814001</t>
        </is>
      </c>
      <c r="G601" s="2" t="inlineStr">
        <is>
          <t>Vivi.W.Yang@cn.ey.com</t>
        </is>
      </c>
      <c r="H601" s="2" t="inlineStr">
        <is>
          <t>Week39 (2027.03.27)</t>
        </is>
      </c>
      <c r="I601" s="2" t="n">
        <v>0.49</v>
      </c>
    </row>
    <row r="602">
      <c r="A602" s="2" t="inlineStr">
        <is>
          <t>招银</t>
        </is>
      </c>
      <c r="B602" s="2" t="inlineStr">
        <is>
          <t>CMB International Leasing Management Limited</t>
        </is>
      </c>
      <c r="C602" s="2" t="inlineStr">
        <is>
          <t>47133720</t>
        </is>
      </c>
      <c r="D602" s="2" t="inlineStr">
        <is>
          <t>AUD2026-12 CMBILM</t>
        </is>
      </c>
      <c r="E602" s="2" t="inlineStr">
        <is>
          <t>Order47133720- 260504003</t>
        </is>
      </c>
      <c r="F602" s="2" t="inlineStr">
        <is>
          <t>47133720- EDC260504003</t>
        </is>
      </c>
      <c r="G602" s="2" t="inlineStr">
        <is>
          <t>Marsh.Ma@cn.ey.com</t>
        </is>
      </c>
      <c r="H602" s="2" t="inlineStr">
        <is>
          <t>Week39 (2027.03.27)</t>
        </is>
      </c>
      <c r="I602" s="2" t="n">
        <v>3.93</v>
      </c>
    </row>
    <row r="603">
      <c r="A603" s="2" t="inlineStr">
        <is>
          <t>招银</t>
        </is>
      </c>
      <c r="B603" s="2" t="inlineStr">
        <is>
          <t>CMB International Leasing Management Limited</t>
        </is>
      </c>
      <c r="C603" s="2" t="inlineStr">
        <is>
          <t>47133720</t>
        </is>
      </c>
      <c r="D603" s="2" t="inlineStr">
        <is>
          <t>AUD2026-12 CMBILM</t>
        </is>
      </c>
      <c r="E603" s="2" t="inlineStr">
        <is>
          <t>Order47133720- 260504003</t>
        </is>
      </c>
      <c r="F603" s="2" t="inlineStr">
        <is>
          <t>47133720- EDC260504003</t>
        </is>
      </c>
      <c r="G603" s="2" t="inlineStr">
        <is>
          <t>Rainbow.MG.Xiao@cn.ey.com</t>
        </is>
      </c>
      <c r="H603" s="2" t="inlineStr">
        <is>
          <t>Week39 (2027.03.27)</t>
        </is>
      </c>
      <c r="I603" s="2" t="n">
        <v>12.29</v>
      </c>
    </row>
    <row r="604">
      <c r="A604" s="2" t="inlineStr">
        <is>
          <t>招银</t>
        </is>
      </c>
      <c r="B604" s="2" t="inlineStr">
        <is>
          <t>CMB International Leasing Management Limited</t>
        </is>
      </c>
      <c r="C604" s="2" t="inlineStr">
        <is>
          <t>47133720</t>
        </is>
      </c>
      <c r="D604" s="2" t="inlineStr">
        <is>
          <t>AUD2026-12 CMBILM</t>
        </is>
      </c>
      <c r="E604" s="2" t="inlineStr">
        <is>
          <t>Order47133720- 260504003</t>
        </is>
      </c>
      <c r="F604" s="2" t="inlineStr">
        <is>
          <t>47133720- EDC260504003</t>
        </is>
      </c>
      <c r="G604" s="2" t="inlineStr">
        <is>
          <t>Vivi.W.Yang@cn.ey.com</t>
        </is>
      </c>
      <c r="H604" s="2" t="inlineStr">
        <is>
          <t>Week39 (2027.03.27)</t>
        </is>
      </c>
      <c r="I604" s="2" t="n">
        <v>10.81</v>
      </c>
    </row>
    <row r="605">
      <c r="A605" s="2" t="inlineStr">
        <is>
          <t>招银</t>
        </is>
      </c>
      <c r="B605" s="2" t="inlineStr">
        <is>
          <t>CMB International Leasing Management Limited</t>
        </is>
      </c>
      <c r="C605" s="2" t="inlineStr">
        <is>
          <t>47133720</t>
        </is>
      </c>
      <c r="D605" s="2" t="inlineStr">
        <is>
          <t>AUD2026-12 CMBILM</t>
        </is>
      </c>
      <c r="E605" s="2" t="inlineStr">
        <is>
          <t>Order47133720- 260504003</t>
        </is>
      </c>
      <c r="F605" s="2" t="inlineStr">
        <is>
          <t>47133720- EDC260504003</t>
        </is>
      </c>
      <c r="G605" s="2" t="inlineStr">
        <is>
          <t>Yuan.Yuan.YY.Chen@cn.ey.com</t>
        </is>
      </c>
      <c r="H605" s="2" t="inlineStr">
        <is>
          <t>Week39 (2027.03.27)</t>
        </is>
      </c>
      <c r="I605" s="2" t="n">
        <v>22.1</v>
      </c>
    </row>
    <row r="606">
      <c r="A606" s="2" t="inlineStr">
        <is>
          <t>招银</t>
        </is>
      </c>
      <c r="B606" s="2" t="inlineStr">
        <is>
          <t>CMB International Leasing Management Limited</t>
        </is>
      </c>
      <c r="C606" s="2" t="inlineStr">
        <is>
          <t>47133720</t>
        </is>
      </c>
      <c r="D606" s="2" t="inlineStr">
        <is>
          <t>AUD2026-12 CMBILM</t>
        </is>
      </c>
      <c r="E606" s="2" t="inlineStr">
        <is>
          <t>Order47133720- 260504003</t>
        </is>
      </c>
      <c r="F606" s="2" t="inlineStr">
        <is>
          <t>47133720- EDC260504003</t>
        </is>
      </c>
      <c r="G606" s="2" t="inlineStr">
        <is>
          <t>Marsh.Ma@cn.ey.com</t>
        </is>
      </c>
      <c r="H606" s="2" t="inlineStr">
        <is>
          <t>Week40 (2027.04.03)</t>
        </is>
      </c>
      <c r="I606" s="2" t="n">
        <v>3.93</v>
      </c>
    </row>
    <row r="607">
      <c r="A607" s="2" t="inlineStr">
        <is>
          <t>招银</t>
        </is>
      </c>
      <c r="B607" s="2" t="inlineStr">
        <is>
          <t>CMB International Leasing Management Limited</t>
        </is>
      </c>
      <c r="C607" s="2" t="inlineStr">
        <is>
          <t>47133720</t>
        </is>
      </c>
      <c r="D607" s="2" t="inlineStr">
        <is>
          <t>AUD2026-12 CMBILM</t>
        </is>
      </c>
      <c r="E607" s="2" t="inlineStr">
        <is>
          <t>Order47133720- 260504003</t>
        </is>
      </c>
      <c r="F607" s="2" t="inlineStr">
        <is>
          <t>47133720- EDC260504003</t>
        </is>
      </c>
      <c r="G607" s="2" t="inlineStr">
        <is>
          <t>Vivi.W.Yang@cn.ey.com</t>
        </is>
      </c>
      <c r="H607" s="2" t="inlineStr">
        <is>
          <t>Week40 (2027.04.03)</t>
        </is>
      </c>
      <c r="I607" s="2" t="n">
        <v>10.81</v>
      </c>
    </row>
    <row r="608">
      <c r="A608" s="2" t="inlineStr">
        <is>
          <t>招银</t>
        </is>
      </c>
      <c r="B608" s="2" t="inlineStr">
        <is>
          <t>CMB International Leasing Management Limited</t>
        </is>
      </c>
      <c r="C608" s="2" t="inlineStr">
        <is>
          <t>47133720</t>
        </is>
      </c>
      <c r="D608" s="2" t="inlineStr">
        <is>
          <t>AUD2026-12 CMBILM</t>
        </is>
      </c>
      <c r="E608" s="2" t="inlineStr">
        <is>
          <t>Order47133720- 260504003</t>
        </is>
      </c>
      <c r="F608" s="2" t="inlineStr">
        <is>
          <t>47133720- EDC260504003</t>
        </is>
      </c>
      <c r="G608" s="2" t="inlineStr">
        <is>
          <t>Yuan.Yuan.YY.Chen@cn.ey.com</t>
        </is>
      </c>
      <c r="H608" s="2" t="inlineStr">
        <is>
          <t>Week40 (2027.04.03)</t>
        </is>
      </c>
      <c r="I608" s="2" t="n">
        <v>34.39</v>
      </c>
    </row>
    <row r="609">
      <c r="A609" s="2" t="inlineStr">
        <is>
          <t>招银</t>
        </is>
      </c>
      <c r="B609" s="2" t="inlineStr">
        <is>
          <t>CMB International Leasing Management Limited</t>
        </is>
      </c>
      <c r="C609" s="2" t="inlineStr">
        <is>
          <t>47133720</t>
        </is>
      </c>
      <c r="D609" s="2" t="inlineStr">
        <is>
          <t>AUD2026-12 CMBILM</t>
        </is>
      </c>
      <c r="E609" s="2" t="inlineStr">
        <is>
          <t>Order47133720- 260504003</t>
        </is>
      </c>
      <c r="F609" s="2" t="inlineStr">
        <is>
          <t>47133720- EDC260504003</t>
        </is>
      </c>
      <c r="G609" s="2" t="inlineStr">
        <is>
          <t>Marsh.Ma@cn.ey.com</t>
        </is>
      </c>
      <c r="H609" s="2" t="inlineStr">
        <is>
          <t>Week41 (2027.04.10)</t>
        </is>
      </c>
      <c r="I609" s="2" t="n">
        <v>3.93</v>
      </c>
    </row>
    <row r="610">
      <c r="A610" s="2" t="inlineStr">
        <is>
          <t>招银</t>
        </is>
      </c>
      <c r="B610" s="2" t="inlineStr">
        <is>
          <t>CMB International Leasing Management Limited</t>
        </is>
      </c>
      <c r="C610" s="2" t="inlineStr">
        <is>
          <t>47133720</t>
        </is>
      </c>
      <c r="D610" s="2" t="inlineStr">
        <is>
          <t>AUD2026-12 CMBILM</t>
        </is>
      </c>
      <c r="E610" s="2" t="inlineStr">
        <is>
          <t>Order47133720- 260504003</t>
        </is>
      </c>
      <c r="F610" s="2" t="inlineStr">
        <is>
          <t>47133720- EDC260504003</t>
        </is>
      </c>
      <c r="G610" s="2" t="inlineStr">
        <is>
          <t>Vivi.W.Yang@cn.ey.com</t>
        </is>
      </c>
      <c r="H610" s="2" t="inlineStr">
        <is>
          <t>Week41 (2027.04.10)</t>
        </is>
      </c>
      <c r="I610" s="2" t="n">
        <v>10.81</v>
      </c>
    </row>
    <row r="611">
      <c r="A611" s="2" t="inlineStr">
        <is>
          <t>招银</t>
        </is>
      </c>
      <c r="B611" s="2" t="inlineStr">
        <is>
          <t>CMB International Leasing Management Limited</t>
        </is>
      </c>
      <c r="C611" s="2" t="inlineStr">
        <is>
          <t>47133720</t>
        </is>
      </c>
      <c r="D611" s="2" t="inlineStr">
        <is>
          <t>AUD2026-12 CMBILM</t>
        </is>
      </c>
      <c r="E611" s="2" t="inlineStr">
        <is>
          <t>Order47133720- 260504003</t>
        </is>
      </c>
      <c r="F611" s="2" t="inlineStr">
        <is>
          <t>47133720- EDC260504003</t>
        </is>
      </c>
      <c r="G611" s="2" t="inlineStr">
        <is>
          <t>Yuan.Yuan.YY.Chen@cn.ey.com</t>
        </is>
      </c>
      <c r="H611" s="2" t="inlineStr">
        <is>
          <t>Week41 (2027.04.10)</t>
        </is>
      </c>
      <c r="I611" s="2" t="n">
        <v>34.39</v>
      </c>
    </row>
    <row r="612">
      <c r="A612" s="2" t="inlineStr">
        <is>
          <t>招银</t>
        </is>
      </c>
      <c r="B612" s="2" t="inlineStr">
        <is>
          <t>CMB International Leasing Management Limited</t>
        </is>
      </c>
      <c r="C612" s="2" t="inlineStr">
        <is>
          <t>47133720</t>
        </is>
      </c>
      <c r="D612" s="2" t="inlineStr">
        <is>
          <t>AUD2026-12 CMBILM</t>
        </is>
      </c>
      <c r="E612" s="2" t="inlineStr">
        <is>
          <t>Order47133720- 260504003</t>
        </is>
      </c>
      <c r="F612" s="2" t="inlineStr">
        <is>
          <t>47133720- EDC260504003</t>
        </is>
      </c>
      <c r="G612" s="2" t="inlineStr">
        <is>
          <t>Marsh.Ma@cn.ey.com</t>
        </is>
      </c>
      <c r="H612" s="2" t="inlineStr">
        <is>
          <t>Week42 (2027.04.17)</t>
        </is>
      </c>
      <c r="I612" s="2" t="n">
        <v>3.93</v>
      </c>
    </row>
    <row r="613">
      <c r="A613" s="2" t="inlineStr">
        <is>
          <t>招银</t>
        </is>
      </c>
      <c r="B613" s="2" t="inlineStr">
        <is>
          <t>CMB International Leasing Management Limited</t>
        </is>
      </c>
      <c r="C613" s="2" t="inlineStr">
        <is>
          <t>47133720</t>
        </is>
      </c>
      <c r="D613" s="2" t="inlineStr">
        <is>
          <t>AUD2026-12 CMBILM</t>
        </is>
      </c>
      <c r="E613" s="2" t="inlineStr">
        <is>
          <t>Order47133720- 260504003</t>
        </is>
      </c>
      <c r="F613" s="2" t="inlineStr">
        <is>
          <t>47133720- EDC260504003</t>
        </is>
      </c>
      <c r="G613" s="2" t="inlineStr">
        <is>
          <t>Vivi.W.Yang@cn.ey.com</t>
        </is>
      </c>
      <c r="H613" s="2" t="inlineStr">
        <is>
          <t>Week42 (2027.04.17)</t>
        </is>
      </c>
      <c r="I613" s="2" t="n">
        <v>10.81</v>
      </c>
    </row>
    <row r="614">
      <c r="A614" s="2" t="inlineStr">
        <is>
          <t>招银</t>
        </is>
      </c>
      <c r="B614" s="2" t="inlineStr">
        <is>
          <t>CMB International Leasing Management Limited</t>
        </is>
      </c>
      <c r="C614" s="2" t="inlineStr">
        <is>
          <t>47133720</t>
        </is>
      </c>
      <c r="D614" s="2" t="inlineStr">
        <is>
          <t>AUD2026-12 CMBILM</t>
        </is>
      </c>
      <c r="E614" s="2" t="inlineStr">
        <is>
          <t>Order47133720- 260504003</t>
        </is>
      </c>
      <c r="F614" s="2" t="inlineStr">
        <is>
          <t>47133720- EDC260504003</t>
        </is>
      </c>
      <c r="G614" s="2" t="inlineStr">
        <is>
          <t>Yuan.Yuan.YY.Chen@cn.ey.com</t>
        </is>
      </c>
      <c r="H614" s="2" t="inlineStr">
        <is>
          <t>Week42 (2027.04.17)</t>
        </is>
      </c>
      <c r="I614" s="2" t="n">
        <v>34.39</v>
      </c>
    </row>
    <row r="615">
      <c r="A615" s="2" t="inlineStr">
        <is>
          <t>PE</t>
        </is>
      </c>
      <c r="B615" s="2" t="inlineStr">
        <is>
          <t>Jamesonite Gem (HK) Holdings Limited</t>
        </is>
      </c>
      <c r="C615" s="2" t="inlineStr">
        <is>
          <t>47136348</t>
        </is>
      </c>
      <c r="D615" s="2" t="inlineStr">
        <is>
          <t>AUD2026-12 Warburg Pincus HK SPV JZ</t>
        </is>
      </c>
      <c r="E615" s="2" t="inlineStr">
        <is>
          <t>Order47136348- 260504004</t>
        </is>
      </c>
      <c r="F615" s="2" t="inlineStr">
        <is>
          <t>47136348- EDC260504001</t>
        </is>
      </c>
      <c r="G615" s="2" t="inlineStr">
        <is>
          <t>Luna.CD.Zhang@cn.ey.com</t>
        </is>
      </c>
      <c r="H615" s="2" t="inlineStr">
        <is>
          <t>Week42 (2027.04.17)</t>
        </is>
      </c>
      <c r="I615" s="2" t="n">
        <v>16.62</v>
      </c>
    </row>
    <row r="616">
      <c r="A616" s="2" t="inlineStr">
        <is>
          <t>PE</t>
        </is>
      </c>
      <c r="B616" s="2" t="inlineStr">
        <is>
          <t>Jamesonite Gem (HK) Holdings Limited</t>
        </is>
      </c>
      <c r="C616" s="2" t="inlineStr">
        <is>
          <t>47136348</t>
        </is>
      </c>
      <c r="D616" s="2" t="inlineStr">
        <is>
          <t>AUD2026-12 Warburg Pincus HK SPV JZ</t>
        </is>
      </c>
      <c r="E616" s="2" t="inlineStr">
        <is>
          <t>Order47136348- 260504004</t>
        </is>
      </c>
      <c r="F616" s="2" t="inlineStr">
        <is>
          <t>47136348- EDC260504001</t>
        </is>
      </c>
      <c r="G616" s="2" t="inlineStr">
        <is>
          <t>Marsh.Ma@cn.ey.com</t>
        </is>
      </c>
      <c r="H616" s="2" t="inlineStr">
        <is>
          <t>Week42 (2027.04.17)</t>
        </is>
      </c>
      <c r="I616" s="2" t="n">
        <v>1.9</v>
      </c>
    </row>
    <row r="617">
      <c r="A617" s="2" t="inlineStr">
        <is>
          <t>PE</t>
        </is>
      </c>
      <c r="B617" s="2" t="inlineStr">
        <is>
          <t>Jamesonite Gem (HK) Holdings Limited</t>
        </is>
      </c>
      <c r="C617" s="2" t="inlineStr">
        <is>
          <t>47136348</t>
        </is>
      </c>
      <c r="D617" s="2" t="inlineStr">
        <is>
          <t>AUD2026-12 Warburg Pincus HK SPV JZ</t>
        </is>
      </c>
      <c r="E617" s="2" t="inlineStr">
        <is>
          <t>Order47136348- 260504004</t>
        </is>
      </c>
      <c r="F617" s="2" t="inlineStr">
        <is>
          <t>47136348- EDC260504001</t>
        </is>
      </c>
      <c r="G617" s="2" t="inlineStr">
        <is>
          <t>Vivi.W.Yang@cn.ey.com</t>
        </is>
      </c>
      <c r="H617" s="2" t="inlineStr">
        <is>
          <t>Week42 (2027.04.17)</t>
        </is>
      </c>
      <c r="I617" s="2" t="n">
        <v>5.22</v>
      </c>
    </row>
    <row r="618">
      <c r="A618" s="2" t="inlineStr">
        <is>
          <t>招银</t>
        </is>
      </c>
      <c r="B618" s="2" t="inlineStr">
        <is>
          <t>CMB International Leasing Management Limited</t>
        </is>
      </c>
      <c r="C618" s="2" t="inlineStr">
        <is>
          <t>47133720</t>
        </is>
      </c>
      <c r="D618" s="2" t="inlineStr">
        <is>
          <t>AUD2026-12 CMBILM</t>
        </is>
      </c>
      <c r="E618" s="2" t="inlineStr">
        <is>
          <t>Order47133720- 260504003</t>
        </is>
      </c>
      <c r="F618" s="2" t="inlineStr">
        <is>
          <t>47133720- EDC260504003</t>
        </is>
      </c>
      <c r="G618" s="2" t="inlineStr">
        <is>
          <t>Marsh.Ma@cn.ey.com</t>
        </is>
      </c>
      <c r="H618" s="2" t="inlineStr">
        <is>
          <t>Week43 (2027.04.24)</t>
        </is>
      </c>
      <c r="I618" s="2" t="n">
        <v>3.93</v>
      </c>
    </row>
    <row r="619">
      <c r="A619" s="2" t="inlineStr">
        <is>
          <t>招银</t>
        </is>
      </c>
      <c r="B619" s="2" t="inlineStr">
        <is>
          <t>CMB International Leasing Management Limited</t>
        </is>
      </c>
      <c r="C619" s="2" t="inlineStr">
        <is>
          <t>47133720</t>
        </is>
      </c>
      <c r="D619" s="2" t="inlineStr">
        <is>
          <t>AUD2026-12 CMBILM</t>
        </is>
      </c>
      <c r="E619" s="2" t="inlineStr">
        <is>
          <t>Order47133720- 260504003</t>
        </is>
      </c>
      <c r="F619" s="2" t="inlineStr">
        <is>
          <t>47133720- EDC260504003</t>
        </is>
      </c>
      <c r="G619" s="2" t="inlineStr">
        <is>
          <t>Vivi.W.Yang@cn.ey.com</t>
        </is>
      </c>
      <c r="H619" s="2" t="inlineStr">
        <is>
          <t>Week43 (2027.04.24)</t>
        </is>
      </c>
      <c r="I619" s="2" t="n">
        <v>10.81</v>
      </c>
    </row>
    <row r="620">
      <c r="A620" s="2" t="inlineStr">
        <is>
          <t>招银</t>
        </is>
      </c>
      <c r="B620" s="2" t="inlineStr">
        <is>
          <t>CMB International Leasing Management Limited</t>
        </is>
      </c>
      <c r="C620" s="2" t="inlineStr">
        <is>
          <t>47133720</t>
        </is>
      </c>
      <c r="D620" s="2" t="inlineStr">
        <is>
          <t>AUD2026-12 CMBILM</t>
        </is>
      </c>
      <c r="E620" s="2" t="inlineStr">
        <is>
          <t>Order47133720- 260504003</t>
        </is>
      </c>
      <c r="F620" s="2" t="inlineStr">
        <is>
          <t>47133720- EDC260504003</t>
        </is>
      </c>
      <c r="G620" s="2" t="inlineStr">
        <is>
          <t>Yuan.Yuan.YY.Chen@cn.ey.com</t>
        </is>
      </c>
      <c r="H620" s="2" t="inlineStr">
        <is>
          <t>Week43 (2027.04.24)</t>
        </is>
      </c>
      <c r="I620" s="2" t="n">
        <v>34.39</v>
      </c>
    </row>
    <row r="621">
      <c r="A621" s="2" t="inlineStr">
        <is>
          <t>PE</t>
        </is>
      </c>
      <c r="B621" s="2" t="inlineStr">
        <is>
          <t>Jamesonite Gem (HK) Holdings Limited</t>
        </is>
      </c>
      <c r="C621" s="2" t="inlineStr">
        <is>
          <t>47136348</t>
        </is>
      </c>
      <c r="D621" s="2" t="inlineStr">
        <is>
          <t>AUD2026-12 Warburg Pincus HK SPV JZ</t>
        </is>
      </c>
      <c r="E621" s="2" t="inlineStr">
        <is>
          <t>Order47136348- 260504004</t>
        </is>
      </c>
      <c r="F621" s="2" t="inlineStr">
        <is>
          <t>47136348- EDC260504001</t>
        </is>
      </c>
      <c r="G621" s="2" t="inlineStr">
        <is>
          <t>Luna.CD.Zhang@cn.ey.com</t>
        </is>
      </c>
      <c r="H621" s="2" t="inlineStr">
        <is>
          <t>Week43 (2027.04.24)</t>
        </is>
      </c>
      <c r="I621" s="2" t="n">
        <v>40</v>
      </c>
    </row>
    <row r="622">
      <c r="A622" s="2" t="inlineStr">
        <is>
          <t>PE</t>
        </is>
      </c>
      <c r="B622" s="2" t="inlineStr">
        <is>
          <t>Jamesonite Gem (HK) Holdings Limited</t>
        </is>
      </c>
      <c r="C622" s="2" t="inlineStr">
        <is>
          <t>47136348</t>
        </is>
      </c>
      <c r="D622" s="2" t="inlineStr">
        <is>
          <t>AUD2026-12 Warburg Pincus HK SPV JZ</t>
        </is>
      </c>
      <c r="E622" s="2" t="inlineStr">
        <is>
          <t>Order47136348- 260504004</t>
        </is>
      </c>
      <c r="F622" s="2" t="inlineStr">
        <is>
          <t>47136348- EDC260504001</t>
        </is>
      </c>
      <c r="G622" s="2" t="inlineStr">
        <is>
          <t>Marsh.Ma@cn.ey.com</t>
        </is>
      </c>
      <c r="H622" s="2" t="inlineStr">
        <is>
          <t>Week43 (2027.04.24)</t>
        </is>
      </c>
      <c r="I622" s="2" t="n">
        <v>13.29</v>
      </c>
    </row>
    <row r="623">
      <c r="A623" s="2" t="inlineStr">
        <is>
          <t>PE</t>
        </is>
      </c>
      <c r="B623" s="2" t="inlineStr">
        <is>
          <t>Jamesonite Gem (HK) Holdings Limited</t>
        </is>
      </c>
      <c r="C623" s="2" t="inlineStr">
        <is>
          <t>47136348</t>
        </is>
      </c>
      <c r="D623" s="2" t="inlineStr">
        <is>
          <t>AUD2026-12 Warburg Pincus HK SPV JZ</t>
        </is>
      </c>
      <c r="E623" s="2" t="inlineStr">
        <is>
          <t>Order47136348- 260504004</t>
        </is>
      </c>
      <c r="F623" s="2" t="inlineStr">
        <is>
          <t>47136348- EDC260504001</t>
        </is>
      </c>
      <c r="G623" s="2" t="inlineStr">
        <is>
          <t>Rainbow.MG.Xiao@cn.ey.com</t>
        </is>
      </c>
      <c r="H623" s="2" t="inlineStr">
        <is>
          <t>Week43 (2027.04.24)</t>
        </is>
      </c>
      <c r="I623" s="2" t="n">
        <v>40</v>
      </c>
    </row>
    <row r="624">
      <c r="A624" s="2" t="inlineStr">
        <is>
          <t>PE</t>
        </is>
      </c>
      <c r="B624" s="2" t="inlineStr">
        <is>
          <t>Jamesonite Gem (HK) Holdings Limited</t>
        </is>
      </c>
      <c r="C624" s="2" t="inlineStr">
        <is>
          <t>47136348</t>
        </is>
      </c>
      <c r="D624" s="2" t="inlineStr">
        <is>
          <t>AUD2026-12 Warburg Pincus HK SPV JZ</t>
        </is>
      </c>
      <c r="E624" s="2" t="inlineStr">
        <is>
          <t>Order47136348- 260504004</t>
        </is>
      </c>
      <c r="F624" s="2" t="inlineStr">
        <is>
          <t>47136348- EDC260504001</t>
        </is>
      </c>
      <c r="G624" s="2" t="inlineStr">
        <is>
          <t>Vivi.W.Yang@cn.ey.com</t>
        </is>
      </c>
      <c r="H624" s="2" t="inlineStr">
        <is>
          <t>Week43 (2027.04.24)</t>
        </is>
      </c>
      <c r="I624" s="2" t="n">
        <v>23.19</v>
      </c>
    </row>
    <row r="625">
      <c r="A625" s="2" t="inlineStr">
        <is>
          <t>PE</t>
        </is>
      </c>
      <c r="B625" s="2" t="inlineStr">
        <is>
          <t>Jamesonite Gem (HK) Holdings Limited</t>
        </is>
      </c>
      <c r="C625" s="2" t="inlineStr">
        <is>
          <t>47136348</t>
        </is>
      </c>
      <c r="D625" s="2" t="inlineStr">
        <is>
          <t>AUD2026-12 Warburg Pincus HK SPV JZ</t>
        </is>
      </c>
      <c r="E625" s="2" t="inlineStr">
        <is>
          <t>Order47136348- 260504004</t>
        </is>
      </c>
      <c r="F625" s="2" t="inlineStr">
        <is>
          <t>47136348- EDC260504001</t>
        </is>
      </c>
      <c r="G625" s="2" t="inlineStr">
        <is>
          <t>Luna.CD.Zhang@cn.ey.com</t>
        </is>
      </c>
      <c r="H625" s="2" t="inlineStr">
        <is>
          <t>Week44 (2027.05.01)</t>
        </is>
      </c>
      <c r="I625" s="2" t="n">
        <v>48</v>
      </c>
    </row>
    <row r="626">
      <c r="A626" s="2" t="inlineStr">
        <is>
          <t>PE</t>
        </is>
      </c>
      <c r="B626" s="2" t="inlineStr">
        <is>
          <t>Jamesonite Gem (HK) Holdings Limited</t>
        </is>
      </c>
      <c r="C626" s="2" t="inlineStr">
        <is>
          <t>47136348</t>
        </is>
      </c>
      <c r="D626" s="2" t="inlineStr">
        <is>
          <t>AUD2026-12 Warburg Pincus HK SPV JZ</t>
        </is>
      </c>
      <c r="E626" s="2" t="inlineStr">
        <is>
          <t>Order47136348- 260504004</t>
        </is>
      </c>
      <c r="F626" s="2" t="inlineStr">
        <is>
          <t>47136348- EDC260504001</t>
        </is>
      </c>
      <c r="G626" s="2" t="inlineStr">
        <is>
          <t>Marsh.Ma@cn.ey.com</t>
        </is>
      </c>
      <c r="H626" s="2" t="inlineStr">
        <is>
          <t>Week44 (2027.05.01)</t>
        </is>
      </c>
      <c r="I626" s="2" t="n">
        <v>9.5</v>
      </c>
    </row>
    <row r="627">
      <c r="A627" s="2" t="inlineStr">
        <is>
          <t>PE</t>
        </is>
      </c>
      <c r="B627" s="2" t="inlineStr">
        <is>
          <t>Jamesonite Gem (HK) Holdings Limited</t>
        </is>
      </c>
      <c r="C627" s="2" t="inlineStr">
        <is>
          <t>47136348</t>
        </is>
      </c>
      <c r="D627" s="2" t="inlineStr">
        <is>
          <t>AUD2026-12 Warburg Pincus HK SPV JZ</t>
        </is>
      </c>
      <c r="E627" s="2" t="inlineStr">
        <is>
          <t>Order47136348- 260504004</t>
        </is>
      </c>
      <c r="F627" s="2" t="inlineStr">
        <is>
          <t>47136348- EDC260504001</t>
        </is>
      </c>
      <c r="G627" s="2" t="inlineStr">
        <is>
          <t>Rainbow.MG.Xiao@cn.ey.com</t>
        </is>
      </c>
      <c r="H627" s="2" t="inlineStr">
        <is>
          <t>Week44 (2027.05.01)</t>
        </is>
      </c>
      <c r="I627" s="2" t="n">
        <v>48</v>
      </c>
    </row>
    <row r="628">
      <c r="A628" s="2" t="inlineStr">
        <is>
          <t>PE</t>
        </is>
      </c>
      <c r="B628" s="2" t="inlineStr">
        <is>
          <t>Jamesonite Gem (HK) Holdings Limited</t>
        </is>
      </c>
      <c r="C628" s="2" t="inlineStr">
        <is>
          <t>47136348</t>
        </is>
      </c>
      <c r="D628" s="2" t="inlineStr">
        <is>
          <t>AUD2026-12 Warburg Pincus HK SPV JZ</t>
        </is>
      </c>
      <c r="E628" s="2" t="inlineStr">
        <is>
          <t>Order47136348- 260504004</t>
        </is>
      </c>
      <c r="F628" s="2" t="inlineStr">
        <is>
          <t>47136348- EDC260504001</t>
        </is>
      </c>
      <c r="G628" s="2" t="inlineStr">
        <is>
          <t>Vivi.W.Yang@cn.ey.com</t>
        </is>
      </c>
      <c r="H628" s="2" t="inlineStr">
        <is>
          <t>Week44 (2027.05.01)</t>
        </is>
      </c>
      <c r="I628" s="2" t="n">
        <v>39.48</v>
      </c>
    </row>
    <row r="629">
      <c r="A629" s="2" t="inlineStr">
        <is>
          <t>PE</t>
        </is>
      </c>
      <c r="B629" s="2" t="inlineStr">
        <is>
          <t>Jamesonite Gem (HK) Holdings Limited</t>
        </is>
      </c>
      <c r="C629" s="2" t="inlineStr">
        <is>
          <t>47136348</t>
        </is>
      </c>
      <c r="D629" s="2" t="inlineStr">
        <is>
          <t>AUD2026-12 Warburg Pincus HK SPV JZ</t>
        </is>
      </c>
      <c r="E629" s="2" t="inlineStr">
        <is>
          <t>Order47136348- 260504004</t>
        </is>
      </c>
      <c r="F629" s="2" t="inlineStr">
        <is>
          <t>47136348- EDC260504001</t>
        </is>
      </c>
      <c r="G629" s="2" t="inlineStr">
        <is>
          <t>Luna.CD.Zhang@cn.ey.com</t>
        </is>
      </c>
      <c r="H629" s="2" t="inlineStr">
        <is>
          <t>Week45 (2027.05.08)</t>
        </is>
      </c>
      <c r="I629" s="2" t="n">
        <v>23.41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0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2" customWidth="1" min="2" max="2"/>
    <col width="17" customWidth="1" min="3" max="3"/>
    <col width="37" customWidth="1" min="4" max="4"/>
    <col width="26" customWidth="1" min="5" max="5"/>
    <col width="24" customWidth="1" min="6" max="6"/>
    <col width="2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 ht="33" customHeight="1">
      <c r="A1" s="1" t="inlineStr">
        <is>
          <t>项目类型</t>
        </is>
      </c>
      <c r="B1" s="1" t="inlineStr">
        <is>
          <t>Client Name</t>
        </is>
      </c>
      <c r="C1" s="1" t="inlineStr">
        <is>
          <t>Engagement Code</t>
        </is>
      </c>
      <c r="D1" s="1" t="inlineStr">
        <is>
          <t>Engagement Name</t>
        </is>
      </c>
      <c r="E1" s="1" t="inlineStr">
        <is>
          <t>订单编号</t>
        </is>
      </c>
      <c r="F1" s="1" t="inlineStr">
        <is>
          <t>WP服务单号</t>
        </is>
      </c>
      <c r="G1" s="1" t="inlineStr">
        <is>
          <t>Staff Name</t>
        </is>
      </c>
      <c r="H1" s="1" t="inlineStr">
        <is>
          <t>Week15 (2026.10.10)</t>
        </is>
      </c>
      <c r="I1" s="1" t="inlineStr">
        <is>
          <t>Week16 (2026.10.17)</t>
        </is>
      </c>
      <c r="J1" s="1" t="inlineStr">
        <is>
          <t>Week17 (2026.10.24)</t>
        </is>
      </c>
      <c r="K1" s="1" t="inlineStr">
        <is>
          <t>Week18 (2026.10.31)</t>
        </is>
      </c>
      <c r="L1" s="1" t="inlineStr">
        <is>
          <t>Week19 (2026.11.07)</t>
        </is>
      </c>
      <c r="M1" s="1" t="inlineStr">
        <is>
          <t>Week20 (2026.11.14)</t>
        </is>
      </c>
      <c r="N1" s="1" t="inlineStr">
        <is>
          <t>Week21 (2026.11.21)</t>
        </is>
      </c>
      <c r="O1" s="1" t="inlineStr">
        <is>
          <t>Week22 (2026.11.28)</t>
        </is>
      </c>
      <c r="P1" s="1" t="inlineStr">
        <is>
          <t>Week23 (2026.12.05)</t>
        </is>
      </c>
      <c r="Q1" s="1" t="inlineStr">
        <is>
          <t>Week24 (2026.12.12)</t>
        </is>
      </c>
      <c r="R1" s="1" t="inlineStr">
        <is>
          <t>Week25 (2026.12.19)</t>
        </is>
      </c>
      <c r="S1" s="1" t="inlineStr">
        <is>
          <t>Week26 (2026.12.26)</t>
        </is>
      </c>
      <c r="T1" s="1" t="inlineStr">
        <is>
          <t>Week27 (2027.01.02)</t>
        </is>
      </c>
      <c r="U1" s="1" t="inlineStr">
        <is>
          <t>Week28 (2027.01.09)</t>
        </is>
      </c>
      <c r="V1" s="1" t="inlineStr">
        <is>
          <t>Week29 (2027.01.16)</t>
        </is>
      </c>
      <c r="W1" s="1" t="inlineStr">
        <is>
          <t>Week30 (2027.01.23)</t>
        </is>
      </c>
      <c r="X1" s="1" t="inlineStr">
        <is>
          <t>Week31 (2027.01.30)</t>
        </is>
      </c>
      <c r="Y1" s="1" t="inlineStr">
        <is>
          <t>Week32 (2027.02.06)</t>
        </is>
      </c>
      <c r="Z1" s="1" t="inlineStr">
        <is>
          <t>Week33 (2027.02.13)</t>
        </is>
      </c>
      <c r="AA1" s="1" t="inlineStr">
        <is>
          <t>Week34 (2027.02.20)</t>
        </is>
      </c>
      <c r="AB1" s="1" t="inlineStr">
        <is>
          <t>Week35 (2027.02.27)</t>
        </is>
      </c>
      <c r="AC1" s="1" t="inlineStr">
        <is>
          <t>Week36 (2027.03.06)</t>
        </is>
      </c>
      <c r="AD1" s="1" t="inlineStr">
        <is>
          <t>Week37 (2027.03.13)</t>
        </is>
      </c>
      <c r="AE1" s="1" t="inlineStr">
        <is>
          <t>Week38 (2027.03.20)</t>
        </is>
      </c>
      <c r="AF1" s="1" t="inlineStr">
        <is>
          <t>Week39 (2027.03.27)</t>
        </is>
      </c>
      <c r="AG1" s="1" t="inlineStr">
        <is>
          <t>Week40 (2027.04.03)</t>
        </is>
      </c>
      <c r="AH1" s="1" t="inlineStr">
        <is>
          <t>Week41 (2027.04.10)</t>
        </is>
      </c>
      <c r="AI1" s="1" t="inlineStr">
        <is>
          <t>Week42 (2027.04.17)</t>
        </is>
      </c>
      <c r="AJ1" s="1" t="inlineStr">
        <is>
          <t>Week43 (2027.04.24)</t>
        </is>
      </c>
      <c r="AK1" s="1" t="inlineStr">
        <is>
          <t>Week44 (2027.05.01)</t>
        </is>
      </c>
      <c r="AL1" s="1" t="inlineStr">
        <is>
          <t>Week45 (2027.05.08)</t>
        </is>
      </c>
    </row>
    <row r="2">
      <c r="A2" s="2" t="inlineStr">
        <is>
          <t>HK WAM</t>
        </is>
      </c>
      <c r="B2" s="2" t="inlineStr">
        <is>
          <t>Taikang Asset Management (Hong Kong) Company Limited</t>
        </is>
      </c>
      <c r="C2" s="2" t="inlineStr">
        <is>
          <t>47129130</t>
        </is>
      </c>
      <c r="D2" s="2" t="inlineStr">
        <is>
          <t>AUD2026-12 Taikang HK Comps</t>
        </is>
      </c>
      <c r="E2" s="2" t="inlineStr">
        <is>
          <t>Order47129130- 260814001</t>
        </is>
      </c>
      <c r="F2" s="2" t="inlineStr">
        <is>
          <t>47129130- EDC260814001</t>
        </is>
      </c>
      <c r="G2" s="2" t="inlineStr">
        <is>
          <t>Luna.CD.Zhang@cn.ey.com</t>
        </is>
      </c>
      <c r="H2" s="2">
        <f>SUMIFS('周排班-纵表'!$I:$I,'周排班-纵表'!$C:$C,$C2,'周排班-纵表'!$G:$G,$G2,'周排班-纵表'!$H:$H,H$1)</f>
        <v/>
      </c>
      <c r="I2" s="2">
        <f>SUMIFS('周排班-纵表'!$I:$I,'周排班-纵表'!$C:$C,$C2,'周排班-纵表'!$G:$G,$G2,'周排班-纵表'!$H:$H,I$1)</f>
        <v/>
      </c>
      <c r="J2" s="2">
        <f>SUMIFS('周排班-纵表'!$I:$I,'周排班-纵表'!$C:$C,$C2,'周排班-纵表'!$G:$G,$G2,'周排班-纵表'!$H:$H,J$1)</f>
        <v/>
      </c>
      <c r="K2" s="2">
        <f>SUMIFS('周排班-纵表'!$I:$I,'周排班-纵表'!$C:$C,$C2,'周排班-纵表'!$G:$G,$G2,'周排班-纵表'!$H:$H,K$1)</f>
        <v/>
      </c>
      <c r="L2" s="2">
        <f>SUMIFS('周排班-纵表'!$I:$I,'周排班-纵表'!$C:$C,$C2,'周排班-纵表'!$G:$G,$G2,'周排班-纵表'!$H:$H,L$1)</f>
        <v/>
      </c>
      <c r="M2" s="2">
        <f>SUMIFS('周排班-纵表'!$I:$I,'周排班-纵表'!$C:$C,$C2,'周排班-纵表'!$G:$G,$G2,'周排班-纵表'!$H:$H,M$1)</f>
        <v/>
      </c>
      <c r="N2" s="2">
        <f>SUMIFS('周排班-纵表'!$I:$I,'周排班-纵表'!$C:$C,$C2,'周排班-纵表'!$G:$G,$G2,'周排班-纵表'!$H:$H,N$1)</f>
        <v/>
      </c>
      <c r="O2" s="2">
        <f>SUMIFS('周排班-纵表'!$I:$I,'周排班-纵表'!$C:$C,$C2,'周排班-纵表'!$G:$G,$G2,'周排班-纵表'!$H:$H,O$1)</f>
        <v/>
      </c>
      <c r="P2" s="2">
        <f>SUMIFS('周排班-纵表'!$I:$I,'周排班-纵表'!$C:$C,$C2,'周排班-纵表'!$G:$G,$G2,'周排班-纵表'!$H:$H,P$1)</f>
        <v/>
      </c>
      <c r="Q2" s="2">
        <f>SUMIFS('周排班-纵表'!$I:$I,'周排班-纵表'!$C:$C,$C2,'周排班-纵表'!$G:$G,$G2,'周排班-纵表'!$H:$H,Q$1)</f>
        <v/>
      </c>
      <c r="R2" s="2">
        <f>SUMIFS('周排班-纵表'!$I:$I,'周排班-纵表'!$C:$C,$C2,'周排班-纵表'!$G:$G,$G2,'周排班-纵表'!$H:$H,R$1)</f>
        <v/>
      </c>
      <c r="S2" s="2">
        <f>SUMIFS('周排班-纵表'!$I:$I,'周排班-纵表'!$C:$C,$C2,'周排班-纵表'!$G:$G,$G2,'周排班-纵表'!$H:$H,S$1)</f>
        <v/>
      </c>
      <c r="T2" s="2">
        <f>SUMIFS('周排班-纵表'!$I:$I,'周排班-纵表'!$C:$C,$C2,'周排班-纵表'!$G:$G,$G2,'周排班-纵表'!$H:$H,T$1)</f>
        <v/>
      </c>
      <c r="U2" s="2">
        <f>SUMIFS('周排班-纵表'!$I:$I,'周排班-纵表'!$C:$C,$C2,'周排班-纵表'!$G:$G,$G2,'周排班-纵表'!$H:$H,U$1)</f>
        <v/>
      </c>
      <c r="V2" s="2">
        <f>SUMIFS('周排班-纵表'!$I:$I,'周排班-纵表'!$C:$C,$C2,'周排班-纵表'!$G:$G,$G2,'周排班-纵表'!$H:$H,V$1)</f>
        <v/>
      </c>
      <c r="W2" s="2">
        <f>SUMIFS('周排班-纵表'!$I:$I,'周排班-纵表'!$C:$C,$C2,'周排班-纵表'!$G:$G,$G2,'周排班-纵表'!$H:$H,W$1)</f>
        <v/>
      </c>
      <c r="X2" s="2">
        <f>SUMIFS('周排班-纵表'!$I:$I,'周排班-纵表'!$C:$C,$C2,'周排班-纵表'!$G:$G,$G2,'周排班-纵表'!$H:$H,X$1)</f>
        <v/>
      </c>
      <c r="Y2" s="2">
        <f>SUMIFS('周排班-纵表'!$I:$I,'周排班-纵表'!$C:$C,$C2,'周排班-纵表'!$G:$G,$G2,'周排班-纵表'!$H:$H,Y$1)</f>
        <v/>
      </c>
      <c r="Z2" s="2">
        <f>SUMIFS('周排班-纵表'!$I:$I,'周排班-纵表'!$C:$C,$C2,'周排班-纵表'!$G:$G,$G2,'周排班-纵表'!$H:$H,Z$1)</f>
        <v/>
      </c>
      <c r="AA2" s="2">
        <f>SUMIFS('周排班-纵表'!$I:$I,'周排班-纵表'!$C:$C,$C2,'周排班-纵表'!$G:$G,$G2,'周排班-纵表'!$H:$H,AA$1)</f>
        <v/>
      </c>
      <c r="AB2" s="2">
        <f>SUMIFS('周排班-纵表'!$I:$I,'周排班-纵表'!$C:$C,$C2,'周排班-纵表'!$G:$G,$G2,'周排班-纵表'!$H:$H,AB$1)</f>
        <v/>
      </c>
      <c r="AC2" s="2">
        <f>SUMIFS('周排班-纵表'!$I:$I,'周排班-纵表'!$C:$C,$C2,'周排班-纵表'!$G:$G,$G2,'周排班-纵表'!$H:$H,AC$1)</f>
        <v/>
      </c>
      <c r="AD2" s="2">
        <f>SUMIFS('周排班-纵表'!$I:$I,'周排班-纵表'!$C:$C,$C2,'周排班-纵表'!$G:$G,$G2,'周排班-纵表'!$H:$H,AD$1)</f>
        <v/>
      </c>
      <c r="AE2" s="2">
        <f>SUMIFS('周排班-纵表'!$I:$I,'周排班-纵表'!$C:$C,$C2,'周排班-纵表'!$G:$G,$G2,'周排班-纵表'!$H:$H,AE$1)</f>
        <v/>
      </c>
      <c r="AF2" s="2">
        <f>SUMIFS('周排班-纵表'!$I:$I,'周排班-纵表'!$C:$C,$C2,'周排班-纵表'!$G:$G,$G2,'周排班-纵表'!$H:$H,AF$1)</f>
        <v/>
      </c>
      <c r="AG2" s="2">
        <f>SUMIFS('周排班-纵表'!$I:$I,'周排班-纵表'!$C:$C,$C2,'周排班-纵表'!$G:$G,$G2,'周排班-纵表'!$H:$H,AG$1)</f>
        <v/>
      </c>
      <c r="AH2" s="2">
        <f>SUMIFS('周排班-纵表'!$I:$I,'周排班-纵表'!$C:$C,$C2,'周排班-纵表'!$G:$G,$G2,'周排班-纵表'!$H:$H,AH$1)</f>
        <v/>
      </c>
      <c r="AI2" s="2">
        <f>SUMIFS('周排班-纵表'!$I:$I,'周排班-纵表'!$C:$C,$C2,'周排班-纵表'!$G:$G,$G2,'周排班-纵表'!$H:$H,AI$1)</f>
        <v/>
      </c>
      <c r="AJ2" s="2">
        <f>SUMIFS('周排班-纵表'!$I:$I,'周排班-纵表'!$C:$C,$C2,'周排班-纵表'!$G:$G,$G2,'周排班-纵表'!$H:$H,AJ$1)</f>
        <v/>
      </c>
      <c r="AK2" s="2">
        <f>SUMIFS('周排班-纵表'!$I:$I,'周排班-纵表'!$C:$C,$C2,'周排班-纵表'!$G:$G,$G2,'周排班-纵表'!$H:$H,AK$1)</f>
        <v/>
      </c>
      <c r="AL2" s="2">
        <f>SUMIFS('周排班-纵表'!$I:$I,'周排班-纵表'!$C:$C,$C2,'周排班-纵表'!$G:$G,$G2,'周排班-纵表'!$H:$H,AL$1)</f>
        <v/>
      </c>
    </row>
    <row r="3">
      <c r="A3" s="2" t="inlineStr">
        <is>
          <t>HK WAM</t>
        </is>
      </c>
      <c r="B3" s="2" t="inlineStr">
        <is>
          <t>Taikang Asset Management (Hong Kong) Company Limited</t>
        </is>
      </c>
      <c r="C3" s="2" t="inlineStr">
        <is>
          <t>47129130</t>
        </is>
      </c>
      <c r="D3" s="2" t="inlineStr">
        <is>
          <t>AUD2026-12 Taikang HK Comps</t>
        </is>
      </c>
      <c r="E3" s="2" t="inlineStr">
        <is>
          <t>Order47129130- 260814001</t>
        </is>
      </c>
      <c r="F3" s="2" t="inlineStr">
        <is>
          <t>47129130- EDC260814001</t>
        </is>
      </c>
      <c r="G3" s="2" t="inlineStr">
        <is>
          <t>Marsh.Ma@cn.ey.com</t>
        </is>
      </c>
      <c r="H3" s="2">
        <f>SUMIFS('周排班-纵表'!$I:$I,'周排班-纵表'!$C:$C,$C3,'周排班-纵表'!$G:$G,$G3,'周排班-纵表'!$H:$H,H$1)</f>
        <v/>
      </c>
      <c r="I3" s="2">
        <f>SUMIFS('周排班-纵表'!$I:$I,'周排班-纵表'!$C:$C,$C3,'周排班-纵表'!$G:$G,$G3,'周排班-纵表'!$H:$H,I$1)</f>
        <v/>
      </c>
      <c r="J3" s="2">
        <f>SUMIFS('周排班-纵表'!$I:$I,'周排班-纵表'!$C:$C,$C3,'周排班-纵表'!$G:$G,$G3,'周排班-纵表'!$H:$H,J$1)</f>
        <v/>
      </c>
      <c r="K3" s="2">
        <f>SUMIFS('周排班-纵表'!$I:$I,'周排班-纵表'!$C:$C,$C3,'周排班-纵表'!$G:$G,$G3,'周排班-纵表'!$H:$H,K$1)</f>
        <v/>
      </c>
      <c r="L3" s="2">
        <f>SUMIFS('周排班-纵表'!$I:$I,'周排班-纵表'!$C:$C,$C3,'周排班-纵表'!$G:$G,$G3,'周排班-纵表'!$H:$H,L$1)</f>
        <v/>
      </c>
      <c r="M3" s="2">
        <f>SUMIFS('周排班-纵表'!$I:$I,'周排班-纵表'!$C:$C,$C3,'周排班-纵表'!$G:$G,$G3,'周排班-纵表'!$H:$H,M$1)</f>
        <v/>
      </c>
      <c r="N3" s="2">
        <f>SUMIFS('周排班-纵表'!$I:$I,'周排班-纵表'!$C:$C,$C3,'周排班-纵表'!$G:$G,$G3,'周排班-纵表'!$H:$H,N$1)</f>
        <v/>
      </c>
      <c r="O3" s="2">
        <f>SUMIFS('周排班-纵表'!$I:$I,'周排班-纵表'!$C:$C,$C3,'周排班-纵表'!$G:$G,$G3,'周排班-纵表'!$H:$H,O$1)</f>
        <v/>
      </c>
      <c r="P3" s="2">
        <f>SUMIFS('周排班-纵表'!$I:$I,'周排班-纵表'!$C:$C,$C3,'周排班-纵表'!$G:$G,$G3,'周排班-纵表'!$H:$H,P$1)</f>
        <v/>
      </c>
      <c r="Q3" s="2">
        <f>SUMIFS('周排班-纵表'!$I:$I,'周排班-纵表'!$C:$C,$C3,'周排班-纵表'!$G:$G,$G3,'周排班-纵表'!$H:$H,Q$1)</f>
        <v/>
      </c>
      <c r="R3" s="2">
        <f>SUMIFS('周排班-纵表'!$I:$I,'周排班-纵表'!$C:$C,$C3,'周排班-纵表'!$G:$G,$G3,'周排班-纵表'!$H:$H,R$1)</f>
        <v/>
      </c>
      <c r="S3" s="2">
        <f>SUMIFS('周排班-纵表'!$I:$I,'周排班-纵表'!$C:$C,$C3,'周排班-纵表'!$G:$G,$G3,'周排班-纵表'!$H:$H,S$1)</f>
        <v/>
      </c>
      <c r="T3" s="2">
        <f>SUMIFS('周排班-纵表'!$I:$I,'周排班-纵表'!$C:$C,$C3,'周排班-纵表'!$G:$G,$G3,'周排班-纵表'!$H:$H,T$1)</f>
        <v/>
      </c>
      <c r="U3" s="2">
        <f>SUMIFS('周排班-纵表'!$I:$I,'周排班-纵表'!$C:$C,$C3,'周排班-纵表'!$G:$G,$G3,'周排班-纵表'!$H:$H,U$1)</f>
        <v/>
      </c>
      <c r="V3" s="2">
        <f>SUMIFS('周排班-纵表'!$I:$I,'周排班-纵表'!$C:$C,$C3,'周排班-纵表'!$G:$G,$G3,'周排班-纵表'!$H:$H,V$1)</f>
        <v/>
      </c>
      <c r="W3" s="2">
        <f>SUMIFS('周排班-纵表'!$I:$I,'周排班-纵表'!$C:$C,$C3,'周排班-纵表'!$G:$G,$G3,'周排班-纵表'!$H:$H,W$1)</f>
        <v/>
      </c>
      <c r="X3" s="2">
        <f>SUMIFS('周排班-纵表'!$I:$I,'周排班-纵表'!$C:$C,$C3,'周排班-纵表'!$G:$G,$G3,'周排班-纵表'!$H:$H,X$1)</f>
        <v/>
      </c>
      <c r="Y3" s="2">
        <f>SUMIFS('周排班-纵表'!$I:$I,'周排班-纵表'!$C:$C,$C3,'周排班-纵表'!$G:$G,$G3,'周排班-纵表'!$H:$H,Y$1)</f>
        <v/>
      </c>
      <c r="Z3" s="2">
        <f>SUMIFS('周排班-纵表'!$I:$I,'周排班-纵表'!$C:$C,$C3,'周排班-纵表'!$G:$G,$G3,'周排班-纵表'!$H:$H,Z$1)</f>
        <v/>
      </c>
      <c r="AA3" s="2">
        <f>SUMIFS('周排班-纵表'!$I:$I,'周排班-纵表'!$C:$C,$C3,'周排班-纵表'!$G:$G,$G3,'周排班-纵表'!$H:$H,AA$1)</f>
        <v/>
      </c>
      <c r="AB3" s="2">
        <f>SUMIFS('周排班-纵表'!$I:$I,'周排班-纵表'!$C:$C,$C3,'周排班-纵表'!$G:$G,$G3,'周排班-纵表'!$H:$H,AB$1)</f>
        <v/>
      </c>
      <c r="AC3" s="2">
        <f>SUMIFS('周排班-纵表'!$I:$I,'周排班-纵表'!$C:$C,$C3,'周排班-纵表'!$G:$G,$G3,'周排班-纵表'!$H:$H,AC$1)</f>
        <v/>
      </c>
      <c r="AD3" s="2">
        <f>SUMIFS('周排班-纵表'!$I:$I,'周排班-纵表'!$C:$C,$C3,'周排班-纵表'!$G:$G,$G3,'周排班-纵表'!$H:$H,AD$1)</f>
        <v/>
      </c>
      <c r="AE3" s="2">
        <f>SUMIFS('周排班-纵表'!$I:$I,'周排班-纵表'!$C:$C,$C3,'周排班-纵表'!$G:$G,$G3,'周排班-纵表'!$H:$H,AE$1)</f>
        <v/>
      </c>
      <c r="AF3" s="2">
        <f>SUMIFS('周排班-纵表'!$I:$I,'周排班-纵表'!$C:$C,$C3,'周排班-纵表'!$G:$G,$G3,'周排班-纵表'!$H:$H,AF$1)</f>
        <v/>
      </c>
      <c r="AG3" s="2">
        <f>SUMIFS('周排班-纵表'!$I:$I,'周排班-纵表'!$C:$C,$C3,'周排班-纵表'!$G:$G,$G3,'周排班-纵表'!$H:$H,AG$1)</f>
        <v/>
      </c>
      <c r="AH3" s="2">
        <f>SUMIFS('周排班-纵表'!$I:$I,'周排班-纵表'!$C:$C,$C3,'周排班-纵表'!$G:$G,$G3,'周排班-纵表'!$H:$H,AH$1)</f>
        <v/>
      </c>
      <c r="AI3" s="2">
        <f>SUMIFS('周排班-纵表'!$I:$I,'周排班-纵表'!$C:$C,$C3,'周排班-纵表'!$G:$G,$G3,'周排班-纵表'!$H:$H,AI$1)</f>
        <v/>
      </c>
      <c r="AJ3" s="2">
        <f>SUMIFS('周排班-纵表'!$I:$I,'周排班-纵表'!$C:$C,$C3,'周排班-纵表'!$G:$G,$G3,'周排班-纵表'!$H:$H,AJ$1)</f>
        <v/>
      </c>
      <c r="AK3" s="2">
        <f>SUMIFS('周排班-纵表'!$I:$I,'周排班-纵表'!$C:$C,$C3,'周排班-纵表'!$G:$G,$G3,'周排班-纵表'!$H:$H,AK$1)</f>
        <v/>
      </c>
      <c r="AL3" s="2">
        <f>SUMIFS('周排班-纵表'!$I:$I,'周排班-纵表'!$C:$C,$C3,'周排班-纵表'!$G:$G,$G3,'周排班-纵表'!$H:$H,AL$1)</f>
        <v/>
      </c>
    </row>
    <row r="4">
      <c r="A4" s="2" t="inlineStr">
        <is>
          <t>HK WAM</t>
        </is>
      </c>
      <c r="B4" s="2" t="inlineStr">
        <is>
          <t>Taikang Asset Management (Hong Kong) Company Limited</t>
        </is>
      </c>
      <c r="C4" s="2" t="inlineStr">
        <is>
          <t>47129130</t>
        </is>
      </c>
      <c r="D4" s="2" t="inlineStr">
        <is>
          <t>AUD2026-12 Taikang HK Comps</t>
        </is>
      </c>
      <c r="E4" s="2" t="inlineStr">
        <is>
          <t>Order47129130- 260814001</t>
        </is>
      </c>
      <c r="F4" s="2" t="inlineStr">
        <is>
          <t>47129130- EDC260814001</t>
        </is>
      </c>
      <c r="G4" s="2" t="inlineStr">
        <is>
          <t>Rainbow.MG.Xiao@cn.ey.com</t>
        </is>
      </c>
      <c r="H4" s="2">
        <f>SUMIFS('周排班-纵表'!$I:$I,'周排班-纵表'!$C:$C,$C4,'周排班-纵表'!$G:$G,$G4,'周排班-纵表'!$H:$H,H$1)</f>
        <v/>
      </c>
      <c r="I4" s="2">
        <f>SUMIFS('周排班-纵表'!$I:$I,'周排班-纵表'!$C:$C,$C4,'周排班-纵表'!$G:$G,$G4,'周排班-纵表'!$H:$H,I$1)</f>
        <v/>
      </c>
      <c r="J4" s="2">
        <f>SUMIFS('周排班-纵表'!$I:$I,'周排班-纵表'!$C:$C,$C4,'周排班-纵表'!$G:$G,$G4,'周排班-纵表'!$H:$H,J$1)</f>
        <v/>
      </c>
      <c r="K4" s="2">
        <f>SUMIFS('周排班-纵表'!$I:$I,'周排班-纵表'!$C:$C,$C4,'周排班-纵表'!$G:$G,$G4,'周排班-纵表'!$H:$H,K$1)</f>
        <v/>
      </c>
      <c r="L4" s="2">
        <f>SUMIFS('周排班-纵表'!$I:$I,'周排班-纵表'!$C:$C,$C4,'周排班-纵表'!$G:$G,$G4,'周排班-纵表'!$H:$H,L$1)</f>
        <v/>
      </c>
      <c r="M4" s="2">
        <f>SUMIFS('周排班-纵表'!$I:$I,'周排班-纵表'!$C:$C,$C4,'周排班-纵表'!$G:$G,$G4,'周排班-纵表'!$H:$H,M$1)</f>
        <v/>
      </c>
      <c r="N4" s="2">
        <f>SUMIFS('周排班-纵表'!$I:$I,'周排班-纵表'!$C:$C,$C4,'周排班-纵表'!$G:$G,$G4,'周排班-纵表'!$H:$H,N$1)</f>
        <v/>
      </c>
      <c r="O4" s="2">
        <f>SUMIFS('周排班-纵表'!$I:$I,'周排班-纵表'!$C:$C,$C4,'周排班-纵表'!$G:$G,$G4,'周排班-纵表'!$H:$H,O$1)</f>
        <v/>
      </c>
      <c r="P4" s="2">
        <f>SUMIFS('周排班-纵表'!$I:$I,'周排班-纵表'!$C:$C,$C4,'周排班-纵表'!$G:$G,$G4,'周排班-纵表'!$H:$H,P$1)</f>
        <v/>
      </c>
      <c r="Q4" s="2">
        <f>SUMIFS('周排班-纵表'!$I:$I,'周排班-纵表'!$C:$C,$C4,'周排班-纵表'!$G:$G,$G4,'周排班-纵表'!$H:$H,Q$1)</f>
        <v/>
      </c>
      <c r="R4" s="2">
        <f>SUMIFS('周排班-纵表'!$I:$I,'周排班-纵表'!$C:$C,$C4,'周排班-纵表'!$G:$G,$G4,'周排班-纵表'!$H:$H,R$1)</f>
        <v/>
      </c>
      <c r="S4" s="2">
        <f>SUMIFS('周排班-纵表'!$I:$I,'周排班-纵表'!$C:$C,$C4,'周排班-纵表'!$G:$G,$G4,'周排班-纵表'!$H:$H,S$1)</f>
        <v/>
      </c>
      <c r="T4" s="2">
        <f>SUMIFS('周排班-纵表'!$I:$I,'周排班-纵表'!$C:$C,$C4,'周排班-纵表'!$G:$G,$G4,'周排班-纵表'!$H:$H,T$1)</f>
        <v/>
      </c>
      <c r="U4" s="2">
        <f>SUMIFS('周排班-纵表'!$I:$I,'周排班-纵表'!$C:$C,$C4,'周排班-纵表'!$G:$G,$G4,'周排班-纵表'!$H:$H,U$1)</f>
        <v/>
      </c>
      <c r="V4" s="2">
        <f>SUMIFS('周排班-纵表'!$I:$I,'周排班-纵表'!$C:$C,$C4,'周排班-纵表'!$G:$G,$G4,'周排班-纵表'!$H:$H,V$1)</f>
        <v/>
      </c>
      <c r="W4" s="2">
        <f>SUMIFS('周排班-纵表'!$I:$I,'周排班-纵表'!$C:$C,$C4,'周排班-纵表'!$G:$G,$G4,'周排班-纵表'!$H:$H,W$1)</f>
        <v/>
      </c>
      <c r="X4" s="2">
        <f>SUMIFS('周排班-纵表'!$I:$I,'周排班-纵表'!$C:$C,$C4,'周排班-纵表'!$G:$G,$G4,'周排班-纵表'!$H:$H,X$1)</f>
        <v/>
      </c>
      <c r="Y4" s="2">
        <f>SUMIFS('周排班-纵表'!$I:$I,'周排班-纵表'!$C:$C,$C4,'周排班-纵表'!$G:$G,$G4,'周排班-纵表'!$H:$H,Y$1)</f>
        <v/>
      </c>
      <c r="Z4" s="2">
        <f>SUMIFS('周排班-纵表'!$I:$I,'周排班-纵表'!$C:$C,$C4,'周排班-纵表'!$G:$G,$G4,'周排班-纵表'!$H:$H,Z$1)</f>
        <v/>
      </c>
      <c r="AA4" s="2">
        <f>SUMIFS('周排班-纵表'!$I:$I,'周排班-纵表'!$C:$C,$C4,'周排班-纵表'!$G:$G,$G4,'周排班-纵表'!$H:$H,AA$1)</f>
        <v/>
      </c>
      <c r="AB4" s="2">
        <f>SUMIFS('周排班-纵表'!$I:$I,'周排班-纵表'!$C:$C,$C4,'周排班-纵表'!$G:$G,$G4,'周排班-纵表'!$H:$H,AB$1)</f>
        <v/>
      </c>
      <c r="AC4" s="2">
        <f>SUMIFS('周排班-纵表'!$I:$I,'周排班-纵表'!$C:$C,$C4,'周排班-纵表'!$G:$G,$G4,'周排班-纵表'!$H:$H,AC$1)</f>
        <v/>
      </c>
      <c r="AD4" s="2">
        <f>SUMIFS('周排班-纵表'!$I:$I,'周排班-纵表'!$C:$C,$C4,'周排班-纵表'!$G:$G,$G4,'周排班-纵表'!$H:$H,AD$1)</f>
        <v/>
      </c>
      <c r="AE4" s="2">
        <f>SUMIFS('周排班-纵表'!$I:$I,'周排班-纵表'!$C:$C,$C4,'周排班-纵表'!$G:$G,$G4,'周排班-纵表'!$H:$H,AE$1)</f>
        <v/>
      </c>
      <c r="AF4" s="2">
        <f>SUMIFS('周排班-纵表'!$I:$I,'周排班-纵表'!$C:$C,$C4,'周排班-纵表'!$G:$G,$G4,'周排班-纵表'!$H:$H,AF$1)</f>
        <v/>
      </c>
      <c r="AG4" s="2">
        <f>SUMIFS('周排班-纵表'!$I:$I,'周排班-纵表'!$C:$C,$C4,'周排班-纵表'!$G:$G,$G4,'周排班-纵表'!$H:$H,AG$1)</f>
        <v/>
      </c>
      <c r="AH4" s="2">
        <f>SUMIFS('周排班-纵表'!$I:$I,'周排班-纵表'!$C:$C,$C4,'周排班-纵表'!$G:$G,$G4,'周排班-纵表'!$H:$H,AH$1)</f>
        <v/>
      </c>
      <c r="AI4" s="2">
        <f>SUMIFS('周排班-纵表'!$I:$I,'周排班-纵表'!$C:$C,$C4,'周排班-纵表'!$G:$G,$G4,'周排班-纵表'!$H:$H,AI$1)</f>
        <v/>
      </c>
      <c r="AJ4" s="2">
        <f>SUMIFS('周排班-纵表'!$I:$I,'周排班-纵表'!$C:$C,$C4,'周排班-纵表'!$G:$G,$G4,'周排班-纵表'!$H:$H,AJ$1)</f>
        <v/>
      </c>
      <c r="AK4" s="2">
        <f>SUMIFS('周排班-纵表'!$I:$I,'周排班-纵表'!$C:$C,$C4,'周排班-纵表'!$G:$G,$G4,'周排班-纵表'!$H:$H,AK$1)</f>
        <v/>
      </c>
      <c r="AL4" s="2">
        <f>SUMIFS('周排班-纵表'!$I:$I,'周排班-纵表'!$C:$C,$C4,'周排班-纵表'!$G:$G,$G4,'周排班-纵表'!$H:$H,AL$1)</f>
        <v/>
      </c>
    </row>
    <row r="5">
      <c r="A5" s="2" t="inlineStr">
        <is>
          <t>HK WAM</t>
        </is>
      </c>
      <c r="B5" s="2" t="inlineStr">
        <is>
          <t>Taikang Asset Management (Hong Kong) Company Limited</t>
        </is>
      </c>
      <c r="C5" s="2" t="inlineStr">
        <is>
          <t>47129130</t>
        </is>
      </c>
      <c r="D5" s="2" t="inlineStr">
        <is>
          <t>AUD2026-12 Taikang HK Comps</t>
        </is>
      </c>
      <c r="E5" s="2" t="inlineStr">
        <is>
          <t>Order47129130- 260814001</t>
        </is>
      </c>
      <c r="F5" s="2" t="inlineStr">
        <is>
          <t>47129130- EDC260814001</t>
        </is>
      </c>
      <c r="G5" s="2" t="inlineStr">
        <is>
          <t>Vivi.W.Yang@cn.ey.com</t>
        </is>
      </c>
      <c r="H5" s="2">
        <f>SUMIFS('周排班-纵表'!$I:$I,'周排班-纵表'!$C:$C,$C5,'周排班-纵表'!$G:$G,$G5,'周排班-纵表'!$H:$H,H$1)</f>
        <v/>
      </c>
      <c r="I5" s="2">
        <f>SUMIFS('周排班-纵表'!$I:$I,'周排班-纵表'!$C:$C,$C5,'周排班-纵表'!$G:$G,$G5,'周排班-纵表'!$H:$H,I$1)</f>
        <v/>
      </c>
      <c r="J5" s="2">
        <f>SUMIFS('周排班-纵表'!$I:$I,'周排班-纵表'!$C:$C,$C5,'周排班-纵表'!$G:$G,$G5,'周排班-纵表'!$H:$H,J$1)</f>
        <v/>
      </c>
      <c r="K5" s="2">
        <f>SUMIFS('周排班-纵表'!$I:$I,'周排班-纵表'!$C:$C,$C5,'周排班-纵表'!$G:$G,$G5,'周排班-纵表'!$H:$H,K$1)</f>
        <v/>
      </c>
      <c r="L5" s="2">
        <f>SUMIFS('周排班-纵表'!$I:$I,'周排班-纵表'!$C:$C,$C5,'周排班-纵表'!$G:$G,$G5,'周排班-纵表'!$H:$H,L$1)</f>
        <v/>
      </c>
      <c r="M5" s="2">
        <f>SUMIFS('周排班-纵表'!$I:$I,'周排班-纵表'!$C:$C,$C5,'周排班-纵表'!$G:$G,$G5,'周排班-纵表'!$H:$H,M$1)</f>
        <v/>
      </c>
      <c r="N5" s="2">
        <f>SUMIFS('周排班-纵表'!$I:$I,'周排班-纵表'!$C:$C,$C5,'周排班-纵表'!$G:$G,$G5,'周排班-纵表'!$H:$H,N$1)</f>
        <v/>
      </c>
      <c r="O5" s="2">
        <f>SUMIFS('周排班-纵表'!$I:$I,'周排班-纵表'!$C:$C,$C5,'周排班-纵表'!$G:$G,$G5,'周排班-纵表'!$H:$H,O$1)</f>
        <v/>
      </c>
      <c r="P5" s="2">
        <f>SUMIFS('周排班-纵表'!$I:$I,'周排班-纵表'!$C:$C,$C5,'周排班-纵表'!$G:$G,$G5,'周排班-纵表'!$H:$H,P$1)</f>
        <v/>
      </c>
      <c r="Q5" s="2">
        <f>SUMIFS('周排班-纵表'!$I:$I,'周排班-纵表'!$C:$C,$C5,'周排班-纵表'!$G:$G,$G5,'周排班-纵表'!$H:$H,Q$1)</f>
        <v/>
      </c>
      <c r="R5" s="2">
        <f>SUMIFS('周排班-纵表'!$I:$I,'周排班-纵表'!$C:$C,$C5,'周排班-纵表'!$G:$G,$G5,'周排班-纵表'!$H:$H,R$1)</f>
        <v/>
      </c>
      <c r="S5" s="2">
        <f>SUMIFS('周排班-纵表'!$I:$I,'周排班-纵表'!$C:$C,$C5,'周排班-纵表'!$G:$G,$G5,'周排班-纵表'!$H:$H,S$1)</f>
        <v/>
      </c>
      <c r="T5" s="2">
        <f>SUMIFS('周排班-纵表'!$I:$I,'周排班-纵表'!$C:$C,$C5,'周排班-纵表'!$G:$G,$G5,'周排班-纵表'!$H:$H,T$1)</f>
        <v/>
      </c>
      <c r="U5" s="2">
        <f>SUMIFS('周排班-纵表'!$I:$I,'周排班-纵表'!$C:$C,$C5,'周排班-纵表'!$G:$G,$G5,'周排班-纵表'!$H:$H,U$1)</f>
        <v/>
      </c>
      <c r="V5" s="2">
        <f>SUMIFS('周排班-纵表'!$I:$I,'周排班-纵表'!$C:$C,$C5,'周排班-纵表'!$G:$G,$G5,'周排班-纵表'!$H:$H,V$1)</f>
        <v/>
      </c>
      <c r="W5" s="2">
        <f>SUMIFS('周排班-纵表'!$I:$I,'周排班-纵表'!$C:$C,$C5,'周排班-纵表'!$G:$G,$G5,'周排班-纵表'!$H:$H,W$1)</f>
        <v/>
      </c>
      <c r="X5" s="2">
        <f>SUMIFS('周排班-纵表'!$I:$I,'周排班-纵表'!$C:$C,$C5,'周排班-纵表'!$G:$G,$G5,'周排班-纵表'!$H:$H,X$1)</f>
        <v/>
      </c>
      <c r="Y5" s="2">
        <f>SUMIFS('周排班-纵表'!$I:$I,'周排班-纵表'!$C:$C,$C5,'周排班-纵表'!$G:$G,$G5,'周排班-纵表'!$H:$H,Y$1)</f>
        <v/>
      </c>
      <c r="Z5" s="2">
        <f>SUMIFS('周排班-纵表'!$I:$I,'周排班-纵表'!$C:$C,$C5,'周排班-纵表'!$G:$G,$G5,'周排班-纵表'!$H:$H,Z$1)</f>
        <v/>
      </c>
      <c r="AA5" s="2">
        <f>SUMIFS('周排班-纵表'!$I:$I,'周排班-纵表'!$C:$C,$C5,'周排班-纵表'!$G:$G,$G5,'周排班-纵表'!$H:$H,AA$1)</f>
        <v/>
      </c>
      <c r="AB5" s="2">
        <f>SUMIFS('周排班-纵表'!$I:$I,'周排班-纵表'!$C:$C,$C5,'周排班-纵表'!$G:$G,$G5,'周排班-纵表'!$H:$H,AB$1)</f>
        <v/>
      </c>
      <c r="AC5" s="2">
        <f>SUMIFS('周排班-纵表'!$I:$I,'周排班-纵表'!$C:$C,$C5,'周排班-纵表'!$G:$G,$G5,'周排班-纵表'!$H:$H,AC$1)</f>
        <v/>
      </c>
      <c r="AD5" s="2">
        <f>SUMIFS('周排班-纵表'!$I:$I,'周排班-纵表'!$C:$C,$C5,'周排班-纵表'!$G:$G,$G5,'周排班-纵表'!$H:$H,AD$1)</f>
        <v/>
      </c>
      <c r="AE5" s="2">
        <f>SUMIFS('周排班-纵表'!$I:$I,'周排班-纵表'!$C:$C,$C5,'周排班-纵表'!$G:$G,$G5,'周排班-纵表'!$H:$H,AE$1)</f>
        <v/>
      </c>
      <c r="AF5" s="2">
        <f>SUMIFS('周排班-纵表'!$I:$I,'周排班-纵表'!$C:$C,$C5,'周排班-纵表'!$G:$G,$G5,'周排班-纵表'!$H:$H,AF$1)</f>
        <v/>
      </c>
      <c r="AG5" s="2">
        <f>SUMIFS('周排班-纵表'!$I:$I,'周排班-纵表'!$C:$C,$C5,'周排班-纵表'!$G:$G,$G5,'周排班-纵表'!$H:$H,AG$1)</f>
        <v/>
      </c>
      <c r="AH5" s="2">
        <f>SUMIFS('周排班-纵表'!$I:$I,'周排班-纵表'!$C:$C,$C5,'周排班-纵表'!$G:$G,$G5,'周排班-纵表'!$H:$H,AH$1)</f>
        <v/>
      </c>
      <c r="AI5" s="2">
        <f>SUMIFS('周排班-纵表'!$I:$I,'周排班-纵表'!$C:$C,$C5,'周排班-纵表'!$G:$G,$G5,'周排班-纵表'!$H:$H,AI$1)</f>
        <v/>
      </c>
      <c r="AJ5" s="2">
        <f>SUMIFS('周排班-纵表'!$I:$I,'周排班-纵表'!$C:$C,$C5,'周排班-纵表'!$G:$G,$G5,'周排班-纵表'!$H:$H,AJ$1)</f>
        <v/>
      </c>
      <c r="AK5" s="2">
        <f>SUMIFS('周排班-纵表'!$I:$I,'周排班-纵表'!$C:$C,$C5,'周排班-纵表'!$G:$G,$G5,'周排班-纵表'!$H:$H,AK$1)</f>
        <v/>
      </c>
      <c r="AL5" s="2">
        <f>SUMIFS('周排班-纵表'!$I:$I,'周排班-纵表'!$C:$C,$C5,'周排班-纵表'!$G:$G,$G5,'周排班-纵表'!$H:$H,AL$1)</f>
        <v/>
      </c>
    </row>
    <row r="6">
      <c r="A6" s="2" t="inlineStr">
        <is>
          <t>HK WAM</t>
        </is>
      </c>
      <c r="B6" s="2" t="inlineStr">
        <is>
          <t>HashKey Capital Limited</t>
        </is>
      </c>
      <c r="C6" s="2" t="inlineStr">
        <is>
          <t>47129402</t>
        </is>
      </c>
      <c r="D6" s="2" t="inlineStr">
        <is>
          <t>AUD2026-12 Hashkey OFC Funds</t>
        </is>
      </c>
      <c r="E6" s="2" t="inlineStr">
        <is>
          <t>Order47129402- 260829001</t>
        </is>
      </c>
      <c r="F6" s="2" t="inlineStr">
        <is>
          <t>47129402- EDC260829001</t>
        </is>
      </c>
      <c r="G6" s="2" t="inlineStr">
        <is>
          <t>Luna.CD.Zhang@cn.ey.com</t>
        </is>
      </c>
      <c r="H6" s="2">
        <f>SUMIFS('周排班-纵表'!$I:$I,'周排班-纵表'!$C:$C,$C6,'周排班-纵表'!$G:$G,$G6,'周排班-纵表'!$H:$H,H$1)</f>
        <v/>
      </c>
      <c r="I6" s="2">
        <f>SUMIFS('周排班-纵表'!$I:$I,'周排班-纵表'!$C:$C,$C6,'周排班-纵表'!$G:$G,$G6,'周排班-纵表'!$H:$H,I$1)</f>
        <v/>
      </c>
      <c r="J6" s="2">
        <f>SUMIFS('周排班-纵表'!$I:$I,'周排班-纵表'!$C:$C,$C6,'周排班-纵表'!$G:$G,$G6,'周排班-纵表'!$H:$H,J$1)</f>
        <v/>
      </c>
      <c r="K6" s="2">
        <f>SUMIFS('周排班-纵表'!$I:$I,'周排班-纵表'!$C:$C,$C6,'周排班-纵表'!$G:$G,$G6,'周排班-纵表'!$H:$H,K$1)</f>
        <v/>
      </c>
      <c r="L6" s="2">
        <f>SUMIFS('周排班-纵表'!$I:$I,'周排班-纵表'!$C:$C,$C6,'周排班-纵表'!$G:$G,$G6,'周排班-纵表'!$H:$H,L$1)</f>
        <v/>
      </c>
      <c r="M6" s="2">
        <f>SUMIFS('周排班-纵表'!$I:$I,'周排班-纵表'!$C:$C,$C6,'周排班-纵表'!$G:$G,$G6,'周排班-纵表'!$H:$H,M$1)</f>
        <v/>
      </c>
      <c r="N6" s="2">
        <f>SUMIFS('周排班-纵表'!$I:$I,'周排班-纵表'!$C:$C,$C6,'周排班-纵表'!$G:$G,$G6,'周排班-纵表'!$H:$H,N$1)</f>
        <v/>
      </c>
      <c r="O6" s="2">
        <f>SUMIFS('周排班-纵表'!$I:$I,'周排班-纵表'!$C:$C,$C6,'周排班-纵表'!$G:$G,$G6,'周排班-纵表'!$H:$H,O$1)</f>
        <v/>
      </c>
      <c r="P6" s="2">
        <f>SUMIFS('周排班-纵表'!$I:$I,'周排班-纵表'!$C:$C,$C6,'周排班-纵表'!$G:$G,$G6,'周排班-纵表'!$H:$H,P$1)</f>
        <v/>
      </c>
      <c r="Q6" s="2">
        <f>SUMIFS('周排班-纵表'!$I:$I,'周排班-纵表'!$C:$C,$C6,'周排班-纵表'!$G:$G,$G6,'周排班-纵表'!$H:$H,Q$1)</f>
        <v/>
      </c>
      <c r="R6" s="2">
        <f>SUMIFS('周排班-纵表'!$I:$I,'周排班-纵表'!$C:$C,$C6,'周排班-纵表'!$G:$G,$G6,'周排班-纵表'!$H:$H,R$1)</f>
        <v/>
      </c>
      <c r="S6" s="2">
        <f>SUMIFS('周排班-纵表'!$I:$I,'周排班-纵表'!$C:$C,$C6,'周排班-纵表'!$G:$G,$G6,'周排班-纵表'!$H:$H,S$1)</f>
        <v/>
      </c>
      <c r="T6" s="2">
        <f>SUMIFS('周排班-纵表'!$I:$I,'周排班-纵表'!$C:$C,$C6,'周排班-纵表'!$G:$G,$G6,'周排班-纵表'!$H:$H,T$1)</f>
        <v/>
      </c>
      <c r="U6" s="2">
        <f>SUMIFS('周排班-纵表'!$I:$I,'周排班-纵表'!$C:$C,$C6,'周排班-纵表'!$G:$G,$G6,'周排班-纵表'!$H:$H,U$1)</f>
        <v/>
      </c>
      <c r="V6" s="2">
        <f>SUMIFS('周排班-纵表'!$I:$I,'周排班-纵表'!$C:$C,$C6,'周排班-纵表'!$G:$G,$G6,'周排班-纵表'!$H:$H,V$1)</f>
        <v/>
      </c>
      <c r="W6" s="2">
        <f>SUMIFS('周排班-纵表'!$I:$I,'周排班-纵表'!$C:$C,$C6,'周排班-纵表'!$G:$G,$G6,'周排班-纵表'!$H:$H,W$1)</f>
        <v/>
      </c>
      <c r="X6" s="2">
        <f>SUMIFS('周排班-纵表'!$I:$I,'周排班-纵表'!$C:$C,$C6,'周排班-纵表'!$G:$G,$G6,'周排班-纵表'!$H:$H,X$1)</f>
        <v/>
      </c>
      <c r="Y6" s="2">
        <f>SUMIFS('周排班-纵表'!$I:$I,'周排班-纵表'!$C:$C,$C6,'周排班-纵表'!$G:$G,$G6,'周排班-纵表'!$H:$H,Y$1)</f>
        <v/>
      </c>
      <c r="Z6" s="2">
        <f>SUMIFS('周排班-纵表'!$I:$I,'周排班-纵表'!$C:$C,$C6,'周排班-纵表'!$G:$G,$G6,'周排班-纵表'!$H:$H,Z$1)</f>
        <v/>
      </c>
      <c r="AA6" s="2">
        <f>SUMIFS('周排班-纵表'!$I:$I,'周排班-纵表'!$C:$C,$C6,'周排班-纵表'!$G:$G,$G6,'周排班-纵表'!$H:$H,AA$1)</f>
        <v/>
      </c>
      <c r="AB6" s="2">
        <f>SUMIFS('周排班-纵表'!$I:$I,'周排班-纵表'!$C:$C,$C6,'周排班-纵表'!$G:$G,$G6,'周排班-纵表'!$H:$H,AB$1)</f>
        <v/>
      </c>
      <c r="AC6" s="2">
        <f>SUMIFS('周排班-纵表'!$I:$I,'周排班-纵表'!$C:$C,$C6,'周排班-纵表'!$G:$G,$G6,'周排班-纵表'!$H:$H,AC$1)</f>
        <v/>
      </c>
      <c r="AD6" s="2">
        <f>SUMIFS('周排班-纵表'!$I:$I,'周排班-纵表'!$C:$C,$C6,'周排班-纵表'!$G:$G,$G6,'周排班-纵表'!$H:$H,AD$1)</f>
        <v/>
      </c>
      <c r="AE6" s="2">
        <f>SUMIFS('周排班-纵表'!$I:$I,'周排班-纵表'!$C:$C,$C6,'周排班-纵表'!$G:$G,$G6,'周排班-纵表'!$H:$H,AE$1)</f>
        <v/>
      </c>
      <c r="AF6" s="2">
        <f>SUMIFS('周排班-纵表'!$I:$I,'周排班-纵表'!$C:$C,$C6,'周排班-纵表'!$G:$G,$G6,'周排班-纵表'!$H:$H,AF$1)</f>
        <v/>
      </c>
      <c r="AG6" s="2">
        <f>SUMIFS('周排班-纵表'!$I:$I,'周排班-纵表'!$C:$C,$C6,'周排班-纵表'!$G:$G,$G6,'周排班-纵表'!$H:$H,AG$1)</f>
        <v/>
      </c>
      <c r="AH6" s="2">
        <f>SUMIFS('周排班-纵表'!$I:$I,'周排班-纵表'!$C:$C,$C6,'周排班-纵表'!$G:$G,$G6,'周排班-纵表'!$H:$H,AH$1)</f>
        <v/>
      </c>
      <c r="AI6" s="2">
        <f>SUMIFS('周排班-纵表'!$I:$I,'周排班-纵表'!$C:$C,$C6,'周排班-纵表'!$G:$G,$G6,'周排班-纵表'!$H:$H,AI$1)</f>
        <v/>
      </c>
      <c r="AJ6" s="2">
        <f>SUMIFS('周排班-纵表'!$I:$I,'周排班-纵表'!$C:$C,$C6,'周排班-纵表'!$G:$G,$G6,'周排班-纵表'!$H:$H,AJ$1)</f>
        <v/>
      </c>
      <c r="AK6" s="2">
        <f>SUMIFS('周排班-纵表'!$I:$I,'周排班-纵表'!$C:$C,$C6,'周排班-纵表'!$G:$G,$G6,'周排班-纵表'!$H:$H,AK$1)</f>
        <v/>
      </c>
      <c r="AL6" s="2">
        <f>SUMIFS('周排班-纵表'!$I:$I,'周排班-纵表'!$C:$C,$C6,'周排班-纵表'!$G:$G,$G6,'周排班-纵表'!$H:$H,AL$1)</f>
        <v/>
      </c>
    </row>
    <row r="7">
      <c r="A7" s="2" t="inlineStr">
        <is>
          <t>HK WAM</t>
        </is>
      </c>
      <c r="B7" s="2" t="inlineStr">
        <is>
          <t>HashKey Capital Limited</t>
        </is>
      </c>
      <c r="C7" s="2" t="inlineStr">
        <is>
          <t>47129402</t>
        </is>
      </c>
      <c r="D7" s="2" t="inlineStr">
        <is>
          <t>AUD2026-12 Hashkey OFC Funds</t>
        </is>
      </c>
      <c r="E7" s="2" t="inlineStr">
        <is>
          <t>Order47129402- 260829001</t>
        </is>
      </c>
      <c r="F7" s="2" t="inlineStr">
        <is>
          <t>47129402- EDC260829001</t>
        </is>
      </c>
      <c r="G7" s="2" t="inlineStr">
        <is>
          <t>Marsh.Ma@cn.ey.com</t>
        </is>
      </c>
      <c r="H7" s="2">
        <f>SUMIFS('周排班-纵表'!$I:$I,'周排班-纵表'!$C:$C,$C7,'周排班-纵表'!$G:$G,$G7,'周排班-纵表'!$H:$H,H$1)</f>
        <v/>
      </c>
      <c r="I7" s="2">
        <f>SUMIFS('周排班-纵表'!$I:$I,'周排班-纵表'!$C:$C,$C7,'周排班-纵表'!$G:$G,$G7,'周排班-纵表'!$H:$H,I$1)</f>
        <v/>
      </c>
      <c r="J7" s="2">
        <f>SUMIFS('周排班-纵表'!$I:$I,'周排班-纵表'!$C:$C,$C7,'周排班-纵表'!$G:$G,$G7,'周排班-纵表'!$H:$H,J$1)</f>
        <v/>
      </c>
      <c r="K7" s="2">
        <f>SUMIFS('周排班-纵表'!$I:$I,'周排班-纵表'!$C:$C,$C7,'周排班-纵表'!$G:$G,$G7,'周排班-纵表'!$H:$H,K$1)</f>
        <v/>
      </c>
      <c r="L7" s="2">
        <f>SUMIFS('周排班-纵表'!$I:$I,'周排班-纵表'!$C:$C,$C7,'周排班-纵表'!$G:$G,$G7,'周排班-纵表'!$H:$H,L$1)</f>
        <v/>
      </c>
      <c r="M7" s="2">
        <f>SUMIFS('周排班-纵表'!$I:$I,'周排班-纵表'!$C:$C,$C7,'周排班-纵表'!$G:$G,$G7,'周排班-纵表'!$H:$H,M$1)</f>
        <v/>
      </c>
      <c r="N7" s="2">
        <f>SUMIFS('周排班-纵表'!$I:$I,'周排班-纵表'!$C:$C,$C7,'周排班-纵表'!$G:$G,$G7,'周排班-纵表'!$H:$H,N$1)</f>
        <v/>
      </c>
      <c r="O7" s="2">
        <f>SUMIFS('周排班-纵表'!$I:$I,'周排班-纵表'!$C:$C,$C7,'周排班-纵表'!$G:$G,$G7,'周排班-纵表'!$H:$H,O$1)</f>
        <v/>
      </c>
      <c r="P7" s="2">
        <f>SUMIFS('周排班-纵表'!$I:$I,'周排班-纵表'!$C:$C,$C7,'周排班-纵表'!$G:$G,$G7,'周排班-纵表'!$H:$H,P$1)</f>
        <v/>
      </c>
      <c r="Q7" s="2">
        <f>SUMIFS('周排班-纵表'!$I:$I,'周排班-纵表'!$C:$C,$C7,'周排班-纵表'!$G:$G,$G7,'周排班-纵表'!$H:$H,Q$1)</f>
        <v/>
      </c>
      <c r="R7" s="2">
        <f>SUMIFS('周排班-纵表'!$I:$I,'周排班-纵表'!$C:$C,$C7,'周排班-纵表'!$G:$G,$G7,'周排班-纵表'!$H:$H,R$1)</f>
        <v/>
      </c>
      <c r="S7" s="2">
        <f>SUMIFS('周排班-纵表'!$I:$I,'周排班-纵表'!$C:$C,$C7,'周排班-纵表'!$G:$G,$G7,'周排班-纵表'!$H:$H,S$1)</f>
        <v/>
      </c>
      <c r="T7" s="2">
        <f>SUMIFS('周排班-纵表'!$I:$I,'周排班-纵表'!$C:$C,$C7,'周排班-纵表'!$G:$G,$G7,'周排班-纵表'!$H:$H,T$1)</f>
        <v/>
      </c>
      <c r="U7" s="2">
        <f>SUMIFS('周排班-纵表'!$I:$I,'周排班-纵表'!$C:$C,$C7,'周排班-纵表'!$G:$G,$G7,'周排班-纵表'!$H:$H,U$1)</f>
        <v/>
      </c>
      <c r="V7" s="2">
        <f>SUMIFS('周排班-纵表'!$I:$I,'周排班-纵表'!$C:$C,$C7,'周排班-纵表'!$G:$G,$G7,'周排班-纵表'!$H:$H,V$1)</f>
        <v/>
      </c>
      <c r="W7" s="2">
        <f>SUMIFS('周排班-纵表'!$I:$I,'周排班-纵表'!$C:$C,$C7,'周排班-纵表'!$G:$G,$G7,'周排班-纵表'!$H:$H,W$1)</f>
        <v/>
      </c>
      <c r="X7" s="2">
        <f>SUMIFS('周排班-纵表'!$I:$I,'周排班-纵表'!$C:$C,$C7,'周排班-纵表'!$G:$G,$G7,'周排班-纵表'!$H:$H,X$1)</f>
        <v/>
      </c>
      <c r="Y7" s="2">
        <f>SUMIFS('周排班-纵表'!$I:$I,'周排班-纵表'!$C:$C,$C7,'周排班-纵表'!$G:$G,$G7,'周排班-纵表'!$H:$H,Y$1)</f>
        <v/>
      </c>
      <c r="Z7" s="2">
        <f>SUMIFS('周排班-纵表'!$I:$I,'周排班-纵表'!$C:$C,$C7,'周排班-纵表'!$G:$G,$G7,'周排班-纵表'!$H:$H,Z$1)</f>
        <v/>
      </c>
      <c r="AA7" s="2">
        <f>SUMIFS('周排班-纵表'!$I:$I,'周排班-纵表'!$C:$C,$C7,'周排班-纵表'!$G:$G,$G7,'周排班-纵表'!$H:$H,AA$1)</f>
        <v/>
      </c>
      <c r="AB7" s="2">
        <f>SUMIFS('周排班-纵表'!$I:$I,'周排班-纵表'!$C:$C,$C7,'周排班-纵表'!$G:$G,$G7,'周排班-纵表'!$H:$H,AB$1)</f>
        <v/>
      </c>
      <c r="AC7" s="2">
        <f>SUMIFS('周排班-纵表'!$I:$I,'周排班-纵表'!$C:$C,$C7,'周排班-纵表'!$G:$G,$G7,'周排班-纵表'!$H:$H,AC$1)</f>
        <v/>
      </c>
      <c r="AD7" s="2">
        <f>SUMIFS('周排班-纵表'!$I:$I,'周排班-纵表'!$C:$C,$C7,'周排班-纵表'!$G:$G,$G7,'周排班-纵表'!$H:$H,AD$1)</f>
        <v/>
      </c>
      <c r="AE7" s="2">
        <f>SUMIFS('周排班-纵表'!$I:$I,'周排班-纵表'!$C:$C,$C7,'周排班-纵表'!$G:$G,$G7,'周排班-纵表'!$H:$H,AE$1)</f>
        <v/>
      </c>
      <c r="AF7" s="2">
        <f>SUMIFS('周排班-纵表'!$I:$I,'周排班-纵表'!$C:$C,$C7,'周排班-纵表'!$G:$G,$G7,'周排班-纵表'!$H:$H,AF$1)</f>
        <v/>
      </c>
      <c r="AG7" s="2">
        <f>SUMIFS('周排班-纵表'!$I:$I,'周排班-纵表'!$C:$C,$C7,'周排班-纵表'!$G:$G,$G7,'周排班-纵表'!$H:$H,AG$1)</f>
        <v/>
      </c>
      <c r="AH7" s="2">
        <f>SUMIFS('周排班-纵表'!$I:$I,'周排班-纵表'!$C:$C,$C7,'周排班-纵表'!$G:$G,$G7,'周排班-纵表'!$H:$H,AH$1)</f>
        <v/>
      </c>
      <c r="AI7" s="2">
        <f>SUMIFS('周排班-纵表'!$I:$I,'周排班-纵表'!$C:$C,$C7,'周排班-纵表'!$G:$G,$G7,'周排班-纵表'!$H:$H,AI$1)</f>
        <v/>
      </c>
      <c r="AJ7" s="2">
        <f>SUMIFS('周排班-纵表'!$I:$I,'周排班-纵表'!$C:$C,$C7,'周排班-纵表'!$G:$G,$G7,'周排班-纵表'!$H:$H,AJ$1)</f>
        <v/>
      </c>
      <c r="AK7" s="2">
        <f>SUMIFS('周排班-纵表'!$I:$I,'周排班-纵表'!$C:$C,$C7,'周排班-纵表'!$G:$G,$G7,'周排班-纵表'!$H:$H,AK$1)</f>
        <v/>
      </c>
      <c r="AL7" s="2">
        <f>SUMIFS('周排班-纵表'!$I:$I,'周排班-纵表'!$C:$C,$C7,'周排班-纵表'!$G:$G,$G7,'周排班-纵表'!$H:$H,AL$1)</f>
        <v/>
      </c>
    </row>
    <row r="8">
      <c r="A8" s="2" t="inlineStr">
        <is>
          <t>HK WAM</t>
        </is>
      </c>
      <c r="B8" s="2" t="inlineStr">
        <is>
          <t>HashKey Capital Limited</t>
        </is>
      </c>
      <c r="C8" s="2" t="inlineStr">
        <is>
          <t>47129402</t>
        </is>
      </c>
      <c r="D8" s="2" t="inlineStr">
        <is>
          <t>AUD2026-12 Hashkey OFC Funds</t>
        </is>
      </c>
      <c r="E8" s="2" t="inlineStr">
        <is>
          <t>Order47129402- 260829001</t>
        </is>
      </c>
      <c r="F8" s="2" t="inlineStr">
        <is>
          <t>47129402- EDC260829001</t>
        </is>
      </c>
      <c r="G8" s="2" t="inlineStr">
        <is>
          <t>Rainbow.MG.Xiao@cn.ey.com</t>
        </is>
      </c>
      <c r="H8" s="2">
        <f>SUMIFS('周排班-纵表'!$I:$I,'周排班-纵表'!$C:$C,$C8,'周排班-纵表'!$G:$G,$G8,'周排班-纵表'!$H:$H,H$1)</f>
        <v/>
      </c>
      <c r="I8" s="2">
        <f>SUMIFS('周排班-纵表'!$I:$I,'周排班-纵表'!$C:$C,$C8,'周排班-纵表'!$G:$G,$G8,'周排班-纵表'!$H:$H,I$1)</f>
        <v/>
      </c>
      <c r="J8" s="2">
        <f>SUMIFS('周排班-纵表'!$I:$I,'周排班-纵表'!$C:$C,$C8,'周排班-纵表'!$G:$G,$G8,'周排班-纵表'!$H:$H,J$1)</f>
        <v/>
      </c>
      <c r="K8" s="2">
        <f>SUMIFS('周排班-纵表'!$I:$I,'周排班-纵表'!$C:$C,$C8,'周排班-纵表'!$G:$G,$G8,'周排班-纵表'!$H:$H,K$1)</f>
        <v/>
      </c>
      <c r="L8" s="2">
        <f>SUMIFS('周排班-纵表'!$I:$I,'周排班-纵表'!$C:$C,$C8,'周排班-纵表'!$G:$G,$G8,'周排班-纵表'!$H:$H,L$1)</f>
        <v/>
      </c>
      <c r="M8" s="2">
        <f>SUMIFS('周排班-纵表'!$I:$I,'周排班-纵表'!$C:$C,$C8,'周排班-纵表'!$G:$G,$G8,'周排班-纵表'!$H:$H,M$1)</f>
        <v/>
      </c>
      <c r="N8" s="2">
        <f>SUMIFS('周排班-纵表'!$I:$I,'周排班-纵表'!$C:$C,$C8,'周排班-纵表'!$G:$G,$G8,'周排班-纵表'!$H:$H,N$1)</f>
        <v/>
      </c>
      <c r="O8" s="2">
        <f>SUMIFS('周排班-纵表'!$I:$I,'周排班-纵表'!$C:$C,$C8,'周排班-纵表'!$G:$G,$G8,'周排班-纵表'!$H:$H,O$1)</f>
        <v/>
      </c>
      <c r="P8" s="2">
        <f>SUMIFS('周排班-纵表'!$I:$I,'周排班-纵表'!$C:$C,$C8,'周排班-纵表'!$G:$G,$G8,'周排班-纵表'!$H:$H,P$1)</f>
        <v/>
      </c>
      <c r="Q8" s="2">
        <f>SUMIFS('周排班-纵表'!$I:$I,'周排班-纵表'!$C:$C,$C8,'周排班-纵表'!$G:$G,$G8,'周排班-纵表'!$H:$H,Q$1)</f>
        <v/>
      </c>
      <c r="R8" s="2">
        <f>SUMIFS('周排班-纵表'!$I:$I,'周排班-纵表'!$C:$C,$C8,'周排班-纵表'!$G:$G,$G8,'周排班-纵表'!$H:$H,R$1)</f>
        <v/>
      </c>
      <c r="S8" s="2">
        <f>SUMIFS('周排班-纵表'!$I:$I,'周排班-纵表'!$C:$C,$C8,'周排班-纵表'!$G:$G,$G8,'周排班-纵表'!$H:$H,S$1)</f>
        <v/>
      </c>
      <c r="T8" s="2">
        <f>SUMIFS('周排班-纵表'!$I:$I,'周排班-纵表'!$C:$C,$C8,'周排班-纵表'!$G:$G,$G8,'周排班-纵表'!$H:$H,T$1)</f>
        <v/>
      </c>
      <c r="U8" s="2">
        <f>SUMIFS('周排班-纵表'!$I:$I,'周排班-纵表'!$C:$C,$C8,'周排班-纵表'!$G:$G,$G8,'周排班-纵表'!$H:$H,U$1)</f>
        <v/>
      </c>
      <c r="V8" s="2">
        <f>SUMIFS('周排班-纵表'!$I:$I,'周排班-纵表'!$C:$C,$C8,'周排班-纵表'!$G:$G,$G8,'周排班-纵表'!$H:$H,V$1)</f>
        <v/>
      </c>
      <c r="W8" s="2">
        <f>SUMIFS('周排班-纵表'!$I:$I,'周排班-纵表'!$C:$C,$C8,'周排班-纵表'!$G:$G,$G8,'周排班-纵表'!$H:$H,W$1)</f>
        <v/>
      </c>
      <c r="X8" s="2">
        <f>SUMIFS('周排班-纵表'!$I:$I,'周排班-纵表'!$C:$C,$C8,'周排班-纵表'!$G:$G,$G8,'周排班-纵表'!$H:$H,X$1)</f>
        <v/>
      </c>
      <c r="Y8" s="2">
        <f>SUMIFS('周排班-纵表'!$I:$I,'周排班-纵表'!$C:$C,$C8,'周排班-纵表'!$G:$G,$G8,'周排班-纵表'!$H:$H,Y$1)</f>
        <v/>
      </c>
      <c r="Z8" s="2">
        <f>SUMIFS('周排班-纵表'!$I:$I,'周排班-纵表'!$C:$C,$C8,'周排班-纵表'!$G:$G,$G8,'周排班-纵表'!$H:$H,Z$1)</f>
        <v/>
      </c>
      <c r="AA8" s="2">
        <f>SUMIFS('周排班-纵表'!$I:$I,'周排班-纵表'!$C:$C,$C8,'周排班-纵表'!$G:$G,$G8,'周排班-纵表'!$H:$H,AA$1)</f>
        <v/>
      </c>
      <c r="AB8" s="2">
        <f>SUMIFS('周排班-纵表'!$I:$I,'周排班-纵表'!$C:$C,$C8,'周排班-纵表'!$G:$G,$G8,'周排班-纵表'!$H:$H,AB$1)</f>
        <v/>
      </c>
      <c r="AC8" s="2">
        <f>SUMIFS('周排班-纵表'!$I:$I,'周排班-纵表'!$C:$C,$C8,'周排班-纵表'!$G:$G,$G8,'周排班-纵表'!$H:$H,AC$1)</f>
        <v/>
      </c>
      <c r="AD8" s="2">
        <f>SUMIFS('周排班-纵表'!$I:$I,'周排班-纵表'!$C:$C,$C8,'周排班-纵表'!$G:$G,$G8,'周排班-纵表'!$H:$H,AD$1)</f>
        <v/>
      </c>
      <c r="AE8" s="2">
        <f>SUMIFS('周排班-纵表'!$I:$I,'周排班-纵表'!$C:$C,$C8,'周排班-纵表'!$G:$G,$G8,'周排班-纵表'!$H:$H,AE$1)</f>
        <v/>
      </c>
      <c r="AF8" s="2">
        <f>SUMIFS('周排班-纵表'!$I:$I,'周排班-纵表'!$C:$C,$C8,'周排班-纵表'!$G:$G,$G8,'周排班-纵表'!$H:$H,AF$1)</f>
        <v/>
      </c>
      <c r="AG8" s="2">
        <f>SUMIFS('周排班-纵表'!$I:$I,'周排班-纵表'!$C:$C,$C8,'周排班-纵表'!$G:$G,$G8,'周排班-纵表'!$H:$H,AG$1)</f>
        <v/>
      </c>
      <c r="AH8" s="2">
        <f>SUMIFS('周排班-纵表'!$I:$I,'周排班-纵表'!$C:$C,$C8,'周排班-纵表'!$G:$G,$G8,'周排班-纵表'!$H:$H,AH$1)</f>
        <v/>
      </c>
      <c r="AI8" s="2">
        <f>SUMIFS('周排班-纵表'!$I:$I,'周排班-纵表'!$C:$C,$C8,'周排班-纵表'!$G:$G,$G8,'周排班-纵表'!$H:$H,AI$1)</f>
        <v/>
      </c>
      <c r="AJ8" s="2">
        <f>SUMIFS('周排班-纵表'!$I:$I,'周排班-纵表'!$C:$C,$C8,'周排班-纵表'!$G:$G,$G8,'周排班-纵表'!$H:$H,AJ$1)</f>
        <v/>
      </c>
      <c r="AK8" s="2">
        <f>SUMIFS('周排班-纵表'!$I:$I,'周排班-纵表'!$C:$C,$C8,'周排班-纵表'!$G:$G,$G8,'周排班-纵表'!$H:$H,AK$1)</f>
        <v/>
      </c>
      <c r="AL8" s="2">
        <f>SUMIFS('周排班-纵表'!$I:$I,'周排班-纵表'!$C:$C,$C8,'周排班-纵表'!$G:$G,$G8,'周排班-纵表'!$H:$H,AL$1)</f>
        <v/>
      </c>
    </row>
    <row r="9">
      <c r="A9" s="2" t="inlineStr">
        <is>
          <t>HK WAM</t>
        </is>
      </c>
      <c r="B9" s="2" t="inlineStr">
        <is>
          <t>HashKey Capital Limited</t>
        </is>
      </c>
      <c r="C9" s="2" t="inlineStr">
        <is>
          <t>47129402</t>
        </is>
      </c>
      <c r="D9" s="2" t="inlineStr">
        <is>
          <t>AUD2026-12 Hashkey OFC Funds</t>
        </is>
      </c>
      <c r="E9" s="2" t="inlineStr">
        <is>
          <t>Order47129402- 260829001</t>
        </is>
      </c>
      <c r="F9" s="2" t="inlineStr">
        <is>
          <t>47129402- EDC260829001</t>
        </is>
      </c>
      <c r="G9" s="2" t="inlineStr">
        <is>
          <t>Vivi.W.Yang@cn.ey.com</t>
        </is>
      </c>
      <c r="H9" s="2">
        <f>SUMIFS('周排班-纵表'!$I:$I,'周排班-纵表'!$C:$C,$C9,'周排班-纵表'!$G:$G,$G9,'周排班-纵表'!$H:$H,H$1)</f>
        <v/>
      </c>
      <c r="I9" s="2">
        <f>SUMIFS('周排班-纵表'!$I:$I,'周排班-纵表'!$C:$C,$C9,'周排班-纵表'!$G:$G,$G9,'周排班-纵表'!$H:$H,I$1)</f>
        <v/>
      </c>
      <c r="J9" s="2">
        <f>SUMIFS('周排班-纵表'!$I:$I,'周排班-纵表'!$C:$C,$C9,'周排班-纵表'!$G:$G,$G9,'周排班-纵表'!$H:$H,J$1)</f>
        <v/>
      </c>
      <c r="K9" s="2">
        <f>SUMIFS('周排班-纵表'!$I:$I,'周排班-纵表'!$C:$C,$C9,'周排班-纵表'!$G:$G,$G9,'周排班-纵表'!$H:$H,K$1)</f>
        <v/>
      </c>
      <c r="L9" s="2">
        <f>SUMIFS('周排班-纵表'!$I:$I,'周排班-纵表'!$C:$C,$C9,'周排班-纵表'!$G:$G,$G9,'周排班-纵表'!$H:$H,L$1)</f>
        <v/>
      </c>
      <c r="M9" s="2">
        <f>SUMIFS('周排班-纵表'!$I:$I,'周排班-纵表'!$C:$C,$C9,'周排班-纵表'!$G:$G,$G9,'周排班-纵表'!$H:$H,M$1)</f>
        <v/>
      </c>
      <c r="N9" s="2">
        <f>SUMIFS('周排班-纵表'!$I:$I,'周排班-纵表'!$C:$C,$C9,'周排班-纵表'!$G:$G,$G9,'周排班-纵表'!$H:$H,N$1)</f>
        <v/>
      </c>
      <c r="O9" s="2">
        <f>SUMIFS('周排班-纵表'!$I:$I,'周排班-纵表'!$C:$C,$C9,'周排班-纵表'!$G:$G,$G9,'周排班-纵表'!$H:$H,O$1)</f>
        <v/>
      </c>
      <c r="P9" s="2">
        <f>SUMIFS('周排班-纵表'!$I:$I,'周排班-纵表'!$C:$C,$C9,'周排班-纵表'!$G:$G,$G9,'周排班-纵表'!$H:$H,P$1)</f>
        <v/>
      </c>
      <c r="Q9" s="2">
        <f>SUMIFS('周排班-纵表'!$I:$I,'周排班-纵表'!$C:$C,$C9,'周排班-纵表'!$G:$G,$G9,'周排班-纵表'!$H:$H,Q$1)</f>
        <v/>
      </c>
      <c r="R9" s="2">
        <f>SUMIFS('周排班-纵表'!$I:$I,'周排班-纵表'!$C:$C,$C9,'周排班-纵表'!$G:$G,$G9,'周排班-纵表'!$H:$H,R$1)</f>
        <v/>
      </c>
      <c r="S9" s="2">
        <f>SUMIFS('周排班-纵表'!$I:$I,'周排班-纵表'!$C:$C,$C9,'周排班-纵表'!$G:$G,$G9,'周排班-纵表'!$H:$H,S$1)</f>
        <v/>
      </c>
      <c r="T9" s="2">
        <f>SUMIFS('周排班-纵表'!$I:$I,'周排班-纵表'!$C:$C,$C9,'周排班-纵表'!$G:$G,$G9,'周排班-纵表'!$H:$H,T$1)</f>
        <v/>
      </c>
      <c r="U9" s="2">
        <f>SUMIFS('周排班-纵表'!$I:$I,'周排班-纵表'!$C:$C,$C9,'周排班-纵表'!$G:$G,$G9,'周排班-纵表'!$H:$H,U$1)</f>
        <v/>
      </c>
      <c r="V9" s="2">
        <f>SUMIFS('周排班-纵表'!$I:$I,'周排班-纵表'!$C:$C,$C9,'周排班-纵表'!$G:$G,$G9,'周排班-纵表'!$H:$H,V$1)</f>
        <v/>
      </c>
      <c r="W9" s="2">
        <f>SUMIFS('周排班-纵表'!$I:$I,'周排班-纵表'!$C:$C,$C9,'周排班-纵表'!$G:$G,$G9,'周排班-纵表'!$H:$H,W$1)</f>
        <v/>
      </c>
      <c r="X9" s="2">
        <f>SUMIFS('周排班-纵表'!$I:$I,'周排班-纵表'!$C:$C,$C9,'周排班-纵表'!$G:$G,$G9,'周排班-纵表'!$H:$H,X$1)</f>
        <v/>
      </c>
      <c r="Y9" s="2">
        <f>SUMIFS('周排班-纵表'!$I:$I,'周排班-纵表'!$C:$C,$C9,'周排班-纵表'!$G:$G,$G9,'周排班-纵表'!$H:$H,Y$1)</f>
        <v/>
      </c>
      <c r="Z9" s="2">
        <f>SUMIFS('周排班-纵表'!$I:$I,'周排班-纵表'!$C:$C,$C9,'周排班-纵表'!$G:$G,$G9,'周排班-纵表'!$H:$H,Z$1)</f>
        <v/>
      </c>
      <c r="AA9" s="2">
        <f>SUMIFS('周排班-纵表'!$I:$I,'周排班-纵表'!$C:$C,$C9,'周排班-纵表'!$G:$G,$G9,'周排班-纵表'!$H:$H,AA$1)</f>
        <v/>
      </c>
      <c r="AB9" s="2">
        <f>SUMIFS('周排班-纵表'!$I:$I,'周排班-纵表'!$C:$C,$C9,'周排班-纵表'!$G:$G,$G9,'周排班-纵表'!$H:$H,AB$1)</f>
        <v/>
      </c>
      <c r="AC9" s="2">
        <f>SUMIFS('周排班-纵表'!$I:$I,'周排班-纵表'!$C:$C,$C9,'周排班-纵表'!$G:$G,$G9,'周排班-纵表'!$H:$H,AC$1)</f>
        <v/>
      </c>
      <c r="AD9" s="2">
        <f>SUMIFS('周排班-纵表'!$I:$I,'周排班-纵表'!$C:$C,$C9,'周排班-纵表'!$G:$G,$G9,'周排班-纵表'!$H:$H,AD$1)</f>
        <v/>
      </c>
      <c r="AE9" s="2">
        <f>SUMIFS('周排班-纵表'!$I:$I,'周排班-纵表'!$C:$C,$C9,'周排班-纵表'!$G:$G,$G9,'周排班-纵表'!$H:$H,AE$1)</f>
        <v/>
      </c>
      <c r="AF9" s="2">
        <f>SUMIFS('周排班-纵表'!$I:$I,'周排班-纵表'!$C:$C,$C9,'周排班-纵表'!$G:$G,$G9,'周排班-纵表'!$H:$H,AF$1)</f>
        <v/>
      </c>
      <c r="AG9" s="2">
        <f>SUMIFS('周排班-纵表'!$I:$I,'周排班-纵表'!$C:$C,$C9,'周排班-纵表'!$G:$G,$G9,'周排班-纵表'!$H:$H,AG$1)</f>
        <v/>
      </c>
      <c r="AH9" s="2">
        <f>SUMIFS('周排班-纵表'!$I:$I,'周排班-纵表'!$C:$C,$C9,'周排班-纵表'!$G:$G,$G9,'周排班-纵表'!$H:$H,AH$1)</f>
        <v/>
      </c>
      <c r="AI9" s="2">
        <f>SUMIFS('周排班-纵表'!$I:$I,'周排班-纵表'!$C:$C,$C9,'周排班-纵表'!$G:$G,$G9,'周排班-纵表'!$H:$H,AI$1)</f>
        <v/>
      </c>
      <c r="AJ9" s="2">
        <f>SUMIFS('周排班-纵表'!$I:$I,'周排班-纵表'!$C:$C,$C9,'周排班-纵表'!$G:$G,$G9,'周排班-纵表'!$H:$H,AJ$1)</f>
        <v/>
      </c>
      <c r="AK9" s="2">
        <f>SUMIFS('周排班-纵表'!$I:$I,'周排班-纵表'!$C:$C,$C9,'周排班-纵表'!$G:$G,$G9,'周排班-纵表'!$H:$H,AK$1)</f>
        <v/>
      </c>
      <c r="AL9" s="2">
        <f>SUMIFS('周排班-纵表'!$I:$I,'周排班-纵表'!$C:$C,$C9,'周排班-纵表'!$G:$G,$G9,'周排班-纵表'!$H:$H,AL$1)</f>
        <v/>
      </c>
    </row>
    <row r="10">
      <c r="A10" s="2" t="inlineStr">
        <is>
          <t>HK WAM</t>
        </is>
      </c>
      <c r="B10" s="2" t="inlineStr">
        <is>
          <t>Ortus Capital Management Limited</t>
        </is>
      </c>
      <c r="C10" s="2" t="inlineStr">
        <is>
          <t>47129432</t>
        </is>
      </c>
      <c r="D10" s="2" t="inlineStr">
        <is>
          <t>AUD2026-12 OCML HK</t>
        </is>
      </c>
      <c r="E10" s="2" t="inlineStr">
        <is>
          <t>Order47129432- 260812001</t>
        </is>
      </c>
      <c r="F10" s="2" t="inlineStr">
        <is>
          <t>47129432- EDC260812001</t>
        </is>
      </c>
      <c r="G10" s="2" t="inlineStr">
        <is>
          <t>Luna.CD.Zhang@cn.ey.com</t>
        </is>
      </c>
      <c r="H10" s="2">
        <f>SUMIFS('周排班-纵表'!$I:$I,'周排班-纵表'!$C:$C,$C10,'周排班-纵表'!$G:$G,$G10,'周排班-纵表'!$H:$H,H$1)</f>
        <v/>
      </c>
      <c r="I10" s="2">
        <f>SUMIFS('周排班-纵表'!$I:$I,'周排班-纵表'!$C:$C,$C10,'周排班-纵表'!$G:$G,$G10,'周排班-纵表'!$H:$H,I$1)</f>
        <v/>
      </c>
      <c r="J10" s="2">
        <f>SUMIFS('周排班-纵表'!$I:$I,'周排班-纵表'!$C:$C,$C10,'周排班-纵表'!$G:$G,$G10,'周排班-纵表'!$H:$H,J$1)</f>
        <v/>
      </c>
      <c r="K10" s="2">
        <f>SUMIFS('周排班-纵表'!$I:$I,'周排班-纵表'!$C:$C,$C10,'周排班-纵表'!$G:$G,$G10,'周排班-纵表'!$H:$H,K$1)</f>
        <v/>
      </c>
      <c r="L10" s="2">
        <f>SUMIFS('周排班-纵表'!$I:$I,'周排班-纵表'!$C:$C,$C10,'周排班-纵表'!$G:$G,$G10,'周排班-纵表'!$H:$H,L$1)</f>
        <v/>
      </c>
      <c r="M10" s="2">
        <f>SUMIFS('周排班-纵表'!$I:$I,'周排班-纵表'!$C:$C,$C10,'周排班-纵表'!$G:$G,$G10,'周排班-纵表'!$H:$H,M$1)</f>
        <v/>
      </c>
      <c r="N10" s="2">
        <f>SUMIFS('周排班-纵表'!$I:$I,'周排班-纵表'!$C:$C,$C10,'周排班-纵表'!$G:$G,$G10,'周排班-纵表'!$H:$H,N$1)</f>
        <v/>
      </c>
      <c r="O10" s="2">
        <f>SUMIFS('周排班-纵表'!$I:$I,'周排班-纵表'!$C:$C,$C10,'周排班-纵表'!$G:$G,$G10,'周排班-纵表'!$H:$H,O$1)</f>
        <v/>
      </c>
      <c r="P10" s="2">
        <f>SUMIFS('周排班-纵表'!$I:$I,'周排班-纵表'!$C:$C,$C10,'周排班-纵表'!$G:$G,$G10,'周排班-纵表'!$H:$H,P$1)</f>
        <v/>
      </c>
      <c r="Q10" s="2">
        <f>SUMIFS('周排班-纵表'!$I:$I,'周排班-纵表'!$C:$C,$C10,'周排班-纵表'!$G:$G,$G10,'周排班-纵表'!$H:$H,Q$1)</f>
        <v/>
      </c>
      <c r="R10" s="2">
        <f>SUMIFS('周排班-纵表'!$I:$I,'周排班-纵表'!$C:$C,$C10,'周排班-纵表'!$G:$G,$G10,'周排班-纵表'!$H:$H,R$1)</f>
        <v/>
      </c>
      <c r="S10" s="2">
        <f>SUMIFS('周排班-纵表'!$I:$I,'周排班-纵表'!$C:$C,$C10,'周排班-纵表'!$G:$G,$G10,'周排班-纵表'!$H:$H,S$1)</f>
        <v/>
      </c>
      <c r="T10" s="2">
        <f>SUMIFS('周排班-纵表'!$I:$I,'周排班-纵表'!$C:$C,$C10,'周排班-纵表'!$G:$G,$G10,'周排班-纵表'!$H:$H,T$1)</f>
        <v/>
      </c>
      <c r="U10" s="2">
        <f>SUMIFS('周排班-纵表'!$I:$I,'周排班-纵表'!$C:$C,$C10,'周排班-纵表'!$G:$G,$G10,'周排班-纵表'!$H:$H,U$1)</f>
        <v/>
      </c>
      <c r="V10" s="2">
        <f>SUMIFS('周排班-纵表'!$I:$I,'周排班-纵表'!$C:$C,$C10,'周排班-纵表'!$G:$G,$G10,'周排班-纵表'!$H:$H,V$1)</f>
        <v/>
      </c>
      <c r="W10" s="2">
        <f>SUMIFS('周排班-纵表'!$I:$I,'周排班-纵表'!$C:$C,$C10,'周排班-纵表'!$G:$G,$G10,'周排班-纵表'!$H:$H,W$1)</f>
        <v/>
      </c>
      <c r="X10" s="2">
        <f>SUMIFS('周排班-纵表'!$I:$I,'周排班-纵表'!$C:$C,$C10,'周排班-纵表'!$G:$G,$G10,'周排班-纵表'!$H:$H,X$1)</f>
        <v/>
      </c>
      <c r="Y10" s="2">
        <f>SUMIFS('周排班-纵表'!$I:$I,'周排班-纵表'!$C:$C,$C10,'周排班-纵表'!$G:$G,$G10,'周排班-纵表'!$H:$H,Y$1)</f>
        <v/>
      </c>
      <c r="Z10" s="2">
        <f>SUMIFS('周排班-纵表'!$I:$I,'周排班-纵表'!$C:$C,$C10,'周排班-纵表'!$G:$G,$G10,'周排班-纵表'!$H:$H,Z$1)</f>
        <v/>
      </c>
      <c r="AA10" s="2">
        <f>SUMIFS('周排班-纵表'!$I:$I,'周排班-纵表'!$C:$C,$C10,'周排班-纵表'!$G:$G,$G10,'周排班-纵表'!$H:$H,AA$1)</f>
        <v/>
      </c>
      <c r="AB10" s="2">
        <f>SUMIFS('周排班-纵表'!$I:$I,'周排班-纵表'!$C:$C,$C10,'周排班-纵表'!$G:$G,$G10,'周排班-纵表'!$H:$H,AB$1)</f>
        <v/>
      </c>
      <c r="AC10" s="2">
        <f>SUMIFS('周排班-纵表'!$I:$I,'周排班-纵表'!$C:$C,$C10,'周排班-纵表'!$G:$G,$G10,'周排班-纵表'!$H:$H,AC$1)</f>
        <v/>
      </c>
      <c r="AD10" s="2">
        <f>SUMIFS('周排班-纵表'!$I:$I,'周排班-纵表'!$C:$C,$C10,'周排班-纵表'!$G:$G,$G10,'周排班-纵表'!$H:$H,AD$1)</f>
        <v/>
      </c>
      <c r="AE10" s="2">
        <f>SUMIFS('周排班-纵表'!$I:$I,'周排班-纵表'!$C:$C,$C10,'周排班-纵表'!$G:$G,$G10,'周排班-纵表'!$H:$H,AE$1)</f>
        <v/>
      </c>
      <c r="AF10" s="2">
        <f>SUMIFS('周排班-纵表'!$I:$I,'周排班-纵表'!$C:$C,$C10,'周排班-纵表'!$G:$G,$G10,'周排班-纵表'!$H:$H,AF$1)</f>
        <v/>
      </c>
      <c r="AG10" s="2">
        <f>SUMIFS('周排班-纵表'!$I:$I,'周排班-纵表'!$C:$C,$C10,'周排班-纵表'!$G:$G,$G10,'周排班-纵表'!$H:$H,AG$1)</f>
        <v/>
      </c>
      <c r="AH10" s="2">
        <f>SUMIFS('周排班-纵表'!$I:$I,'周排班-纵表'!$C:$C,$C10,'周排班-纵表'!$G:$G,$G10,'周排班-纵表'!$H:$H,AH$1)</f>
        <v/>
      </c>
      <c r="AI10" s="2">
        <f>SUMIFS('周排班-纵表'!$I:$I,'周排班-纵表'!$C:$C,$C10,'周排班-纵表'!$G:$G,$G10,'周排班-纵表'!$H:$H,AI$1)</f>
        <v/>
      </c>
      <c r="AJ10" s="2">
        <f>SUMIFS('周排班-纵表'!$I:$I,'周排班-纵表'!$C:$C,$C10,'周排班-纵表'!$G:$G,$G10,'周排班-纵表'!$H:$H,AJ$1)</f>
        <v/>
      </c>
      <c r="AK10" s="2">
        <f>SUMIFS('周排班-纵表'!$I:$I,'周排班-纵表'!$C:$C,$C10,'周排班-纵表'!$G:$G,$G10,'周排班-纵表'!$H:$H,AK$1)</f>
        <v/>
      </c>
      <c r="AL10" s="2">
        <f>SUMIFS('周排班-纵表'!$I:$I,'周排班-纵表'!$C:$C,$C10,'周排班-纵表'!$G:$G,$G10,'周排班-纵表'!$H:$H,AL$1)</f>
        <v/>
      </c>
    </row>
    <row r="11">
      <c r="A11" s="2" t="inlineStr">
        <is>
          <t>HK WAM</t>
        </is>
      </c>
      <c r="B11" s="2" t="inlineStr">
        <is>
          <t>Ortus Capital Management Limited</t>
        </is>
      </c>
      <c r="C11" s="2" t="inlineStr">
        <is>
          <t>47129432</t>
        </is>
      </c>
      <c r="D11" s="2" t="inlineStr">
        <is>
          <t>AUD2026-12 OCML HK</t>
        </is>
      </c>
      <c r="E11" s="2" t="inlineStr">
        <is>
          <t>Order47129432- 260812001</t>
        </is>
      </c>
      <c r="F11" s="2" t="inlineStr">
        <is>
          <t>47129432- EDC260812001</t>
        </is>
      </c>
      <c r="G11" s="2" t="inlineStr">
        <is>
          <t>Marsh.Ma@cn.ey.com</t>
        </is>
      </c>
      <c r="H11" s="2">
        <f>SUMIFS('周排班-纵表'!$I:$I,'周排班-纵表'!$C:$C,$C11,'周排班-纵表'!$G:$G,$G11,'周排班-纵表'!$H:$H,H$1)</f>
        <v/>
      </c>
      <c r="I11" s="2">
        <f>SUMIFS('周排班-纵表'!$I:$I,'周排班-纵表'!$C:$C,$C11,'周排班-纵表'!$G:$G,$G11,'周排班-纵表'!$H:$H,I$1)</f>
        <v/>
      </c>
      <c r="J11" s="2">
        <f>SUMIFS('周排班-纵表'!$I:$I,'周排班-纵表'!$C:$C,$C11,'周排班-纵表'!$G:$G,$G11,'周排班-纵表'!$H:$H,J$1)</f>
        <v/>
      </c>
      <c r="K11" s="2">
        <f>SUMIFS('周排班-纵表'!$I:$I,'周排班-纵表'!$C:$C,$C11,'周排班-纵表'!$G:$G,$G11,'周排班-纵表'!$H:$H,K$1)</f>
        <v/>
      </c>
      <c r="L11" s="2">
        <f>SUMIFS('周排班-纵表'!$I:$I,'周排班-纵表'!$C:$C,$C11,'周排班-纵表'!$G:$G,$G11,'周排班-纵表'!$H:$H,L$1)</f>
        <v/>
      </c>
      <c r="M11" s="2">
        <f>SUMIFS('周排班-纵表'!$I:$I,'周排班-纵表'!$C:$C,$C11,'周排班-纵表'!$G:$G,$G11,'周排班-纵表'!$H:$H,M$1)</f>
        <v/>
      </c>
      <c r="N11" s="2">
        <f>SUMIFS('周排班-纵表'!$I:$I,'周排班-纵表'!$C:$C,$C11,'周排班-纵表'!$G:$G,$G11,'周排班-纵表'!$H:$H,N$1)</f>
        <v/>
      </c>
      <c r="O11" s="2">
        <f>SUMIFS('周排班-纵表'!$I:$I,'周排班-纵表'!$C:$C,$C11,'周排班-纵表'!$G:$G,$G11,'周排班-纵表'!$H:$H,O$1)</f>
        <v/>
      </c>
      <c r="P11" s="2">
        <f>SUMIFS('周排班-纵表'!$I:$I,'周排班-纵表'!$C:$C,$C11,'周排班-纵表'!$G:$G,$G11,'周排班-纵表'!$H:$H,P$1)</f>
        <v/>
      </c>
      <c r="Q11" s="2">
        <f>SUMIFS('周排班-纵表'!$I:$I,'周排班-纵表'!$C:$C,$C11,'周排班-纵表'!$G:$G,$G11,'周排班-纵表'!$H:$H,Q$1)</f>
        <v/>
      </c>
      <c r="R11" s="2">
        <f>SUMIFS('周排班-纵表'!$I:$I,'周排班-纵表'!$C:$C,$C11,'周排班-纵表'!$G:$G,$G11,'周排班-纵表'!$H:$H,R$1)</f>
        <v/>
      </c>
      <c r="S11" s="2">
        <f>SUMIFS('周排班-纵表'!$I:$I,'周排班-纵表'!$C:$C,$C11,'周排班-纵表'!$G:$G,$G11,'周排班-纵表'!$H:$H,S$1)</f>
        <v/>
      </c>
      <c r="T11" s="2">
        <f>SUMIFS('周排班-纵表'!$I:$I,'周排班-纵表'!$C:$C,$C11,'周排班-纵表'!$G:$G,$G11,'周排班-纵表'!$H:$H,T$1)</f>
        <v/>
      </c>
      <c r="U11" s="2">
        <f>SUMIFS('周排班-纵表'!$I:$I,'周排班-纵表'!$C:$C,$C11,'周排班-纵表'!$G:$G,$G11,'周排班-纵表'!$H:$H,U$1)</f>
        <v/>
      </c>
      <c r="V11" s="2">
        <f>SUMIFS('周排班-纵表'!$I:$I,'周排班-纵表'!$C:$C,$C11,'周排班-纵表'!$G:$G,$G11,'周排班-纵表'!$H:$H,V$1)</f>
        <v/>
      </c>
      <c r="W11" s="2">
        <f>SUMIFS('周排班-纵表'!$I:$I,'周排班-纵表'!$C:$C,$C11,'周排班-纵表'!$G:$G,$G11,'周排班-纵表'!$H:$H,W$1)</f>
        <v/>
      </c>
      <c r="X11" s="2">
        <f>SUMIFS('周排班-纵表'!$I:$I,'周排班-纵表'!$C:$C,$C11,'周排班-纵表'!$G:$G,$G11,'周排班-纵表'!$H:$H,X$1)</f>
        <v/>
      </c>
      <c r="Y11" s="2">
        <f>SUMIFS('周排班-纵表'!$I:$I,'周排班-纵表'!$C:$C,$C11,'周排班-纵表'!$G:$G,$G11,'周排班-纵表'!$H:$H,Y$1)</f>
        <v/>
      </c>
      <c r="Z11" s="2">
        <f>SUMIFS('周排班-纵表'!$I:$I,'周排班-纵表'!$C:$C,$C11,'周排班-纵表'!$G:$G,$G11,'周排班-纵表'!$H:$H,Z$1)</f>
        <v/>
      </c>
      <c r="AA11" s="2">
        <f>SUMIFS('周排班-纵表'!$I:$I,'周排班-纵表'!$C:$C,$C11,'周排班-纵表'!$G:$G,$G11,'周排班-纵表'!$H:$H,AA$1)</f>
        <v/>
      </c>
      <c r="AB11" s="2">
        <f>SUMIFS('周排班-纵表'!$I:$I,'周排班-纵表'!$C:$C,$C11,'周排班-纵表'!$G:$G,$G11,'周排班-纵表'!$H:$H,AB$1)</f>
        <v/>
      </c>
      <c r="AC11" s="2">
        <f>SUMIFS('周排班-纵表'!$I:$I,'周排班-纵表'!$C:$C,$C11,'周排班-纵表'!$G:$G,$G11,'周排班-纵表'!$H:$H,AC$1)</f>
        <v/>
      </c>
      <c r="AD11" s="2">
        <f>SUMIFS('周排班-纵表'!$I:$I,'周排班-纵表'!$C:$C,$C11,'周排班-纵表'!$G:$G,$G11,'周排班-纵表'!$H:$H,AD$1)</f>
        <v/>
      </c>
      <c r="AE11" s="2">
        <f>SUMIFS('周排班-纵表'!$I:$I,'周排班-纵表'!$C:$C,$C11,'周排班-纵表'!$G:$G,$G11,'周排班-纵表'!$H:$H,AE$1)</f>
        <v/>
      </c>
      <c r="AF11" s="2">
        <f>SUMIFS('周排班-纵表'!$I:$I,'周排班-纵表'!$C:$C,$C11,'周排班-纵表'!$G:$G,$G11,'周排班-纵表'!$H:$H,AF$1)</f>
        <v/>
      </c>
      <c r="AG11" s="2">
        <f>SUMIFS('周排班-纵表'!$I:$I,'周排班-纵表'!$C:$C,$C11,'周排班-纵表'!$G:$G,$G11,'周排班-纵表'!$H:$H,AG$1)</f>
        <v/>
      </c>
      <c r="AH11" s="2">
        <f>SUMIFS('周排班-纵表'!$I:$I,'周排班-纵表'!$C:$C,$C11,'周排班-纵表'!$G:$G,$G11,'周排班-纵表'!$H:$H,AH$1)</f>
        <v/>
      </c>
      <c r="AI11" s="2">
        <f>SUMIFS('周排班-纵表'!$I:$I,'周排班-纵表'!$C:$C,$C11,'周排班-纵表'!$G:$G,$G11,'周排班-纵表'!$H:$H,AI$1)</f>
        <v/>
      </c>
      <c r="AJ11" s="2">
        <f>SUMIFS('周排班-纵表'!$I:$I,'周排班-纵表'!$C:$C,$C11,'周排班-纵表'!$G:$G,$G11,'周排班-纵表'!$H:$H,AJ$1)</f>
        <v/>
      </c>
      <c r="AK11" s="2">
        <f>SUMIFS('周排班-纵表'!$I:$I,'周排班-纵表'!$C:$C,$C11,'周排班-纵表'!$G:$G,$G11,'周排班-纵表'!$H:$H,AK$1)</f>
        <v/>
      </c>
      <c r="AL11" s="2">
        <f>SUMIFS('周排班-纵表'!$I:$I,'周排班-纵表'!$C:$C,$C11,'周排班-纵表'!$G:$G,$G11,'周排班-纵表'!$H:$H,AL$1)</f>
        <v/>
      </c>
    </row>
    <row r="12">
      <c r="A12" s="2" t="inlineStr">
        <is>
          <t>HK WAM</t>
        </is>
      </c>
      <c r="B12" s="2" t="inlineStr">
        <is>
          <t>Ortus Capital Management Limited</t>
        </is>
      </c>
      <c r="C12" s="2" t="inlineStr">
        <is>
          <t>47129432</t>
        </is>
      </c>
      <c r="D12" s="2" t="inlineStr">
        <is>
          <t>AUD2026-12 OCML HK</t>
        </is>
      </c>
      <c r="E12" s="2" t="inlineStr">
        <is>
          <t>Order47129432- 260812001</t>
        </is>
      </c>
      <c r="F12" s="2" t="inlineStr">
        <is>
          <t>47129432- EDC260812001</t>
        </is>
      </c>
      <c r="G12" s="2" t="inlineStr">
        <is>
          <t>Rainbow.MG.Xiao@cn.ey.com</t>
        </is>
      </c>
      <c r="H12" s="2">
        <f>SUMIFS('周排班-纵表'!$I:$I,'周排班-纵表'!$C:$C,$C12,'周排班-纵表'!$G:$G,$G12,'周排班-纵表'!$H:$H,H$1)</f>
        <v/>
      </c>
      <c r="I12" s="2">
        <f>SUMIFS('周排班-纵表'!$I:$I,'周排班-纵表'!$C:$C,$C12,'周排班-纵表'!$G:$G,$G12,'周排班-纵表'!$H:$H,I$1)</f>
        <v/>
      </c>
      <c r="J12" s="2">
        <f>SUMIFS('周排班-纵表'!$I:$I,'周排班-纵表'!$C:$C,$C12,'周排班-纵表'!$G:$G,$G12,'周排班-纵表'!$H:$H,J$1)</f>
        <v/>
      </c>
      <c r="K12" s="2">
        <f>SUMIFS('周排班-纵表'!$I:$I,'周排班-纵表'!$C:$C,$C12,'周排班-纵表'!$G:$G,$G12,'周排班-纵表'!$H:$H,K$1)</f>
        <v/>
      </c>
      <c r="L12" s="2">
        <f>SUMIFS('周排班-纵表'!$I:$I,'周排班-纵表'!$C:$C,$C12,'周排班-纵表'!$G:$G,$G12,'周排班-纵表'!$H:$H,L$1)</f>
        <v/>
      </c>
      <c r="M12" s="2">
        <f>SUMIFS('周排班-纵表'!$I:$I,'周排班-纵表'!$C:$C,$C12,'周排班-纵表'!$G:$G,$G12,'周排班-纵表'!$H:$H,M$1)</f>
        <v/>
      </c>
      <c r="N12" s="2">
        <f>SUMIFS('周排班-纵表'!$I:$I,'周排班-纵表'!$C:$C,$C12,'周排班-纵表'!$G:$G,$G12,'周排班-纵表'!$H:$H,N$1)</f>
        <v/>
      </c>
      <c r="O12" s="2">
        <f>SUMIFS('周排班-纵表'!$I:$I,'周排班-纵表'!$C:$C,$C12,'周排班-纵表'!$G:$G,$G12,'周排班-纵表'!$H:$H,O$1)</f>
        <v/>
      </c>
      <c r="P12" s="2">
        <f>SUMIFS('周排班-纵表'!$I:$I,'周排班-纵表'!$C:$C,$C12,'周排班-纵表'!$G:$G,$G12,'周排班-纵表'!$H:$H,P$1)</f>
        <v/>
      </c>
      <c r="Q12" s="2">
        <f>SUMIFS('周排班-纵表'!$I:$I,'周排班-纵表'!$C:$C,$C12,'周排班-纵表'!$G:$G,$G12,'周排班-纵表'!$H:$H,Q$1)</f>
        <v/>
      </c>
      <c r="R12" s="2">
        <f>SUMIFS('周排班-纵表'!$I:$I,'周排班-纵表'!$C:$C,$C12,'周排班-纵表'!$G:$G,$G12,'周排班-纵表'!$H:$H,R$1)</f>
        <v/>
      </c>
      <c r="S12" s="2">
        <f>SUMIFS('周排班-纵表'!$I:$I,'周排班-纵表'!$C:$C,$C12,'周排班-纵表'!$G:$G,$G12,'周排班-纵表'!$H:$H,S$1)</f>
        <v/>
      </c>
      <c r="T12" s="2">
        <f>SUMIFS('周排班-纵表'!$I:$I,'周排班-纵表'!$C:$C,$C12,'周排班-纵表'!$G:$G,$G12,'周排班-纵表'!$H:$H,T$1)</f>
        <v/>
      </c>
      <c r="U12" s="2">
        <f>SUMIFS('周排班-纵表'!$I:$I,'周排班-纵表'!$C:$C,$C12,'周排班-纵表'!$G:$G,$G12,'周排班-纵表'!$H:$H,U$1)</f>
        <v/>
      </c>
      <c r="V12" s="2">
        <f>SUMIFS('周排班-纵表'!$I:$I,'周排班-纵表'!$C:$C,$C12,'周排班-纵表'!$G:$G,$G12,'周排班-纵表'!$H:$H,V$1)</f>
        <v/>
      </c>
      <c r="W12" s="2">
        <f>SUMIFS('周排班-纵表'!$I:$I,'周排班-纵表'!$C:$C,$C12,'周排班-纵表'!$G:$G,$G12,'周排班-纵表'!$H:$H,W$1)</f>
        <v/>
      </c>
      <c r="X12" s="2">
        <f>SUMIFS('周排班-纵表'!$I:$I,'周排班-纵表'!$C:$C,$C12,'周排班-纵表'!$G:$G,$G12,'周排班-纵表'!$H:$H,X$1)</f>
        <v/>
      </c>
      <c r="Y12" s="2">
        <f>SUMIFS('周排班-纵表'!$I:$I,'周排班-纵表'!$C:$C,$C12,'周排班-纵表'!$G:$G,$G12,'周排班-纵表'!$H:$H,Y$1)</f>
        <v/>
      </c>
      <c r="Z12" s="2">
        <f>SUMIFS('周排班-纵表'!$I:$I,'周排班-纵表'!$C:$C,$C12,'周排班-纵表'!$G:$G,$G12,'周排班-纵表'!$H:$H,Z$1)</f>
        <v/>
      </c>
      <c r="AA12" s="2">
        <f>SUMIFS('周排班-纵表'!$I:$I,'周排班-纵表'!$C:$C,$C12,'周排班-纵表'!$G:$G,$G12,'周排班-纵表'!$H:$H,AA$1)</f>
        <v/>
      </c>
      <c r="AB12" s="2">
        <f>SUMIFS('周排班-纵表'!$I:$I,'周排班-纵表'!$C:$C,$C12,'周排班-纵表'!$G:$G,$G12,'周排班-纵表'!$H:$H,AB$1)</f>
        <v/>
      </c>
      <c r="AC12" s="2">
        <f>SUMIFS('周排班-纵表'!$I:$I,'周排班-纵表'!$C:$C,$C12,'周排班-纵表'!$G:$G,$G12,'周排班-纵表'!$H:$H,AC$1)</f>
        <v/>
      </c>
      <c r="AD12" s="2">
        <f>SUMIFS('周排班-纵表'!$I:$I,'周排班-纵表'!$C:$C,$C12,'周排班-纵表'!$G:$G,$G12,'周排班-纵表'!$H:$H,AD$1)</f>
        <v/>
      </c>
      <c r="AE12" s="2">
        <f>SUMIFS('周排班-纵表'!$I:$I,'周排班-纵表'!$C:$C,$C12,'周排班-纵表'!$G:$G,$G12,'周排班-纵表'!$H:$H,AE$1)</f>
        <v/>
      </c>
      <c r="AF12" s="2">
        <f>SUMIFS('周排班-纵表'!$I:$I,'周排班-纵表'!$C:$C,$C12,'周排班-纵表'!$G:$G,$G12,'周排班-纵表'!$H:$H,AF$1)</f>
        <v/>
      </c>
      <c r="AG12" s="2">
        <f>SUMIFS('周排班-纵表'!$I:$I,'周排班-纵表'!$C:$C,$C12,'周排班-纵表'!$G:$G,$G12,'周排班-纵表'!$H:$H,AG$1)</f>
        <v/>
      </c>
      <c r="AH12" s="2">
        <f>SUMIFS('周排班-纵表'!$I:$I,'周排班-纵表'!$C:$C,$C12,'周排班-纵表'!$G:$G,$G12,'周排班-纵表'!$H:$H,AH$1)</f>
        <v/>
      </c>
      <c r="AI12" s="2">
        <f>SUMIFS('周排班-纵表'!$I:$I,'周排班-纵表'!$C:$C,$C12,'周排班-纵表'!$G:$G,$G12,'周排班-纵表'!$H:$H,AI$1)</f>
        <v/>
      </c>
      <c r="AJ12" s="2">
        <f>SUMIFS('周排班-纵表'!$I:$I,'周排班-纵表'!$C:$C,$C12,'周排班-纵表'!$G:$G,$G12,'周排班-纵表'!$H:$H,AJ$1)</f>
        <v/>
      </c>
      <c r="AK12" s="2">
        <f>SUMIFS('周排班-纵表'!$I:$I,'周排班-纵表'!$C:$C,$C12,'周排班-纵表'!$G:$G,$G12,'周排班-纵表'!$H:$H,AK$1)</f>
        <v/>
      </c>
      <c r="AL12" s="2">
        <f>SUMIFS('周排班-纵表'!$I:$I,'周排班-纵表'!$C:$C,$C12,'周排班-纵表'!$G:$G,$G12,'周排班-纵表'!$H:$H,AL$1)</f>
        <v/>
      </c>
    </row>
    <row r="13">
      <c r="A13" s="2" t="inlineStr">
        <is>
          <t>HK WAM</t>
        </is>
      </c>
      <c r="B13" s="2" t="inlineStr">
        <is>
          <t>Ortus Capital Management Limited</t>
        </is>
      </c>
      <c r="C13" s="2" t="inlineStr">
        <is>
          <t>47129432</t>
        </is>
      </c>
      <c r="D13" s="2" t="inlineStr">
        <is>
          <t>AUD2026-12 OCML HK</t>
        </is>
      </c>
      <c r="E13" s="2" t="inlineStr">
        <is>
          <t>Order47129432- 260812001</t>
        </is>
      </c>
      <c r="F13" s="2" t="inlineStr">
        <is>
          <t>47129432- EDC260812001</t>
        </is>
      </c>
      <c r="G13" s="2" t="inlineStr">
        <is>
          <t>Vivi.W.Yang@cn.ey.com</t>
        </is>
      </c>
      <c r="H13" s="2">
        <f>SUMIFS('周排班-纵表'!$I:$I,'周排班-纵表'!$C:$C,$C13,'周排班-纵表'!$G:$G,$G13,'周排班-纵表'!$H:$H,H$1)</f>
        <v/>
      </c>
      <c r="I13" s="2">
        <f>SUMIFS('周排班-纵表'!$I:$I,'周排班-纵表'!$C:$C,$C13,'周排班-纵表'!$G:$G,$G13,'周排班-纵表'!$H:$H,I$1)</f>
        <v/>
      </c>
      <c r="J13" s="2">
        <f>SUMIFS('周排班-纵表'!$I:$I,'周排班-纵表'!$C:$C,$C13,'周排班-纵表'!$G:$G,$G13,'周排班-纵表'!$H:$H,J$1)</f>
        <v/>
      </c>
      <c r="K13" s="2">
        <f>SUMIFS('周排班-纵表'!$I:$I,'周排班-纵表'!$C:$C,$C13,'周排班-纵表'!$G:$G,$G13,'周排班-纵表'!$H:$H,K$1)</f>
        <v/>
      </c>
      <c r="L13" s="2">
        <f>SUMIFS('周排班-纵表'!$I:$I,'周排班-纵表'!$C:$C,$C13,'周排班-纵表'!$G:$G,$G13,'周排班-纵表'!$H:$H,L$1)</f>
        <v/>
      </c>
      <c r="M13" s="2">
        <f>SUMIFS('周排班-纵表'!$I:$I,'周排班-纵表'!$C:$C,$C13,'周排班-纵表'!$G:$G,$G13,'周排班-纵表'!$H:$H,M$1)</f>
        <v/>
      </c>
      <c r="N13" s="2">
        <f>SUMIFS('周排班-纵表'!$I:$I,'周排班-纵表'!$C:$C,$C13,'周排班-纵表'!$G:$G,$G13,'周排班-纵表'!$H:$H,N$1)</f>
        <v/>
      </c>
      <c r="O13" s="2">
        <f>SUMIFS('周排班-纵表'!$I:$I,'周排班-纵表'!$C:$C,$C13,'周排班-纵表'!$G:$G,$G13,'周排班-纵表'!$H:$H,O$1)</f>
        <v/>
      </c>
      <c r="P13" s="2">
        <f>SUMIFS('周排班-纵表'!$I:$I,'周排班-纵表'!$C:$C,$C13,'周排班-纵表'!$G:$G,$G13,'周排班-纵表'!$H:$H,P$1)</f>
        <v/>
      </c>
      <c r="Q13" s="2">
        <f>SUMIFS('周排班-纵表'!$I:$I,'周排班-纵表'!$C:$C,$C13,'周排班-纵表'!$G:$G,$G13,'周排班-纵表'!$H:$H,Q$1)</f>
        <v/>
      </c>
      <c r="R13" s="2">
        <f>SUMIFS('周排班-纵表'!$I:$I,'周排班-纵表'!$C:$C,$C13,'周排班-纵表'!$G:$G,$G13,'周排班-纵表'!$H:$H,R$1)</f>
        <v/>
      </c>
      <c r="S13" s="2">
        <f>SUMIFS('周排班-纵表'!$I:$I,'周排班-纵表'!$C:$C,$C13,'周排班-纵表'!$G:$G,$G13,'周排班-纵表'!$H:$H,S$1)</f>
        <v/>
      </c>
      <c r="T13" s="2">
        <f>SUMIFS('周排班-纵表'!$I:$I,'周排班-纵表'!$C:$C,$C13,'周排班-纵表'!$G:$G,$G13,'周排班-纵表'!$H:$H,T$1)</f>
        <v/>
      </c>
      <c r="U13" s="2">
        <f>SUMIFS('周排班-纵表'!$I:$I,'周排班-纵表'!$C:$C,$C13,'周排班-纵表'!$G:$G,$G13,'周排班-纵表'!$H:$H,U$1)</f>
        <v/>
      </c>
      <c r="V13" s="2">
        <f>SUMIFS('周排班-纵表'!$I:$I,'周排班-纵表'!$C:$C,$C13,'周排班-纵表'!$G:$G,$G13,'周排班-纵表'!$H:$H,V$1)</f>
        <v/>
      </c>
      <c r="W13" s="2">
        <f>SUMIFS('周排班-纵表'!$I:$I,'周排班-纵表'!$C:$C,$C13,'周排班-纵表'!$G:$G,$G13,'周排班-纵表'!$H:$H,W$1)</f>
        <v/>
      </c>
      <c r="X13" s="2">
        <f>SUMIFS('周排班-纵表'!$I:$I,'周排班-纵表'!$C:$C,$C13,'周排班-纵表'!$G:$G,$G13,'周排班-纵表'!$H:$H,X$1)</f>
        <v/>
      </c>
      <c r="Y13" s="2">
        <f>SUMIFS('周排班-纵表'!$I:$I,'周排班-纵表'!$C:$C,$C13,'周排班-纵表'!$G:$G,$G13,'周排班-纵表'!$H:$H,Y$1)</f>
        <v/>
      </c>
      <c r="Z13" s="2">
        <f>SUMIFS('周排班-纵表'!$I:$I,'周排班-纵表'!$C:$C,$C13,'周排班-纵表'!$G:$G,$G13,'周排班-纵表'!$H:$H,Z$1)</f>
        <v/>
      </c>
      <c r="AA13" s="2">
        <f>SUMIFS('周排班-纵表'!$I:$I,'周排班-纵表'!$C:$C,$C13,'周排班-纵表'!$G:$G,$G13,'周排班-纵表'!$H:$H,AA$1)</f>
        <v/>
      </c>
      <c r="AB13" s="2">
        <f>SUMIFS('周排班-纵表'!$I:$I,'周排班-纵表'!$C:$C,$C13,'周排班-纵表'!$G:$G,$G13,'周排班-纵表'!$H:$H,AB$1)</f>
        <v/>
      </c>
      <c r="AC13" s="2">
        <f>SUMIFS('周排班-纵表'!$I:$I,'周排班-纵表'!$C:$C,$C13,'周排班-纵表'!$G:$G,$G13,'周排班-纵表'!$H:$H,AC$1)</f>
        <v/>
      </c>
      <c r="AD13" s="2">
        <f>SUMIFS('周排班-纵表'!$I:$I,'周排班-纵表'!$C:$C,$C13,'周排班-纵表'!$G:$G,$G13,'周排班-纵表'!$H:$H,AD$1)</f>
        <v/>
      </c>
      <c r="AE13" s="2">
        <f>SUMIFS('周排班-纵表'!$I:$I,'周排班-纵表'!$C:$C,$C13,'周排班-纵表'!$G:$G,$G13,'周排班-纵表'!$H:$H,AE$1)</f>
        <v/>
      </c>
      <c r="AF13" s="2">
        <f>SUMIFS('周排班-纵表'!$I:$I,'周排班-纵表'!$C:$C,$C13,'周排班-纵表'!$G:$G,$G13,'周排班-纵表'!$H:$H,AF$1)</f>
        <v/>
      </c>
      <c r="AG13" s="2">
        <f>SUMIFS('周排班-纵表'!$I:$I,'周排班-纵表'!$C:$C,$C13,'周排班-纵表'!$G:$G,$G13,'周排班-纵表'!$H:$H,AG$1)</f>
        <v/>
      </c>
      <c r="AH13" s="2">
        <f>SUMIFS('周排班-纵表'!$I:$I,'周排班-纵表'!$C:$C,$C13,'周排班-纵表'!$G:$G,$G13,'周排班-纵表'!$H:$H,AH$1)</f>
        <v/>
      </c>
      <c r="AI13" s="2">
        <f>SUMIFS('周排班-纵表'!$I:$I,'周排班-纵表'!$C:$C,$C13,'周排班-纵表'!$G:$G,$G13,'周排班-纵表'!$H:$H,AI$1)</f>
        <v/>
      </c>
      <c r="AJ13" s="2">
        <f>SUMIFS('周排班-纵表'!$I:$I,'周排班-纵表'!$C:$C,$C13,'周排班-纵表'!$G:$G,$G13,'周排班-纵表'!$H:$H,AJ$1)</f>
        <v/>
      </c>
      <c r="AK13" s="2">
        <f>SUMIFS('周排班-纵表'!$I:$I,'周排班-纵表'!$C:$C,$C13,'周排班-纵表'!$G:$G,$G13,'周排班-纵表'!$H:$H,AK$1)</f>
        <v/>
      </c>
      <c r="AL13" s="2">
        <f>SUMIFS('周排班-纵表'!$I:$I,'周排班-纵表'!$C:$C,$C13,'周排班-纵表'!$G:$G,$G13,'周排班-纵表'!$H:$H,AL$1)</f>
        <v/>
      </c>
    </row>
    <row r="14">
      <c r="A14" s="2" t="inlineStr">
        <is>
          <t>HK WAM</t>
        </is>
      </c>
      <c r="B14" s="2" t="inlineStr">
        <is>
          <t>COS-Capital Hong Kong International Co. Limited</t>
        </is>
      </c>
      <c r="C14" s="2" t="inlineStr">
        <is>
          <t>47129459</t>
        </is>
      </c>
      <c r="D14" s="2" t="inlineStr">
        <is>
          <t>AUD2026-12 COS-CAPITAL HK INTL</t>
        </is>
      </c>
      <c r="E14" s="2" t="inlineStr">
        <is>
          <t>Order47129459- 260812001</t>
        </is>
      </c>
      <c r="F14" s="2" t="inlineStr">
        <is>
          <t>47129459- EDC260812001</t>
        </is>
      </c>
      <c r="G14" s="2" t="inlineStr">
        <is>
          <t>Luna.CD.Zhang@cn.ey.com</t>
        </is>
      </c>
      <c r="H14" s="2">
        <f>SUMIFS('周排班-纵表'!$I:$I,'周排班-纵表'!$C:$C,$C14,'周排班-纵表'!$G:$G,$G14,'周排班-纵表'!$H:$H,H$1)</f>
        <v/>
      </c>
      <c r="I14" s="2">
        <f>SUMIFS('周排班-纵表'!$I:$I,'周排班-纵表'!$C:$C,$C14,'周排班-纵表'!$G:$G,$G14,'周排班-纵表'!$H:$H,I$1)</f>
        <v/>
      </c>
      <c r="J14" s="2">
        <f>SUMIFS('周排班-纵表'!$I:$I,'周排班-纵表'!$C:$C,$C14,'周排班-纵表'!$G:$G,$G14,'周排班-纵表'!$H:$H,J$1)</f>
        <v/>
      </c>
      <c r="K14" s="2">
        <f>SUMIFS('周排班-纵表'!$I:$I,'周排班-纵表'!$C:$C,$C14,'周排班-纵表'!$G:$G,$G14,'周排班-纵表'!$H:$H,K$1)</f>
        <v/>
      </c>
      <c r="L14" s="2">
        <f>SUMIFS('周排班-纵表'!$I:$I,'周排班-纵表'!$C:$C,$C14,'周排班-纵表'!$G:$G,$G14,'周排班-纵表'!$H:$H,L$1)</f>
        <v/>
      </c>
      <c r="M14" s="2">
        <f>SUMIFS('周排班-纵表'!$I:$I,'周排班-纵表'!$C:$C,$C14,'周排班-纵表'!$G:$G,$G14,'周排班-纵表'!$H:$H,M$1)</f>
        <v/>
      </c>
      <c r="N14" s="2">
        <f>SUMIFS('周排班-纵表'!$I:$I,'周排班-纵表'!$C:$C,$C14,'周排班-纵表'!$G:$G,$G14,'周排班-纵表'!$H:$H,N$1)</f>
        <v/>
      </c>
      <c r="O14" s="2">
        <f>SUMIFS('周排班-纵表'!$I:$I,'周排班-纵表'!$C:$C,$C14,'周排班-纵表'!$G:$G,$G14,'周排班-纵表'!$H:$H,O$1)</f>
        <v/>
      </c>
      <c r="P14" s="2">
        <f>SUMIFS('周排班-纵表'!$I:$I,'周排班-纵表'!$C:$C,$C14,'周排班-纵表'!$G:$G,$G14,'周排班-纵表'!$H:$H,P$1)</f>
        <v/>
      </c>
      <c r="Q14" s="2">
        <f>SUMIFS('周排班-纵表'!$I:$I,'周排班-纵表'!$C:$C,$C14,'周排班-纵表'!$G:$G,$G14,'周排班-纵表'!$H:$H,Q$1)</f>
        <v/>
      </c>
      <c r="R14" s="2">
        <f>SUMIFS('周排班-纵表'!$I:$I,'周排班-纵表'!$C:$C,$C14,'周排班-纵表'!$G:$G,$G14,'周排班-纵表'!$H:$H,R$1)</f>
        <v/>
      </c>
      <c r="S14" s="2">
        <f>SUMIFS('周排班-纵表'!$I:$I,'周排班-纵表'!$C:$C,$C14,'周排班-纵表'!$G:$G,$G14,'周排班-纵表'!$H:$H,S$1)</f>
        <v/>
      </c>
      <c r="T14" s="2">
        <f>SUMIFS('周排班-纵表'!$I:$I,'周排班-纵表'!$C:$C,$C14,'周排班-纵表'!$G:$G,$G14,'周排班-纵表'!$H:$H,T$1)</f>
        <v/>
      </c>
      <c r="U14" s="2">
        <f>SUMIFS('周排班-纵表'!$I:$I,'周排班-纵表'!$C:$C,$C14,'周排班-纵表'!$G:$G,$G14,'周排班-纵表'!$H:$H,U$1)</f>
        <v/>
      </c>
      <c r="V14" s="2">
        <f>SUMIFS('周排班-纵表'!$I:$I,'周排班-纵表'!$C:$C,$C14,'周排班-纵表'!$G:$G,$G14,'周排班-纵表'!$H:$H,V$1)</f>
        <v/>
      </c>
      <c r="W14" s="2">
        <f>SUMIFS('周排班-纵表'!$I:$I,'周排班-纵表'!$C:$C,$C14,'周排班-纵表'!$G:$G,$G14,'周排班-纵表'!$H:$H,W$1)</f>
        <v/>
      </c>
      <c r="X14" s="2">
        <f>SUMIFS('周排班-纵表'!$I:$I,'周排班-纵表'!$C:$C,$C14,'周排班-纵表'!$G:$G,$G14,'周排班-纵表'!$H:$H,X$1)</f>
        <v/>
      </c>
      <c r="Y14" s="2">
        <f>SUMIFS('周排班-纵表'!$I:$I,'周排班-纵表'!$C:$C,$C14,'周排班-纵表'!$G:$G,$G14,'周排班-纵表'!$H:$H,Y$1)</f>
        <v/>
      </c>
      <c r="Z14" s="2">
        <f>SUMIFS('周排班-纵表'!$I:$I,'周排班-纵表'!$C:$C,$C14,'周排班-纵表'!$G:$G,$G14,'周排班-纵表'!$H:$H,Z$1)</f>
        <v/>
      </c>
      <c r="AA14" s="2">
        <f>SUMIFS('周排班-纵表'!$I:$I,'周排班-纵表'!$C:$C,$C14,'周排班-纵表'!$G:$G,$G14,'周排班-纵表'!$H:$H,AA$1)</f>
        <v/>
      </c>
      <c r="AB14" s="2">
        <f>SUMIFS('周排班-纵表'!$I:$I,'周排班-纵表'!$C:$C,$C14,'周排班-纵表'!$G:$G,$G14,'周排班-纵表'!$H:$H,AB$1)</f>
        <v/>
      </c>
      <c r="AC14" s="2">
        <f>SUMIFS('周排班-纵表'!$I:$I,'周排班-纵表'!$C:$C,$C14,'周排班-纵表'!$G:$G,$G14,'周排班-纵表'!$H:$H,AC$1)</f>
        <v/>
      </c>
      <c r="AD14" s="2">
        <f>SUMIFS('周排班-纵表'!$I:$I,'周排班-纵表'!$C:$C,$C14,'周排班-纵表'!$G:$G,$G14,'周排班-纵表'!$H:$H,AD$1)</f>
        <v/>
      </c>
      <c r="AE14" s="2">
        <f>SUMIFS('周排班-纵表'!$I:$I,'周排班-纵表'!$C:$C,$C14,'周排班-纵表'!$G:$G,$G14,'周排班-纵表'!$H:$H,AE$1)</f>
        <v/>
      </c>
      <c r="AF14" s="2">
        <f>SUMIFS('周排班-纵表'!$I:$I,'周排班-纵表'!$C:$C,$C14,'周排班-纵表'!$G:$G,$G14,'周排班-纵表'!$H:$H,AF$1)</f>
        <v/>
      </c>
      <c r="AG14" s="2">
        <f>SUMIFS('周排班-纵表'!$I:$I,'周排班-纵表'!$C:$C,$C14,'周排班-纵表'!$G:$G,$G14,'周排班-纵表'!$H:$H,AG$1)</f>
        <v/>
      </c>
      <c r="AH14" s="2">
        <f>SUMIFS('周排班-纵表'!$I:$I,'周排班-纵表'!$C:$C,$C14,'周排班-纵表'!$G:$G,$G14,'周排班-纵表'!$H:$H,AH$1)</f>
        <v/>
      </c>
      <c r="AI14" s="2">
        <f>SUMIFS('周排班-纵表'!$I:$I,'周排班-纵表'!$C:$C,$C14,'周排班-纵表'!$G:$G,$G14,'周排班-纵表'!$H:$H,AI$1)</f>
        <v/>
      </c>
      <c r="AJ14" s="2">
        <f>SUMIFS('周排班-纵表'!$I:$I,'周排班-纵表'!$C:$C,$C14,'周排班-纵表'!$G:$G,$G14,'周排班-纵表'!$H:$H,AJ$1)</f>
        <v/>
      </c>
      <c r="AK14" s="2">
        <f>SUMIFS('周排班-纵表'!$I:$I,'周排班-纵表'!$C:$C,$C14,'周排班-纵表'!$G:$G,$G14,'周排班-纵表'!$H:$H,AK$1)</f>
        <v/>
      </c>
      <c r="AL14" s="2">
        <f>SUMIFS('周排班-纵表'!$I:$I,'周排班-纵表'!$C:$C,$C14,'周排班-纵表'!$G:$G,$G14,'周排班-纵表'!$H:$H,AL$1)</f>
        <v/>
      </c>
    </row>
    <row r="15">
      <c r="A15" s="2" t="inlineStr">
        <is>
          <t>HK WAM</t>
        </is>
      </c>
      <c r="B15" s="2" t="inlineStr">
        <is>
          <t>COS-Capital Hong Kong International Co. Limited</t>
        </is>
      </c>
      <c r="C15" s="2" t="inlineStr">
        <is>
          <t>47129459</t>
        </is>
      </c>
      <c r="D15" s="2" t="inlineStr">
        <is>
          <t>AUD2026-12 COS-CAPITAL HK INTL</t>
        </is>
      </c>
      <c r="E15" s="2" t="inlineStr">
        <is>
          <t>Order47129459- 260812001</t>
        </is>
      </c>
      <c r="F15" s="2" t="inlineStr">
        <is>
          <t>47129459- EDC260812001</t>
        </is>
      </c>
      <c r="G15" s="2" t="inlineStr">
        <is>
          <t>Marsh.Ma@cn.ey.com</t>
        </is>
      </c>
      <c r="H15" s="2">
        <f>SUMIFS('周排班-纵表'!$I:$I,'周排班-纵表'!$C:$C,$C15,'周排班-纵表'!$G:$G,$G15,'周排班-纵表'!$H:$H,H$1)</f>
        <v/>
      </c>
      <c r="I15" s="2">
        <f>SUMIFS('周排班-纵表'!$I:$I,'周排班-纵表'!$C:$C,$C15,'周排班-纵表'!$G:$G,$G15,'周排班-纵表'!$H:$H,I$1)</f>
        <v/>
      </c>
      <c r="J15" s="2">
        <f>SUMIFS('周排班-纵表'!$I:$I,'周排班-纵表'!$C:$C,$C15,'周排班-纵表'!$G:$G,$G15,'周排班-纵表'!$H:$H,J$1)</f>
        <v/>
      </c>
      <c r="K15" s="2">
        <f>SUMIFS('周排班-纵表'!$I:$I,'周排班-纵表'!$C:$C,$C15,'周排班-纵表'!$G:$G,$G15,'周排班-纵表'!$H:$H,K$1)</f>
        <v/>
      </c>
      <c r="L15" s="2">
        <f>SUMIFS('周排班-纵表'!$I:$I,'周排班-纵表'!$C:$C,$C15,'周排班-纵表'!$G:$G,$G15,'周排班-纵表'!$H:$H,L$1)</f>
        <v/>
      </c>
      <c r="M15" s="2">
        <f>SUMIFS('周排班-纵表'!$I:$I,'周排班-纵表'!$C:$C,$C15,'周排班-纵表'!$G:$G,$G15,'周排班-纵表'!$H:$H,M$1)</f>
        <v/>
      </c>
      <c r="N15" s="2">
        <f>SUMIFS('周排班-纵表'!$I:$I,'周排班-纵表'!$C:$C,$C15,'周排班-纵表'!$G:$G,$G15,'周排班-纵表'!$H:$H,N$1)</f>
        <v/>
      </c>
      <c r="O15" s="2">
        <f>SUMIFS('周排班-纵表'!$I:$I,'周排班-纵表'!$C:$C,$C15,'周排班-纵表'!$G:$G,$G15,'周排班-纵表'!$H:$H,O$1)</f>
        <v/>
      </c>
      <c r="P15" s="2">
        <f>SUMIFS('周排班-纵表'!$I:$I,'周排班-纵表'!$C:$C,$C15,'周排班-纵表'!$G:$G,$G15,'周排班-纵表'!$H:$H,P$1)</f>
        <v/>
      </c>
      <c r="Q15" s="2">
        <f>SUMIFS('周排班-纵表'!$I:$I,'周排班-纵表'!$C:$C,$C15,'周排班-纵表'!$G:$G,$G15,'周排班-纵表'!$H:$H,Q$1)</f>
        <v/>
      </c>
      <c r="R15" s="2">
        <f>SUMIFS('周排班-纵表'!$I:$I,'周排班-纵表'!$C:$C,$C15,'周排班-纵表'!$G:$G,$G15,'周排班-纵表'!$H:$H,R$1)</f>
        <v/>
      </c>
      <c r="S15" s="2">
        <f>SUMIFS('周排班-纵表'!$I:$I,'周排班-纵表'!$C:$C,$C15,'周排班-纵表'!$G:$G,$G15,'周排班-纵表'!$H:$H,S$1)</f>
        <v/>
      </c>
      <c r="T15" s="2">
        <f>SUMIFS('周排班-纵表'!$I:$I,'周排班-纵表'!$C:$C,$C15,'周排班-纵表'!$G:$G,$G15,'周排班-纵表'!$H:$H,T$1)</f>
        <v/>
      </c>
      <c r="U15" s="2">
        <f>SUMIFS('周排班-纵表'!$I:$I,'周排班-纵表'!$C:$C,$C15,'周排班-纵表'!$G:$G,$G15,'周排班-纵表'!$H:$H,U$1)</f>
        <v/>
      </c>
      <c r="V15" s="2">
        <f>SUMIFS('周排班-纵表'!$I:$I,'周排班-纵表'!$C:$C,$C15,'周排班-纵表'!$G:$G,$G15,'周排班-纵表'!$H:$H,V$1)</f>
        <v/>
      </c>
      <c r="W15" s="2">
        <f>SUMIFS('周排班-纵表'!$I:$I,'周排班-纵表'!$C:$C,$C15,'周排班-纵表'!$G:$G,$G15,'周排班-纵表'!$H:$H,W$1)</f>
        <v/>
      </c>
      <c r="X15" s="2">
        <f>SUMIFS('周排班-纵表'!$I:$I,'周排班-纵表'!$C:$C,$C15,'周排班-纵表'!$G:$G,$G15,'周排班-纵表'!$H:$H,X$1)</f>
        <v/>
      </c>
      <c r="Y15" s="2">
        <f>SUMIFS('周排班-纵表'!$I:$I,'周排班-纵表'!$C:$C,$C15,'周排班-纵表'!$G:$G,$G15,'周排班-纵表'!$H:$H,Y$1)</f>
        <v/>
      </c>
      <c r="Z15" s="2">
        <f>SUMIFS('周排班-纵表'!$I:$I,'周排班-纵表'!$C:$C,$C15,'周排班-纵表'!$G:$G,$G15,'周排班-纵表'!$H:$H,Z$1)</f>
        <v/>
      </c>
      <c r="AA15" s="2">
        <f>SUMIFS('周排班-纵表'!$I:$I,'周排班-纵表'!$C:$C,$C15,'周排班-纵表'!$G:$G,$G15,'周排班-纵表'!$H:$H,AA$1)</f>
        <v/>
      </c>
      <c r="AB15" s="2">
        <f>SUMIFS('周排班-纵表'!$I:$I,'周排班-纵表'!$C:$C,$C15,'周排班-纵表'!$G:$G,$G15,'周排班-纵表'!$H:$H,AB$1)</f>
        <v/>
      </c>
      <c r="AC15" s="2">
        <f>SUMIFS('周排班-纵表'!$I:$I,'周排班-纵表'!$C:$C,$C15,'周排班-纵表'!$G:$G,$G15,'周排班-纵表'!$H:$H,AC$1)</f>
        <v/>
      </c>
      <c r="AD15" s="2">
        <f>SUMIFS('周排班-纵表'!$I:$I,'周排班-纵表'!$C:$C,$C15,'周排班-纵表'!$G:$G,$G15,'周排班-纵表'!$H:$H,AD$1)</f>
        <v/>
      </c>
      <c r="AE15" s="2">
        <f>SUMIFS('周排班-纵表'!$I:$I,'周排班-纵表'!$C:$C,$C15,'周排班-纵表'!$G:$G,$G15,'周排班-纵表'!$H:$H,AE$1)</f>
        <v/>
      </c>
      <c r="AF15" s="2">
        <f>SUMIFS('周排班-纵表'!$I:$I,'周排班-纵表'!$C:$C,$C15,'周排班-纵表'!$G:$G,$G15,'周排班-纵表'!$H:$H,AF$1)</f>
        <v/>
      </c>
      <c r="AG15" s="2">
        <f>SUMIFS('周排班-纵表'!$I:$I,'周排班-纵表'!$C:$C,$C15,'周排班-纵表'!$G:$G,$G15,'周排班-纵表'!$H:$H,AG$1)</f>
        <v/>
      </c>
      <c r="AH15" s="2">
        <f>SUMIFS('周排班-纵表'!$I:$I,'周排班-纵表'!$C:$C,$C15,'周排班-纵表'!$G:$G,$G15,'周排班-纵表'!$H:$H,AH$1)</f>
        <v/>
      </c>
      <c r="AI15" s="2">
        <f>SUMIFS('周排班-纵表'!$I:$I,'周排班-纵表'!$C:$C,$C15,'周排班-纵表'!$G:$G,$G15,'周排班-纵表'!$H:$H,AI$1)</f>
        <v/>
      </c>
      <c r="AJ15" s="2">
        <f>SUMIFS('周排班-纵表'!$I:$I,'周排班-纵表'!$C:$C,$C15,'周排班-纵表'!$G:$G,$G15,'周排班-纵表'!$H:$H,AJ$1)</f>
        <v/>
      </c>
      <c r="AK15" s="2">
        <f>SUMIFS('周排班-纵表'!$I:$I,'周排班-纵表'!$C:$C,$C15,'周排班-纵表'!$G:$G,$G15,'周排班-纵表'!$H:$H,AK$1)</f>
        <v/>
      </c>
      <c r="AL15" s="2">
        <f>SUMIFS('周排班-纵表'!$I:$I,'周排班-纵表'!$C:$C,$C15,'周排班-纵表'!$G:$G,$G15,'周排班-纵表'!$H:$H,AL$1)</f>
        <v/>
      </c>
    </row>
    <row r="16">
      <c r="A16" s="2" t="inlineStr">
        <is>
          <t>HK WAM</t>
        </is>
      </c>
      <c r="B16" s="2" t="inlineStr">
        <is>
          <t>COS-Capital Hong Kong International Co. Limited</t>
        </is>
      </c>
      <c r="C16" s="2" t="inlineStr">
        <is>
          <t>47129459</t>
        </is>
      </c>
      <c r="D16" s="2" t="inlineStr">
        <is>
          <t>AUD2026-12 COS-CAPITAL HK INTL</t>
        </is>
      </c>
      <c r="E16" s="2" t="inlineStr">
        <is>
          <t>Order47129459- 260812001</t>
        </is>
      </c>
      <c r="F16" s="2" t="inlineStr">
        <is>
          <t>47129459- EDC260812001</t>
        </is>
      </c>
      <c r="G16" s="2" t="inlineStr">
        <is>
          <t>Vivi.W.Yang@cn.ey.com</t>
        </is>
      </c>
      <c r="H16" s="2">
        <f>SUMIFS('周排班-纵表'!$I:$I,'周排班-纵表'!$C:$C,$C16,'周排班-纵表'!$G:$G,$G16,'周排班-纵表'!$H:$H,H$1)</f>
        <v/>
      </c>
      <c r="I16" s="2">
        <f>SUMIFS('周排班-纵表'!$I:$I,'周排班-纵表'!$C:$C,$C16,'周排班-纵表'!$G:$G,$G16,'周排班-纵表'!$H:$H,I$1)</f>
        <v/>
      </c>
      <c r="J16" s="2">
        <f>SUMIFS('周排班-纵表'!$I:$I,'周排班-纵表'!$C:$C,$C16,'周排班-纵表'!$G:$G,$G16,'周排班-纵表'!$H:$H,J$1)</f>
        <v/>
      </c>
      <c r="K16" s="2">
        <f>SUMIFS('周排班-纵表'!$I:$I,'周排班-纵表'!$C:$C,$C16,'周排班-纵表'!$G:$G,$G16,'周排班-纵表'!$H:$H,K$1)</f>
        <v/>
      </c>
      <c r="L16" s="2">
        <f>SUMIFS('周排班-纵表'!$I:$I,'周排班-纵表'!$C:$C,$C16,'周排班-纵表'!$G:$G,$G16,'周排班-纵表'!$H:$H,L$1)</f>
        <v/>
      </c>
      <c r="M16" s="2">
        <f>SUMIFS('周排班-纵表'!$I:$I,'周排班-纵表'!$C:$C,$C16,'周排班-纵表'!$G:$G,$G16,'周排班-纵表'!$H:$H,M$1)</f>
        <v/>
      </c>
      <c r="N16" s="2">
        <f>SUMIFS('周排班-纵表'!$I:$I,'周排班-纵表'!$C:$C,$C16,'周排班-纵表'!$G:$G,$G16,'周排班-纵表'!$H:$H,N$1)</f>
        <v/>
      </c>
      <c r="O16" s="2">
        <f>SUMIFS('周排班-纵表'!$I:$I,'周排班-纵表'!$C:$C,$C16,'周排班-纵表'!$G:$G,$G16,'周排班-纵表'!$H:$H,O$1)</f>
        <v/>
      </c>
      <c r="P16" s="2">
        <f>SUMIFS('周排班-纵表'!$I:$I,'周排班-纵表'!$C:$C,$C16,'周排班-纵表'!$G:$G,$G16,'周排班-纵表'!$H:$H,P$1)</f>
        <v/>
      </c>
      <c r="Q16" s="2">
        <f>SUMIFS('周排班-纵表'!$I:$I,'周排班-纵表'!$C:$C,$C16,'周排班-纵表'!$G:$G,$G16,'周排班-纵表'!$H:$H,Q$1)</f>
        <v/>
      </c>
      <c r="R16" s="2">
        <f>SUMIFS('周排班-纵表'!$I:$I,'周排班-纵表'!$C:$C,$C16,'周排班-纵表'!$G:$G,$G16,'周排班-纵表'!$H:$H,R$1)</f>
        <v/>
      </c>
      <c r="S16" s="2">
        <f>SUMIFS('周排班-纵表'!$I:$I,'周排班-纵表'!$C:$C,$C16,'周排班-纵表'!$G:$G,$G16,'周排班-纵表'!$H:$H,S$1)</f>
        <v/>
      </c>
      <c r="T16" s="2">
        <f>SUMIFS('周排班-纵表'!$I:$I,'周排班-纵表'!$C:$C,$C16,'周排班-纵表'!$G:$G,$G16,'周排班-纵表'!$H:$H,T$1)</f>
        <v/>
      </c>
      <c r="U16" s="2">
        <f>SUMIFS('周排班-纵表'!$I:$I,'周排班-纵表'!$C:$C,$C16,'周排班-纵表'!$G:$G,$G16,'周排班-纵表'!$H:$H,U$1)</f>
        <v/>
      </c>
      <c r="V16" s="2">
        <f>SUMIFS('周排班-纵表'!$I:$I,'周排班-纵表'!$C:$C,$C16,'周排班-纵表'!$G:$G,$G16,'周排班-纵表'!$H:$H,V$1)</f>
        <v/>
      </c>
      <c r="W16" s="2">
        <f>SUMIFS('周排班-纵表'!$I:$I,'周排班-纵表'!$C:$C,$C16,'周排班-纵表'!$G:$G,$G16,'周排班-纵表'!$H:$H,W$1)</f>
        <v/>
      </c>
      <c r="X16" s="2">
        <f>SUMIFS('周排班-纵表'!$I:$I,'周排班-纵表'!$C:$C,$C16,'周排班-纵表'!$G:$G,$G16,'周排班-纵表'!$H:$H,X$1)</f>
        <v/>
      </c>
      <c r="Y16" s="2">
        <f>SUMIFS('周排班-纵表'!$I:$I,'周排班-纵表'!$C:$C,$C16,'周排班-纵表'!$G:$G,$G16,'周排班-纵表'!$H:$H,Y$1)</f>
        <v/>
      </c>
      <c r="Z16" s="2">
        <f>SUMIFS('周排班-纵表'!$I:$I,'周排班-纵表'!$C:$C,$C16,'周排班-纵表'!$G:$G,$G16,'周排班-纵表'!$H:$H,Z$1)</f>
        <v/>
      </c>
      <c r="AA16" s="2">
        <f>SUMIFS('周排班-纵表'!$I:$I,'周排班-纵表'!$C:$C,$C16,'周排班-纵表'!$G:$G,$G16,'周排班-纵表'!$H:$H,AA$1)</f>
        <v/>
      </c>
      <c r="AB16" s="2">
        <f>SUMIFS('周排班-纵表'!$I:$I,'周排班-纵表'!$C:$C,$C16,'周排班-纵表'!$G:$G,$G16,'周排班-纵表'!$H:$H,AB$1)</f>
        <v/>
      </c>
      <c r="AC16" s="2">
        <f>SUMIFS('周排班-纵表'!$I:$I,'周排班-纵表'!$C:$C,$C16,'周排班-纵表'!$G:$G,$G16,'周排班-纵表'!$H:$H,AC$1)</f>
        <v/>
      </c>
      <c r="AD16" s="2">
        <f>SUMIFS('周排班-纵表'!$I:$I,'周排班-纵表'!$C:$C,$C16,'周排班-纵表'!$G:$G,$G16,'周排班-纵表'!$H:$H,AD$1)</f>
        <v/>
      </c>
      <c r="AE16" s="2">
        <f>SUMIFS('周排班-纵表'!$I:$I,'周排班-纵表'!$C:$C,$C16,'周排班-纵表'!$G:$G,$G16,'周排班-纵表'!$H:$H,AE$1)</f>
        <v/>
      </c>
      <c r="AF16" s="2">
        <f>SUMIFS('周排班-纵表'!$I:$I,'周排班-纵表'!$C:$C,$C16,'周排班-纵表'!$G:$G,$G16,'周排班-纵表'!$H:$H,AF$1)</f>
        <v/>
      </c>
      <c r="AG16" s="2">
        <f>SUMIFS('周排班-纵表'!$I:$I,'周排班-纵表'!$C:$C,$C16,'周排班-纵表'!$G:$G,$G16,'周排班-纵表'!$H:$H,AG$1)</f>
        <v/>
      </c>
      <c r="AH16" s="2">
        <f>SUMIFS('周排班-纵表'!$I:$I,'周排班-纵表'!$C:$C,$C16,'周排班-纵表'!$G:$G,$G16,'周排班-纵表'!$H:$H,AH$1)</f>
        <v/>
      </c>
      <c r="AI16" s="2">
        <f>SUMIFS('周排班-纵表'!$I:$I,'周排班-纵表'!$C:$C,$C16,'周排班-纵表'!$G:$G,$G16,'周排班-纵表'!$H:$H,AI$1)</f>
        <v/>
      </c>
      <c r="AJ16" s="2">
        <f>SUMIFS('周排班-纵表'!$I:$I,'周排班-纵表'!$C:$C,$C16,'周排班-纵表'!$G:$G,$G16,'周排班-纵表'!$H:$H,AJ$1)</f>
        <v/>
      </c>
      <c r="AK16" s="2">
        <f>SUMIFS('周排班-纵表'!$I:$I,'周排班-纵表'!$C:$C,$C16,'周排班-纵表'!$G:$G,$G16,'周排班-纵表'!$H:$H,AK$1)</f>
        <v/>
      </c>
      <c r="AL16" s="2">
        <f>SUMIFS('周排班-纵表'!$I:$I,'周排班-纵表'!$C:$C,$C16,'周排班-纵表'!$G:$G,$G16,'周排班-纵表'!$H:$H,AL$1)</f>
        <v/>
      </c>
    </row>
    <row r="17">
      <c r="A17" s="2" t="inlineStr">
        <is>
          <t>HK WAM</t>
        </is>
      </c>
      <c r="B17" s="2" t="inlineStr">
        <is>
          <t>DST Investment Management Limited</t>
        </is>
      </c>
      <c r="C17" s="2" t="inlineStr">
        <is>
          <t>47129679</t>
        </is>
      </c>
      <c r="D17" s="2" t="inlineStr">
        <is>
          <t>AUD2026-12 DST Investment Mgt</t>
        </is>
      </c>
      <c r="E17" s="2" t="inlineStr">
        <is>
          <t>Order47129679- 260814001</t>
        </is>
      </c>
      <c r="F17" s="2" t="inlineStr">
        <is>
          <t>47129679- EDC260814001</t>
        </is>
      </c>
      <c r="G17" s="2" t="inlineStr">
        <is>
          <t>Luna.CD.Zhang@cn.ey.com</t>
        </is>
      </c>
      <c r="H17" s="2">
        <f>SUMIFS('周排班-纵表'!$I:$I,'周排班-纵表'!$C:$C,$C17,'周排班-纵表'!$G:$G,$G17,'周排班-纵表'!$H:$H,H$1)</f>
        <v/>
      </c>
      <c r="I17" s="2">
        <f>SUMIFS('周排班-纵表'!$I:$I,'周排班-纵表'!$C:$C,$C17,'周排班-纵表'!$G:$G,$G17,'周排班-纵表'!$H:$H,I$1)</f>
        <v/>
      </c>
      <c r="J17" s="2">
        <f>SUMIFS('周排班-纵表'!$I:$I,'周排班-纵表'!$C:$C,$C17,'周排班-纵表'!$G:$G,$G17,'周排班-纵表'!$H:$H,J$1)</f>
        <v/>
      </c>
      <c r="K17" s="2">
        <f>SUMIFS('周排班-纵表'!$I:$I,'周排班-纵表'!$C:$C,$C17,'周排班-纵表'!$G:$G,$G17,'周排班-纵表'!$H:$H,K$1)</f>
        <v/>
      </c>
      <c r="L17" s="2">
        <f>SUMIFS('周排班-纵表'!$I:$I,'周排班-纵表'!$C:$C,$C17,'周排班-纵表'!$G:$G,$G17,'周排班-纵表'!$H:$H,L$1)</f>
        <v/>
      </c>
      <c r="M17" s="2">
        <f>SUMIFS('周排班-纵表'!$I:$I,'周排班-纵表'!$C:$C,$C17,'周排班-纵表'!$G:$G,$G17,'周排班-纵表'!$H:$H,M$1)</f>
        <v/>
      </c>
      <c r="N17" s="2">
        <f>SUMIFS('周排班-纵表'!$I:$I,'周排班-纵表'!$C:$C,$C17,'周排班-纵表'!$G:$G,$G17,'周排班-纵表'!$H:$H,N$1)</f>
        <v/>
      </c>
      <c r="O17" s="2">
        <f>SUMIFS('周排班-纵表'!$I:$I,'周排班-纵表'!$C:$C,$C17,'周排班-纵表'!$G:$G,$G17,'周排班-纵表'!$H:$H,O$1)</f>
        <v/>
      </c>
      <c r="P17" s="2">
        <f>SUMIFS('周排班-纵表'!$I:$I,'周排班-纵表'!$C:$C,$C17,'周排班-纵表'!$G:$G,$G17,'周排班-纵表'!$H:$H,P$1)</f>
        <v/>
      </c>
      <c r="Q17" s="2">
        <f>SUMIFS('周排班-纵表'!$I:$I,'周排班-纵表'!$C:$C,$C17,'周排班-纵表'!$G:$G,$G17,'周排班-纵表'!$H:$H,Q$1)</f>
        <v/>
      </c>
      <c r="R17" s="2">
        <f>SUMIFS('周排班-纵表'!$I:$I,'周排班-纵表'!$C:$C,$C17,'周排班-纵表'!$G:$G,$G17,'周排班-纵表'!$H:$H,R$1)</f>
        <v/>
      </c>
      <c r="S17" s="2">
        <f>SUMIFS('周排班-纵表'!$I:$I,'周排班-纵表'!$C:$C,$C17,'周排班-纵表'!$G:$G,$G17,'周排班-纵表'!$H:$H,S$1)</f>
        <v/>
      </c>
      <c r="T17" s="2">
        <f>SUMIFS('周排班-纵表'!$I:$I,'周排班-纵表'!$C:$C,$C17,'周排班-纵表'!$G:$G,$G17,'周排班-纵表'!$H:$H,T$1)</f>
        <v/>
      </c>
      <c r="U17" s="2">
        <f>SUMIFS('周排班-纵表'!$I:$I,'周排班-纵表'!$C:$C,$C17,'周排班-纵表'!$G:$G,$G17,'周排班-纵表'!$H:$H,U$1)</f>
        <v/>
      </c>
      <c r="V17" s="2">
        <f>SUMIFS('周排班-纵表'!$I:$I,'周排班-纵表'!$C:$C,$C17,'周排班-纵表'!$G:$G,$G17,'周排班-纵表'!$H:$H,V$1)</f>
        <v/>
      </c>
      <c r="W17" s="2">
        <f>SUMIFS('周排班-纵表'!$I:$I,'周排班-纵表'!$C:$C,$C17,'周排班-纵表'!$G:$G,$G17,'周排班-纵表'!$H:$H,W$1)</f>
        <v/>
      </c>
      <c r="X17" s="2">
        <f>SUMIFS('周排班-纵表'!$I:$I,'周排班-纵表'!$C:$C,$C17,'周排班-纵表'!$G:$G,$G17,'周排班-纵表'!$H:$H,X$1)</f>
        <v/>
      </c>
      <c r="Y17" s="2">
        <f>SUMIFS('周排班-纵表'!$I:$I,'周排班-纵表'!$C:$C,$C17,'周排班-纵表'!$G:$G,$G17,'周排班-纵表'!$H:$H,Y$1)</f>
        <v/>
      </c>
      <c r="Z17" s="2">
        <f>SUMIFS('周排班-纵表'!$I:$I,'周排班-纵表'!$C:$C,$C17,'周排班-纵表'!$G:$G,$G17,'周排班-纵表'!$H:$H,Z$1)</f>
        <v/>
      </c>
      <c r="AA17" s="2">
        <f>SUMIFS('周排班-纵表'!$I:$I,'周排班-纵表'!$C:$C,$C17,'周排班-纵表'!$G:$G,$G17,'周排班-纵表'!$H:$H,AA$1)</f>
        <v/>
      </c>
      <c r="AB17" s="2">
        <f>SUMIFS('周排班-纵表'!$I:$I,'周排班-纵表'!$C:$C,$C17,'周排班-纵表'!$G:$G,$G17,'周排班-纵表'!$H:$H,AB$1)</f>
        <v/>
      </c>
      <c r="AC17" s="2">
        <f>SUMIFS('周排班-纵表'!$I:$I,'周排班-纵表'!$C:$C,$C17,'周排班-纵表'!$G:$G,$G17,'周排班-纵表'!$H:$H,AC$1)</f>
        <v/>
      </c>
      <c r="AD17" s="2">
        <f>SUMIFS('周排班-纵表'!$I:$I,'周排班-纵表'!$C:$C,$C17,'周排班-纵表'!$G:$G,$G17,'周排班-纵表'!$H:$H,AD$1)</f>
        <v/>
      </c>
      <c r="AE17" s="2">
        <f>SUMIFS('周排班-纵表'!$I:$I,'周排班-纵表'!$C:$C,$C17,'周排班-纵表'!$G:$G,$G17,'周排班-纵表'!$H:$H,AE$1)</f>
        <v/>
      </c>
      <c r="AF17" s="2">
        <f>SUMIFS('周排班-纵表'!$I:$I,'周排班-纵表'!$C:$C,$C17,'周排班-纵表'!$G:$G,$G17,'周排班-纵表'!$H:$H,AF$1)</f>
        <v/>
      </c>
      <c r="AG17" s="2">
        <f>SUMIFS('周排班-纵表'!$I:$I,'周排班-纵表'!$C:$C,$C17,'周排班-纵表'!$G:$G,$G17,'周排班-纵表'!$H:$H,AG$1)</f>
        <v/>
      </c>
      <c r="AH17" s="2">
        <f>SUMIFS('周排班-纵表'!$I:$I,'周排班-纵表'!$C:$C,$C17,'周排班-纵表'!$G:$G,$G17,'周排班-纵表'!$H:$H,AH$1)</f>
        <v/>
      </c>
      <c r="AI17" s="2">
        <f>SUMIFS('周排班-纵表'!$I:$I,'周排班-纵表'!$C:$C,$C17,'周排班-纵表'!$G:$G,$G17,'周排班-纵表'!$H:$H,AI$1)</f>
        <v/>
      </c>
      <c r="AJ17" s="2">
        <f>SUMIFS('周排班-纵表'!$I:$I,'周排班-纵表'!$C:$C,$C17,'周排班-纵表'!$G:$G,$G17,'周排班-纵表'!$H:$H,AJ$1)</f>
        <v/>
      </c>
      <c r="AK17" s="2">
        <f>SUMIFS('周排班-纵表'!$I:$I,'周排班-纵表'!$C:$C,$C17,'周排班-纵表'!$G:$G,$G17,'周排班-纵表'!$H:$H,AK$1)</f>
        <v/>
      </c>
      <c r="AL17" s="2">
        <f>SUMIFS('周排班-纵表'!$I:$I,'周排班-纵表'!$C:$C,$C17,'周排班-纵表'!$G:$G,$G17,'周排班-纵表'!$H:$H,AL$1)</f>
        <v/>
      </c>
    </row>
    <row r="18">
      <c r="A18" s="2" t="inlineStr">
        <is>
          <t>HK WAM</t>
        </is>
      </c>
      <c r="B18" s="2" t="inlineStr">
        <is>
          <t>DST Investment Management Limited</t>
        </is>
      </c>
      <c r="C18" s="2" t="inlineStr">
        <is>
          <t>47129679</t>
        </is>
      </c>
      <c r="D18" s="2" t="inlineStr">
        <is>
          <t>AUD2026-12 DST Investment Mgt</t>
        </is>
      </c>
      <c r="E18" s="2" t="inlineStr">
        <is>
          <t>Order47129679- 260814001</t>
        </is>
      </c>
      <c r="F18" s="2" t="inlineStr">
        <is>
          <t>47129679- EDC260814001</t>
        </is>
      </c>
      <c r="G18" s="2" t="inlineStr">
        <is>
          <t>Marsh.Ma@cn.ey.com</t>
        </is>
      </c>
      <c r="H18" s="2">
        <f>SUMIFS('周排班-纵表'!$I:$I,'周排班-纵表'!$C:$C,$C18,'周排班-纵表'!$G:$G,$G18,'周排班-纵表'!$H:$H,H$1)</f>
        <v/>
      </c>
      <c r="I18" s="2">
        <f>SUMIFS('周排班-纵表'!$I:$I,'周排班-纵表'!$C:$C,$C18,'周排班-纵表'!$G:$G,$G18,'周排班-纵表'!$H:$H,I$1)</f>
        <v/>
      </c>
      <c r="J18" s="2">
        <f>SUMIFS('周排班-纵表'!$I:$I,'周排班-纵表'!$C:$C,$C18,'周排班-纵表'!$G:$G,$G18,'周排班-纵表'!$H:$H,J$1)</f>
        <v/>
      </c>
      <c r="K18" s="2">
        <f>SUMIFS('周排班-纵表'!$I:$I,'周排班-纵表'!$C:$C,$C18,'周排班-纵表'!$G:$G,$G18,'周排班-纵表'!$H:$H,K$1)</f>
        <v/>
      </c>
      <c r="L18" s="2">
        <f>SUMIFS('周排班-纵表'!$I:$I,'周排班-纵表'!$C:$C,$C18,'周排班-纵表'!$G:$G,$G18,'周排班-纵表'!$H:$H,L$1)</f>
        <v/>
      </c>
      <c r="M18" s="2">
        <f>SUMIFS('周排班-纵表'!$I:$I,'周排班-纵表'!$C:$C,$C18,'周排班-纵表'!$G:$G,$G18,'周排班-纵表'!$H:$H,M$1)</f>
        <v/>
      </c>
      <c r="N18" s="2">
        <f>SUMIFS('周排班-纵表'!$I:$I,'周排班-纵表'!$C:$C,$C18,'周排班-纵表'!$G:$G,$G18,'周排班-纵表'!$H:$H,N$1)</f>
        <v/>
      </c>
      <c r="O18" s="2">
        <f>SUMIFS('周排班-纵表'!$I:$I,'周排班-纵表'!$C:$C,$C18,'周排班-纵表'!$G:$G,$G18,'周排班-纵表'!$H:$H,O$1)</f>
        <v/>
      </c>
      <c r="P18" s="2">
        <f>SUMIFS('周排班-纵表'!$I:$I,'周排班-纵表'!$C:$C,$C18,'周排班-纵表'!$G:$G,$G18,'周排班-纵表'!$H:$H,P$1)</f>
        <v/>
      </c>
      <c r="Q18" s="2">
        <f>SUMIFS('周排班-纵表'!$I:$I,'周排班-纵表'!$C:$C,$C18,'周排班-纵表'!$G:$G,$G18,'周排班-纵表'!$H:$H,Q$1)</f>
        <v/>
      </c>
      <c r="R18" s="2">
        <f>SUMIFS('周排班-纵表'!$I:$I,'周排班-纵表'!$C:$C,$C18,'周排班-纵表'!$G:$G,$G18,'周排班-纵表'!$H:$H,R$1)</f>
        <v/>
      </c>
      <c r="S18" s="2">
        <f>SUMIFS('周排班-纵表'!$I:$I,'周排班-纵表'!$C:$C,$C18,'周排班-纵表'!$G:$G,$G18,'周排班-纵表'!$H:$H,S$1)</f>
        <v/>
      </c>
      <c r="T18" s="2">
        <f>SUMIFS('周排班-纵表'!$I:$I,'周排班-纵表'!$C:$C,$C18,'周排班-纵表'!$G:$G,$G18,'周排班-纵表'!$H:$H,T$1)</f>
        <v/>
      </c>
      <c r="U18" s="2">
        <f>SUMIFS('周排班-纵表'!$I:$I,'周排班-纵表'!$C:$C,$C18,'周排班-纵表'!$G:$G,$G18,'周排班-纵表'!$H:$H,U$1)</f>
        <v/>
      </c>
      <c r="V18" s="2">
        <f>SUMIFS('周排班-纵表'!$I:$I,'周排班-纵表'!$C:$C,$C18,'周排班-纵表'!$G:$G,$G18,'周排班-纵表'!$H:$H,V$1)</f>
        <v/>
      </c>
      <c r="W18" s="2">
        <f>SUMIFS('周排班-纵表'!$I:$I,'周排班-纵表'!$C:$C,$C18,'周排班-纵表'!$G:$G,$G18,'周排班-纵表'!$H:$H,W$1)</f>
        <v/>
      </c>
      <c r="X18" s="2">
        <f>SUMIFS('周排班-纵表'!$I:$I,'周排班-纵表'!$C:$C,$C18,'周排班-纵表'!$G:$G,$G18,'周排班-纵表'!$H:$H,X$1)</f>
        <v/>
      </c>
      <c r="Y18" s="2">
        <f>SUMIFS('周排班-纵表'!$I:$I,'周排班-纵表'!$C:$C,$C18,'周排班-纵表'!$G:$G,$G18,'周排班-纵表'!$H:$H,Y$1)</f>
        <v/>
      </c>
      <c r="Z18" s="2">
        <f>SUMIFS('周排班-纵表'!$I:$I,'周排班-纵表'!$C:$C,$C18,'周排班-纵表'!$G:$G,$G18,'周排班-纵表'!$H:$H,Z$1)</f>
        <v/>
      </c>
      <c r="AA18" s="2">
        <f>SUMIFS('周排班-纵表'!$I:$I,'周排班-纵表'!$C:$C,$C18,'周排班-纵表'!$G:$G,$G18,'周排班-纵表'!$H:$H,AA$1)</f>
        <v/>
      </c>
      <c r="AB18" s="2">
        <f>SUMIFS('周排班-纵表'!$I:$I,'周排班-纵表'!$C:$C,$C18,'周排班-纵表'!$G:$G,$G18,'周排班-纵表'!$H:$H,AB$1)</f>
        <v/>
      </c>
      <c r="AC18" s="2">
        <f>SUMIFS('周排班-纵表'!$I:$I,'周排班-纵表'!$C:$C,$C18,'周排班-纵表'!$G:$G,$G18,'周排班-纵表'!$H:$H,AC$1)</f>
        <v/>
      </c>
      <c r="AD18" s="2">
        <f>SUMIFS('周排班-纵表'!$I:$I,'周排班-纵表'!$C:$C,$C18,'周排班-纵表'!$G:$G,$G18,'周排班-纵表'!$H:$H,AD$1)</f>
        <v/>
      </c>
      <c r="AE18" s="2">
        <f>SUMIFS('周排班-纵表'!$I:$I,'周排班-纵表'!$C:$C,$C18,'周排班-纵表'!$G:$G,$G18,'周排班-纵表'!$H:$H,AE$1)</f>
        <v/>
      </c>
      <c r="AF18" s="2">
        <f>SUMIFS('周排班-纵表'!$I:$I,'周排班-纵表'!$C:$C,$C18,'周排班-纵表'!$G:$G,$G18,'周排班-纵表'!$H:$H,AF$1)</f>
        <v/>
      </c>
      <c r="AG18" s="2">
        <f>SUMIFS('周排班-纵表'!$I:$I,'周排班-纵表'!$C:$C,$C18,'周排班-纵表'!$G:$G,$G18,'周排班-纵表'!$H:$H,AG$1)</f>
        <v/>
      </c>
      <c r="AH18" s="2">
        <f>SUMIFS('周排班-纵表'!$I:$I,'周排班-纵表'!$C:$C,$C18,'周排班-纵表'!$G:$G,$G18,'周排班-纵表'!$H:$H,AH$1)</f>
        <v/>
      </c>
      <c r="AI18" s="2">
        <f>SUMIFS('周排班-纵表'!$I:$I,'周排班-纵表'!$C:$C,$C18,'周排班-纵表'!$G:$G,$G18,'周排班-纵表'!$H:$H,AI$1)</f>
        <v/>
      </c>
      <c r="AJ18" s="2">
        <f>SUMIFS('周排班-纵表'!$I:$I,'周排班-纵表'!$C:$C,$C18,'周排班-纵表'!$G:$G,$G18,'周排班-纵表'!$H:$H,AJ$1)</f>
        <v/>
      </c>
      <c r="AK18" s="2">
        <f>SUMIFS('周排班-纵表'!$I:$I,'周排班-纵表'!$C:$C,$C18,'周排班-纵表'!$G:$G,$G18,'周排班-纵表'!$H:$H,AK$1)</f>
        <v/>
      </c>
      <c r="AL18" s="2">
        <f>SUMIFS('周排班-纵表'!$I:$I,'周排班-纵表'!$C:$C,$C18,'周排班-纵表'!$G:$G,$G18,'周排班-纵表'!$H:$H,AL$1)</f>
        <v/>
      </c>
    </row>
    <row r="19">
      <c r="A19" s="2" t="inlineStr">
        <is>
          <t>HK WAM</t>
        </is>
      </c>
      <c r="B19" s="2" t="inlineStr">
        <is>
          <t>DST Investment Management Limited</t>
        </is>
      </c>
      <c r="C19" s="2" t="inlineStr">
        <is>
          <t>47129679</t>
        </is>
      </c>
      <c r="D19" s="2" t="inlineStr">
        <is>
          <t>AUD2026-12 DST Investment Mgt</t>
        </is>
      </c>
      <c r="E19" s="2" t="inlineStr">
        <is>
          <t>Order47129679- 260814001</t>
        </is>
      </c>
      <c r="F19" s="2" t="inlineStr">
        <is>
          <t>47129679- EDC260814001</t>
        </is>
      </c>
      <c r="G19" s="2" t="inlineStr">
        <is>
          <t>Rainbow.MG.Xiao@cn.ey.com</t>
        </is>
      </c>
      <c r="H19" s="2">
        <f>SUMIFS('周排班-纵表'!$I:$I,'周排班-纵表'!$C:$C,$C19,'周排班-纵表'!$G:$G,$G19,'周排班-纵表'!$H:$H,H$1)</f>
        <v/>
      </c>
      <c r="I19" s="2">
        <f>SUMIFS('周排班-纵表'!$I:$I,'周排班-纵表'!$C:$C,$C19,'周排班-纵表'!$G:$G,$G19,'周排班-纵表'!$H:$H,I$1)</f>
        <v/>
      </c>
      <c r="J19" s="2">
        <f>SUMIFS('周排班-纵表'!$I:$I,'周排班-纵表'!$C:$C,$C19,'周排班-纵表'!$G:$G,$G19,'周排班-纵表'!$H:$H,J$1)</f>
        <v/>
      </c>
      <c r="K19" s="2">
        <f>SUMIFS('周排班-纵表'!$I:$I,'周排班-纵表'!$C:$C,$C19,'周排班-纵表'!$G:$G,$G19,'周排班-纵表'!$H:$H,K$1)</f>
        <v/>
      </c>
      <c r="L19" s="2">
        <f>SUMIFS('周排班-纵表'!$I:$I,'周排班-纵表'!$C:$C,$C19,'周排班-纵表'!$G:$G,$G19,'周排班-纵表'!$H:$H,L$1)</f>
        <v/>
      </c>
      <c r="M19" s="2">
        <f>SUMIFS('周排班-纵表'!$I:$I,'周排班-纵表'!$C:$C,$C19,'周排班-纵表'!$G:$G,$G19,'周排班-纵表'!$H:$H,M$1)</f>
        <v/>
      </c>
      <c r="N19" s="2">
        <f>SUMIFS('周排班-纵表'!$I:$I,'周排班-纵表'!$C:$C,$C19,'周排班-纵表'!$G:$G,$G19,'周排班-纵表'!$H:$H,N$1)</f>
        <v/>
      </c>
      <c r="O19" s="2">
        <f>SUMIFS('周排班-纵表'!$I:$I,'周排班-纵表'!$C:$C,$C19,'周排班-纵表'!$G:$G,$G19,'周排班-纵表'!$H:$H,O$1)</f>
        <v/>
      </c>
      <c r="P19" s="2">
        <f>SUMIFS('周排班-纵表'!$I:$I,'周排班-纵表'!$C:$C,$C19,'周排班-纵表'!$G:$G,$G19,'周排班-纵表'!$H:$H,P$1)</f>
        <v/>
      </c>
      <c r="Q19" s="2">
        <f>SUMIFS('周排班-纵表'!$I:$I,'周排班-纵表'!$C:$C,$C19,'周排班-纵表'!$G:$G,$G19,'周排班-纵表'!$H:$H,Q$1)</f>
        <v/>
      </c>
      <c r="R19" s="2">
        <f>SUMIFS('周排班-纵表'!$I:$I,'周排班-纵表'!$C:$C,$C19,'周排班-纵表'!$G:$G,$G19,'周排班-纵表'!$H:$H,R$1)</f>
        <v/>
      </c>
      <c r="S19" s="2">
        <f>SUMIFS('周排班-纵表'!$I:$I,'周排班-纵表'!$C:$C,$C19,'周排班-纵表'!$G:$G,$G19,'周排班-纵表'!$H:$H,S$1)</f>
        <v/>
      </c>
      <c r="T19" s="2">
        <f>SUMIFS('周排班-纵表'!$I:$I,'周排班-纵表'!$C:$C,$C19,'周排班-纵表'!$G:$G,$G19,'周排班-纵表'!$H:$H,T$1)</f>
        <v/>
      </c>
      <c r="U19" s="2">
        <f>SUMIFS('周排班-纵表'!$I:$I,'周排班-纵表'!$C:$C,$C19,'周排班-纵表'!$G:$G,$G19,'周排班-纵表'!$H:$H,U$1)</f>
        <v/>
      </c>
      <c r="V19" s="2">
        <f>SUMIFS('周排班-纵表'!$I:$I,'周排班-纵表'!$C:$C,$C19,'周排班-纵表'!$G:$G,$G19,'周排班-纵表'!$H:$H,V$1)</f>
        <v/>
      </c>
      <c r="W19" s="2">
        <f>SUMIFS('周排班-纵表'!$I:$I,'周排班-纵表'!$C:$C,$C19,'周排班-纵表'!$G:$G,$G19,'周排班-纵表'!$H:$H,W$1)</f>
        <v/>
      </c>
      <c r="X19" s="2">
        <f>SUMIFS('周排班-纵表'!$I:$I,'周排班-纵表'!$C:$C,$C19,'周排班-纵表'!$G:$G,$G19,'周排班-纵表'!$H:$H,X$1)</f>
        <v/>
      </c>
      <c r="Y19" s="2">
        <f>SUMIFS('周排班-纵表'!$I:$I,'周排班-纵表'!$C:$C,$C19,'周排班-纵表'!$G:$G,$G19,'周排班-纵表'!$H:$H,Y$1)</f>
        <v/>
      </c>
      <c r="Z19" s="2">
        <f>SUMIFS('周排班-纵表'!$I:$I,'周排班-纵表'!$C:$C,$C19,'周排班-纵表'!$G:$G,$G19,'周排班-纵表'!$H:$H,Z$1)</f>
        <v/>
      </c>
      <c r="AA19" s="2">
        <f>SUMIFS('周排班-纵表'!$I:$I,'周排班-纵表'!$C:$C,$C19,'周排班-纵表'!$G:$G,$G19,'周排班-纵表'!$H:$H,AA$1)</f>
        <v/>
      </c>
      <c r="AB19" s="2">
        <f>SUMIFS('周排班-纵表'!$I:$I,'周排班-纵表'!$C:$C,$C19,'周排班-纵表'!$G:$G,$G19,'周排班-纵表'!$H:$H,AB$1)</f>
        <v/>
      </c>
      <c r="AC19" s="2">
        <f>SUMIFS('周排班-纵表'!$I:$I,'周排班-纵表'!$C:$C,$C19,'周排班-纵表'!$G:$G,$G19,'周排班-纵表'!$H:$H,AC$1)</f>
        <v/>
      </c>
      <c r="AD19" s="2">
        <f>SUMIFS('周排班-纵表'!$I:$I,'周排班-纵表'!$C:$C,$C19,'周排班-纵表'!$G:$G,$G19,'周排班-纵表'!$H:$H,AD$1)</f>
        <v/>
      </c>
      <c r="AE19" s="2">
        <f>SUMIFS('周排班-纵表'!$I:$I,'周排班-纵表'!$C:$C,$C19,'周排班-纵表'!$G:$G,$G19,'周排班-纵表'!$H:$H,AE$1)</f>
        <v/>
      </c>
      <c r="AF19" s="2">
        <f>SUMIFS('周排班-纵表'!$I:$I,'周排班-纵表'!$C:$C,$C19,'周排班-纵表'!$G:$G,$G19,'周排班-纵表'!$H:$H,AF$1)</f>
        <v/>
      </c>
      <c r="AG19" s="2">
        <f>SUMIFS('周排班-纵表'!$I:$I,'周排班-纵表'!$C:$C,$C19,'周排班-纵表'!$G:$G,$G19,'周排班-纵表'!$H:$H,AG$1)</f>
        <v/>
      </c>
      <c r="AH19" s="2">
        <f>SUMIFS('周排班-纵表'!$I:$I,'周排班-纵表'!$C:$C,$C19,'周排班-纵表'!$G:$G,$G19,'周排班-纵表'!$H:$H,AH$1)</f>
        <v/>
      </c>
      <c r="AI19" s="2">
        <f>SUMIFS('周排班-纵表'!$I:$I,'周排班-纵表'!$C:$C,$C19,'周排班-纵表'!$G:$G,$G19,'周排班-纵表'!$H:$H,AI$1)</f>
        <v/>
      </c>
      <c r="AJ19" s="2">
        <f>SUMIFS('周排班-纵表'!$I:$I,'周排班-纵表'!$C:$C,$C19,'周排班-纵表'!$G:$G,$G19,'周排班-纵表'!$H:$H,AJ$1)</f>
        <v/>
      </c>
      <c r="AK19" s="2">
        <f>SUMIFS('周排班-纵表'!$I:$I,'周排班-纵表'!$C:$C,$C19,'周排班-纵表'!$G:$G,$G19,'周排班-纵表'!$H:$H,AK$1)</f>
        <v/>
      </c>
      <c r="AL19" s="2">
        <f>SUMIFS('周排班-纵表'!$I:$I,'周排班-纵表'!$C:$C,$C19,'周排班-纵表'!$G:$G,$G19,'周排班-纵表'!$H:$H,AL$1)</f>
        <v/>
      </c>
    </row>
    <row r="20">
      <c r="A20" s="2" t="inlineStr">
        <is>
          <t>HK WAM</t>
        </is>
      </c>
      <c r="B20" s="2" t="inlineStr">
        <is>
          <t>DST Investment Management Limited</t>
        </is>
      </c>
      <c r="C20" s="2" t="inlineStr">
        <is>
          <t>47129679</t>
        </is>
      </c>
      <c r="D20" s="2" t="inlineStr">
        <is>
          <t>AUD2026-12 DST Investment Mgt</t>
        </is>
      </c>
      <c r="E20" s="2" t="inlineStr">
        <is>
          <t>Order47129679- 260814001</t>
        </is>
      </c>
      <c r="F20" s="2" t="inlineStr">
        <is>
          <t>47129679- EDC260814001</t>
        </is>
      </c>
      <c r="G20" s="2" t="inlineStr">
        <is>
          <t>Vivi.W.Yang@cn.ey.com</t>
        </is>
      </c>
      <c r="H20" s="2">
        <f>SUMIFS('周排班-纵表'!$I:$I,'周排班-纵表'!$C:$C,$C20,'周排班-纵表'!$G:$G,$G20,'周排班-纵表'!$H:$H,H$1)</f>
        <v/>
      </c>
      <c r="I20" s="2">
        <f>SUMIFS('周排班-纵表'!$I:$I,'周排班-纵表'!$C:$C,$C20,'周排班-纵表'!$G:$G,$G20,'周排班-纵表'!$H:$H,I$1)</f>
        <v/>
      </c>
      <c r="J20" s="2">
        <f>SUMIFS('周排班-纵表'!$I:$I,'周排班-纵表'!$C:$C,$C20,'周排班-纵表'!$G:$G,$G20,'周排班-纵表'!$H:$H,J$1)</f>
        <v/>
      </c>
      <c r="K20" s="2">
        <f>SUMIFS('周排班-纵表'!$I:$I,'周排班-纵表'!$C:$C,$C20,'周排班-纵表'!$G:$G,$G20,'周排班-纵表'!$H:$H,K$1)</f>
        <v/>
      </c>
      <c r="L20" s="2">
        <f>SUMIFS('周排班-纵表'!$I:$I,'周排班-纵表'!$C:$C,$C20,'周排班-纵表'!$G:$G,$G20,'周排班-纵表'!$H:$H,L$1)</f>
        <v/>
      </c>
      <c r="M20" s="2">
        <f>SUMIFS('周排班-纵表'!$I:$I,'周排班-纵表'!$C:$C,$C20,'周排班-纵表'!$G:$G,$G20,'周排班-纵表'!$H:$H,M$1)</f>
        <v/>
      </c>
      <c r="N20" s="2">
        <f>SUMIFS('周排班-纵表'!$I:$I,'周排班-纵表'!$C:$C,$C20,'周排班-纵表'!$G:$G,$G20,'周排班-纵表'!$H:$H,N$1)</f>
        <v/>
      </c>
      <c r="O20" s="2">
        <f>SUMIFS('周排班-纵表'!$I:$I,'周排班-纵表'!$C:$C,$C20,'周排班-纵表'!$G:$G,$G20,'周排班-纵表'!$H:$H,O$1)</f>
        <v/>
      </c>
      <c r="P20" s="2">
        <f>SUMIFS('周排班-纵表'!$I:$I,'周排班-纵表'!$C:$C,$C20,'周排班-纵表'!$G:$G,$G20,'周排班-纵表'!$H:$H,P$1)</f>
        <v/>
      </c>
      <c r="Q20" s="2">
        <f>SUMIFS('周排班-纵表'!$I:$I,'周排班-纵表'!$C:$C,$C20,'周排班-纵表'!$G:$G,$G20,'周排班-纵表'!$H:$H,Q$1)</f>
        <v/>
      </c>
      <c r="R20" s="2">
        <f>SUMIFS('周排班-纵表'!$I:$I,'周排班-纵表'!$C:$C,$C20,'周排班-纵表'!$G:$G,$G20,'周排班-纵表'!$H:$H,R$1)</f>
        <v/>
      </c>
      <c r="S20" s="2">
        <f>SUMIFS('周排班-纵表'!$I:$I,'周排班-纵表'!$C:$C,$C20,'周排班-纵表'!$G:$G,$G20,'周排班-纵表'!$H:$H,S$1)</f>
        <v/>
      </c>
      <c r="T20" s="2">
        <f>SUMIFS('周排班-纵表'!$I:$I,'周排班-纵表'!$C:$C,$C20,'周排班-纵表'!$G:$G,$G20,'周排班-纵表'!$H:$H,T$1)</f>
        <v/>
      </c>
      <c r="U20" s="2">
        <f>SUMIFS('周排班-纵表'!$I:$I,'周排班-纵表'!$C:$C,$C20,'周排班-纵表'!$G:$G,$G20,'周排班-纵表'!$H:$H,U$1)</f>
        <v/>
      </c>
      <c r="V20" s="2">
        <f>SUMIFS('周排班-纵表'!$I:$I,'周排班-纵表'!$C:$C,$C20,'周排班-纵表'!$G:$G,$G20,'周排班-纵表'!$H:$H,V$1)</f>
        <v/>
      </c>
      <c r="W20" s="2">
        <f>SUMIFS('周排班-纵表'!$I:$I,'周排班-纵表'!$C:$C,$C20,'周排班-纵表'!$G:$G,$G20,'周排班-纵表'!$H:$H,W$1)</f>
        <v/>
      </c>
      <c r="X20" s="2">
        <f>SUMIFS('周排班-纵表'!$I:$I,'周排班-纵表'!$C:$C,$C20,'周排班-纵表'!$G:$G,$G20,'周排班-纵表'!$H:$H,X$1)</f>
        <v/>
      </c>
      <c r="Y20" s="2">
        <f>SUMIFS('周排班-纵表'!$I:$I,'周排班-纵表'!$C:$C,$C20,'周排班-纵表'!$G:$G,$G20,'周排班-纵表'!$H:$H,Y$1)</f>
        <v/>
      </c>
      <c r="Z20" s="2">
        <f>SUMIFS('周排班-纵表'!$I:$I,'周排班-纵表'!$C:$C,$C20,'周排班-纵表'!$G:$G,$G20,'周排班-纵表'!$H:$H,Z$1)</f>
        <v/>
      </c>
      <c r="AA20" s="2">
        <f>SUMIFS('周排班-纵表'!$I:$I,'周排班-纵表'!$C:$C,$C20,'周排班-纵表'!$G:$G,$G20,'周排班-纵表'!$H:$H,AA$1)</f>
        <v/>
      </c>
      <c r="AB20" s="2">
        <f>SUMIFS('周排班-纵表'!$I:$I,'周排班-纵表'!$C:$C,$C20,'周排班-纵表'!$G:$G,$G20,'周排班-纵表'!$H:$H,AB$1)</f>
        <v/>
      </c>
      <c r="AC20" s="2">
        <f>SUMIFS('周排班-纵表'!$I:$I,'周排班-纵表'!$C:$C,$C20,'周排班-纵表'!$G:$G,$G20,'周排班-纵表'!$H:$H,AC$1)</f>
        <v/>
      </c>
      <c r="AD20" s="2">
        <f>SUMIFS('周排班-纵表'!$I:$I,'周排班-纵表'!$C:$C,$C20,'周排班-纵表'!$G:$G,$G20,'周排班-纵表'!$H:$H,AD$1)</f>
        <v/>
      </c>
      <c r="AE20" s="2">
        <f>SUMIFS('周排班-纵表'!$I:$I,'周排班-纵表'!$C:$C,$C20,'周排班-纵表'!$G:$G,$G20,'周排班-纵表'!$H:$H,AE$1)</f>
        <v/>
      </c>
      <c r="AF20" s="2">
        <f>SUMIFS('周排班-纵表'!$I:$I,'周排班-纵表'!$C:$C,$C20,'周排班-纵表'!$G:$G,$G20,'周排班-纵表'!$H:$H,AF$1)</f>
        <v/>
      </c>
      <c r="AG20" s="2">
        <f>SUMIFS('周排班-纵表'!$I:$I,'周排班-纵表'!$C:$C,$C20,'周排班-纵表'!$G:$G,$G20,'周排班-纵表'!$H:$H,AG$1)</f>
        <v/>
      </c>
      <c r="AH20" s="2">
        <f>SUMIFS('周排班-纵表'!$I:$I,'周排班-纵表'!$C:$C,$C20,'周排班-纵表'!$G:$G,$G20,'周排班-纵表'!$H:$H,AH$1)</f>
        <v/>
      </c>
      <c r="AI20" s="2">
        <f>SUMIFS('周排班-纵表'!$I:$I,'周排班-纵表'!$C:$C,$C20,'周排班-纵表'!$G:$G,$G20,'周排班-纵表'!$H:$H,AI$1)</f>
        <v/>
      </c>
      <c r="AJ20" s="2">
        <f>SUMIFS('周排班-纵表'!$I:$I,'周排班-纵表'!$C:$C,$C20,'周排班-纵表'!$G:$G,$G20,'周排班-纵表'!$H:$H,AJ$1)</f>
        <v/>
      </c>
      <c r="AK20" s="2">
        <f>SUMIFS('周排班-纵表'!$I:$I,'周排班-纵表'!$C:$C,$C20,'周排班-纵表'!$G:$G,$G20,'周排班-纵表'!$H:$H,AK$1)</f>
        <v/>
      </c>
      <c r="AL20" s="2">
        <f>SUMIFS('周排班-纵表'!$I:$I,'周排班-纵表'!$C:$C,$C20,'周排班-纵表'!$G:$G,$G20,'周排班-纵表'!$H:$H,AL$1)</f>
        <v/>
      </c>
    </row>
    <row r="21">
      <c r="A21" s="2" t="inlineStr">
        <is>
          <t>HK WAM</t>
        </is>
      </c>
      <c r="B21" s="2" t="inlineStr">
        <is>
          <t>E Fund International Holdings Limited</t>
        </is>
      </c>
      <c r="C21" s="2" t="inlineStr">
        <is>
          <t>47129692</t>
        </is>
      </c>
      <c r="D21" s="2" t="inlineStr">
        <is>
          <t>AUD2026-12 E Fund IM</t>
        </is>
      </c>
      <c r="E21" s="2" t="inlineStr">
        <is>
          <t>Order47129692- 260814001</t>
        </is>
      </c>
      <c r="F21" s="2" t="inlineStr">
        <is>
          <t>47129692- EDC260814001</t>
        </is>
      </c>
      <c r="G21" s="2" t="inlineStr">
        <is>
          <t>Luna.CD.Zhang@cn.ey.com</t>
        </is>
      </c>
      <c r="H21" s="2">
        <f>SUMIFS('周排班-纵表'!$I:$I,'周排班-纵表'!$C:$C,$C21,'周排班-纵表'!$G:$G,$G21,'周排班-纵表'!$H:$H,H$1)</f>
        <v/>
      </c>
      <c r="I21" s="2">
        <f>SUMIFS('周排班-纵表'!$I:$I,'周排班-纵表'!$C:$C,$C21,'周排班-纵表'!$G:$G,$G21,'周排班-纵表'!$H:$H,I$1)</f>
        <v/>
      </c>
      <c r="J21" s="2">
        <f>SUMIFS('周排班-纵表'!$I:$I,'周排班-纵表'!$C:$C,$C21,'周排班-纵表'!$G:$G,$G21,'周排班-纵表'!$H:$H,J$1)</f>
        <v/>
      </c>
      <c r="K21" s="2">
        <f>SUMIFS('周排班-纵表'!$I:$I,'周排班-纵表'!$C:$C,$C21,'周排班-纵表'!$G:$G,$G21,'周排班-纵表'!$H:$H,K$1)</f>
        <v/>
      </c>
      <c r="L21" s="2">
        <f>SUMIFS('周排班-纵表'!$I:$I,'周排班-纵表'!$C:$C,$C21,'周排班-纵表'!$G:$G,$G21,'周排班-纵表'!$H:$H,L$1)</f>
        <v/>
      </c>
      <c r="M21" s="2">
        <f>SUMIFS('周排班-纵表'!$I:$I,'周排班-纵表'!$C:$C,$C21,'周排班-纵表'!$G:$G,$G21,'周排班-纵表'!$H:$H,M$1)</f>
        <v/>
      </c>
      <c r="N21" s="2">
        <f>SUMIFS('周排班-纵表'!$I:$I,'周排班-纵表'!$C:$C,$C21,'周排班-纵表'!$G:$G,$G21,'周排班-纵表'!$H:$H,N$1)</f>
        <v/>
      </c>
      <c r="O21" s="2">
        <f>SUMIFS('周排班-纵表'!$I:$I,'周排班-纵表'!$C:$C,$C21,'周排班-纵表'!$G:$G,$G21,'周排班-纵表'!$H:$H,O$1)</f>
        <v/>
      </c>
      <c r="P21" s="2">
        <f>SUMIFS('周排班-纵表'!$I:$I,'周排班-纵表'!$C:$C,$C21,'周排班-纵表'!$G:$G,$G21,'周排班-纵表'!$H:$H,P$1)</f>
        <v/>
      </c>
      <c r="Q21" s="2">
        <f>SUMIFS('周排班-纵表'!$I:$I,'周排班-纵表'!$C:$C,$C21,'周排班-纵表'!$G:$G,$G21,'周排班-纵表'!$H:$H,Q$1)</f>
        <v/>
      </c>
      <c r="R21" s="2">
        <f>SUMIFS('周排班-纵表'!$I:$I,'周排班-纵表'!$C:$C,$C21,'周排班-纵表'!$G:$G,$G21,'周排班-纵表'!$H:$H,R$1)</f>
        <v/>
      </c>
      <c r="S21" s="2">
        <f>SUMIFS('周排班-纵表'!$I:$I,'周排班-纵表'!$C:$C,$C21,'周排班-纵表'!$G:$G,$G21,'周排班-纵表'!$H:$H,S$1)</f>
        <v/>
      </c>
      <c r="T21" s="2">
        <f>SUMIFS('周排班-纵表'!$I:$I,'周排班-纵表'!$C:$C,$C21,'周排班-纵表'!$G:$G,$G21,'周排班-纵表'!$H:$H,T$1)</f>
        <v/>
      </c>
      <c r="U21" s="2">
        <f>SUMIFS('周排班-纵表'!$I:$I,'周排班-纵表'!$C:$C,$C21,'周排班-纵表'!$G:$G,$G21,'周排班-纵表'!$H:$H,U$1)</f>
        <v/>
      </c>
      <c r="V21" s="2">
        <f>SUMIFS('周排班-纵表'!$I:$I,'周排班-纵表'!$C:$C,$C21,'周排班-纵表'!$G:$G,$G21,'周排班-纵表'!$H:$H,V$1)</f>
        <v/>
      </c>
      <c r="W21" s="2">
        <f>SUMIFS('周排班-纵表'!$I:$I,'周排班-纵表'!$C:$C,$C21,'周排班-纵表'!$G:$G,$G21,'周排班-纵表'!$H:$H,W$1)</f>
        <v/>
      </c>
      <c r="X21" s="2">
        <f>SUMIFS('周排班-纵表'!$I:$I,'周排班-纵表'!$C:$C,$C21,'周排班-纵表'!$G:$G,$G21,'周排班-纵表'!$H:$H,X$1)</f>
        <v/>
      </c>
      <c r="Y21" s="2">
        <f>SUMIFS('周排班-纵表'!$I:$I,'周排班-纵表'!$C:$C,$C21,'周排班-纵表'!$G:$G,$G21,'周排班-纵表'!$H:$H,Y$1)</f>
        <v/>
      </c>
      <c r="Z21" s="2">
        <f>SUMIFS('周排班-纵表'!$I:$I,'周排班-纵表'!$C:$C,$C21,'周排班-纵表'!$G:$G,$G21,'周排班-纵表'!$H:$H,Z$1)</f>
        <v/>
      </c>
      <c r="AA21" s="2">
        <f>SUMIFS('周排班-纵表'!$I:$I,'周排班-纵表'!$C:$C,$C21,'周排班-纵表'!$G:$G,$G21,'周排班-纵表'!$H:$H,AA$1)</f>
        <v/>
      </c>
      <c r="AB21" s="2">
        <f>SUMIFS('周排班-纵表'!$I:$I,'周排班-纵表'!$C:$C,$C21,'周排班-纵表'!$G:$G,$G21,'周排班-纵表'!$H:$H,AB$1)</f>
        <v/>
      </c>
      <c r="AC21" s="2">
        <f>SUMIFS('周排班-纵表'!$I:$I,'周排班-纵表'!$C:$C,$C21,'周排班-纵表'!$G:$G,$G21,'周排班-纵表'!$H:$H,AC$1)</f>
        <v/>
      </c>
      <c r="AD21" s="2">
        <f>SUMIFS('周排班-纵表'!$I:$I,'周排班-纵表'!$C:$C,$C21,'周排班-纵表'!$G:$G,$G21,'周排班-纵表'!$H:$H,AD$1)</f>
        <v/>
      </c>
      <c r="AE21" s="2">
        <f>SUMIFS('周排班-纵表'!$I:$I,'周排班-纵表'!$C:$C,$C21,'周排班-纵表'!$G:$G,$G21,'周排班-纵表'!$H:$H,AE$1)</f>
        <v/>
      </c>
      <c r="AF21" s="2">
        <f>SUMIFS('周排班-纵表'!$I:$I,'周排班-纵表'!$C:$C,$C21,'周排班-纵表'!$G:$G,$G21,'周排班-纵表'!$H:$H,AF$1)</f>
        <v/>
      </c>
      <c r="AG21" s="2">
        <f>SUMIFS('周排班-纵表'!$I:$I,'周排班-纵表'!$C:$C,$C21,'周排班-纵表'!$G:$G,$G21,'周排班-纵表'!$H:$H,AG$1)</f>
        <v/>
      </c>
      <c r="AH21" s="2">
        <f>SUMIFS('周排班-纵表'!$I:$I,'周排班-纵表'!$C:$C,$C21,'周排班-纵表'!$G:$G,$G21,'周排班-纵表'!$H:$H,AH$1)</f>
        <v/>
      </c>
      <c r="AI21" s="2">
        <f>SUMIFS('周排班-纵表'!$I:$I,'周排班-纵表'!$C:$C,$C21,'周排班-纵表'!$G:$G,$G21,'周排班-纵表'!$H:$H,AI$1)</f>
        <v/>
      </c>
      <c r="AJ21" s="2">
        <f>SUMIFS('周排班-纵表'!$I:$I,'周排班-纵表'!$C:$C,$C21,'周排班-纵表'!$G:$G,$G21,'周排班-纵表'!$H:$H,AJ$1)</f>
        <v/>
      </c>
      <c r="AK21" s="2">
        <f>SUMIFS('周排班-纵表'!$I:$I,'周排班-纵表'!$C:$C,$C21,'周排班-纵表'!$G:$G,$G21,'周排班-纵表'!$H:$H,AK$1)</f>
        <v/>
      </c>
      <c r="AL21" s="2">
        <f>SUMIFS('周排班-纵表'!$I:$I,'周排班-纵表'!$C:$C,$C21,'周排班-纵表'!$G:$G,$G21,'周排班-纵表'!$H:$H,AL$1)</f>
        <v/>
      </c>
    </row>
    <row r="22">
      <c r="A22" s="2" t="inlineStr">
        <is>
          <t>HK WAM</t>
        </is>
      </c>
      <c r="B22" s="2" t="inlineStr">
        <is>
          <t>E Fund International Holdings Limited</t>
        </is>
      </c>
      <c r="C22" s="2" t="inlineStr">
        <is>
          <t>47129692</t>
        </is>
      </c>
      <c r="D22" s="2" t="inlineStr">
        <is>
          <t>AUD2026-12 E Fund IM</t>
        </is>
      </c>
      <c r="E22" s="2" t="inlineStr">
        <is>
          <t>Order47129692- 260814001</t>
        </is>
      </c>
      <c r="F22" s="2" t="inlineStr">
        <is>
          <t>47129692- EDC260814001</t>
        </is>
      </c>
      <c r="G22" s="2" t="inlineStr">
        <is>
          <t>Marsh.Ma@cn.ey.com</t>
        </is>
      </c>
      <c r="H22" s="2">
        <f>SUMIFS('周排班-纵表'!$I:$I,'周排班-纵表'!$C:$C,$C22,'周排班-纵表'!$G:$G,$G22,'周排班-纵表'!$H:$H,H$1)</f>
        <v/>
      </c>
      <c r="I22" s="2">
        <f>SUMIFS('周排班-纵表'!$I:$I,'周排班-纵表'!$C:$C,$C22,'周排班-纵表'!$G:$G,$G22,'周排班-纵表'!$H:$H,I$1)</f>
        <v/>
      </c>
      <c r="J22" s="2">
        <f>SUMIFS('周排班-纵表'!$I:$I,'周排班-纵表'!$C:$C,$C22,'周排班-纵表'!$G:$G,$G22,'周排班-纵表'!$H:$H,J$1)</f>
        <v/>
      </c>
      <c r="K22" s="2">
        <f>SUMIFS('周排班-纵表'!$I:$I,'周排班-纵表'!$C:$C,$C22,'周排班-纵表'!$G:$G,$G22,'周排班-纵表'!$H:$H,K$1)</f>
        <v/>
      </c>
      <c r="L22" s="2">
        <f>SUMIFS('周排班-纵表'!$I:$I,'周排班-纵表'!$C:$C,$C22,'周排班-纵表'!$G:$G,$G22,'周排班-纵表'!$H:$H,L$1)</f>
        <v/>
      </c>
      <c r="M22" s="2">
        <f>SUMIFS('周排班-纵表'!$I:$I,'周排班-纵表'!$C:$C,$C22,'周排班-纵表'!$G:$G,$G22,'周排班-纵表'!$H:$H,M$1)</f>
        <v/>
      </c>
      <c r="N22" s="2">
        <f>SUMIFS('周排班-纵表'!$I:$I,'周排班-纵表'!$C:$C,$C22,'周排班-纵表'!$G:$G,$G22,'周排班-纵表'!$H:$H,N$1)</f>
        <v/>
      </c>
      <c r="O22" s="2">
        <f>SUMIFS('周排班-纵表'!$I:$I,'周排班-纵表'!$C:$C,$C22,'周排班-纵表'!$G:$G,$G22,'周排班-纵表'!$H:$H,O$1)</f>
        <v/>
      </c>
      <c r="P22" s="2">
        <f>SUMIFS('周排班-纵表'!$I:$I,'周排班-纵表'!$C:$C,$C22,'周排班-纵表'!$G:$G,$G22,'周排班-纵表'!$H:$H,P$1)</f>
        <v/>
      </c>
      <c r="Q22" s="2">
        <f>SUMIFS('周排班-纵表'!$I:$I,'周排班-纵表'!$C:$C,$C22,'周排班-纵表'!$G:$G,$G22,'周排班-纵表'!$H:$H,Q$1)</f>
        <v/>
      </c>
      <c r="R22" s="2">
        <f>SUMIFS('周排班-纵表'!$I:$I,'周排班-纵表'!$C:$C,$C22,'周排班-纵表'!$G:$G,$G22,'周排班-纵表'!$H:$H,R$1)</f>
        <v/>
      </c>
      <c r="S22" s="2">
        <f>SUMIFS('周排班-纵表'!$I:$I,'周排班-纵表'!$C:$C,$C22,'周排班-纵表'!$G:$G,$G22,'周排班-纵表'!$H:$H,S$1)</f>
        <v/>
      </c>
      <c r="T22" s="2">
        <f>SUMIFS('周排班-纵表'!$I:$I,'周排班-纵表'!$C:$C,$C22,'周排班-纵表'!$G:$G,$G22,'周排班-纵表'!$H:$H,T$1)</f>
        <v/>
      </c>
      <c r="U22" s="2">
        <f>SUMIFS('周排班-纵表'!$I:$I,'周排班-纵表'!$C:$C,$C22,'周排班-纵表'!$G:$G,$G22,'周排班-纵表'!$H:$H,U$1)</f>
        <v/>
      </c>
      <c r="V22" s="2">
        <f>SUMIFS('周排班-纵表'!$I:$I,'周排班-纵表'!$C:$C,$C22,'周排班-纵表'!$G:$G,$G22,'周排班-纵表'!$H:$H,V$1)</f>
        <v/>
      </c>
      <c r="W22" s="2">
        <f>SUMIFS('周排班-纵表'!$I:$I,'周排班-纵表'!$C:$C,$C22,'周排班-纵表'!$G:$G,$G22,'周排班-纵表'!$H:$H,W$1)</f>
        <v/>
      </c>
      <c r="X22" s="2">
        <f>SUMIFS('周排班-纵表'!$I:$I,'周排班-纵表'!$C:$C,$C22,'周排班-纵表'!$G:$G,$G22,'周排班-纵表'!$H:$H,X$1)</f>
        <v/>
      </c>
      <c r="Y22" s="2">
        <f>SUMIFS('周排班-纵表'!$I:$I,'周排班-纵表'!$C:$C,$C22,'周排班-纵表'!$G:$G,$G22,'周排班-纵表'!$H:$H,Y$1)</f>
        <v/>
      </c>
      <c r="Z22" s="2">
        <f>SUMIFS('周排班-纵表'!$I:$I,'周排班-纵表'!$C:$C,$C22,'周排班-纵表'!$G:$G,$G22,'周排班-纵表'!$H:$H,Z$1)</f>
        <v/>
      </c>
      <c r="AA22" s="2">
        <f>SUMIFS('周排班-纵表'!$I:$I,'周排班-纵表'!$C:$C,$C22,'周排班-纵表'!$G:$G,$G22,'周排班-纵表'!$H:$H,AA$1)</f>
        <v/>
      </c>
      <c r="AB22" s="2">
        <f>SUMIFS('周排班-纵表'!$I:$I,'周排班-纵表'!$C:$C,$C22,'周排班-纵表'!$G:$G,$G22,'周排班-纵表'!$H:$H,AB$1)</f>
        <v/>
      </c>
      <c r="AC22" s="2">
        <f>SUMIFS('周排班-纵表'!$I:$I,'周排班-纵表'!$C:$C,$C22,'周排班-纵表'!$G:$G,$G22,'周排班-纵表'!$H:$H,AC$1)</f>
        <v/>
      </c>
      <c r="AD22" s="2">
        <f>SUMIFS('周排班-纵表'!$I:$I,'周排班-纵表'!$C:$C,$C22,'周排班-纵表'!$G:$G,$G22,'周排班-纵表'!$H:$H,AD$1)</f>
        <v/>
      </c>
      <c r="AE22" s="2">
        <f>SUMIFS('周排班-纵表'!$I:$I,'周排班-纵表'!$C:$C,$C22,'周排班-纵表'!$G:$G,$G22,'周排班-纵表'!$H:$H,AE$1)</f>
        <v/>
      </c>
      <c r="AF22" s="2">
        <f>SUMIFS('周排班-纵表'!$I:$I,'周排班-纵表'!$C:$C,$C22,'周排班-纵表'!$G:$G,$G22,'周排班-纵表'!$H:$H,AF$1)</f>
        <v/>
      </c>
      <c r="AG22" s="2">
        <f>SUMIFS('周排班-纵表'!$I:$I,'周排班-纵表'!$C:$C,$C22,'周排班-纵表'!$G:$G,$G22,'周排班-纵表'!$H:$H,AG$1)</f>
        <v/>
      </c>
      <c r="AH22" s="2">
        <f>SUMIFS('周排班-纵表'!$I:$I,'周排班-纵表'!$C:$C,$C22,'周排班-纵表'!$G:$G,$G22,'周排班-纵表'!$H:$H,AH$1)</f>
        <v/>
      </c>
      <c r="AI22" s="2">
        <f>SUMIFS('周排班-纵表'!$I:$I,'周排班-纵表'!$C:$C,$C22,'周排班-纵表'!$G:$G,$G22,'周排班-纵表'!$H:$H,AI$1)</f>
        <v/>
      </c>
      <c r="AJ22" s="2">
        <f>SUMIFS('周排班-纵表'!$I:$I,'周排班-纵表'!$C:$C,$C22,'周排班-纵表'!$G:$G,$G22,'周排班-纵表'!$H:$H,AJ$1)</f>
        <v/>
      </c>
      <c r="AK22" s="2">
        <f>SUMIFS('周排班-纵表'!$I:$I,'周排班-纵表'!$C:$C,$C22,'周排班-纵表'!$G:$G,$G22,'周排班-纵表'!$H:$H,AK$1)</f>
        <v/>
      </c>
      <c r="AL22" s="2">
        <f>SUMIFS('周排班-纵表'!$I:$I,'周排班-纵表'!$C:$C,$C22,'周排班-纵表'!$G:$G,$G22,'周排班-纵表'!$H:$H,AL$1)</f>
        <v/>
      </c>
    </row>
    <row r="23">
      <c r="A23" s="2" t="inlineStr">
        <is>
          <t>HK WAM</t>
        </is>
      </c>
      <c r="B23" s="2" t="inlineStr">
        <is>
          <t>E Fund International Holdings Limited</t>
        </is>
      </c>
      <c r="C23" s="2" t="inlineStr">
        <is>
          <t>47129692</t>
        </is>
      </c>
      <c r="D23" s="2" t="inlineStr">
        <is>
          <t>AUD2026-12 E Fund IM</t>
        </is>
      </c>
      <c r="E23" s="2" t="inlineStr">
        <is>
          <t>Order47129692- 260814001</t>
        </is>
      </c>
      <c r="F23" s="2" t="inlineStr">
        <is>
          <t>47129692- EDC260814001</t>
        </is>
      </c>
      <c r="G23" s="2" t="inlineStr">
        <is>
          <t>Vivi.W.Yang@cn.ey.com</t>
        </is>
      </c>
      <c r="H23" s="2">
        <f>SUMIFS('周排班-纵表'!$I:$I,'周排班-纵表'!$C:$C,$C23,'周排班-纵表'!$G:$G,$G23,'周排班-纵表'!$H:$H,H$1)</f>
        <v/>
      </c>
      <c r="I23" s="2">
        <f>SUMIFS('周排班-纵表'!$I:$I,'周排班-纵表'!$C:$C,$C23,'周排班-纵表'!$G:$G,$G23,'周排班-纵表'!$H:$H,I$1)</f>
        <v/>
      </c>
      <c r="J23" s="2">
        <f>SUMIFS('周排班-纵表'!$I:$I,'周排班-纵表'!$C:$C,$C23,'周排班-纵表'!$G:$G,$G23,'周排班-纵表'!$H:$H,J$1)</f>
        <v/>
      </c>
      <c r="K23" s="2">
        <f>SUMIFS('周排班-纵表'!$I:$I,'周排班-纵表'!$C:$C,$C23,'周排班-纵表'!$G:$G,$G23,'周排班-纵表'!$H:$H,K$1)</f>
        <v/>
      </c>
      <c r="L23" s="2">
        <f>SUMIFS('周排班-纵表'!$I:$I,'周排班-纵表'!$C:$C,$C23,'周排班-纵表'!$G:$G,$G23,'周排班-纵表'!$H:$H,L$1)</f>
        <v/>
      </c>
      <c r="M23" s="2">
        <f>SUMIFS('周排班-纵表'!$I:$I,'周排班-纵表'!$C:$C,$C23,'周排班-纵表'!$G:$G,$G23,'周排班-纵表'!$H:$H,M$1)</f>
        <v/>
      </c>
      <c r="N23" s="2">
        <f>SUMIFS('周排班-纵表'!$I:$I,'周排班-纵表'!$C:$C,$C23,'周排班-纵表'!$G:$G,$G23,'周排班-纵表'!$H:$H,N$1)</f>
        <v/>
      </c>
      <c r="O23" s="2">
        <f>SUMIFS('周排班-纵表'!$I:$I,'周排班-纵表'!$C:$C,$C23,'周排班-纵表'!$G:$G,$G23,'周排班-纵表'!$H:$H,O$1)</f>
        <v/>
      </c>
      <c r="P23" s="2">
        <f>SUMIFS('周排班-纵表'!$I:$I,'周排班-纵表'!$C:$C,$C23,'周排班-纵表'!$G:$G,$G23,'周排班-纵表'!$H:$H,P$1)</f>
        <v/>
      </c>
      <c r="Q23" s="2">
        <f>SUMIFS('周排班-纵表'!$I:$I,'周排班-纵表'!$C:$C,$C23,'周排班-纵表'!$G:$G,$G23,'周排班-纵表'!$H:$H,Q$1)</f>
        <v/>
      </c>
      <c r="R23" s="2">
        <f>SUMIFS('周排班-纵表'!$I:$I,'周排班-纵表'!$C:$C,$C23,'周排班-纵表'!$G:$G,$G23,'周排班-纵表'!$H:$H,R$1)</f>
        <v/>
      </c>
      <c r="S23" s="2">
        <f>SUMIFS('周排班-纵表'!$I:$I,'周排班-纵表'!$C:$C,$C23,'周排班-纵表'!$G:$G,$G23,'周排班-纵表'!$H:$H,S$1)</f>
        <v/>
      </c>
      <c r="T23" s="2">
        <f>SUMIFS('周排班-纵表'!$I:$I,'周排班-纵表'!$C:$C,$C23,'周排班-纵表'!$G:$G,$G23,'周排班-纵表'!$H:$H,T$1)</f>
        <v/>
      </c>
      <c r="U23" s="2">
        <f>SUMIFS('周排班-纵表'!$I:$I,'周排班-纵表'!$C:$C,$C23,'周排班-纵表'!$G:$G,$G23,'周排班-纵表'!$H:$H,U$1)</f>
        <v/>
      </c>
      <c r="V23" s="2">
        <f>SUMIFS('周排班-纵表'!$I:$I,'周排班-纵表'!$C:$C,$C23,'周排班-纵表'!$G:$G,$G23,'周排班-纵表'!$H:$H,V$1)</f>
        <v/>
      </c>
      <c r="W23" s="2">
        <f>SUMIFS('周排班-纵表'!$I:$I,'周排班-纵表'!$C:$C,$C23,'周排班-纵表'!$G:$G,$G23,'周排班-纵表'!$H:$H,W$1)</f>
        <v/>
      </c>
      <c r="X23" s="2">
        <f>SUMIFS('周排班-纵表'!$I:$I,'周排班-纵表'!$C:$C,$C23,'周排班-纵表'!$G:$G,$G23,'周排班-纵表'!$H:$H,X$1)</f>
        <v/>
      </c>
      <c r="Y23" s="2">
        <f>SUMIFS('周排班-纵表'!$I:$I,'周排班-纵表'!$C:$C,$C23,'周排班-纵表'!$G:$G,$G23,'周排班-纵表'!$H:$H,Y$1)</f>
        <v/>
      </c>
      <c r="Z23" s="2">
        <f>SUMIFS('周排班-纵表'!$I:$I,'周排班-纵表'!$C:$C,$C23,'周排班-纵表'!$G:$G,$G23,'周排班-纵表'!$H:$H,Z$1)</f>
        <v/>
      </c>
      <c r="AA23" s="2">
        <f>SUMIFS('周排班-纵表'!$I:$I,'周排班-纵表'!$C:$C,$C23,'周排班-纵表'!$G:$G,$G23,'周排班-纵表'!$H:$H,AA$1)</f>
        <v/>
      </c>
      <c r="AB23" s="2">
        <f>SUMIFS('周排班-纵表'!$I:$I,'周排班-纵表'!$C:$C,$C23,'周排班-纵表'!$G:$G,$G23,'周排班-纵表'!$H:$H,AB$1)</f>
        <v/>
      </c>
      <c r="AC23" s="2">
        <f>SUMIFS('周排班-纵表'!$I:$I,'周排班-纵表'!$C:$C,$C23,'周排班-纵表'!$G:$G,$G23,'周排班-纵表'!$H:$H,AC$1)</f>
        <v/>
      </c>
      <c r="AD23" s="2">
        <f>SUMIFS('周排班-纵表'!$I:$I,'周排班-纵表'!$C:$C,$C23,'周排班-纵表'!$G:$G,$G23,'周排班-纵表'!$H:$H,AD$1)</f>
        <v/>
      </c>
      <c r="AE23" s="2">
        <f>SUMIFS('周排班-纵表'!$I:$I,'周排班-纵表'!$C:$C,$C23,'周排班-纵表'!$G:$G,$G23,'周排班-纵表'!$H:$H,AE$1)</f>
        <v/>
      </c>
      <c r="AF23" s="2">
        <f>SUMIFS('周排班-纵表'!$I:$I,'周排班-纵表'!$C:$C,$C23,'周排班-纵表'!$G:$G,$G23,'周排班-纵表'!$H:$H,AF$1)</f>
        <v/>
      </c>
      <c r="AG23" s="2">
        <f>SUMIFS('周排班-纵表'!$I:$I,'周排班-纵表'!$C:$C,$C23,'周排班-纵表'!$G:$G,$G23,'周排班-纵表'!$H:$H,AG$1)</f>
        <v/>
      </c>
      <c r="AH23" s="2">
        <f>SUMIFS('周排班-纵表'!$I:$I,'周排班-纵表'!$C:$C,$C23,'周排班-纵表'!$G:$G,$G23,'周排班-纵表'!$H:$H,AH$1)</f>
        <v/>
      </c>
      <c r="AI23" s="2">
        <f>SUMIFS('周排班-纵表'!$I:$I,'周排班-纵表'!$C:$C,$C23,'周排班-纵表'!$G:$G,$G23,'周排班-纵表'!$H:$H,AI$1)</f>
        <v/>
      </c>
      <c r="AJ23" s="2">
        <f>SUMIFS('周排班-纵表'!$I:$I,'周排班-纵表'!$C:$C,$C23,'周排班-纵表'!$G:$G,$G23,'周排班-纵表'!$H:$H,AJ$1)</f>
        <v/>
      </c>
      <c r="AK23" s="2">
        <f>SUMIFS('周排班-纵表'!$I:$I,'周排班-纵表'!$C:$C,$C23,'周排班-纵表'!$G:$G,$G23,'周排班-纵表'!$H:$H,AK$1)</f>
        <v/>
      </c>
      <c r="AL23" s="2">
        <f>SUMIFS('周排班-纵表'!$I:$I,'周排班-纵表'!$C:$C,$C23,'周排班-纵表'!$G:$G,$G23,'周排班-纵表'!$H:$H,AL$1)</f>
        <v/>
      </c>
    </row>
    <row r="24">
      <c r="A24" s="2" t="inlineStr">
        <is>
          <t>HK WAM</t>
        </is>
      </c>
      <c r="B24" s="2" t="inlineStr">
        <is>
          <t>SHINKA CAPITAL MANAGEMENT LIMITED</t>
        </is>
      </c>
      <c r="C24" s="2" t="inlineStr">
        <is>
          <t>47129702</t>
        </is>
      </c>
      <c r="D24" s="2" t="inlineStr">
        <is>
          <t>AUD2026-12 Shinka Capital</t>
        </is>
      </c>
      <c r="E24" s="2" t="inlineStr">
        <is>
          <t>Order47129702- 260814001</t>
        </is>
      </c>
      <c r="F24" s="2" t="inlineStr">
        <is>
          <t>47129702- EDC260814001</t>
        </is>
      </c>
      <c r="G24" s="2" t="inlineStr">
        <is>
          <t>Luna.CD.Zhang@cn.ey.com</t>
        </is>
      </c>
      <c r="H24" s="2">
        <f>SUMIFS('周排班-纵表'!$I:$I,'周排班-纵表'!$C:$C,$C24,'周排班-纵表'!$G:$G,$G24,'周排班-纵表'!$H:$H,H$1)</f>
        <v/>
      </c>
      <c r="I24" s="2">
        <f>SUMIFS('周排班-纵表'!$I:$I,'周排班-纵表'!$C:$C,$C24,'周排班-纵表'!$G:$G,$G24,'周排班-纵表'!$H:$H,I$1)</f>
        <v/>
      </c>
      <c r="J24" s="2">
        <f>SUMIFS('周排班-纵表'!$I:$I,'周排班-纵表'!$C:$C,$C24,'周排班-纵表'!$G:$G,$G24,'周排班-纵表'!$H:$H,J$1)</f>
        <v/>
      </c>
      <c r="K24" s="2">
        <f>SUMIFS('周排班-纵表'!$I:$I,'周排班-纵表'!$C:$C,$C24,'周排班-纵表'!$G:$G,$G24,'周排班-纵表'!$H:$H,K$1)</f>
        <v/>
      </c>
      <c r="L24" s="2">
        <f>SUMIFS('周排班-纵表'!$I:$I,'周排班-纵表'!$C:$C,$C24,'周排班-纵表'!$G:$G,$G24,'周排班-纵表'!$H:$H,L$1)</f>
        <v/>
      </c>
      <c r="M24" s="2">
        <f>SUMIFS('周排班-纵表'!$I:$I,'周排班-纵表'!$C:$C,$C24,'周排班-纵表'!$G:$G,$G24,'周排班-纵表'!$H:$H,M$1)</f>
        <v/>
      </c>
      <c r="N24" s="2">
        <f>SUMIFS('周排班-纵表'!$I:$I,'周排班-纵表'!$C:$C,$C24,'周排班-纵表'!$G:$G,$G24,'周排班-纵表'!$H:$H,N$1)</f>
        <v/>
      </c>
      <c r="O24" s="2">
        <f>SUMIFS('周排班-纵表'!$I:$I,'周排班-纵表'!$C:$C,$C24,'周排班-纵表'!$G:$G,$G24,'周排班-纵表'!$H:$H,O$1)</f>
        <v/>
      </c>
      <c r="P24" s="2">
        <f>SUMIFS('周排班-纵表'!$I:$I,'周排班-纵表'!$C:$C,$C24,'周排班-纵表'!$G:$G,$G24,'周排班-纵表'!$H:$H,P$1)</f>
        <v/>
      </c>
      <c r="Q24" s="2">
        <f>SUMIFS('周排班-纵表'!$I:$I,'周排班-纵表'!$C:$C,$C24,'周排班-纵表'!$G:$G,$G24,'周排班-纵表'!$H:$H,Q$1)</f>
        <v/>
      </c>
      <c r="R24" s="2">
        <f>SUMIFS('周排班-纵表'!$I:$I,'周排班-纵表'!$C:$C,$C24,'周排班-纵表'!$G:$G,$G24,'周排班-纵表'!$H:$H,R$1)</f>
        <v/>
      </c>
      <c r="S24" s="2">
        <f>SUMIFS('周排班-纵表'!$I:$I,'周排班-纵表'!$C:$C,$C24,'周排班-纵表'!$G:$G,$G24,'周排班-纵表'!$H:$H,S$1)</f>
        <v/>
      </c>
      <c r="T24" s="2">
        <f>SUMIFS('周排班-纵表'!$I:$I,'周排班-纵表'!$C:$C,$C24,'周排班-纵表'!$G:$G,$G24,'周排班-纵表'!$H:$H,T$1)</f>
        <v/>
      </c>
      <c r="U24" s="2">
        <f>SUMIFS('周排班-纵表'!$I:$I,'周排班-纵表'!$C:$C,$C24,'周排班-纵表'!$G:$G,$G24,'周排班-纵表'!$H:$H,U$1)</f>
        <v/>
      </c>
      <c r="V24" s="2">
        <f>SUMIFS('周排班-纵表'!$I:$I,'周排班-纵表'!$C:$C,$C24,'周排班-纵表'!$G:$G,$G24,'周排班-纵表'!$H:$H,V$1)</f>
        <v/>
      </c>
      <c r="W24" s="2">
        <f>SUMIFS('周排班-纵表'!$I:$I,'周排班-纵表'!$C:$C,$C24,'周排班-纵表'!$G:$G,$G24,'周排班-纵表'!$H:$H,W$1)</f>
        <v/>
      </c>
      <c r="X24" s="2">
        <f>SUMIFS('周排班-纵表'!$I:$I,'周排班-纵表'!$C:$C,$C24,'周排班-纵表'!$G:$G,$G24,'周排班-纵表'!$H:$H,X$1)</f>
        <v/>
      </c>
      <c r="Y24" s="2">
        <f>SUMIFS('周排班-纵表'!$I:$I,'周排班-纵表'!$C:$C,$C24,'周排班-纵表'!$G:$G,$G24,'周排班-纵表'!$H:$H,Y$1)</f>
        <v/>
      </c>
      <c r="Z24" s="2">
        <f>SUMIFS('周排班-纵表'!$I:$I,'周排班-纵表'!$C:$C,$C24,'周排班-纵表'!$G:$G,$G24,'周排班-纵表'!$H:$H,Z$1)</f>
        <v/>
      </c>
      <c r="AA24" s="2">
        <f>SUMIFS('周排班-纵表'!$I:$I,'周排班-纵表'!$C:$C,$C24,'周排班-纵表'!$G:$G,$G24,'周排班-纵表'!$H:$H,AA$1)</f>
        <v/>
      </c>
      <c r="AB24" s="2">
        <f>SUMIFS('周排班-纵表'!$I:$I,'周排班-纵表'!$C:$C,$C24,'周排班-纵表'!$G:$G,$G24,'周排班-纵表'!$H:$H,AB$1)</f>
        <v/>
      </c>
      <c r="AC24" s="2">
        <f>SUMIFS('周排班-纵表'!$I:$I,'周排班-纵表'!$C:$C,$C24,'周排班-纵表'!$G:$G,$G24,'周排班-纵表'!$H:$H,AC$1)</f>
        <v/>
      </c>
      <c r="AD24" s="2">
        <f>SUMIFS('周排班-纵表'!$I:$I,'周排班-纵表'!$C:$C,$C24,'周排班-纵表'!$G:$G,$G24,'周排班-纵表'!$H:$H,AD$1)</f>
        <v/>
      </c>
      <c r="AE24" s="2">
        <f>SUMIFS('周排班-纵表'!$I:$I,'周排班-纵表'!$C:$C,$C24,'周排班-纵表'!$G:$G,$G24,'周排班-纵表'!$H:$H,AE$1)</f>
        <v/>
      </c>
      <c r="AF24" s="2">
        <f>SUMIFS('周排班-纵表'!$I:$I,'周排班-纵表'!$C:$C,$C24,'周排班-纵表'!$G:$G,$G24,'周排班-纵表'!$H:$H,AF$1)</f>
        <v/>
      </c>
      <c r="AG24" s="2">
        <f>SUMIFS('周排班-纵表'!$I:$I,'周排班-纵表'!$C:$C,$C24,'周排班-纵表'!$G:$G,$G24,'周排班-纵表'!$H:$H,AG$1)</f>
        <v/>
      </c>
      <c r="AH24" s="2">
        <f>SUMIFS('周排班-纵表'!$I:$I,'周排班-纵表'!$C:$C,$C24,'周排班-纵表'!$G:$G,$G24,'周排班-纵表'!$H:$H,AH$1)</f>
        <v/>
      </c>
      <c r="AI24" s="2">
        <f>SUMIFS('周排班-纵表'!$I:$I,'周排班-纵表'!$C:$C,$C24,'周排班-纵表'!$G:$G,$G24,'周排班-纵表'!$H:$H,AI$1)</f>
        <v/>
      </c>
      <c r="AJ24" s="2">
        <f>SUMIFS('周排班-纵表'!$I:$I,'周排班-纵表'!$C:$C,$C24,'周排班-纵表'!$G:$G,$G24,'周排班-纵表'!$H:$H,AJ$1)</f>
        <v/>
      </c>
      <c r="AK24" s="2">
        <f>SUMIFS('周排班-纵表'!$I:$I,'周排班-纵表'!$C:$C,$C24,'周排班-纵表'!$G:$G,$G24,'周排班-纵表'!$H:$H,AK$1)</f>
        <v/>
      </c>
      <c r="AL24" s="2">
        <f>SUMIFS('周排班-纵表'!$I:$I,'周排班-纵表'!$C:$C,$C24,'周排班-纵表'!$G:$G,$G24,'周排班-纵表'!$H:$H,AL$1)</f>
        <v/>
      </c>
    </row>
    <row r="25">
      <c r="A25" s="2" t="inlineStr">
        <is>
          <t>HK WAM</t>
        </is>
      </c>
      <c r="B25" s="2" t="inlineStr">
        <is>
          <t>SHINKA CAPITAL MANAGEMENT LIMITED</t>
        </is>
      </c>
      <c r="C25" s="2" t="inlineStr">
        <is>
          <t>47129702</t>
        </is>
      </c>
      <c r="D25" s="2" t="inlineStr">
        <is>
          <t>AUD2026-12 Shinka Capital</t>
        </is>
      </c>
      <c r="E25" s="2" t="inlineStr">
        <is>
          <t>Order47129702- 260814001</t>
        </is>
      </c>
      <c r="F25" s="2" t="inlineStr">
        <is>
          <t>47129702- EDC260814001</t>
        </is>
      </c>
      <c r="G25" s="2" t="inlineStr">
        <is>
          <t>Marsh.Ma@cn.ey.com</t>
        </is>
      </c>
      <c r="H25" s="2">
        <f>SUMIFS('周排班-纵表'!$I:$I,'周排班-纵表'!$C:$C,$C25,'周排班-纵表'!$G:$G,$G25,'周排班-纵表'!$H:$H,H$1)</f>
        <v/>
      </c>
      <c r="I25" s="2">
        <f>SUMIFS('周排班-纵表'!$I:$I,'周排班-纵表'!$C:$C,$C25,'周排班-纵表'!$G:$G,$G25,'周排班-纵表'!$H:$H,I$1)</f>
        <v/>
      </c>
      <c r="J25" s="2">
        <f>SUMIFS('周排班-纵表'!$I:$I,'周排班-纵表'!$C:$C,$C25,'周排班-纵表'!$G:$G,$G25,'周排班-纵表'!$H:$H,J$1)</f>
        <v/>
      </c>
      <c r="K25" s="2">
        <f>SUMIFS('周排班-纵表'!$I:$I,'周排班-纵表'!$C:$C,$C25,'周排班-纵表'!$G:$G,$G25,'周排班-纵表'!$H:$H,K$1)</f>
        <v/>
      </c>
      <c r="L25" s="2">
        <f>SUMIFS('周排班-纵表'!$I:$I,'周排班-纵表'!$C:$C,$C25,'周排班-纵表'!$G:$G,$G25,'周排班-纵表'!$H:$H,L$1)</f>
        <v/>
      </c>
      <c r="M25" s="2">
        <f>SUMIFS('周排班-纵表'!$I:$I,'周排班-纵表'!$C:$C,$C25,'周排班-纵表'!$G:$G,$G25,'周排班-纵表'!$H:$H,M$1)</f>
        <v/>
      </c>
      <c r="N25" s="2">
        <f>SUMIFS('周排班-纵表'!$I:$I,'周排班-纵表'!$C:$C,$C25,'周排班-纵表'!$G:$G,$G25,'周排班-纵表'!$H:$H,N$1)</f>
        <v/>
      </c>
      <c r="O25" s="2">
        <f>SUMIFS('周排班-纵表'!$I:$I,'周排班-纵表'!$C:$C,$C25,'周排班-纵表'!$G:$G,$G25,'周排班-纵表'!$H:$H,O$1)</f>
        <v/>
      </c>
      <c r="P25" s="2">
        <f>SUMIFS('周排班-纵表'!$I:$I,'周排班-纵表'!$C:$C,$C25,'周排班-纵表'!$G:$G,$G25,'周排班-纵表'!$H:$H,P$1)</f>
        <v/>
      </c>
      <c r="Q25" s="2">
        <f>SUMIFS('周排班-纵表'!$I:$I,'周排班-纵表'!$C:$C,$C25,'周排班-纵表'!$G:$G,$G25,'周排班-纵表'!$H:$H,Q$1)</f>
        <v/>
      </c>
      <c r="R25" s="2">
        <f>SUMIFS('周排班-纵表'!$I:$I,'周排班-纵表'!$C:$C,$C25,'周排班-纵表'!$G:$G,$G25,'周排班-纵表'!$H:$H,R$1)</f>
        <v/>
      </c>
      <c r="S25" s="2">
        <f>SUMIFS('周排班-纵表'!$I:$I,'周排班-纵表'!$C:$C,$C25,'周排班-纵表'!$G:$G,$G25,'周排班-纵表'!$H:$H,S$1)</f>
        <v/>
      </c>
      <c r="T25" s="2">
        <f>SUMIFS('周排班-纵表'!$I:$I,'周排班-纵表'!$C:$C,$C25,'周排班-纵表'!$G:$G,$G25,'周排班-纵表'!$H:$H,T$1)</f>
        <v/>
      </c>
      <c r="U25" s="2">
        <f>SUMIFS('周排班-纵表'!$I:$I,'周排班-纵表'!$C:$C,$C25,'周排班-纵表'!$G:$G,$G25,'周排班-纵表'!$H:$H,U$1)</f>
        <v/>
      </c>
      <c r="V25" s="2">
        <f>SUMIFS('周排班-纵表'!$I:$I,'周排班-纵表'!$C:$C,$C25,'周排班-纵表'!$G:$G,$G25,'周排班-纵表'!$H:$H,V$1)</f>
        <v/>
      </c>
      <c r="W25" s="2">
        <f>SUMIFS('周排班-纵表'!$I:$I,'周排班-纵表'!$C:$C,$C25,'周排班-纵表'!$G:$G,$G25,'周排班-纵表'!$H:$H,W$1)</f>
        <v/>
      </c>
      <c r="X25" s="2">
        <f>SUMIFS('周排班-纵表'!$I:$I,'周排班-纵表'!$C:$C,$C25,'周排班-纵表'!$G:$G,$G25,'周排班-纵表'!$H:$H,X$1)</f>
        <v/>
      </c>
      <c r="Y25" s="2">
        <f>SUMIFS('周排班-纵表'!$I:$I,'周排班-纵表'!$C:$C,$C25,'周排班-纵表'!$G:$G,$G25,'周排班-纵表'!$H:$H,Y$1)</f>
        <v/>
      </c>
      <c r="Z25" s="2">
        <f>SUMIFS('周排班-纵表'!$I:$I,'周排班-纵表'!$C:$C,$C25,'周排班-纵表'!$G:$G,$G25,'周排班-纵表'!$H:$H,Z$1)</f>
        <v/>
      </c>
      <c r="AA25" s="2">
        <f>SUMIFS('周排班-纵表'!$I:$I,'周排班-纵表'!$C:$C,$C25,'周排班-纵表'!$G:$G,$G25,'周排班-纵表'!$H:$H,AA$1)</f>
        <v/>
      </c>
      <c r="AB25" s="2">
        <f>SUMIFS('周排班-纵表'!$I:$I,'周排班-纵表'!$C:$C,$C25,'周排班-纵表'!$G:$G,$G25,'周排班-纵表'!$H:$H,AB$1)</f>
        <v/>
      </c>
      <c r="AC25" s="2">
        <f>SUMIFS('周排班-纵表'!$I:$I,'周排班-纵表'!$C:$C,$C25,'周排班-纵表'!$G:$G,$G25,'周排班-纵表'!$H:$H,AC$1)</f>
        <v/>
      </c>
      <c r="AD25" s="2">
        <f>SUMIFS('周排班-纵表'!$I:$I,'周排班-纵表'!$C:$C,$C25,'周排班-纵表'!$G:$G,$G25,'周排班-纵表'!$H:$H,AD$1)</f>
        <v/>
      </c>
      <c r="AE25" s="2">
        <f>SUMIFS('周排班-纵表'!$I:$I,'周排班-纵表'!$C:$C,$C25,'周排班-纵表'!$G:$G,$G25,'周排班-纵表'!$H:$H,AE$1)</f>
        <v/>
      </c>
      <c r="AF25" s="2">
        <f>SUMIFS('周排班-纵表'!$I:$I,'周排班-纵表'!$C:$C,$C25,'周排班-纵表'!$G:$G,$G25,'周排班-纵表'!$H:$H,AF$1)</f>
        <v/>
      </c>
      <c r="AG25" s="2">
        <f>SUMIFS('周排班-纵表'!$I:$I,'周排班-纵表'!$C:$C,$C25,'周排班-纵表'!$G:$G,$G25,'周排班-纵表'!$H:$H,AG$1)</f>
        <v/>
      </c>
      <c r="AH25" s="2">
        <f>SUMIFS('周排班-纵表'!$I:$I,'周排班-纵表'!$C:$C,$C25,'周排班-纵表'!$G:$G,$G25,'周排班-纵表'!$H:$H,AH$1)</f>
        <v/>
      </c>
      <c r="AI25" s="2">
        <f>SUMIFS('周排班-纵表'!$I:$I,'周排班-纵表'!$C:$C,$C25,'周排班-纵表'!$G:$G,$G25,'周排班-纵表'!$H:$H,AI$1)</f>
        <v/>
      </c>
      <c r="AJ25" s="2">
        <f>SUMIFS('周排班-纵表'!$I:$I,'周排班-纵表'!$C:$C,$C25,'周排班-纵表'!$G:$G,$G25,'周排班-纵表'!$H:$H,AJ$1)</f>
        <v/>
      </c>
      <c r="AK25" s="2">
        <f>SUMIFS('周排班-纵表'!$I:$I,'周排班-纵表'!$C:$C,$C25,'周排班-纵表'!$G:$G,$G25,'周排班-纵表'!$H:$H,AK$1)</f>
        <v/>
      </c>
      <c r="AL25" s="2">
        <f>SUMIFS('周排班-纵表'!$I:$I,'周排班-纵表'!$C:$C,$C25,'周排班-纵表'!$G:$G,$G25,'周排班-纵表'!$H:$H,AL$1)</f>
        <v/>
      </c>
    </row>
    <row r="26">
      <c r="A26" s="2" t="inlineStr">
        <is>
          <t>HK WAM</t>
        </is>
      </c>
      <c r="B26" s="2" t="inlineStr">
        <is>
          <t>SHINKA CAPITAL MANAGEMENT LIMITED</t>
        </is>
      </c>
      <c r="C26" s="2" t="inlineStr">
        <is>
          <t>47129702</t>
        </is>
      </c>
      <c r="D26" s="2" t="inlineStr">
        <is>
          <t>AUD2026-12 Shinka Capital</t>
        </is>
      </c>
      <c r="E26" s="2" t="inlineStr">
        <is>
          <t>Order47129702- 260814001</t>
        </is>
      </c>
      <c r="F26" s="2" t="inlineStr">
        <is>
          <t>47129702- EDC260814001</t>
        </is>
      </c>
      <c r="G26" s="2" t="inlineStr">
        <is>
          <t>Rainbow.MG.Xiao@cn.ey.com</t>
        </is>
      </c>
      <c r="H26" s="2">
        <f>SUMIFS('周排班-纵表'!$I:$I,'周排班-纵表'!$C:$C,$C26,'周排班-纵表'!$G:$G,$G26,'周排班-纵表'!$H:$H,H$1)</f>
        <v/>
      </c>
      <c r="I26" s="2">
        <f>SUMIFS('周排班-纵表'!$I:$I,'周排班-纵表'!$C:$C,$C26,'周排班-纵表'!$G:$G,$G26,'周排班-纵表'!$H:$H,I$1)</f>
        <v/>
      </c>
      <c r="J26" s="2">
        <f>SUMIFS('周排班-纵表'!$I:$I,'周排班-纵表'!$C:$C,$C26,'周排班-纵表'!$G:$G,$G26,'周排班-纵表'!$H:$H,J$1)</f>
        <v/>
      </c>
      <c r="K26" s="2">
        <f>SUMIFS('周排班-纵表'!$I:$I,'周排班-纵表'!$C:$C,$C26,'周排班-纵表'!$G:$G,$G26,'周排班-纵表'!$H:$H,K$1)</f>
        <v/>
      </c>
      <c r="L26" s="2">
        <f>SUMIFS('周排班-纵表'!$I:$I,'周排班-纵表'!$C:$C,$C26,'周排班-纵表'!$G:$G,$G26,'周排班-纵表'!$H:$H,L$1)</f>
        <v/>
      </c>
      <c r="M26" s="2">
        <f>SUMIFS('周排班-纵表'!$I:$I,'周排班-纵表'!$C:$C,$C26,'周排班-纵表'!$G:$G,$G26,'周排班-纵表'!$H:$H,M$1)</f>
        <v/>
      </c>
      <c r="N26" s="2">
        <f>SUMIFS('周排班-纵表'!$I:$I,'周排班-纵表'!$C:$C,$C26,'周排班-纵表'!$G:$G,$G26,'周排班-纵表'!$H:$H,N$1)</f>
        <v/>
      </c>
      <c r="O26" s="2">
        <f>SUMIFS('周排班-纵表'!$I:$I,'周排班-纵表'!$C:$C,$C26,'周排班-纵表'!$G:$G,$G26,'周排班-纵表'!$H:$H,O$1)</f>
        <v/>
      </c>
      <c r="P26" s="2">
        <f>SUMIFS('周排班-纵表'!$I:$I,'周排班-纵表'!$C:$C,$C26,'周排班-纵表'!$G:$G,$G26,'周排班-纵表'!$H:$H,P$1)</f>
        <v/>
      </c>
      <c r="Q26" s="2">
        <f>SUMIFS('周排班-纵表'!$I:$I,'周排班-纵表'!$C:$C,$C26,'周排班-纵表'!$G:$G,$G26,'周排班-纵表'!$H:$H,Q$1)</f>
        <v/>
      </c>
      <c r="R26" s="2">
        <f>SUMIFS('周排班-纵表'!$I:$I,'周排班-纵表'!$C:$C,$C26,'周排班-纵表'!$G:$G,$G26,'周排班-纵表'!$H:$H,R$1)</f>
        <v/>
      </c>
      <c r="S26" s="2">
        <f>SUMIFS('周排班-纵表'!$I:$I,'周排班-纵表'!$C:$C,$C26,'周排班-纵表'!$G:$G,$G26,'周排班-纵表'!$H:$H,S$1)</f>
        <v/>
      </c>
      <c r="T26" s="2">
        <f>SUMIFS('周排班-纵表'!$I:$I,'周排班-纵表'!$C:$C,$C26,'周排班-纵表'!$G:$G,$G26,'周排班-纵表'!$H:$H,T$1)</f>
        <v/>
      </c>
      <c r="U26" s="2">
        <f>SUMIFS('周排班-纵表'!$I:$I,'周排班-纵表'!$C:$C,$C26,'周排班-纵表'!$G:$G,$G26,'周排班-纵表'!$H:$H,U$1)</f>
        <v/>
      </c>
      <c r="V26" s="2">
        <f>SUMIFS('周排班-纵表'!$I:$I,'周排班-纵表'!$C:$C,$C26,'周排班-纵表'!$G:$G,$G26,'周排班-纵表'!$H:$H,V$1)</f>
        <v/>
      </c>
      <c r="W26" s="2">
        <f>SUMIFS('周排班-纵表'!$I:$I,'周排班-纵表'!$C:$C,$C26,'周排班-纵表'!$G:$G,$G26,'周排班-纵表'!$H:$H,W$1)</f>
        <v/>
      </c>
      <c r="X26" s="2">
        <f>SUMIFS('周排班-纵表'!$I:$I,'周排班-纵表'!$C:$C,$C26,'周排班-纵表'!$G:$G,$G26,'周排班-纵表'!$H:$H,X$1)</f>
        <v/>
      </c>
      <c r="Y26" s="2">
        <f>SUMIFS('周排班-纵表'!$I:$I,'周排班-纵表'!$C:$C,$C26,'周排班-纵表'!$G:$G,$G26,'周排班-纵表'!$H:$H,Y$1)</f>
        <v/>
      </c>
      <c r="Z26" s="2">
        <f>SUMIFS('周排班-纵表'!$I:$I,'周排班-纵表'!$C:$C,$C26,'周排班-纵表'!$G:$G,$G26,'周排班-纵表'!$H:$H,Z$1)</f>
        <v/>
      </c>
      <c r="AA26" s="2">
        <f>SUMIFS('周排班-纵表'!$I:$I,'周排班-纵表'!$C:$C,$C26,'周排班-纵表'!$G:$G,$G26,'周排班-纵表'!$H:$H,AA$1)</f>
        <v/>
      </c>
      <c r="AB26" s="2">
        <f>SUMIFS('周排班-纵表'!$I:$I,'周排班-纵表'!$C:$C,$C26,'周排班-纵表'!$G:$G,$G26,'周排班-纵表'!$H:$H,AB$1)</f>
        <v/>
      </c>
      <c r="AC26" s="2">
        <f>SUMIFS('周排班-纵表'!$I:$I,'周排班-纵表'!$C:$C,$C26,'周排班-纵表'!$G:$G,$G26,'周排班-纵表'!$H:$H,AC$1)</f>
        <v/>
      </c>
      <c r="AD26" s="2">
        <f>SUMIFS('周排班-纵表'!$I:$I,'周排班-纵表'!$C:$C,$C26,'周排班-纵表'!$G:$G,$G26,'周排班-纵表'!$H:$H,AD$1)</f>
        <v/>
      </c>
      <c r="AE26" s="2">
        <f>SUMIFS('周排班-纵表'!$I:$I,'周排班-纵表'!$C:$C,$C26,'周排班-纵表'!$G:$G,$G26,'周排班-纵表'!$H:$H,AE$1)</f>
        <v/>
      </c>
      <c r="AF26" s="2">
        <f>SUMIFS('周排班-纵表'!$I:$I,'周排班-纵表'!$C:$C,$C26,'周排班-纵表'!$G:$G,$G26,'周排班-纵表'!$H:$H,AF$1)</f>
        <v/>
      </c>
      <c r="AG26" s="2">
        <f>SUMIFS('周排班-纵表'!$I:$I,'周排班-纵表'!$C:$C,$C26,'周排班-纵表'!$G:$G,$G26,'周排班-纵表'!$H:$H,AG$1)</f>
        <v/>
      </c>
      <c r="AH26" s="2">
        <f>SUMIFS('周排班-纵表'!$I:$I,'周排班-纵表'!$C:$C,$C26,'周排班-纵表'!$G:$G,$G26,'周排班-纵表'!$H:$H,AH$1)</f>
        <v/>
      </c>
      <c r="AI26" s="2">
        <f>SUMIFS('周排班-纵表'!$I:$I,'周排班-纵表'!$C:$C,$C26,'周排班-纵表'!$G:$G,$G26,'周排班-纵表'!$H:$H,AI$1)</f>
        <v/>
      </c>
      <c r="AJ26" s="2">
        <f>SUMIFS('周排班-纵表'!$I:$I,'周排班-纵表'!$C:$C,$C26,'周排班-纵表'!$G:$G,$G26,'周排班-纵表'!$H:$H,AJ$1)</f>
        <v/>
      </c>
      <c r="AK26" s="2">
        <f>SUMIFS('周排班-纵表'!$I:$I,'周排班-纵表'!$C:$C,$C26,'周排班-纵表'!$G:$G,$G26,'周排班-纵表'!$H:$H,AK$1)</f>
        <v/>
      </c>
      <c r="AL26" s="2">
        <f>SUMIFS('周排班-纵表'!$I:$I,'周排班-纵表'!$C:$C,$C26,'周排班-纵表'!$G:$G,$G26,'周排班-纵表'!$H:$H,AL$1)</f>
        <v/>
      </c>
    </row>
    <row r="27">
      <c r="A27" s="2" t="inlineStr">
        <is>
          <t>HK WAM</t>
        </is>
      </c>
      <c r="B27" s="2" t="inlineStr">
        <is>
          <t>SHINKA CAPITAL MANAGEMENT LIMITED</t>
        </is>
      </c>
      <c r="C27" s="2" t="inlineStr">
        <is>
          <t>47129702</t>
        </is>
      </c>
      <c r="D27" s="2" t="inlineStr">
        <is>
          <t>AUD2026-12 Shinka Capital</t>
        </is>
      </c>
      <c r="E27" s="2" t="inlineStr">
        <is>
          <t>Order47129702- 260814001</t>
        </is>
      </c>
      <c r="F27" s="2" t="inlineStr">
        <is>
          <t>47129702- EDC260814001</t>
        </is>
      </c>
      <c r="G27" s="2" t="inlineStr">
        <is>
          <t>Vivi.W.Yang@cn.ey.com</t>
        </is>
      </c>
      <c r="H27" s="2">
        <f>SUMIFS('周排班-纵表'!$I:$I,'周排班-纵表'!$C:$C,$C27,'周排班-纵表'!$G:$G,$G27,'周排班-纵表'!$H:$H,H$1)</f>
        <v/>
      </c>
      <c r="I27" s="2">
        <f>SUMIFS('周排班-纵表'!$I:$I,'周排班-纵表'!$C:$C,$C27,'周排班-纵表'!$G:$G,$G27,'周排班-纵表'!$H:$H,I$1)</f>
        <v/>
      </c>
      <c r="J27" s="2">
        <f>SUMIFS('周排班-纵表'!$I:$I,'周排班-纵表'!$C:$C,$C27,'周排班-纵表'!$G:$G,$G27,'周排班-纵表'!$H:$H,J$1)</f>
        <v/>
      </c>
      <c r="K27" s="2">
        <f>SUMIFS('周排班-纵表'!$I:$I,'周排班-纵表'!$C:$C,$C27,'周排班-纵表'!$G:$G,$G27,'周排班-纵表'!$H:$H,K$1)</f>
        <v/>
      </c>
      <c r="L27" s="2">
        <f>SUMIFS('周排班-纵表'!$I:$I,'周排班-纵表'!$C:$C,$C27,'周排班-纵表'!$G:$G,$G27,'周排班-纵表'!$H:$H,L$1)</f>
        <v/>
      </c>
      <c r="M27" s="2">
        <f>SUMIFS('周排班-纵表'!$I:$I,'周排班-纵表'!$C:$C,$C27,'周排班-纵表'!$G:$G,$G27,'周排班-纵表'!$H:$H,M$1)</f>
        <v/>
      </c>
      <c r="N27" s="2">
        <f>SUMIFS('周排班-纵表'!$I:$I,'周排班-纵表'!$C:$C,$C27,'周排班-纵表'!$G:$G,$G27,'周排班-纵表'!$H:$H,N$1)</f>
        <v/>
      </c>
      <c r="O27" s="2">
        <f>SUMIFS('周排班-纵表'!$I:$I,'周排班-纵表'!$C:$C,$C27,'周排班-纵表'!$G:$G,$G27,'周排班-纵表'!$H:$H,O$1)</f>
        <v/>
      </c>
      <c r="P27" s="2">
        <f>SUMIFS('周排班-纵表'!$I:$I,'周排班-纵表'!$C:$C,$C27,'周排班-纵表'!$G:$G,$G27,'周排班-纵表'!$H:$H,P$1)</f>
        <v/>
      </c>
      <c r="Q27" s="2">
        <f>SUMIFS('周排班-纵表'!$I:$I,'周排班-纵表'!$C:$C,$C27,'周排班-纵表'!$G:$G,$G27,'周排班-纵表'!$H:$H,Q$1)</f>
        <v/>
      </c>
      <c r="R27" s="2">
        <f>SUMIFS('周排班-纵表'!$I:$I,'周排班-纵表'!$C:$C,$C27,'周排班-纵表'!$G:$G,$G27,'周排班-纵表'!$H:$H,R$1)</f>
        <v/>
      </c>
      <c r="S27" s="2">
        <f>SUMIFS('周排班-纵表'!$I:$I,'周排班-纵表'!$C:$C,$C27,'周排班-纵表'!$G:$G,$G27,'周排班-纵表'!$H:$H,S$1)</f>
        <v/>
      </c>
      <c r="T27" s="2">
        <f>SUMIFS('周排班-纵表'!$I:$I,'周排班-纵表'!$C:$C,$C27,'周排班-纵表'!$G:$G,$G27,'周排班-纵表'!$H:$H,T$1)</f>
        <v/>
      </c>
      <c r="U27" s="2">
        <f>SUMIFS('周排班-纵表'!$I:$I,'周排班-纵表'!$C:$C,$C27,'周排班-纵表'!$G:$G,$G27,'周排班-纵表'!$H:$H,U$1)</f>
        <v/>
      </c>
      <c r="V27" s="2">
        <f>SUMIFS('周排班-纵表'!$I:$I,'周排班-纵表'!$C:$C,$C27,'周排班-纵表'!$G:$G,$G27,'周排班-纵表'!$H:$H,V$1)</f>
        <v/>
      </c>
      <c r="W27" s="2">
        <f>SUMIFS('周排班-纵表'!$I:$I,'周排班-纵表'!$C:$C,$C27,'周排班-纵表'!$G:$G,$G27,'周排班-纵表'!$H:$H,W$1)</f>
        <v/>
      </c>
      <c r="X27" s="2">
        <f>SUMIFS('周排班-纵表'!$I:$I,'周排班-纵表'!$C:$C,$C27,'周排班-纵表'!$G:$G,$G27,'周排班-纵表'!$H:$H,X$1)</f>
        <v/>
      </c>
      <c r="Y27" s="2">
        <f>SUMIFS('周排班-纵表'!$I:$I,'周排班-纵表'!$C:$C,$C27,'周排班-纵表'!$G:$G,$G27,'周排班-纵表'!$H:$H,Y$1)</f>
        <v/>
      </c>
      <c r="Z27" s="2">
        <f>SUMIFS('周排班-纵表'!$I:$I,'周排班-纵表'!$C:$C,$C27,'周排班-纵表'!$G:$G,$G27,'周排班-纵表'!$H:$H,Z$1)</f>
        <v/>
      </c>
      <c r="AA27" s="2">
        <f>SUMIFS('周排班-纵表'!$I:$I,'周排班-纵表'!$C:$C,$C27,'周排班-纵表'!$G:$G,$G27,'周排班-纵表'!$H:$H,AA$1)</f>
        <v/>
      </c>
      <c r="AB27" s="2">
        <f>SUMIFS('周排班-纵表'!$I:$I,'周排班-纵表'!$C:$C,$C27,'周排班-纵表'!$G:$G,$G27,'周排班-纵表'!$H:$H,AB$1)</f>
        <v/>
      </c>
      <c r="AC27" s="2">
        <f>SUMIFS('周排班-纵表'!$I:$I,'周排班-纵表'!$C:$C,$C27,'周排班-纵表'!$G:$G,$G27,'周排班-纵表'!$H:$H,AC$1)</f>
        <v/>
      </c>
      <c r="AD27" s="2">
        <f>SUMIFS('周排班-纵表'!$I:$I,'周排班-纵表'!$C:$C,$C27,'周排班-纵表'!$G:$G,$G27,'周排班-纵表'!$H:$H,AD$1)</f>
        <v/>
      </c>
      <c r="AE27" s="2">
        <f>SUMIFS('周排班-纵表'!$I:$I,'周排班-纵表'!$C:$C,$C27,'周排班-纵表'!$G:$G,$G27,'周排班-纵表'!$H:$H,AE$1)</f>
        <v/>
      </c>
      <c r="AF27" s="2">
        <f>SUMIFS('周排班-纵表'!$I:$I,'周排班-纵表'!$C:$C,$C27,'周排班-纵表'!$G:$G,$G27,'周排班-纵表'!$H:$H,AF$1)</f>
        <v/>
      </c>
      <c r="AG27" s="2">
        <f>SUMIFS('周排班-纵表'!$I:$I,'周排班-纵表'!$C:$C,$C27,'周排班-纵表'!$G:$G,$G27,'周排班-纵表'!$H:$H,AG$1)</f>
        <v/>
      </c>
      <c r="AH27" s="2">
        <f>SUMIFS('周排班-纵表'!$I:$I,'周排班-纵表'!$C:$C,$C27,'周排班-纵表'!$G:$G,$G27,'周排班-纵表'!$H:$H,AH$1)</f>
        <v/>
      </c>
      <c r="AI27" s="2">
        <f>SUMIFS('周排班-纵表'!$I:$I,'周排班-纵表'!$C:$C,$C27,'周排班-纵表'!$G:$G,$G27,'周排班-纵表'!$H:$H,AI$1)</f>
        <v/>
      </c>
      <c r="AJ27" s="2">
        <f>SUMIFS('周排班-纵表'!$I:$I,'周排班-纵表'!$C:$C,$C27,'周排班-纵表'!$G:$G,$G27,'周排班-纵表'!$H:$H,AJ$1)</f>
        <v/>
      </c>
      <c r="AK27" s="2">
        <f>SUMIFS('周排班-纵表'!$I:$I,'周排班-纵表'!$C:$C,$C27,'周排班-纵表'!$G:$G,$G27,'周排班-纵表'!$H:$H,AK$1)</f>
        <v/>
      </c>
      <c r="AL27" s="2">
        <f>SUMIFS('周排班-纵表'!$I:$I,'周排班-纵表'!$C:$C,$C27,'周排班-纵表'!$G:$G,$G27,'周排班-纵表'!$H:$H,AL$1)</f>
        <v/>
      </c>
    </row>
    <row r="28">
      <c r="A28" s="2" t="inlineStr">
        <is>
          <t>HK WAM</t>
        </is>
      </c>
      <c r="B28" s="2" t="inlineStr">
        <is>
          <t>Boyu Capital Advisory Co. Limited</t>
        </is>
      </c>
      <c r="C28" s="2" t="inlineStr">
        <is>
          <t>47129715</t>
        </is>
      </c>
      <c r="D28" s="2" t="inlineStr">
        <is>
          <t>AUD2026-12 BOYU CAPITAL FUND</t>
        </is>
      </c>
      <c r="E28" s="2" t="inlineStr">
        <is>
          <t>Order47129715- 260814001</t>
        </is>
      </c>
      <c r="F28" s="2" t="inlineStr">
        <is>
          <t>47129715- EDC260814001</t>
        </is>
      </c>
      <c r="G28" s="2" t="inlineStr">
        <is>
          <t>Luna.CD.Zhang@cn.ey.com</t>
        </is>
      </c>
      <c r="H28" s="2">
        <f>SUMIFS('周排班-纵表'!$I:$I,'周排班-纵表'!$C:$C,$C28,'周排班-纵表'!$G:$G,$G28,'周排班-纵表'!$H:$H,H$1)</f>
        <v/>
      </c>
      <c r="I28" s="2">
        <f>SUMIFS('周排班-纵表'!$I:$I,'周排班-纵表'!$C:$C,$C28,'周排班-纵表'!$G:$G,$G28,'周排班-纵表'!$H:$H,I$1)</f>
        <v/>
      </c>
      <c r="J28" s="2">
        <f>SUMIFS('周排班-纵表'!$I:$I,'周排班-纵表'!$C:$C,$C28,'周排班-纵表'!$G:$G,$G28,'周排班-纵表'!$H:$H,J$1)</f>
        <v/>
      </c>
      <c r="K28" s="2">
        <f>SUMIFS('周排班-纵表'!$I:$I,'周排班-纵表'!$C:$C,$C28,'周排班-纵表'!$G:$G,$G28,'周排班-纵表'!$H:$H,K$1)</f>
        <v/>
      </c>
      <c r="L28" s="2">
        <f>SUMIFS('周排班-纵表'!$I:$I,'周排班-纵表'!$C:$C,$C28,'周排班-纵表'!$G:$G,$G28,'周排班-纵表'!$H:$H,L$1)</f>
        <v/>
      </c>
      <c r="M28" s="2">
        <f>SUMIFS('周排班-纵表'!$I:$I,'周排班-纵表'!$C:$C,$C28,'周排班-纵表'!$G:$G,$G28,'周排班-纵表'!$H:$H,M$1)</f>
        <v/>
      </c>
      <c r="N28" s="2">
        <f>SUMIFS('周排班-纵表'!$I:$I,'周排班-纵表'!$C:$C,$C28,'周排班-纵表'!$G:$G,$G28,'周排班-纵表'!$H:$H,N$1)</f>
        <v/>
      </c>
      <c r="O28" s="2">
        <f>SUMIFS('周排班-纵表'!$I:$I,'周排班-纵表'!$C:$C,$C28,'周排班-纵表'!$G:$G,$G28,'周排班-纵表'!$H:$H,O$1)</f>
        <v/>
      </c>
      <c r="P28" s="2">
        <f>SUMIFS('周排班-纵表'!$I:$I,'周排班-纵表'!$C:$C,$C28,'周排班-纵表'!$G:$G,$G28,'周排班-纵表'!$H:$H,P$1)</f>
        <v/>
      </c>
      <c r="Q28" s="2">
        <f>SUMIFS('周排班-纵表'!$I:$I,'周排班-纵表'!$C:$C,$C28,'周排班-纵表'!$G:$G,$G28,'周排班-纵表'!$H:$H,Q$1)</f>
        <v/>
      </c>
      <c r="R28" s="2">
        <f>SUMIFS('周排班-纵表'!$I:$I,'周排班-纵表'!$C:$C,$C28,'周排班-纵表'!$G:$G,$G28,'周排班-纵表'!$H:$H,R$1)</f>
        <v/>
      </c>
      <c r="S28" s="2">
        <f>SUMIFS('周排班-纵表'!$I:$I,'周排班-纵表'!$C:$C,$C28,'周排班-纵表'!$G:$G,$G28,'周排班-纵表'!$H:$H,S$1)</f>
        <v/>
      </c>
      <c r="T28" s="2">
        <f>SUMIFS('周排班-纵表'!$I:$I,'周排班-纵表'!$C:$C,$C28,'周排班-纵表'!$G:$G,$G28,'周排班-纵表'!$H:$H,T$1)</f>
        <v/>
      </c>
      <c r="U28" s="2">
        <f>SUMIFS('周排班-纵表'!$I:$I,'周排班-纵表'!$C:$C,$C28,'周排班-纵表'!$G:$G,$G28,'周排班-纵表'!$H:$H,U$1)</f>
        <v/>
      </c>
      <c r="V28" s="2">
        <f>SUMIFS('周排班-纵表'!$I:$I,'周排班-纵表'!$C:$C,$C28,'周排班-纵表'!$G:$G,$G28,'周排班-纵表'!$H:$H,V$1)</f>
        <v/>
      </c>
      <c r="W28" s="2">
        <f>SUMIFS('周排班-纵表'!$I:$I,'周排班-纵表'!$C:$C,$C28,'周排班-纵表'!$G:$G,$G28,'周排班-纵表'!$H:$H,W$1)</f>
        <v/>
      </c>
      <c r="X28" s="2">
        <f>SUMIFS('周排班-纵表'!$I:$I,'周排班-纵表'!$C:$C,$C28,'周排班-纵表'!$G:$G,$G28,'周排班-纵表'!$H:$H,X$1)</f>
        <v/>
      </c>
      <c r="Y28" s="2">
        <f>SUMIFS('周排班-纵表'!$I:$I,'周排班-纵表'!$C:$C,$C28,'周排班-纵表'!$G:$G,$G28,'周排班-纵表'!$H:$H,Y$1)</f>
        <v/>
      </c>
      <c r="Z28" s="2">
        <f>SUMIFS('周排班-纵表'!$I:$I,'周排班-纵表'!$C:$C,$C28,'周排班-纵表'!$G:$G,$G28,'周排班-纵表'!$H:$H,Z$1)</f>
        <v/>
      </c>
      <c r="AA28" s="2">
        <f>SUMIFS('周排班-纵表'!$I:$I,'周排班-纵表'!$C:$C,$C28,'周排班-纵表'!$G:$G,$G28,'周排班-纵表'!$H:$H,AA$1)</f>
        <v/>
      </c>
      <c r="AB28" s="2">
        <f>SUMIFS('周排班-纵表'!$I:$I,'周排班-纵表'!$C:$C,$C28,'周排班-纵表'!$G:$G,$G28,'周排班-纵表'!$H:$H,AB$1)</f>
        <v/>
      </c>
      <c r="AC28" s="2">
        <f>SUMIFS('周排班-纵表'!$I:$I,'周排班-纵表'!$C:$C,$C28,'周排班-纵表'!$G:$G,$G28,'周排班-纵表'!$H:$H,AC$1)</f>
        <v/>
      </c>
      <c r="AD28" s="2">
        <f>SUMIFS('周排班-纵表'!$I:$I,'周排班-纵表'!$C:$C,$C28,'周排班-纵表'!$G:$G,$G28,'周排班-纵表'!$H:$H,AD$1)</f>
        <v/>
      </c>
      <c r="AE28" s="2">
        <f>SUMIFS('周排班-纵表'!$I:$I,'周排班-纵表'!$C:$C,$C28,'周排班-纵表'!$G:$G,$G28,'周排班-纵表'!$H:$H,AE$1)</f>
        <v/>
      </c>
      <c r="AF28" s="2">
        <f>SUMIFS('周排班-纵表'!$I:$I,'周排班-纵表'!$C:$C,$C28,'周排班-纵表'!$G:$G,$G28,'周排班-纵表'!$H:$H,AF$1)</f>
        <v/>
      </c>
      <c r="AG28" s="2">
        <f>SUMIFS('周排班-纵表'!$I:$I,'周排班-纵表'!$C:$C,$C28,'周排班-纵表'!$G:$G,$G28,'周排班-纵表'!$H:$H,AG$1)</f>
        <v/>
      </c>
      <c r="AH28" s="2">
        <f>SUMIFS('周排班-纵表'!$I:$I,'周排班-纵表'!$C:$C,$C28,'周排班-纵表'!$G:$G,$G28,'周排班-纵表'!$H:$H,AH$1)</f>
        <v/>
      </c>
      <c r="AI28" s="2">
        <f>SUMIFS('周排班-纵表'!$I:$I,'周排班-纵表'!$C:$C,$C28,'周排班-纵表'!$G:$G,$G28,'周排班-纵表'!$H:$H,AI$1)</f>
        <v/>
      </c>
      <c r="AJ28" s="2">
        <f>SUMIFS('周排班-纵表'!$I:$I,'周排班-纵表'!$C:$C,$C28,'周排班-纵表'!$G:$G,$G28,'周排班-纵表'!$H:$H,AJ$1)</f>
        <v/>
      </c>
      <c r="AK28" s="2">
        <f>SUMIFS('周排班-纵表'!$I:$I,'周排班-纵表'!$C:$C,$C28,'周排班-纵表'!$G:$G,$G28,'周排班-纵表'!$H:$H,AK$1)</f>
        <v/>
      </c>
      <c r="AL28" s="2">
        <f>SUMIFS('周排班-纵表'!$I:$I,'周排班-纵表'!$C:$C,$C28,'周排班-纵表'!$G:$G,$G28,'周排班-纵表'!$H:$H,AL$1)</f>
        <v/>
      </c>
    </row>
    <row r="29">
      <c r="A29" s="2" t="inlineStr">
        <is>
          <t>HK WAM</t>
        </is>
      </c>
      <c r="B29" s="2" t="inlineStr">
        <is>
          <t>Boyu Capital Advisory Co. Limited</t>
        </is>
      </c>
      <c r="C29" s="2" t="inlineStr">
        <is>
          <t>47129715</t>
        </is>
      </c>
      <c r="D29" s="2" t="inlineStr">
        <is>
          <t>AUD2026-12 BOYU CAPITAL FUND</t>
        </is>
      </c>
      <c r="E29" s="2" t="inlineStr">
        <is>
          <t>Order47129715- 260814001</t>
        </is>
      </c>
      <c r="F29" s="2" t="inlineStr">
        <is>
          <t>47129715- EDC260814001</t>
        </is>
      </c>
      <c r="G29" s="2" t="inlineStr">
        <is>
          <t>Marsh.Ma@cn.ey.com</t>
        </is>
      </c>
      <c r="H29" s="2">
        <f>SUMIFS('周排班-纵表'!$I:$I,'周排班-纵表'!$C:$C,$C29,'周排班-纵表'!$G:$G,$G29,'周排班-纵表'!$H:$H,H$1)</f>
        <v/>
      </c>
      <c r="I29" s="2">
        <f>SUMIFS('周排班-纵表'!$I:$I,'周排班-纵表'!$C:$C,$C29,'周排班-纵表'!$G:$G,$G29,'周排班-纵表'!$H:$H,I$1)</f>
        <v/>
      </c>
      <c r="J29" s="2">
        <f>SUMIFS('周排班-纵表'!$I:$I,'周排班-纵表'!$C:$C,$C29,'周排班-纵表'!$G:$G,$G29,'周排班-纵表'!$H:$H,J$1)</f>
        <v/>
      </c>
      <c r="K29" s="2">
        <f>SUMIFS('周排班-纵表'!$I:$I,'周排班-纵表'!$C:$C,$C29,'周排班-纵表'!$G:$G,$G29,'周排班-纵表'!$H:$H,K$1)</f>
        <v/>
      </c>
      <c r="L29" s="2">
        <f>SUMIFS('周排班-纵表'!$I:$I,'周排班-纵表'!$C:$C,$C29,'周排班-纵表'!$G:$G,$G29,'周排班-纵表'!$H:$H,L$1)</f>
        <v/>
      </c>
      <c r="M29" s="2">
        <f>SUMIFS('周排班-纵表'!$I:$I,'周排班-纵表'!$C:$C,$C29,'周排班-纵表'!$G:$G,$G29,'周排班-纵表'!$H:$H,M$1)</f>
        <v/>
      </c>
      <c r="N29" s="2">
        <f>SUMIFS('周排班-纵表'!$I:$I,'周排班-纵表'!$C:$C,$C29,'周排班-纵表'!$G:$G,$G29,'周排班-纵表'!$H:$H,N$1)</f>
        <v/>
      </c>
      <c r="O29" s="2">
        <f>SUMIFS('周排班-纵表'!$I:$I,'周排班-纵表'!$C:$C,$C29,'周排班-纵表'!$G:$G,$G29,'周排班-纵表'!$H:$H,O$1)</f>
        <v/>
      </c>
      <c r="P29" s="2">
        <f>SUMIFS('周排班-纵表'!$I:$I,'周排班-纵表'!$C:$C,$C29,'周排班-纵表'!$G:$G,$G29,'周排班-纵表'!$H:$H,P$1)</f>
        <v/>
      </c>
      <c r="Q29" s="2">
        <f>SUMIFS('周排班-纵表'!$I:$I,'周排班-纵表'!$C:$C,$C29,'周排班-纵表'!$G:$G,$G29,'周排班-纵表'!$H:$H,Q$1)</f>
        <v/>
      </c>
      <c r="R29" s="2">
        <f>SUMIFS('周排班-纵表'!$I:$I,'周排班-纵表'!$C:$C,$C29,'周排班-纵表'!$G:$G,$G29,'周排班-纵表'!$H:$H,R$1)</f>
        <v/>
      </c>
      <c r="S29" s="2">
        <f>SUMIFS('周排班-纵表'!$I:$I,'周排班-纵表'!$C:$C,$C29,'周排班-纵表'!$G:$G,$G29,'周排班-纵表'!$H:$H,S$1)</f>
        <v/>
      </c>
      <c r="T29" s="2">
        <f>SUMIFS('周排班-纵表'!$I:$I,'周排班-纵表'!$C:$C,$C29,'周排班-纵表'!$G:$G,$G29,'周排班-纵表'!$H:$H,T$1)</f>
        <v/>
      </c>
      <c r="U29" s="2">
        <f>SUMIFS('周排班-纵表'!$I:$I,'周排班-纵表'!$C:$C,$C29,'周排班-纵表'!$G:$G,$G29,'周排班-纵表'!$H:$H,U$1)</f>
        <v/>
      </c>
      <c r="V29" s="2">
        <f>SUMIFS('周排班-纵表'!$I:$I,'周排班-纵表'!$C:$C,$C29,'周排班-纵表'!$G:$G,$G29,'周排班-纵表'!$H:$H,V$1)</f>
        <v/>
      </c>
      <c r="W29" s="2">
        <f>SUMIFS('周排班-纵表'!$I:$I,'周排班-纵表'!$C:$C,$C29,'周排班-纵表'!$G:$G,$G29,'周排班-纵表'!$H:$H,W$1)</f>
        <v/>
      </c>
      <c r="X29" s="2">
        <f>SUMIFS('周排班-纵表'!$I:$I,'周排班-纵表'!$C:$C,$C29,'周排班-纵表'!$G:$G,$G29,'周排班-纵表'!$H:$H,X$1)</f>
        <v/>
      </c>
      <c r="Y29" s="2">
        <f>SUMIFS('周排班-纵表'!$I:$I,'周排班-纵表'!$C:$C,$C29,'周排班-纵表'!$G:$G,$G29,'周排班-纵表'!$H:$H,Y$1)</f>
        <v/>
      </c>
      <c r="Z29" s="2">
        <f>SUMIFS('周排班-纵表'!$I:$I,'周排班-纵表'!$C:$C,$C29,'周排班-纵表'!$G:$G,$G29,'周排班-纵表'!$H:$H,Z$1)</f>
        <v/>
      </c>
      <c r="AA29" s="2">
        <f>SUMIFS('周排班-纵表'!$I:$I,'周排班-纵表'!$C:$C,$C29,'周排班-纵表'!$G:$G,$G29,'周排班-纵表'!$H:$H,AA$1)</f>
        <v/>
      </c>
      <c r="AB29" s="2">
        <f>SUMIFS('周排班-纵表'!$I:$I,'周排班-纵表'!$C:$C,$C29,'周排班-纵表'!$G:$G,$G29,'周排班-纵表'!$H:$H,AB$1)</f>
        <v/>
      </c>
      <c r="AC29" s="2">
        <f>SUMIFS('周排班-纵表'!$I:$I,'周排班-纵表'!$C:$C,$C29,'周排班-纵表'!$G:$G,$G29,'周排班-纵表'!$H:$H,AC$1)</f>
        <v/>
      </c>
      <c r="AD29" s="2">
        <f>SUMIFS('周排班-纵表'!$I:$I,'周排班-纵表'!$C:$C,$C29,'周排班-纵表'!$G:$G,$G29,'周排班-纵表'!$H:$H,AD$1)</f>
        <v/>
      </c>
      <c r="AE29" s="2">
        <f>SUMIFS('周排班-纵表'!$I:$I,'周排班-纵表'!$C:$C,$C29,'周排班-纵表'!$G:$G,$G29,'周排班-纵表'!$H:$H,AE$1)</f>
        <v/>
      </c>
      <c r="AF29" s="2">
        <f>SUMIFS('周排班-纵表'!$I:$I,'周排班-纵表'!$C:$C,$C29,'周排班-纵表'!$G:$G,$G29,'周排班-纵表'!$H:$H,AF$1)</f>
        <v/>
      </c>
      <c r="AG29" s="2">
        <f>SUMIFS('周排班-纵表'!$I:$I,'周排班-纵表'!$C:$C,$C29,'周排班-纵表'!$G:$G,$G29,'周排班-纵表'!$H:$H,AG$1)</f>
        <v/>
      </c>
      <c r="AH29" s="2">
        <f>SUMIFS('周排班-纵表'!$I:$I,'周排班-纵表'!$C:$C,$C29,'周排班-纵表'!$G:$G,$G29,'周排班-纵表'!$H:$H,AH$1)</f>
        <v/>
      </c>
      <c r="AI29" s="2">
        <f>SUMIFS('周排班-纵表'!$I:$I,'周排班-纵表'!$C:$C,$C29,'周排班-纵表'!$G:$G,$G29,'周排班-纵表'!$H:$H,AI$1)</f>
        <v/>
      </c>
      <c r="AJ29" s="2">
        <f>SUMIFS('周排班-纵表'!$I:$I,'周排班-纵表'!$C:$C,$C29,'周排班-纵表'!$G:$G,$G29,'周排班-纵表'!$H:$H,AJ$1)</f>
        <v/>
      </c>
      <c r="AK29" s="2">
        <f>SUMIFS('周排班-纵表'!$I:$I,'周排班-纵表'!$C:$C,$C29,'周排班-纵表'!$G:$G,$G29,'周排班-纵表'!$H:$H,AK$1)</f>
        <v/>
      </c>
      <c r="AL29" s="2">
        <f>SUMIFS('周排班-纵表'!$I:$I,'周排班-纵表'!$C:$C,$C29,'周排班-纵表'!$G:$G,$G29,'周排班-纵表'!$H:$H,AL$1)</f>
        <v/>
      </c>
    </row>
    <row r="30">
      <c r="A30" s="2" t="inlineStr">
        <is>
          <t>HK WAM</t>
        </is>
      </c>
      <c r="B30" s="2" t="inlineStr">
        <is>
          <t>Boyu Capital Advisory Co. Limited</t>
        </is>
      </c>
      <c r="C30" s="2" t="inlineStr">
        <is>
          <t>47129715</t>
        </is>
      </c>
      <c r="D30" s="2" t="inlineStr">
        <is>
          <t>AUD2026-12 BOYU CAPITAL FUND</t>
        </is>
      </c>
      <c r="E30" s="2" t="inlineStr">
        <is>
          <t>Order47129715- 260814001</t>
        </is>
      </c>
      <c r="F30" s="2" t="inlineStr">
        <is>
          <t>47129715- EDC260814001</t>
        </is>
      </c>
      <c r="G30" s="2" t="inlineStr">
        <is>
          <t>Vivi.W.Yang@cn.ey.com</t>
        </is>
      </c>
      <c r="H30" s="2">
        <f>SUMIFS('周排班-纵表'!$I:$I,'周排班-纵表'!$C:$C,$C30,'周排班-纵表'!$G:$G,$G30,'周排班-纵表'!$H:$H,H$1)</f>
        <v/>
      </c>
      <c r="I30" s="2">
        <f>SUMIFS('周排班-纵表'!$I:$I,'周排班-纵表'!$C:$C,$C30,'周排班-纵表'!$G:$G,$G30,'周排班-纵表'!$H:$H,I$1)</f>
        <v/>
      </c>
      <c r="J30" s="2">
        <f>SUMIFS('周排班-纵表'!$I:$I,'周排班-纵表'!$C:$C,$C30,'周排班-纵表'!$G:$G,$G30,'周排班-纵表'!$H:$H,J$1)</f>
        <v/>
      </c>
      <c r="K30" s="2">
        <f>SUMIFS('周排班-纵表'!$I:$I,'周排班-纵表'!$C:$C,$C30,'周排班-纵表'!$G:$G,$G30,'周排班-纵表'!$H:$H,K$1)</f>
        <v/>
      </c>
      <c r="L30" s="2">
        <f>SUMIFS('周排班-纵表'!$I:$I,'周排班-纵表'!$C:$C,$C30,'周排班-纵表'!$G:$G,$G30,'周排班-纵表'!$H:$H,L$1)</f>
        <v/>
      </c>
      <c r="M30" s="2">
        <f>SUMIFS('周排班-纵表'!$I:$I,'周排班-纵表'!$C:$C,$C30,'周排班-纵表'!$G:$G,$G30,'周排班-纵表'!$H:$H,M$1)</f>
        <v/>
      </c>
      <c r="N30" s="2">
        <f>SUMIFS('周排班-纵表'!$I:$I,'周排班-纵表'!$C:$C,$C30,'周排班-纵表'!$G:$G,$G30,'周排班-纵表'!$H:$H,N$1)</f>
        <v/>
      </c>
      <c r="O30" s="2">
        <f>SUMIFS('周排班-纵表'!$I:$I,'周排班-纵表'!$C:$C,$C30,'周排班-纵表'!$G:$G,$G30,'周排班-纵表'!$H:$H,O$1)</f>
        <v/>
      </c>
      <c r="P30" s="2">
        <f>SUMIFS('周排班-纵表'!$I:$I,'周排班-纵表'!$C:$C,$C30,'周排班-纵表'!$G:$G,$G30,'周排班-纵表'!$H:$H,P$1)</f>
        <v/>
      </c>
      <c r="Q30" s="2">
        <f>SUMIFS('周排班-纵表'!$I:$I,'周排班-纵表'!$C:$C,$C30,'周排班-纵表'!$G:$G,$G30,'周排班-纵表'!$H:$H,Q$1)</f>
        <v/>
      </c>
      <c r="R30" s="2">
        <f>SUMIFS('周排班-纵表'!$I:$I,'周排班-纵表'!$C:$C,$C30,'周排班-纵表'!$G:$G,$G30,'周排班-纵表'!$H:$H,R$1)</f>
        <v/>
      </c>
      <c r="S30" s="2">
        <f>SUMIFS('周排班-纵表'!$I:$I,'周排班-纵表'!$C:$C,$C30,'周排班-纵表'!$G:$G,$G30,'周排班-纵表'!$H:$H,S$1)</f>
        <v/>
      </c>
      <c r="T30" s="2">
        <f>SUMIFS('周排班-纵表'!$I:$I,'周排班-纵表'!$C:$C,$C30,'周排班-纵表'!$G:$G,$G30,'周排班-纵表'!$H:$H,T$1)</f>
        <v/>
      </c>
      <c r="U30" s="2">
        <f>SUMIFS('周排班-纵表'!$I:$I,'周排班-纵表'!$C:$C,$C30,'周排班-纵表'!$G:$G,$G30,'周排班-纵表'!$H:$H,U$1)</f>
        <v/>
      </c>
      <c r="V30" s="2">
        <f>SUMIFS('周排班-纵表'!$I:$I,'周排班-纵表'!$C:$C,$C30,'周排班-纵表'!$G:$G,$G30,'周排班-纵表'!$H:$H,V$1)</f>
        <v/>
      </c>
      <c r="W30" s="2">
        <f>SUMIFS('周排班-纵表'!$I:$I,'周排班-纵表'!$C:$C,$C30,'周排班-纵表'!$G:$G,$G30,'周排班-纵表'!$H:$H,W$1)</f>
        <v/>
      </c>
      <c r="X30" s="2">
        <f>SUMIFS('周排班-纵表'!$I:$I,'周排班-纵表'!$C:$C,$C30,'周排班-纵表'!$G:$G,$G30,'周排班-纵表'!$H:$H,X$1)</f>
        <v/>
      </c>
      <c r="Y30" s="2">
        <f>SUMIFS('周排班-纵表'!$I:$I,'周排班-纵表'!$C:$C,$C30,'周排班-纵表'!$G:$G,$G30,'周排班-纵表'!$H:$H,Y$1)</f>
        <v/>
      </c>
      <c r="Z30" s="2">
        <f>SUMIFS('周排班-纵表'!$I:$I,'周排班-纵表'!$C:$C,$C30,'周排班-纵表'!$G:$G,$G30,'周排班-纵表'!$H:$H,Z$1)</f>
        <v/>
      </c>
      <c r="AA30" s="2">
        <f>SUMIFS('周排班-纵表'!$I:$I,'周排班-纵表'!$C:$C,$C30,'周排班-纵表'!$G:$G,$G30,'周排班-纵表'!$H:$H,AA$1)</f>
        <v/>
      </c>
      <c r="AB30" s="2">
        <f>SUMIFS('周排班-纵表'!$I:$I,'周排班-纵表'!$C:$C,$C30,'周排班-纵表'!$G:$G,$G30,'周排班-纵表'!$H:$H,AB$1)</f>
        <v/>
      </c>
      <c r="AC30" s="2">
        <f>SUMIFS('周排班-纵表'!$I:$I,'周排班-纵表'!$C:$C,$C30,'周排班-纵表'!$G:$G,$G30,'周排班-纵表'!$H:$H,AC$1)</f>
        <v/>
      </c>
      <c r="AD30" s="2">
        <f>SUMIFS('周排班-纵表'!$I:$I,'周排班-纵表'!$C:$C,$C30,'周排班-纵表'!$G:$G,$G30,'周排班-纵表'!$H:$H,AD$1)</f>
        <v/>
      </c>
      <c r="AE30" s="2">
        <f>SUMIFS('周排班-纵表'!$I:$I,'周排班-纵表'!$C:$C,$C30,'周排班-纵表'!$G:$G,$G30,'周排班-纵表'!$H:$H,AE$1)</f>
        <v/>
      </c>
      <c r="AF30" s="2">
        <f>SUMIFS('周排班-纵表'!$I:$I,'周排班-纵表'!$C:$C,$C30,'周排班-纵表'!$G:$G,$G30,'周排班-纵表'!$H:$H,AF$1)</f>
        <v/>
      </c>
      <c r="AG30" s="2">
        <f>SUMIFS('周排班-纵表'!$I:$I,'周排班-纵表'!$C:$C,$C30,'周排班-纵表'!$G:$G,$G30,'周排班-纵表'!$H:$H,AG$1)</f>
        <v/>
      </c>
      <c r="AH30" s="2">
        <f>SUMIFS('周排班-纵表'!$I:$I,'周排班-纵表'!$C:$C,$C30,'周排班-纵表'!$G:$G,$G30,'周排班-纵表'!$H:$H,AH$1)</f>
        <v/>
      </c>
      <c r="AI30" s="2">
        <f>SUMIFS('周排班-纵表'!$I:$I,'周排班-纵表'!$C:$C,$C30,'周排班-纵表'!$G:$G,$G30,'周排班-纵表'!$H:$H,AI$1)</f>
        <v/>
      </c>
      <c r="AJ30" s="2">
        <f>SUMIFS('周排班-纵表'!$I:$I,'周排班-纵表'!$C:$C,$C30,'周排班-纵表'!$G:$G,$G30,'周排班-纵表'!$H:$H,AJ$1)</f>
        <v/>
      </c>
      <c r="AK30" s="2">
        <f>SUMIFS('周排班-纵表'!$I:$I,'周排班-纵表'!$C:$C,$C30,'周排班-纵表'!$G:$G,$G30,'周排班-纵表'!$H:$H,AK$1)</f>
        <v/>
      </c>
      <c r="AL30" s="2">
        <f>SUMIFS('周排班-纵表'!$I:$I,'周排班-纵表'!$C:$C,$C30,'周排班-纵表'!$G:$G,$G30,'周排班-纵表'!$H:$H,AL$1)</f>
        <v/>
      </c>
    </row>
    <row r="31">
      <c r="A31" s="2" t="inlineStr">
        <is>
          <t>ICBC</t>
        </is>
      </c>
      <c r="B31" s="2" t="inlineStr">
        <is>
          <t>Industrial And Commercial Bank of China (Macau) Limited</t>
        </is>
      </c>
      <c r="C31" s="2" t="inlineStr">
        <is>
          <t>47129069</t>
        </is>
      </c>
      <c r="D31" s="2" t="inlineStr">
        <is>
          <t>AUD2026-12 ICBCM</t>
        </is>
      </c>
      <c r="E31" s="2" t="inlineStr">
        <is>
          <t>Order47129069- 260731001</t>
        </is>
      </c>
      <c r="F31" s="2" t="inlineStr">
        <is>
          <t>47129069- EDC260731001</t>
        </is>
      </c>
      <c r="G31" s="2" t="inlineStr">
        <is>
          <t>InternA</t>
        </is>
      </c>
      <c r="H31" s="2">
        <f>SUMIFS('周排班-纵表'!$I:$I,'周排班-纵表'!$C:$C,$C31,'周排班-纵表'!$G:$G,$G31,'周排班-纵表'!$H:$H,H$1)</f>
        <v/>
      </c>
      <c r="I31" s="2">
        <f>SUMIFS('周排班-纵表'!$I:$I,'周排班-纵表'!$C:$C,$C31,'周排班-纵表'!$G:$G,$G31,'周排班-纵表'!$H:$H,I$1)</f>
        <v/>
      </c>
      <c r="J31" s="2">
        <f>SUMIFS('周排班-纵表'!$I:$I,'周排班-纵表'!$C:$C,$C31,'周排班-纵表'!$G:$G,$G31,'周排班-纵表'!$H:$H,J$1)</f>
        <v/>
      </c>
      <c r="K31" s="2">
        <f>SUMIFS('周排班-纵表'!$I:$I,'周排班-纵表'!$C:$C,$C31,'周排班-纵表'!$G:$G,$G31,'周排班-纵表'!$H:$H,K$1)</f>
        <v/>
      </c>
      <c r="L31" s="2">
        <f>SUMIFS('周排班-纵表'!$I:$I,'周排班-纵表'!$C:$C,$C31,'周排班-纵表'!$G:$G,$G31,'周排班-纵表'!$H:$H,L$1)</f>
        <v/>
      </c>
      <c r="M31" s="2">
        <f>SUMIFS('周排班-纵表'!$I:$I,'周排班-纵表'!$C:$C,$C31,'周排班-纵表'!$G:$G,$G31,'周排班-纵表'!$H:$H,M$1)</f>
        <v/>
      </c>
      <c r="N31" s="2">
        <f>SUMIFS('周排班-纵表'!$I:$I,'周排班-纵表'!$C:$C,$C31,'周排班-纵表'!$G:$G,$G31,'周排班-纵表'!$H:$H,N$1)</f>
        <v/>
      </c>
      <c r="O31" s="2">
        <f>SUMIFS('周排班-纵表'!$I:$I,'周排班-纵表'!$C:$C,$C31,'周排班-纵表'!$G:$G,$G31,'周排班-纵表'!$H:$H,O$1)</f>
        <v/>
      </c>
      <c r="P31" s="2">
        <f>SUMIFS('周排班-纵表'!$I:$I,'周排班-纵表'!$C:$C,$C31,'周排班-纵表'!$G:$G,$G31,'周排班-纵表'!$H:$H,P$1)</f>
        <v/>
      </c>
      <c r="Q31" s="2">
        <f>SUMIFS('周排班-纵表'!$I:$I,'周排班-纵表'!$C:$C,$C31,'周排班-纵表'!$G:$G,$G31,'周排班-纵表'!$H:$H,Q$1)</f>
        <v/>
      </c>
      <c r="R31" s="2">
        <f>SUMIFS('周排班-纵表'!$I:$I,'周排班-纵表'!$C:$C,$C31,'周排班-纵表'!$G:$G,$G31,'周排班-纵表'!$H:$H,R$1)</f>
        <v/>
      </c>
      <c r="S31" s="2">
        <f>SUMIFS('周排班-纵表'!$I:$I,'周排班-纵表'!$C:$C,$C31,'周排班-纵表'!$G:$G,$G31,'周排班-纵表'!$H:$H,S$1)</f>
        <v/>
      </c>
      <c r="T31" s="2">
        <f>SUMIFS('周排班-纵表'!$I:$I,'周排班-纵表'!$C:$C,$C31,'周排班-纵表'!$G:$G,$G31,'周排班-纵表'!$H:$H,T$1)</f>
        <v/>
      </c>
      <c r="U31" s="2">
        <f>SUMIFS('周排班-纵表'!$I:$I,'周排班-纵表'!$C:$C,$C31,'周排班-纵表'!$G:$G,$G31,'周排班-纵表'!$H:$H,U$1)</f>
        <v/>
      </c>
      <c r="V31" s="2">
        <f>SUMIFS('周排班-纵表'!$I:$I,'周排班-纵表'!$C:$C,$C31,'周排班-纵表'!$G:$G,$G31,'周排班-纵表'!$H:$H,V$1)</f>
        <v/>
      </c>
      <c r="W31" s="2">
        <f>SUMIFS('周排班-纵表'!$I:$I,'周排班-纵表'!$C:$C,$C31,'周排班-纵表'!$G:$G,$G31,'周排班-纵表'!$H:$H,W$1)</f>
        <v/>
      </c>
      <c r="X31" s="2">
        <f>SUMIFS('周排班-纵表'!$I:$I,'周排班-纵表'!$C:$C,$C31,'周排班-纵表'!$G:$G,$G31,'周排班-纵表'!$H:$H,X$1)</f>
        <v/>
      </c>
      <c r="Y31" s="2">
        <f>SUMIFS('周排班-纵表'!$I:$I,'周排班-纵表'!$C:$C,$C31,'周排班-纵表'!$G:$G,$G31,'周排班-纵表'!$H:$H,Y$1)</f>
        <v/>
      </c>
      <c r="Z31" s="2">
        <f>SUMIFS('周排班-纵表'!$I:$I,'周排班-纵表'!$C:$C,$C31,'周排班-纵表'!$G:$G,$G31,'周排班-纵表'!$H:$H,Z$1)</f>
        <v/>
      </c>
      <c r="AA31" s="2">
        <f>SUMIFS('周排班-纵表'!$I:$I,'周排班-纵表'!$C:$C,$C31,'周排班-纵表'!$G:$G,$G31,'周排班-纵表'!$H:$H,AA$1)</f>
        <v/>
      </c>
      <c r="AB31" s="2">
        <f>SUMIFS('周排班-纵表'!$I:$I,'周排班-纵表'!$C:$C,$C31,'周排班-纵表'!$G:$G,$G31,'周排班-纵表'!$H:$H,AB$1)</f>
        <v/>
      </c>
      <c r="AC31" s="2">
        <f>SUMIFS('周排班-纵表'!$I:$I,'周排班-纵表'!$C:$C,$C31,'周排班-纵表'!$G:$G,$G31,'周排班-纵表'!$H:$H,AC$1)</f>
        <v/>
      </c>
      <c r="AD31" s="2">
        <f>SUMIFS('周排班-纵表'!$I:$I,'周排班-纵表'!$C:$C,$C31,'周排班-纵表'!$G:$G,$G31,'周排班-纵表'!$H:$H,AD$1)</f>
        <v/>
      </c>
      <c r="AE31" s="2">
        <f>SUMIFS('周排班-纵表'!$I:$I,'周排班-纵表'!$C:$C,$C31,'周排班-纵表'!$G:$G,$G31,'周排班-纵表'!$H:$H,AE$1)</f>
        <v/>
      </c>
      <c r="AF31" s="2">
        <f>SUMIFS('周排班-纵表'!$I:$I,'周排班-纵表'!$C:$C,$C31,'周排班-纵表'!$G:$G,$G31,'周排班-纵表'!$H:$H,AF$1)</f>
        <v/>
      </c>
      <c r="AG31" s="2">
        <f>SUMIFS('周排班-纵表'!$I:$I,'周排班-纵表'!$C:$C,$C31,'周排班-纵表'!$G:$G,$G31,'周排班-纵表'!$H:$H,AG$1)</f>
        <v/>
      </c>
      <c r="AH31" s="2">
        <f>SUMIFS('周排班-纵表'!$I:$I,'周排班-纵表'!$C:$C,$C31,'周排班-纵表'!$G:$G,$G31,'周排班-纵表'!$H:$H,AH$1)</f>
        <v/>
      </c>
      <c r="AI31" s="2">
        <f>SUMIFS('周排班-纵表'!$I:$I,'周排班-纵表'!$C:$C,$C31,'周排班-纵表'!$G:$G,$G31,'周排班-纵表'!$H:$H,AI$1)</f>
        <v/>
      </c>
      <c r="AJ31" s="2">
        <f>SUMIFS('周排班-纵表'!$I:$I,'周排班-纵表'!$C:$C,$C31,'周排班-纵表'!$G:$G,$G31,'周排班-纵表'!$H:$H,AJ$1)</f>
        <v/>
      </c>
      <c r="AK31" s="2">
        <f>SUMIFS('周排班-纵表'!$I:$I,'周排班-纵表'!$C:$C,$C31,'周排班-纵表'!$G:$G,$G31,'周排班-纵表'!$H:$H,AK$1)</f>
        <v/>
      </c>
      <c r="AL31" s="2">
        <f>SUMIFS('周排班-纵表'!$I:$I,'周排班-纵表'!$C:$C,$C31,'周排班-纵表'!$G:$G,$G31,'周排班-纵表'!$H:$H,AL$1)</f>
        <v/>
      </c>
    </row>
    <row r="32">
      <c r="A32" s="2" t="inlineStr">
        <is>
          <t>ICBC</t>
        </is>
      </c>
      <c r="B32" s="2" t="inlineStr">
        <is>
          <t>Industrial And Commercial Bank of China (Macau) Limited</t>
        </is>
      </c>
      <c r="C32" s="2" t="inlineStr">
        <is>
          <t>47129069</t>
        </is>
      </c>
      <c r="D32" s="2" t="inlineStr">
        <is>
          <t>AUD2026-12 ICBCM</t>
        </is>
      </c>
      <c r="E32" s="2" t="inlineStr">
        <is>
          <t>Order47129069- 260731001</t>
        </is>
      </c>
      <c r="F32" s="2" t="inlineStr">
        <is>
          <t>47129069- EDC260731001</t>
        </is>
      </c>
      <c r="G32" s="2" t="inlineStr">
        <is>
          <t>Luna.CD.Zhang@cn.ey.com</t>
        </is>
      </c>
      <c r="H32" s="2">
        <f>SUMIFS('周排班-纵表'!$I:$I,'周排班-纵表'!$C:$C,$C32,'周排班-纵表'!$G:$G,$G32,'周排班-纵表'!$H:$H,H$1)</f>
        <v/>
      </c>
      <c r="I32" s="2">
        <f>SUMIFS('周排班-纵表'!$I:$I,'周排班-纵表'!$C:$C,$C32,'周排班-纵表'!$G:$G,$G32,'周排班-纵表'!$H:$H,I$1)</f>
        <v/>
      </c>
      <c r="J32" s="2">
        <f>SUMIFS('周排班-纵表'!$I:$I,'周排班-纵表'!$C:$C,$C32,'周排班-纵表'!$G:$G,$G32,'周排班-纵表'!$H:$H,J$1)</f>
        <v/>
      </c>
      <c r="K32" s="2">
        <f>SUMIFS('周排班-纵表'!$I:$I,'周排班-纵表'!$C:$C,$C32,'周排班-纵表'!$G:$G,$G32,'周排班-纵表'!$H:$H,K$1)</f>
        <v/>
      </c>
      <c r="L32" s="2">
        <f>SUMIFS('周排班-纵表'!$I:$I,'周排班-纵表'!$C:$C,$C32,'周排班-纵表'!$G:$G,$G32,'周排班-纵表'!$H:$H,L$1)</f>
        <v/>
      </c>
      <c r="M32" s="2">
        <f>SUMIFS('周排班-纵表'!$I:$I,'周排班-纵表'!$C:$C,$C32,'周排班-纵表'!$G:$G,$G32,'周排班-纵表'!$H:$H,M$1)</f>
        <v/>
      </c>
      <c r="N32" s="2">
        <f>SUMIFS('周排班-纵表'!$I:$I,'周排班-纵表'!$C:$C,$C32,'周排班-纵表'!$G:$G,$G32,'周排班-纵表'!$H:$H,N$1)</f>
        <v/>
      </c>
      <c r="O32" s="2">
        <f>SUMIFS('周排班-纵表'!$I:$I,'周排班-纵表'!$C:$C,$C32,'周排班-纵表'!$G:$G,$G32,'周排班-纵表'!$H:$H,O$1)</f>
        <v/>
      </c>
      <c r="P32" s="2">
        <f>SUMIFS('周排班-纵表'!$I:$I,'周排班-纵表'!$C:$C,$C32,'周排班-纵表'!$G:$G,$G32,'周排班-纵表'!$H:$H,P$1)</f>
        <v/>
      </c>
      <c r="Q32" s="2">
        <f>SUMIFS('周排班-纵表'!$I:$I,'周排班-纵表'!$C:$C,$C32,'周排班-纵表'!$G:$G,$G32,'周排班-纵表'!$H:$H,Q$1)</f>
        <v/>
      </c>
      <c r="R32" s="2">
        <f>SUMIFS('周排班-纵表'!$I:$I,'周排班-纵表'!$C:$C,$C32,'周排班-纵表'!$G:$G,$G32,'周排班-纵表'!$H:$H,R$1)</f>
        <v/>
      </c>
      <c r="S32" s="2">
        <f>SUMIFS('周排班-纵表'!$I:$I,'周排班-纵表'!$C:$C,$C32,'周排班-纵表'!$G:$G,$G32,'周排班-纵表'!$H:$H,S$1)</f>
        <v/>
      </c>
      <c r="T32" s="2">
        <f>SUMIFS('周排班-纵表'!$I:$I,'周排班-纵表'!$C:$C,$C32,'周排班-纵表'!$G:$G,$G32,'周排班-纵表'!$H:$H,T$1)</f>
        <v/>
      </c>
      <c r="U32" s="2">
        <f>SUMIFS('周排班-纵表'!$I:$I,'周排班-纵表'!$C:$C,$C32,'周排班-纵表'!$G:$G,$G32,'周排班-纵表'!$H:$H,U$1)</f>
        <v/>
      </c>
      <c r="V32" s="2">
        <f>SUMIFS('周排班-纵表'!$I:$I,'周排班-纵表'!$C:$C,$C32,'周排班-纵表'!$G:$G,$G32,'周排班-纵表'!$H:$H,V$1)</f>
        <v/>
      </c>
      <c r="W32" s="2">
        <f>SUMIFS('周排班-纵表'!$I:$I,'周排班-纵表'!$C:$C,$C32,'周排班-纵表'!$G:$G,$G32,'周排班-纵表'!$H:$H,W$1)</f>
        <v/>
      </c>
      <c r="X32" s="2">
        <f>SUMIFS('周排班-纵表'!$I:$I,'周排班-纵表'!$C:$C,$C32,'周排班-纵表'!$G:$G,$G32,'周排班-纵表'!$H:$H,X$1)</f>
        <v/>
      </c>
      <c r="Y32" s="2">
        <f>SUMIFS('周排班-纵表'!$I:$I,'周排班-纵表'!$C:$C,$C32,'周排班-纵表'!$G:$G,$G32,'周排班-纵表'!$H:$H,Y$1)</f>
        <v/>
      </c>
      <c r="Z32" s="2">
        <f>SUMIFS('周排班-纵表'!$I:$I,'周排班-纵表'!$C:$C,$C32,'周排班-纵表'!$G:$G,$G32,'周排班-纵表'!$H:$H,Z$1)</f>
        <v/>
      </c>
      <c r="AA32" s="2">
        <f>SUMIFS('周排班-纵表'!$I:$I,'周排班-纵表'!$C:$C,$C32,'周排班-纵表'!$G:$G,$G32,'周排班-纵表'!$H:$H,AA$1)</f>
        <v/>
      </c>
      <c r="AB32" s="2">
        <f>SUMIFS('周排班-纵表'!$I:$I,'周排班-纵表'!$C:$C,$C32,'周排班-纵表'!$G:$G,$G32,'周排班-纵表'!$H:$H,AB$1)</f>
        <v/>
      </c>
      <c r="AC32" s="2">
        <f>SUMIFS('周排班-纵表'!$I:$I,'周排班-纵表'!$C:$C,$C32,'周排班-纵表'!$G:$G,$G32,'周排班-纵表'!$H:$H,AC$1)</f>
        <v/>
      </c>
      <c r="AD32" s="2">
        <f>SUMIFS('周排班-纵表'!$I:$I,'周排班-纵表'!$C:$C,$C32,'周排班-纵表'!$G:$G,$G32,'周排班-纵表'!$H:$H,AD$1)</f>
        <v/>
      </c>
      <c r="AE32" s="2">
        <f>SUMIFS('周排班-纵表'!$I:$I,'周排班-纵表'!$C:$C,$C32,'周排班-纵表'!$G:$G,$G32,'周排班-纵表'!$H:$H,AE$1)</f>
        <v/>
      </c>
      <c r="AF32" s="2">
        <f>SUMIFS('周排班-纵表'!$I:$I,'周排班-纵表'!$C:$C,$C32,'周排班-纵表'!$G:$G,$G32,'周排班-纵表'!$H:$H,AF$1)</f>
        <v/>
      </c>
      <c r="AG32" s="2">
        <f>SUMIFS('周排班-纵表'!$I:$I,'周排班-纵表'!$C:$C,$C32,'周排班-纵表'!$G:$G,$G32,'周排班-纵表'!$H:$H,AG$1)</f>
        <v/>
      </c>
      <c r="AH32" s="2">
        <f>SUMIFS('周排班-纵表'!$I:$I,'周排班-纵表'!$C:$C,$C32,'周排班-纵表'!$G:$G,$G32,'周排班-纵表'!$H:$H,AH$1)</f>
        <v/>
      </c>
      <c r="AI32" s="2">
        <f>SUMIFS('周排班-纵表'!$I:$I,'周排班-纵表'!$C:$C,$C32,'周排班-纵表'!$G:$G,$G32,'周排班-纵表'!$H:$H,AI$1)</f>
        <v/>
      </c>
      <c r="AJ32" s="2">
        <f>SUMIFS('周排班-纵表'!$I:$I,'周排班-纵表'!$C:$C,$C32,'周排班-纵表'!$G:$G,$G32,'周排班-纵表'!$H:$H,AJ$1)</f>
        <v/>
      </c>
      <c r="AK32" s="2">
        <f>SUMIFS('周排班-纵表'!$I:$I,'周排班-纵表'!$C:$C,$C32,'周排班-纵表'!$G:$G,$G32,'周排班-纵表'!$H:$H,AK$1)</f>
        <v/>
      </c>
      <c r="AL32" s="2">
        <f>SUMIFS('周排班-纵表'!$I:$I,'周排班-纵表'!$C:$C,$C32,'周排班-纵表'!$G:$G,$G32,'周排班-纵表'!$H:$H,AL$1)</f>
        <v/>
      </c>
    </row>
    <row r="33">
      <c r="A33" s="2" t="inlineStr">
        <is>
          <t>ICBC</t>
        </is>
      </c>
      <c r="B33" s="2" t="inlineStr">
        <is>
          <t>Industrial And Commercial Bank of China (Macau) Limited</t>
        </is>
      </c>
      <c r="C33" s="2" t="inlineStr">
        <is>
          <t>47129069</t>
        </is>
      </c>
      <c r="D33" s="2" t="inlineStr">
        <is>
          <t>AUD2026-12 ICBCM</t>
        </is>
      </c>
      <c r="E33" s="2" t="inlineStr">
        <is>
          <t>Order47129069- 260731001</t>
        </is>
      </c>
      <c r="F33" s="2" t="inlineStr">
        <is>
          <t>47129069- EDC260731001</t>
        </is>
      </c>
      <c r="G33" s="2" t="inlineStr">
        <is>
          <t>Marsh.Ma@cn.ey.com</t>
        </is>
      </c>
      <c r="H33" s="2">
        <f>SUMIFS('周排班-纵表'!$I:$I,'周排班-纵表'!$C:$C,$C33,'周排班-纵表'!$G:$G,$G33,'周排班-纵表'!$H:$H,H$1)</f>
        <v/>
      </c>
      <c r="I33" s="2">
        <f>SUMIFS('周排班-纵表'!$I:$I,'周排班-纵表'!$C:$C,$C33,'周排班-纵表'!$G:$G,$G33,'周排班-纵表'!$H:$H,I$1)</f>
        <v/>
      </c>
      <c r="J33" s="2">
        <f>SUMIFS('周排班-纵表'!$I:$I,'周排班-纵表'!$C:$C,$C33,'周排班-纵表'!$G:$G,$G33,'周排班-纵表'!$H:$H,J$1)</f>
        <v/>
      </c>
      <c r="K33" s="2">
        <f>SUMIFS('周排班-纵表'!$I:$I,'周排班-纵表'!$C:$C,$C33,'周排班-纵表'!$G:$G,$G33,'周排班-纵表'!$H:$H,K$1)</f>
        <v/>
      </c>
      <c r="L33" s="2">
        <f>SUMIFS('周排班-纵表'!$I:$I,'周排班-纵表'!$C:$C,$C33,'周排班-纵表'!$G:$G,$G33,'周排班-纵表'!$H:$H,L$1)</f>
        <v/>
      </c>
      <c r="M33" s="2">
        <f>SUMIFS('周排班-纵表'!$I:$I,'周排班-纵表'!$C:$C,$C33,'周排班-纵表'!$G:$G,$G33,'周排班-纵表'!$H:$H,M$1)</f>
        <v/>
      </c>
      <c r="N33" s="2">
        <f>SUMIFS('周排班-纵表'!$I:$I,'周排班-纵表'!$C:$C,$C33,'周排班-纵表'!$G:$G,$G33,'周排班-纵表'!$H:$H,N$1)</f>
        <v/>
      </c>
      <c r="O33" s="2">
        <f>SUMIFS('周排班-纵表'!$I:$I,'周排班-纵表'!$C:$C,$C33,'周排班-纵表'!$G:$G,$G33,'周排班-纵表'!$H:$H,O$1)</f>
        <v/>
      </c>
      <c r="P33" s="2">
        <f>SUMIFS('周排班-纵表'!$I:$I,'周排班-纵表'!$C:$C,$C33,'周排班-纵表'!$G:$G,$G33,'周排班-纵表'!$H:$H,P$1)</f>
        <v/>
      </c>
      <c r="Q33" s="2">
        <f>SUMIFS('周排班-纵表'!$I:$I,'周排班-纵表'!$C:$C,$C33,'周排班-纵表'!$G:$G,$G33,'周排班-纵表'!$H:$H,Q$1)</f>
        <v/>
      </c>
      <c r="R33" s="2">
        <f>SUMIFS('周排班-纵表'!$I:$I,'周排班-纵表'!$C:$C,$C33,'周排班-纵表'!$G:$G,$G33,'周排班-纵表'!$H:$H,R$1)</f>
        <v/>
      </c>
      <c r="S33" s="2">
        <f>SUMIFS('周排班-纵表'!$I:$I,'周排班-纵表'!$C:$C,$C33,'周排班-纵表'!$G:$G,$G33,'周排班-纵表'!$H:$H,S$1)</f>
        <v/>
      </c>
      <c r="T33" s="2">
        <f>SUMIFS('周排班-纵表'!$I:$I,'周排班-纵表'!$C:$C,$C33,'周排班-纵表'!$G:$G,$G33,'周排班-纵表'!$H:$H,T$1)</f>
        <v/>
      </c>
      <c r="U33" s="2">
        <f>SUMIFS('周排班-纵表'!$I:$I,'周排班-纵表'!$C:$C,$C33,'周排班-纵表'!$G:$G,$G33,'周排班-纵表'!$H:$H,U$1)</f>
        <v/>
      </c>
      <c r="V33" s="2">
        <f>SUMIFS('周排班-纵表'!$I:$I,'周排班-纵表'!$C:$C,$C33,'周排班-纵表'!$G:$G,$G33,'周排班-纵表'!$H:$H,V$1)</f>
        <v/>
      </c>
      <c r="W33" s="2">
        <f>SUMIFS('周排班-纵表'!$I:$I,'周排班-纵表'!$C:$C,$C33,'周排班-纵表'!$G:$G,$G33,'周排班-纵表'!$H:$H,W$1)</f>
        <v/>
      </c>
      <c r="X33" s="2">
        <f>SUMIFS('周排班-纵表'!$I:$I,'周排班-纵表'!$C:$C,$C33,'周排班-纵表'!$G:$G,$G33,'周排班-纵表'!$H:$H,X$1)</f>
        <v/>
      </c>
      <c r="Y33" s="2">
        <f>SUMIFS('周排班-纵表'!$I:$I,'周排班-纵表'!$C:$C,$C33,'周排班-纵表'!$G:$G,$G33,'周排班-纵表'!$H:$H,Y$1)</f>
        <v/>
      </c>
      <c r="Z33" s="2">
        <f>SUMIFS('周排班-纵表'!$I:$I,'周排班-纵表'!$C:$C,$C33,'周排班-纵表'!$G:$G,$G33,'周排班-纵表'!$H:$H,Z$1)</f>
        <v/>
      </c>
      <c r="AA33" s="2">
        <f>SUMIFS('周排班-纵表'!$I:$I,'周排班-纵表'!$C:$C,$C33,'周排班-纵表'!$G:$G,$G33,'周排班-纵表'!$H:$H,AA$1)</f>
        <v/>
      </c>
      <c r="AB33" s="2">
        <f>SUMIFS('周排班-纵表'!$I:$I,'周排班-纵表'!$C:$C,$C33,'周排班-纵表'!$G:$G,$G33,'周排班-纵表'!$H:$H,AB$1)</f>
        <v/>
      </c>
      <c r="AC33" s="2">
        <f>SUMIFS('周排班-纵表'!$I:$I,'周排班-纵表'!$C:$C,$C33,'周排班-纵表'!$G:$G,$G33,'周排班-纵表'!$H:$H,AC$1)</f>
        <v/>
      </c>
      <c r="AD33" s="2">
        <f>SUMIFS('周排班-纵表'!$I:$I,'周排班-纵表'!$C:$C,$C33,'周排班-纵表'!$G:$G,$G33,'周排班-纵表'!$H:$H,AD$1)</f>
        <v/>
      </c>
      <c r="AE33" s="2">
        <f>SUMIFS('周排班-纵表'!$I:$I,'周排班-纵表'!$C:$C,$C33,'周排班-纵表'!$G:$G,$G33,'周排班-纵表'!$H:$H,AE$1)</f>
        <v/>
      </c>
      <c r="AF33" s="2">
        <f>SUMIFS('周排班-纵表'!$I:$I,'周排班-纵表'!$C:$C,$C33,'周排班-纵表'!$G:$G,$G33,'周排班-纵表'!$H:$H,AF$1)</f>
        <v/>
      </c>
      <c r="AG33" s="2">
        <f>SUMIFS('周排班-纵表'!$I:$I,'周排班-纵表'!$C:$C,$C33,'周排班-纵表'!$G:$G,$G33,'周排班-纵表'!$H:$H,AG$1)</f>
        <v/>
      </c>
      <c r="AH33" s="2">
        <f>SUMIFS('周排班-纵表'!$I:$I,'周排班-纵表'!$C:$C,$C33,'周排班-纵表'!$G:$G,$G33,'周排班-纵表'!$H:$H,AH$1)</f>
        <v/>
      </c>
      <c r="AI33" s="2">
        <f>SUMIFS('周排班-纵表'!$I:$I,'周排班-纵表'!$C:$C,$C33,'周排班-纵表'!$G:$G,$G33,'周排班-纵表'!$H:$H,AI$1)</f>
        <v/>
      </c>
      <c r="AJ33" s="2">
        <f>SUMIFS('周排班-纵表'!$I:$I,'周排班-纵表'!$C:$C,$C33,'周排班-纵表'!$G:$G,$G33,'周排班-纵表'!$H:$H,AJ$1)</f>
        <v/>
      </c>
      <c r="AK33" s="2">
        <f>SUMIFS('周排班-纵表'!$I:$I,'周排班-纵表'!$C:$C,$C33,'周排班-纵表'!$G:$G,$G33,'周排班-纵表'!$H:$H,AK$1)</f>
        <v/>
      </c>
      <c r="AL33" s="2">
        <f>SUMIFS('周排班-纵表'!$I:$I,'周排班-纵表'!$C:$C,$C33,'周排班-纵表'!$G:$G,$G33,'周排班-纵表'!$H:$H,AL$1)</f>
        <v/>
      </c>
    </row>
    <row r="34">
      <c r="A34" s="2" t="inlineStr">
        <is>
          <t>ICBC</t>
        </is>
      </c>
      <c r="B34" s="2" t="inlineStr">
        <is>
          <t>Industrial And Commercial Bank of China (Macau) Limited</t>
        </is>
      </c>
      <c r="C34" s="2" t="inlineStr">
        <is>
          <t>47129069</t>
        </is>
      </c>
      <c r="D34" s="2" t="inlineStr">
        <is>
          <t>AUD2026-12 ICBCM</t>
        </is>
      </c>
      <c r="E34" s="2" t="inlineStr">
        <is>
          <t>Order47129069- 260731001</t>
        </is>
      </c>
      <c r="F34" s="2" t="inlineStr">
        <is>
          <t>47129069- EDC260731001</t>
        </is>
      </c>
      <c r="G34" s="2" t="inlineStr">
        <is>
          <t>Rainbow.MG.Xiao@cn.ey.com</t>
        </is>
      </c>
      <c r="H34" s="2">
        <f>SUMIFS('周排班-纵表'!$I:$I,'周排班-纵表'!$C:$C,$C34,'周排班-纵表'!$G:$G,$G34,'周排班-纵表'!$H:$H,H$1)</f>
        <v/>
      </c>
      <c r="I34" s="2">
        <f>SUMIFS('周排班-纵表'!$I:$I,'周排班-纵表'!$C:$C,$C34,'周排班-纵表'!$G:$G,$G34,'周排班-纵表'!$H:$H,I$1)</f>
        <v/>
      </c>
      <c r="J34" s="2">
        <f>SUMIFS('周排班-纵表'!$I:$I,'周排班-纵表'!$C:$C,$C34,'周排班-纵表'!$G:$G,$G34,'周排班-纵表'!$H:$H,J$1)</f>
        <v/>
      </c>
      <c r="K34" s="2">
        <f>SUMIFS('周排班-纵表'!$I:$I,'周排班-纵表'!$C:$C,$C34,'周排班-纵表'!$G:$G,$G34,'周排班-纵表'!$H:$H,K$1)</f>
        <v/>
      </c>
      <c r="L34" s="2">
        <f>SUMIFS('周排班-纵表'!$I:$I,'周排班-纵表'!$C:$C,$C34,'周排班-纵表'!$G:$G,$G34,'周排班-纵表'!$H:$H,L$1)</f>
        <v/>
      </c>
      <c r="M34" s="2">
        <f>SUMIFS('周排班-纵表'!$I:$I,'周排班-纵表'!$C:$C,$C34,'周排班-纵表'!$G:$G,$G34,'周排班-纵表'!$H:$H,M$1)</f>
        <v/>
      </c>
      <c r="N34" s="2">
        <f>SUMIFS('周排班-纵表'!$I:$I,'周排班-纵表'!$C:$C,$C34,'周排班-纵表'!$G:$G,$G34,'周排班-纵表'!$H:$H,N$1)</f>
        <v/>
      </c>
      <c r="O34" s="2">
        <f>SUMIFS('周排班-纵表'!$I:$I,'周排班-纵表'!$C:$C,$C34,'周排班-纵表'!$G:$G,$G34,'周排班-纵表'!$H:$H,O$1)</f>
        <v/>
      </c>
      <c r="P34" s="2">
        <f>SUMIFS('周排班-纵表'!$I:$I,'周排班-纵表'!$C:$C,$C34,'周排班-纵表'!$G:$G,$G34,'周排班-纵表'!$H:$H,P$1)</f>
        <v/>
      </c>
      <c r="Q34" s="2">
        <f>SUMIFS('周排班-纵表'!$I:$I,'周排班-纵表'!$C:$C,$C34,'周排班-纵表'!$G:$G,$G34,'周排班-纵表'!$H:$H,Q$1)</f>
        <v/>
      </c>
      <c r="R34" s="2">
        <f>SUMIFS('周排班-纵表'!$I:$I,'周排班-纵表'!$C:$C,$C34,'周排班-纵表'!$G:$G,$G34,'周排班-纵表'!$H:$H,R$1)</f>
        <v/>
      </c>
      <c r="S34" s="2">
        <f>SUMIFS('周排班-纵表'!$I:$I,'周排班-纵表'!$C:$C,$C34,'周排班-纵表'!$G:$G,$G34,'周排班-纵表'!$H:$H,S$1)</f>
        <v/>
      </c>
      <c r="T34" s="2">
        <f>SUMIFS('周排班-纵表'!$I:$I,'周排班-纵表'!$C:$C,$C34,'周排班-纵表'!$G:$G,$G34,'周排班-纵表'!$H:$H,T$1)</f>
        <v/>
      </c>
      <c r="U34" s="2">
        <f>SUMIFS('周排班-纵表'!$I:$I,'周排班-纵表'!$C:$C,$C34,'周排班-纵表'!$G:$G,$G34,'周排班-纵表'!$H:$H,U$1)</f>
        <v/>
      </c>
      <c r="V34" s="2">
        <f>SUMIFS('周排班-纵表'!$I:$I,'周排班-纵表'!$C:$C,$C34,'周排班-纵表'!$G:$G,$G34,'周排班-纵表'!$H:$H,V$1)</f>
        <v/>
      </c>
      <c r="W34" s="2">
        <f>SUMIFS('周排班-纵表'!$I:$I,'周排班-纵表'!$C:$C,$C34,'周排班-纵表'!$G:$G,$G34,'周排班-纵表'!$H:$H,W$1)</f>
        <v/>
      </c>
      <c r="X34" s="2">
        <f>SUMIFS('周排班-纵表'!$I:$I,'周排班-纵表'!$C:$C,$C34,'周排班-纵表'!$G:$G,$G34,'周排班-纵表'!$H:$H,X$1)</f>
        <v/>
      </c>
      <c r="Y34" s="2">
        <f>SUMIFS('周排班-纵表'!$I:$I,'周排班-纵表'!$C:$C,$C34,'周排班-纵表'!$G:$G,$G34,'周排班-纵表'!$H:$H,Y$1)</f>
        <v/>
      </c>
      <c r="Z34" s="2">
        <f>SUMIFS('周排班-纵表'!$I:$I,'周排班-纵表'!$C:$C,$C34,'周排班-纵表'!$G:$G,$G34,'周排班-纵表'!$H:$H,Z$1)</f>
        <v/>
      </c>
      <c r="AA34" s="2">
        <f>SUMIFS('周排班-纵表'!$I:$I,'周排班-纵表'!$C:$C,$C34,'周排班-纵表'!$G:$G,$G34,'周排班-纵表'!$H:$H,AA$1)</f>
        <v/>
      </c>
      <c r="AB34" s="2">
        <f>SUMIFS('周排班-纵表'!$I:$I,'周排班-纵表'!$C:$C,$C34,'周排班-纵表'!$G:$G,$G34,'周排班-纵表'!$H:$H,AB$1)</f>
        <v/>
      </c>
      <c r="AC34" s="2">
        <f>SUMIFS('周排班-纵表'!$I:$I,'周排班-纵表'!$C:$C,$C34,'周排班-纵表'!$G:$G,$G34,'周排班-纵表'!$H:$H,AC$1)</f>
        <v/>
      </c>
      <c r="AD34" s="2">
        <f>SUMIFS('周排班-纵表'!$I:$I,'周排班-纵表'!$C:$C,$C34,'周排班-纵表'!$G:$G,$G34,'周排班-纵表'!$H:$H,AD$1)</f>
        <v/>
      </c>
      <c r="AE34" s="2">
        <f>SUMIFS('周排班-纵表'!$I:$I,'周排班-纵表'!$C:$C,$C34,'周排班-纵表'!$G:$G,$G34,'周排班-纵表'!$H:$H,AE$1)</f>
        <v/>
      </c>
      <c r="AF34" s="2">
        <f>SUMIFS('周排班-纵表'!$I:$I,'周排班-纵表'!$C:$C,$C34,'周排班-纵表'!$G:$G,$G34,'周排班-纵表'!$H:$H,AF$1)</f>
        <v/>
      </c>
      <c r="AG34" s="2">
        <f>SUMIFS('周排班-纵表'!$I:$I,'周排班-纵表'!$C:$C,$C34,'周排班-纵表'!$G:$G,$G34,'周排班-纵表'!$H:$H,AG$1)</f>
        <v/>
      </c>
      <c r="AH34" s="2">
        <f>SUMIFS('周排班-纵表'!$I:$I,'周排班-纵表'!$C:$C,$C34,'周排班-纵表'!$G:$G,$G34,'周排班-纵表'!$H:$H,AH$1)</f>
        <v/>
      </c>
      <c r="AI34" s="2">
        <f>SUMIFS('周排班-纵表'!$I:$I,'周排班-纵表'!$C:$C,$C34,'周排班-纵表'!$G:$G,$G34,'周排班-纵表'!$H:$H,AI$1)</f>
        <v/>
      </c>
      <c r="AJ34" s="2">
        <f>SUMIFS('周排班-纵表'!$I:$I,'周排班-纵表'!$C:$C,$C34,'周排班-纵表'!$G:$G,$G34,'周排班-纵表'!$H:$H,AJ$1)</f>
        <v/>
      </c>
      <c r="AK34" s="2">
        <f>SUMIFS('周排班-纵表'!$I:$I,'周排班-纵表'!$C:$C,$C34,'周排班-纵表'!$G:$G,$G34,'周排班-纵表'!$H:$H,AK$1)</f>
        <v/>
      </c>
      <c r="AL34" s="2">
        <f>SUMIFS('周排班-纵表'!$I:$I,'周排班-纵表'!$C:$C,$C34,'周排班-纵表'!$G:$G,$G34,'周排班-纵表'!$H:$H,AL$1)</f>
        <v/>
      </c>
    </row>
    <row r="35">
      <c r="A35" s="2" t="inlineStr">
        <is>
          <t>ICBC</t>
        </is>
      </c>
      <c r="B35" s="2" t="inlineStr">
        <is>
          <t>Industrial And Commercial Bank of China (Macau) Limited</t>
        </is>
      </c>
      <c r="C35" s="2" t="inlineStr">
        <is>
          <t>47129069</t>
        </is>
      </c>
      <c r="D35" s="2" t="inlineStr">
        <is>
          <t>AUD2026-12 ICBCM</t>
        </is>
      </c>
      <c r="E35" s="2" t="inlineStr">
        <is>
          <t>Order47129069- 260731001</t>
        </is>
      </c>
      <c r="F35" s="2" t="inlineStr">
        <is>
          <t>47129069- EDC260731001</t>
        </is>
      </c>
      <c r="G35" s="2" t="inlineStr">
        <is>
          <t>Vivi.W.Yang@cn.ey.com</t>
        </is>
      </c>
      <c r="H35" s="2">
        <f>SUMIFS('周排班-纵表'!$I:$I,'周排班-纵表'!$C:$C,$C35,'周排班-纵表'!$G:$G,$G35,'周排班-纵表'!$H:$H,H$1)</f>
        <v/>
      </c>
      <c r="I35" s="2">
        <f>SUMIFS('周排班-纵表'!$I:$I,'周排班-纵表'!$C:$C,$C35,'周排班-纵表'!$G:$G,$G35,'周排班-纵表'!$H:$H,I$1)</f>
        <v/>
      </c>
      <c r="J35" s="2">
        <f>SUMIFS('周排班-纵表'!$I:$I,'周排班-纵表'!$C:$C,$C35,'周排班-纵表'!$G:$G,$G35,'周排班-纵表'!$H:$H,J$1)</f>
        <v/>
      </c>
      <c r="K35" s="2">
        <f>SUMIFS('周排班-纵表'!$I:$I,'周排班-纵表'!$C:$C,$C35,'周排班-纵表'!$G:$G,$G35,'周排班-纵表'!$H:$H,K$1)</f>
        <v/>
      </c>
      <c r="L35" s="2">
        <f>SUMIFS('周排班-纵表'!$I:$I,'周排班-纵表'!$C:$C,$C35,'周排班-纵表'!$G:$G,$G35,'周排班-纵表'!$H:$H,L$1)</f>
        <v/>
      </c>
      <c r="M35" s="2">
        <f>SUMIFS('周排班-纵表'!$I:$I,'周排班-纵表'!$C:$C,$C35,'周排班-纵表'!$G:$G,$G35,'周排班-纵表'!$H:$H,M$1)</f>
        <v/>
      </c>
      <c r="N35" s="2">
        <f>SUMIFS('周排班-纵表'!$I:$I,'周排班-纵表'!$C:$C,$C35,'周排班-纵表'!$G:$G,$G35,'周排班-纵表'!$H:$H,N$1)</f>
        <v/>
      </c>
      <c r="O35" s="2">
        <f>SUMIFS('周排班-纵表'!$I:$I,'周排班-纵表'!$C:$C,$C35,'周排班-纵表'!$G:$G,$G35,'周排班-纵表'!$H:$H,O$1)</f>
        <v/>
      </c>
      <c r="P35" s="2">
        <f>SUMIFS('周排班-纵表'!$I:$I,'周排班-纵表'!$C:$C,$C35,'周排班-纵表'!$G:$G,$G35,'周排班-纵表'!$H:$H,P$1)</f>
        <v/>
      </c>
      <c r="Q35" s="2">
        <f>SUMIFS('周排班-纵表'!$I:$I,'周排班-纵表'!$C:$C,$C35,'周排班-纵表'!$G:$G,$G35,'周排班-纵表'!$H:$H,Q$1)</f>
        <v/>
      </c>
      <c r="R35" s="2">
        <f>SUMIFS('周排班-纵表'!$I:$I,'周排班-纵表'!$C:$C,$C35,'周排班-纵表'!$G:$G,$G35,'周排班-纵表'!$H:$H,R$1)</f>
        <v/>
      </c>
      <c r="S35" s="2">
        <f>SUMIFS('周排班-纵表'!$I:$I,'周排班-纵表'!$C:$C,$C35,'周排班-纵表'!$G:$G,$G35,'周排班-纵表'!$H:$H,S$1)</f>
        <v/>
      </c>
      <c r="T35" s="2">
        <f>SUMIFS('周排班-纵表'!$I:$I,'周排班-纵表'!$C:$C,$C35,'周排班-纵表'!$G:$G,$G35,'周排班-纵表'!$H:$H,T$1)</f>
        <v/>
      </c>
      <c r="U35" s="2">
        <f>SUMIFS('周排班-纵表'!$I:$I,'周排班-纵表'!$C:$C,$C35,'周排班-纵表'!$G:$G,$G35,'周排班-纵表'!$H:$H,U$1)</f>
        <v/>
      </c>
      <c r="V35" s="2">
        <f>SUMIFS('周排班-纵表'!$I:$I,'周排班-纵表'!$C:$C,$C35,'周排班-纵表'!$G:$G,$G35,'周排班-纵表'!$H:$H,V$1)</f>
        <v/>
      </c>
      <c r="W35" s="2">
        <f>SUMIFS('周排班-纵表'!$I:$I,'周排班-纵表'!$C:$C,$C35,'周排班-纵表'!$G:$G,$G35,'周排班-纵表'!$H:$H,W$1)</f>
        <v/>
      </c>
      <c r="X35" s="2">
        <f>SUMIFS('周排班-纵表'!$I:$I,'周排班-纵表'!$C:$C,$C35,'周排班-纵表'!$G:$G,$G35,'周排班-纵表'!$H:$H,X$1)</f>
        <v/>
      </c>
      <c r="Y35" s="2">
        <f>SUMIFS('周排班-纵表'!$I:$I,'周排班-纵表'!$C:$C,$C35,'周排班-纵表'!$G:$G,$G35,'周排班-纵表'!$H:$H,Y$1)</f>
        <v/>
      </c>
      <c r="Z35" s="2">
        <f>SUMIFS('周排班-纵表'!$I:$I,'周排班-纵表'!$C:$C,$C35,'周排班-纵表'!$G:$G,$G35,'周排班-纵表'!$H:$H,Z$1)</f>
        <v/>
      </c>
      <c r="AA35" s="2">
        <f>SUMIFS('周排班-纵表'!$I:$I,'周排班-纵表'!$C:$C,$C35,'周排班-纵表'!$G:$G,$G35,'周排班-纵表'!$H:$H,AA$1)</f>
        <v/>
      </c>
      <c r="AB35" s="2">
        <f>SUMIFS('周排班-纵表'!$I:$I,'周排班-纵表'!$C:$C,$C35,'周排班-纵表'!$G:$G,$G35,'周排班-纵表'!$H:$H,AB$1)</f>
        <v/>
      </c>
      <c r="AC35" s="2">
        <f>SUMIFS('周排班-纵表'!$I:$I,'周排班-纵表'!$C:$C,$C35,'周排班-纵表'!$G:$G,$G35,'周排班-纵表'!$H:$H,AC$1)</f>
        <v/>
      </c>
      <c r="AD35" s="2">
        <f>SUMIFS('周排班-纵表'!$I:$I,'周排班-纵表'!$C:$C,$C35,'周排班-纵表'!$G:$G,$G35,'周排班-纵表'!$H:$H,AD$1)</f>
        <v/>
      </c>
      <c r="AE35" s="2">
        <f>SUMIFS('周排班-纵表'!$I:$I,'周排班-纵表'!$C:$C,$C35,'周排班-纵表'!$G:$G,$G35,'周排班-纵表'!$H:$H,AE$1)</f>
        <v/>
      </c>
      <c r="AF35" s="2">
        <f>SUMIFS('周排班-纵表'!$I:$I,'周排班-纵表'!$C:$C,$C35,'周排班-纵表'!$G:$G,$G35,'周排班-纵表'!$H:$H,AF$1)</f>
        <v/>
      </c>
      <c r="AG35" s="2">
        <f>SUMIFS('周排班-纵表'!$I:$I,'周排班-纵表'!$C:$C,$C35,'周排班-纵表'!$G:$G,$G35,'周排班-纵表'!$H:$H,AG$1)</f>
        <v/>
      </c>
      <c r="AH35" s="2">
        <f>SUMIFS('周排班-纵表'!$I:$I,'周排班-纵表'!$C:$C,$C35,'周排班-纵表'!$G:$G,$G35,'周排班-纵表'!$H:$H,AH$1)</f>
        <v/>
      </c>
      <c r="AI35" s="2">
        <f>SUMIFS('周排班-纵表'!$I:$I,'周排班-纵表'!$C:$C,$C35,'周排班-纵表'!$G:$G,$G35,'周排班-纵表'!$H:$H,AI$1)</f>
        <v/>
      </c>
      <c r="AJ35" s="2">
        <f>SUMIFS('周排班-纵表'!$I:$I,'周排班-纵表'!$C:$C,$C35,'周排班-纵表'!$G:$G,$G35,'周排班-纵表'!$H:$H,AJ$1)</f>
        <v/>
      </c>
      <c r="AK35" s="2">
        <f>SUMIFS('周排班-纵表'!$I:$I,'周排班-纵表'!$C:$C,$C35,'周排班-纵表'!$G:$G,$G35,'周排班-纵表'!$H:$H,AK$1)</f>
        <v/>
      </c>
      <c r="AL35" s="2">
        <f>SUMIFS('周排班-纵表'!$I:$I,'周排班-纵表'!$C:$C,$C35,'周排班-纵表'!$G:$G,$G35,'周排班-纵表'!$H:$H,AL$1)</f>
        <v/>
      </c>
    </row>
    <row r="36">
      <c r="A36" s="2" t="inlineStr">
        <is>
          <t>ICBC</t>
        </is>
      </c>
      <c r="B36" s="2" t="inlineStr">
        <is>
          <t>Industrial And Commercial Bank of China (Asia) Limited</t>
        </is>
      </c>
      <c r="C36" s="2" t="inlineStr">
        <is>
          <t>47129548</t>
        </is>
      </c>
      <c r="D36" s="2" t="inlineStr">
        <is>
          <t>AUD2026-12 ICBCA</t>
        </is>
      </c>
      <c r="E36" s="2" t="inlineStr">
        <is>
          <t>Order47129548- 260501002</t>
        </is>
      </c>
      <c r="F36" s="2" t="inlineStr">
        <is>
          <t>47129548- EDC260501001</t>
        </is>
      </c>
      <c r="G36" s="2" t="inlineStr">
        <is>
          <t>InternA</t>
        </is>
      </c>
      <c r="H36" s="2">
        <f>SUMIFS('周排班-纵表'!$I:$I,'周排班-纵表'!$C:$C,$C36,'周排班-纵表'!$G:$G,$G36,'周排班-纵表'!$H:$H,H$1)</f>
        <v/>
      </c>
      <c r="I36" s="2">
        <f>SUMIFS('周排班-纵表'!$I:$I,'周排班-纵表'!$C:$C,$C36,'周排班-纵表'!$G:$G,$G36,'周排班-纵表'!$H:$H,I$1)</f>
        <v/>
      </c>
      <c r="J36" s="2">
        <f>SUMIFS('周排班-纵表'!$I:$I,'周排班-纵表'!$C:$C,$C36,'周排班-纵表'!$G:$G,$G36,'周排班-纵表'!$H:$H,J$1)</f>
        <v/>
      </c>
      <c r="K36" s="2">
        <f>SUMIFS('周排班-纵表'!$I:$I,'周排班-纵表'!$C:$C,$C36,'周排班-纵表'!$G:$G,$G36,'周排班-纵表'!$H:$H,K$1)</f>
        <v/>
      </c>
      <c r="L36" s="2">
        <f>SUMIFS('周排班-纵表'!$I:$I,'周排班-纵表'!$C:$C,$C36,'周排班-纵表'!$G:$G,$G36,'周排班-纵表'!$H:$H,L$1)</f>
        <v/>
      </c>
      <c r="M36" s="2">
        <f>SUMIFS('周排班-纵表'!$I:$I,'周排班-纵表'!$C:$C,$C36,'周排班-纵表'!$G:$G,$G36,'周排班-纵表'!$H:$H,M$1)</f>
        <v/>
      </c>
      <c r="N36" s="2">
        <f>SUMIFS('周排班-纵表'!$I:$I,'周排班-纵表'!$C:$C,$C36,'周排班-纵表'!$G:$G,$G36,'周排班-纵表'!$H:$H,N$1)</f>
        <v/>
      </c>
      <c r="O36" s="2">
        <f>SUMIFS('周排班-纵表'!$I:$I,'周排班-纵表'!$C:$C,$C36,'周排班-纵表'!$G:$G,$G36,'周排班-纵表'!$H:$H,O$1)</f>
        <v/>
      </c>
      <c r="P36" s="2">
        <f>SUMIFS('周排班-纵表'!$I:$I,'周排班-纵表'!$C:$C,$C36,'周排班-纵表'!$G:$G,$G36,'周排班-纵表'!$H:$H,P$1)</f>
        <v/>
      </c>
      <c r="Q36" s="2">
        <f>SUMIFS('周排班-纵表'!$I:$I,'周排班-纵表'!$C:$C,$C36,'周排班-纵表'!$G:$G,$G36,'周排班-纵表'!$H:$H,Q$1)</f>
        <v/>
      </c>
      <c r="R36" s="2">
        <f>SUMIFS('周排班-纵表'!$I:$I,'周排班-纵表'!$C:$C,$C36,'周排班-纵表'!$G:$G,$G36,'周排班-纵表'!$H:$H,R$1)</f>
        <v/>
      </c>
      <c r="S36" s="2">
        <f>SUMIFS('周排班-纵表'!$I:$I,'周排班-纵表'!$C:$C,$C36,'周排班-纵表'!$G:$G,$G36,'周排班-纵表'!$H:$H,S$1)</f>
        <v/>
      </c>
      <c r="T36" s="2">
        <f>SUMIFS('周排班-纵表'!$I:$I,'周排班-纵表'!$C:$C,$C36,'周排班-纵表'!$G:$G,$G36,'周排班-纵表'!$H:$H,T$1)</f>
        <v/>
      </c>
      <c r="U36" s="2">
        <f>SUMIFS('周排班-纵表'!$I:$I,'周排班-纵表'!$C:$C,$C36,'周排班-纵表'!$G:$G,$G36,'周排班-纵表'!$H:$H,U$1)</f>
        <v/>
      </c>
      <c r="V36" s="2">
        <f>SUMIFS('周排班-纵表'!$I:$I,'周排班-纵表'!$C:$C,$C36,'周排班-纵表'!$G:$G,$G36,'周排班-纵表'!$H:$H,V$1)</f>
        <v/>
      </c>
      <c r="W36" s="2">
        <f>SUMIFS('周排班-纵表'!$I:$I,'周排班-纵表'!$C:$C,$C36,'周排班-纵表'!$G:$G,$G36,'周排班-纵表'!$H:$H,W$1)</f>
        <v/>
      </c>
      <c r="X36" s="2">
        <f>SUMIFS('周排班-纵表'!$I:$I,'周排班-纵表'!$C:$C,$C36,'周排班-纵表'!$G:$G,$G36,'周排班-纵表'!$H:$H,X$1)</f>
        <v/>
      </c>
      <c r="Y36" s="2">
        <f>SUMIFS('周排班-纵表'!$I:$I,'周排班-纵表'!$C:$C,$C36,'周排班-纵表'!$G:$G,$G36,'周排班-纵表'!$H:$H,Y$1)</f>
        <v/>
      </c>
      <c r="Z36" s="2">
        <f>SUMIFS('周排班-纵表'!$I:$I,'周排班-纵表'!$C:$C,$C36,'周排班-纵表'!$G:$G,$G36,'周排班-纵表'!$H:$H,Z$1)</f>
        <v/>
      </c>
      <c r="AA36" s="2">
        <f>SUMIFS('周排班-纵表'!$I:$I,'周排班-纵表'!$C:$C,$C36,'周排班-纵表'!$G:$G,$G36,'周排班-纵表'!$H:$H,AA$1)</f>
        <v/>
      </c>
      <c r="AB36" s="2">
        <f>SUMIFS('周排班-纵表'!$I:$I,'周排班-纵表'!$C:$C,$C36,'周排班-纵表'!$G:$G,$G36,'周排班-纵表'!$H:$H,AB$1)</f>
        <v/>
      </c>
      <c r="AC36" s="2">
        <f>SUMIFS('周排班-纵表'!$I:$I,'周排班-纵表'!$C:$C,$C36,'周排班-纵表'!$G:$G,$G36,'周排班-纵表'!$H:$H,AC$1)</f>
        <v/>
      </c>
      <c r="AD36" s="2">
        <f>SUMIFS('周排班-纵表'!$I:$I,'周排班-纵表'!$C:$C,$C36,'周排班-纵表'!$G:$G,$G36,'周排班-纵表'!$H:$H,AD$1)</f>
        <v/>
      </c>
      <c r="AE36" s="2">
        <f>SUMIFS('周排班-纵表'!$I:$I,'周排班-纵表'!$C:$C,$C36,'周排班-纵表'!$G:$G,$G36,'周排班-纵表'!$H:$H,AE$1)</f>
        <v/>
      </c>
      <c r="AF36" s="2">
        <f>SUMIFS('周排班-纵表'!$I:$I,'周排班-纵表'!$C:$C,$C36,'周排班-纵表'!$G:$G,$G36,'周排班-纵表'!$H:$H,AF$1)</f>
        <v/>
      </c>
      <c r="AG36" s="2">
        <f>SUMIFS('周排班-纵表'!$I:$I,'周排班-纵表'!$C:$C,$C36,'周排班-纵表'!$G:$G,$G36,'周排班-纵表'!$H:$H,AG$1)</f>
        <v/>
      </c>
      <c r="AH36" s="2">
        <f>SUMIFS('周排班-纵表'!$I:$I,'周排班-纵表'!$C:$C,$C36,'周排班-纵表'!$G:$G,$G36,'周排班-纵表'!$H:$H,AH$1)</f>
        <v/>
      </c>
      <c r="AI36" s="2">
        <f>SUMIFS('周排班-纵表'!$I:$I,'周排班-纵表'!$C:$C,$C36,'周排班-纵表'!$G:$G,$G36,'周排班-纵表'!$H:$H,AI$1)</f>
        <v/>
      </c>
      <c r="AJ36" s="2">
        <f>SUMIFS('周排班-纵表'!$I:$I,'周排班-纵表'!$C:$C,$C36,'周排班-纵表'!$G:$G,$G36,'周排班-纵表'!$H:$H,AJ$1)</f>
        <v/>
      </c>
      <c r="AK36" s="2">
        <f>SUMIFS('周排班-纵表'!$I:$I,'周排班-纵表'!$C:$C,$C36,'周排班-纵表'!$G:$G,$G36,'周排班-纵表'!$H:$H,AK$1)</f>
        <v/>
      </c>
      <c r="AL36" s="2">
        <f>SUMIFS('周排班-纵表'!$I:$I,'周排班-纵表'!$C:$C,$C36,'周排班-纵表'!$G:$G,$G36,'周排班-纵表'!$H:$H,AL$1)</f>
        <v/>
      </c>
    </row>
    <row r="37">
      <c r="A37" s="2" t="inlineStr">
        <is>
          <t>ICBC</t>
        </is>
      </c>
      <c r="B37" s="2" t="inlineStr">
        <is>
          <t>Industrial And Commercial Bank of China (Asia) Limited</t>
        </is>
      </c>
      <c r="C37" s="2" t="inlineStr">
        <is>
          <t>47129548</t>
        </is>
      </c>
      <c r="D37" s="2" t="inlineStr">
        <is>
          <t>AUD2026-12 ICBCA</t>
        </is>
      </c>
      <c r="E37" s="2" t="inlineStr">
        <is>
          <t>Order47129548- 260501002</t>
        </is>
      </c>
      <c r="F37" s="2" t="inlineStr">
        <is>
          <t>47129548- EDC260501001</t>
        </is>
      </c>
      <c r="G37" s="2" t="inlineStr">
        <is>
          <t>InternB</t>
        </is>
      </c>
      <c r="H37" s="2">
        <f>SUMIFS('周排班-纵表'!$I:$I,'周排班-纵表'!$C:$C,$C37,'周排班-纵表'!$G:$G,$G37,'周排班-纵表'!$H:$H,H$1)</f>
        <v/>
      </c>
      <c r="I37" s="2">
        <f>SUMIFS('周排班-纵表'!$I:$I,'周排班-纵表'!$C:$C,$C37,'周排班-纵表'!$G:$G,$G37,'周排班-纵表'!$H:$H,I$1)</f>
        <v/>
      </c>
      <c r="J37" s="2">
        <f>SUMIFS('周排班-纵表'!$I:$I,'周排班-纵表'!$C:$C,$C37,'周排班-纵表'!$G:$G,$G37,'周排班-纵表'!$H:$H,J$1)</f>
        <v/>
      </c>
      <c r="K37" s="2">
        <f>SUMIFS('周排班-纵表'!$I:$I,'周排班-纵表'!$C:$C,$C37,'周排班-纵表'!$G:$G,$G37,'周排班-纵表'!$H:$H,K$1)</f>
        <v/>
      </c>
      <c r="L37" s="2">
        <f>SUMIFS('周排班-纵表'!$I:$I,'周排班-纵表'!$C:$C,$C37,'周排班-纵表'!$G:$G,$G37,'周排班-纵表'!$H:$H,L$1)</f>
        <v/>
      </c>
      <c r="M37" s="2">
        <f>SUMIFS('周排班-纵表'!$I:$I,'周排班-纵表'!$C:$C,$C37,'周排班-纵表'!$G:$G,$G37,'周排班-纵表'!$H:$H,M$1)</f>
        <v/>
      </c>
      <c r="N37" s="2">
        <f>SUMIFS('周排班-纵表'!$I:$I,'周排班-纵表'!$C:$C,$C37,'周排班-纵表'!$G:$G,$G37,'周排班-纵表'!$H:$H,N$1)</f>
        <v/>
      </c>
      <c r="O37" s="2">
        <f>SUMIFS('周排班-纵表'!$I:$I,'周排班-纵表'!$C:$C,$C37,'周排班-纵表'!$G:$G,$G37,'周排班-纵表'!$H:$H,O$1)</f>
        <v/>
      </c>
      <c r="P37" s="2">
        <f>SUMIFS('周排班-纵表'!$I:$I,'周排班-纵表'!$C:$C,$C37,'周排班-纵表'!$G:$G,$G37,'周排班-纵表'!$H:$H,P$1)</f>
        <v/>
      </c>
      <c r="Q37" s="2">
        <f>SUMIFS('周排班-纵表'!$I:$I,'周排班-纵表'!$C:$C,$C37,'周排班-纵表'!$G:$G,$G37,'周排班-纵表'!$H:$H,Q$1)</f>
        <v/>
      </c>
      <c r="R37" s="2">
        <f>SUMIFS('周排班-纵表'!$I:$I,'周排班-纵表'!$C:$C,$C37,'周排班-纵表'!$G:$G,$G37,'周排班-纵表'!$H:$H,R$1)</f>
        <v/>
      </c>
      <c r="S37" s="2">
        <f>SUMIFS('周排班-纵表'!$I:$I,'周排班-纵表'!$C:$C,$C37,'周排班-纵表'!$G:$G,$G37,'周排班-纵表'!$H:$H,S$1)</f>
        <v/>
      </c>
      <c r="T37" s="2">
        <f>SUMIFS('周排班-纵表'!$I:$I,'周排班-纵表'!$C:$C,$C37,'周排班-纵表'!$G:$G,$G37,'周排班-纵表'!$H:$H,T$1)</f>
        <v/>
      </c>
      <c r="U37" s="2">
        <f>SUMIFS('周排班-纵表'!$I:$I,'周排班-纵表'!$C:$C,$C37,'周排班-纵表'!$G:$G,$G37,'周排班-纵表'!$H:$H,U$1)</f>
        <v/>
      </c>
      <c r="V37" s="2">
        <f>SUMIFS('周排班-纵表'!$I:$I,'周排班-纵表'!$C:$C,$C37,'周排班-纵表'!$G:$G,$G37,'周排班-纵表'!$H:$H,V$1)</f>
        <v/>
      </c>
      <c r="W37" s="2">
        <f>SUMIFS('周排班-纵表'!$I:$I,'周排班-纵表'!$C:$C,$C37,'周排班-纵表'!$G:$G,$G37,'周排班-纵表'!$H:$H,W$1)</f>
        <v/>
      </c>
      <c r="X37" s="2">
        <f>SUMIFS('周排班-纵表'!$I:$I,'周排班-纵表'!$C:$C,$C37,'周排班-纵表'!$G:$G,$G37,'周排班-纵表'!$H:$H,X$1)</f>
        <v/>
      </c>
      <c r="Y37" s="2">
        <f>SUMIFS('周排班-纵表'!$I:$I,'周排班-纵表'!$C:$C,$C37,'周排班-纵表'!$G:$G,$G37,'周排班-纵表'!$H:$H,Y$1)</f>
        <v/>
      </c>
      <c r="Z37" s="2">
        <f>SUMIFS('周排班-纵表'!$I:$I,'周排班-纵表'!$C:$C,$C37,'周排班-纵表'!$G:$G,$G37,'周排班-纵表'!$H:$H,Z$1)</f>
        <v/>
      </c>
      <c r="AA37" s="2">
        <f>SUMIFS('周排班-纵表'!$I:$I,'周排班-纵表'!$C:$C,$C37,'周排班-纵表'!$G:$G,$G37,'周排班-纵表'!$H:$H,AA$1)</f>
        <v/>
      </c>
      <c r="AB37" s="2">
        <f>SUMIFS('周排班-纵表'!$I:$I,'周排班-纵表'!$C:$C,$C37,'周排班-纵表'!$G:$G,$G37,'周排班-纵表'!$H:$H,AB$1)</f>
        <v/>
      </c>
      <c r="AC37" s="2">
        <f>SUMIFS('周排班-纵表'!$I:$I,'周排班-纵表'!$C:$C,$C37,'周排班-纵表'!$G:$G,$G37,'周排班-纵表'!$H:$H,AC$1)</f>
        <v/>
      </c>
      <c r="AD37" s="2">
        <f>SUMIFS('周排班-纵表'!$I:$I,'周排班-纵表'!$C:$C,$C37,'周排班-纵表'!$G:$G,$G37,'周排班-纵表'!$H:$H,AD$1)</f>
        <v/>
      </c>
      <c r="AE37" s="2">
        <f>SUMIFS('周排班-纵表'!$I:$I,'周排班-纵表'!$C:$C,$C37,'周排班-纵表'!$G:$G,$G37,'周排班-纵表'!$H:$H,AE$1)</f>
        <v/>
      </c>
      <c r="AF37" s="2">
        <f>SUMIFS('周排班-纵表'!$I:$I,'周排班-纵表'!$C:$C,$C37,'周排班-纵表'!$G:$G,$G37,'周排班-纵表'!$H:$H,AF$1)</f>
        <v/>
      </c>
      <c r="AG37" s="2">
        <f>SUMIFS('周排班-纵表'!$I:$I,'周排班-纵表'!$C:$C,$C37,'周排班-纵表'!$G:$G,$G37,'周排班-纵表'!$H:$H,AG$1)</f>
        <v/>
      </c>
      <c r="AH37" s="2">
        <f>SUMIFS('周排班-纵表'!$I:$I,'周排班-纵表'!$C:$C,$C37,'周排班-纵表'!$G:$G,$G37,'周排班-纵表'!$H:$H,AH$1)</f>
        <v/>
      </c>
      <c r="AI37" s="2">
        <f>SUMIFS('周排班-纵表'!$I:$I,'周排班-纵表'!$C:$C,$C37,'周排班-纵表'!$G:$G,$G37,'周排班-纵表'!$H:$H,AI$1)</f>
        <v/>
      </c>
      <c r="AJ37" s="2">
        <f>SUMIFS('周排班-纵表'!$I:$I,'周排班-纵表'!$C:$C,$C37,'周排班-纵表'!$G:$G,$G37,'周排班-纵表'!$H:$H,AJ$1)</f>
        <v/>
      </c>
      <c r="AK37" s="2">
        <f>SUMIFS('周排班-纵表'!$I:$I,'周排班-纵表'!$C:$C,$C37,'周排班-纵表'!$G:$G,$G37,'周排班-纵表'!$H:$H,AK$1)</f>
        <v/>
      </c>
      <c r="AL37" s="2">
        <f>SUMIFS('周排班-纵表'!$I:$I,'周排班-纵表'!$C:$C,$C37,'周排班-纵表'!$G:$G,$G37,'周排班-纵表'!$H:$H,AL$1)</f>
        <v/>
      </c>
    </row>
    <row r="38">
      <c r="A38" s="2" t="inlineStr">
        <is>
          <t>ICBC</t>
        </is>
      </c>
      <c r="B38" s="2" t="inlineStr">
        <is>
          <t>Industrial And Commercial Bank of China (Asia) Limited</t>
        </is>
      </c>
      <c r="C38" s="2" t="inlineStr">
        <is>
          <t>47129548</t>
        </is>
      </c>
      <c r="D38" s="2" t="inlineStr">
        <is>
          <t>AUD2026-12 ICBCA</t>
        </is>
      </c>
      <c r="E38" s="2" t="inlineStr">
        <is>
          <t>Order47129548- 260501002</t>
        </is>
      </c>
      <c r="F38" s="2" t="inlineStr">
        <is>
          <t>47129548- EDC260501001</t>
        </is>
      </c>
      <c r="G38" s="2" t="inlineStr">
        <is>
          <t>Luna.CD.Zhang@cn.ey.com</t>
        </is>
      </c>
      <c r="H38" s="2">
        <f>SUMIFS('周排班-纵表'!$I:$I,'周排班-纵表'!$C:$C,$C38,'周排班-纵表'!$G:$G,$G38,'周排班-纵表'!$H:$H,H$1)</f>
        <v/>
      </c>
      <c r="I38" s="2">
        <f>SUMIFS('周排班-纵表'!$I:$I,'周排班-纵表'!$C:$C,$C38,'周排班-纵表'!$G:$G,$G38,'周排班-纵表'!$H:$H,I$1)</f>
        <v/>
      </c>
      <c r="J38" s="2">
        <f>SUMIFS('周排班-纵表'!$I:$I,'周排班-纵表'!$C:$C,$C38,'周排班-纵表'!$G:$G,$G38,'周排班-纵表'!$H:$H,J$1)</f>
        <v/>
      </c>
      <c r="K38" s="2">
        <f>SUMIFS('周排班-纵表'!$I:$I,'周排班-纵表'!$C:$C,$C38,'周排班-纵表'!$G:$G,$G38,'周排班-纵表'!$H:$H,K$1)</f>
        <v/>
      </c>
      <c r="L38" s="2">
        <f>SUMIFS('周排班-纵表'!$I:$I,'周排班-纵表'!$C:$C,$C38,'周排班-纵表'!$G:$G,$G38,'周排班-纵表'!$H:$H,L$1)</f>
        <v/>
      </c>
      <c r="M38" s="2">
        <f>SUMIFS('周排班-纵表'!$I:$I,'周排班-纵表'!$C:$C,$C38,'周排班-纵表'!$G:$G,$G38,'周排班-纵表'!$H:$H,M$1)</f>
        <v/>
      </c>
      <c r="N38" s="2">
        <f>SUMIFS('周排班-纵表'!$I:$I,'周排班-纵表'!$C:$C,$C38,'周排班-纵表'!$G:$G,$G38,'周排班-纵表'!$H:$H,N$1)</f>
        <v/>
      </c>
      <c r="O38" s="2">
        <f>SUMIFS('周排班-纵表'!$I:$I,'周排班-纵表'!$C:$C,$C38,'周排班-纵表'!$G:$G,$G38,'周排班-纵表'!$H:$H,O$1)</f>
        <v/>
      </c>
      <c r="P38" s="2">
        <f>SUMIFS('周排班-纵表'!$I:$I,'周排班-纵表'!$C:$C,$C38,'周排班-纵表'!$G:$G,$G38,'周排班-纵表'!$H:$H,P$1)</f>
        <v/>
      </c>
      <c r="Q38" s="2">
        <f>SUMIFS('周排班-纵表'!$I:$I,'周排班-纵表'!$C:$C,$C38,'周排班-纵表'!$G:$G,$G38,'周排班-纵表'!$H:$H,Q$1)</f>
        <v/>
      </c>
      <c r="R38" s="2">
        <f>SUMIFS('周排班-纵表'!$I:$I,'周排班-纵表'!$C:$C,$C38,'周排班-纵表'!$G:$G,$G38,'周排班-纵表'!$H:$H,R$1)</f>
        <v/>
      </c>
      <c r="S38" s="2">
        <f>SUMIFS('周排班-纵表'!$I:$I,'周排班-纵表'!$C:$C,$C38,'周排班-纵表'!$G:$G,$G38,'周排班-纵表'!$H:$H,S$1)</f>
        <v/>
      </c>
      <c r="T38" s="2">
        <f>SUMIFS('周排班-纵表'!$I:$I,'周排班-纵表'!$C:$C,$C38,'周排班-纵表'!$G:$G,$G38,'周排班-纵表'!$H:$H,T$1)</f>
        <v/>
      </c>
      <c r="U38" s="2">
        <f>SUMIFS('周排班-纵表'!$I:$I,'周排班-纵表'!$C:$C,$C38,'周排班-纵表'!$G:$G,$G38,'周排班-纵表'!$H:$H,U$1)</f>
        <v/>
      </c>
      <c r="V38" s="2">
        <f>SUMIFS('周排班-纵表'!$I:$I,'周排班-纵表'!$C:$C,$C38,'周排班-纵表'!$G:$G,$G38,'周排班-纵表'!$H:$H,V$1)</f>
        <v/>
      </c>
      <c r="W38" s="2">
        <f>SUMIFS('周排班-纵表'!$I:$I,'周排班-纵表'!$C:$C,$C38,'周排班-纵表'!$G:$G,$G38,'周排班-纵表'!$H:$H,W$1)</f>
        <v/>
      </c>
      <c r="X38" s="2">
        <f>SUMIFS('周排班-纵表'!$I:$I,'周排班-纵表'!$C:$C,$C38,'周排班-纵表'!$G:$G,$G38,'周排班-纵表'!$H:$H,X$1)</f>
        <v/>
      </c>
      <c r="Y38" s="2">
        <f>SUMIFS('周排班-纵表'!$I:$I,'周排班-纵表'!$C:$C,$C38,'周排班-纵表'!$G:$G,$G38,'周排班-纵表'!$H:$H,Y$1)</f>
        <v/>
      </c>
      <c r="Z38" s="2">
        <f>SUMIFS('周排班-纵表'!$I:$I,'周排班-纵表'!$C:$C,$C38,'周排班-纵表'!$G:$G,$G38,'周排班-纵表'!$H:$H,Z$1)</f>
        <v/>
      </c>
      <c r="AA38" s="2">
        <f>SUMIFS('周排班-纵表'!$I:$I,'周排班-纵表'!$C:$C,$C38,'周排班-纵表'!$G:$G,$G38,'周排班-纵表'!$H:$H,AA$1)</f>
        <v/>
      </c>
      <c r="AB38" s="2">
        <f>SUMIFS('周排班-纵表'!$I:$I,'周排班-纵表'!$C:$C,$C38,'周排班-纵表'!$G:$G,$G38,'周排班-纵表'!$H:$H,AB$1)</f>
        <v/>
      </c>
      <c r="AC38" s="2">
        <f>SUMIFS('周排班-纵表'!$I:$I,'周排班-纵表'!$C:$C,$C38,'周排班-纵表'!$G:$G,$G38,'周排班-纵表'!$H:$H,AC$1)</f>
        <v/>
      </c>
      <c r="AD38" s="2">
        <f>SUMIFS('周排班-纵表'!$I:$I,'周排班-纵表'!$C:$C,$C38,'周排班-纵表'!$G:$G,$G38,'周排班-纵表'!$H:$H,AD$1)</f>
        <v/>
      </c>
      <c r="AE38" s="2">
        <f>SUMIFS('周排班-纵表'!$I:$I,'周排班-纵表'!$C:$C,$C38,'周排班-纵表'!$G:$G,$G38,'周排班-纵表'!$H:$H,AE$1)</f>
        <v/>
      </c>
      <c r="AF38" s="2">
        <f>SUMIFS('周排班-纵表'!$I:$I,'周排班-纵表'!$C:$C,$C38,'周排班-纵表'!$G:$G,$G38,'周排班-纵表'!$H:$H,AF$1)</f>
        <v/>
      </c>
      <c r="AG38" s="2">
        <f>SUMIFS('周排班-纵表'!$I:$I,'周排班-纵表'!$C:$C,$C38,'周排班-纵表'!$G:$G,$G38,'周排班-纵表'!$H:$H,AG$1)</f>
        <v/>
      </c>
      <c r="AH38" s="2">
        <f>SUMIFS('周排班-纵表'!$I:$I,'周排班-纵表'!$C:$C,$C38,'周排班-纵表'!$G:$G,$G38,'周排班-纵表'!$H:$H,AH$1)</f>
        <v/>
      </c>
      <c r="AI38" s="2">
        <f>SUMIFS('周排班-纵表'!$I:$I,'周排班-纵表'!$C:$C,$C38,'周排班-纵表'!$G:$G,$G38,'周排班-纵表'!$H:$H,AI$1)</f>
        <v/>
      </c>
      <c r="AJ38" s="2">
        <f>SUMIFS('周排班-纵表'!$I:$I,'周排班-纵表'!$C:$C,$C38,'周排班-纵表'!$G:$G,$G38,'周排班-纵表'!$H:$H,AJ$1)</f>
        <v/>
      </c>
      <c r="AK38" s="2">
        <f>SUMIFS('周排班-纵表'!$I:$I,'周排班-纵表'!$C:$C,$C38,'周排班-纵表'!$G:$G,$G38,'周排班-纵表'!$H:$H,AK$1)</f>
        <v/>
      </c>
      <c r="AL38" s="2">
        <f>SUMIFS('周排班-纵表'!$I:$I,'周排班-纵表'!$C:$C,$C38,'周排班-纵表'!$G:$G,$G38,'周排班-纵表'!$H:$H,AL$1)</f>
        <v/>
      </c>
    </row>
    <row r="39">
      <c r="A39" s="2" t="inlineStr">
        <is>
          <t>ICBC</t>
        </is>
      </c>
      <c r="B39" s="2" t="inlineStr">
        <is>
          <t>Industrial And Commercial Bank of China (Asia) Limited</t>
        </is>
      </c>
      <c r="C39" s="2" t="inlineStr">
        <is>
          <t>47129548</t>
        </is>
      </c>
      <c r="D39" s="2" t="inlineStr">
        <is>
          <t>AUD2026-12 ICBCA</t>
        </is>
      </c>
      <c r="E39" s="2" t="inlineStr">
        <is>
          <t>Order47129548- 260501002</t>
        </is>
      </c>
      <c r="F39" s="2" t="inlineStr">
        <is>
          <t>47129548- EDC260501001</t>
        </is>
      </c>
      <c r="G39" s="2" t="inlineStr">
        <is>
          <t>Marsh.Ma@cn.ey.com</t>
        </is>
      </c>
      <c r="H39" s="2">
        <f>SUMIFS('周排班-纵表'!$I:$I,'周排班-纵表'!$C:$C,$C39,'周排班-纵表'!$G:$G,$G39,'周排班-纵表'!$H:$H,H$1)</f>
        <v/>
      </c>
      <c r="I39" s="2">
        <f>SUMIFS('周排班-纵表'!$I:$I,'周排班-纵表'!$C:$C,$C39,'周排班-纵表'!$G:$G,$G39,'周排班-纵表'!$H:$H,I$1)</f>
        <v/>
      </c>
      <c r="J39" s="2">
        <f>SUMIFS('周排班-纵表'!$I:$I,'周排班-纵表'!$C:$C,$C39,'周排班-纵表'!$G:$G,$G39,'周排班-纵表'!$H:$H,J$1)</f>
        <v/>
      </c>
      <c r="K39" s="2">
        <f>SUMIFS('周排班-纵表'!$I:$I,'周排班-纵表'!$C:$C,$C39,'周排班-纵表'!$G:$G,$G39,'周排班-纵表'!$H:$H,K$1)</f>
        <v/>
      </c>
      <c r="L39" s="2">
        <f>SUMIFS('周排班-纵表'!$I:$I,'周排班-纵表'!$C:$C,$C39,'周排班-纵表'!$G:$G,$G39,'周排班-纵表'!$H:$H,L$1)</f>
        <v/>
      </c>
      <c r="M39" s="2">
        <f>SUMIFS('周排班-纵表'!$I:$I,'周排班-纵表'!$C:$C,$C39,'周排班-纵表'!$G:$G,$G39,'周排班-纵表'!$H:$H,M$1)</f>
        <v/>
      </c>
      <c r="N39" s="2">
        <f>SUMIFS('周排班-纵表'!$I:$I,'周排班-纵表'!$C:$C,$C39,'周排班-纵表'!$G:$G,$G39,'周排班-纵表'!$H:$H,N$1)</f>
        <v/>
      </c>
      <c r="O39" s="2">
        <f>SUMIFS('周排班-纵表'!$I:$I,'周排班-纵表'!$C:$C,$C39,'周排班-纵表'!$G:$G,$G39,'周排班-纵表'!$H:$H,O$1)</f>
        <v/>
      </c>
      <c r="P39" s="2">
        <f>SUMIFS('周排班-纵表'!$I:$I,'周排班-纵表'!$C:$C,$C39,'周排班-纵表'!$G:$G,$G39,'周排班-纵表'!$H:$H,P$1)</f>
        <v/>
      </c>
      <c r="Q39" s="2">
        <f>SUMIFS('周排班-纵表'!$I:$I,'周排班-纵表'!$C:$C,$C39,'周排班-纵表'!$G:$G,$G39,'周排班-纵表'!$H:$H,Q$1)</f>
        <v/>
      </c>
      <c r="R39" s="2">
        <f>SUMIFS('周排班-纵表'!$I:$I,'周排班-纵表'!$C:$C,$C39,'周排班-纵表'!$G:$G,$G39,'周排班-纵表'!$H:$H,R$1)</f>
        <v/>
      </c>
      <c r="S39" s="2">
        <f>SUMIFS('周排班-纵表'!$I:$I,'周排班-纵表'!$C:$C,$C39,'周排班-纵表'!$G:$G,$G39,'周排班-纵表'!$H:$H,S$1)</f>
        <v/>
      </c>
      <c r="T39" s="2">
        <f>SUMIFS('周排班-纵表'!$I:$I,'周排班-纵表'!$C:$C,$C39,'周排班-纵表'!$G:$G,$G39,'周排班-纵表'!$H:$H,T$1)</f>
        <v/>
      </c>
      <c r="U39" s="2">
        <f>SUMIFS('周排班-纵表'!$I:$I,'周排班-纵表'!$C:$C,$C39,'周排班-纵表'!$G:$G,$G39,'周排班-纵表'!$H:$H,U$1)</f>
        <v/>
      </c>
      <c r="V39" s="2">
        <f>SUMIFS('周排班-纵表'!$I:$I,'周排班-纵表'!$C:$C,$C39,'周排班-纵表'!$G:$G,$G39,'周排班-纵表'!$H:$H,V$1)</f>
        <v/>
      </c>
      <c r="W39" s="2">
        <f>SUMIFS('周排班-纵表'!$I:$I,'周排班-纵表'!$C:$C,$C39,'周排班-纵表'!$G:$G,$G39,'周排班-纵表'!$H:$H,W$1)</f>
        <v/>
      </c>
      <c r="X39" s="2">
        <f>SUMIFS('周排班-纵表'!$I:$I,'周排班-纵表'!$C:$C,$C39,'周排班-纵表'!$G:$G,$G39,'周排班-纵表'!$H:$H,X$1)</f>
        <v/>
      </c>
      <c r="Y39" s="2">
        <f>SUMIFS('周排班-纵表'!$I:$I,'周排班-纵表'!$C:$C,$C39,'周排班-纵表'!$G:$G,$G39,'周排班-纵表'!$H:$H,Y$1)</f>
        <v/>
      </c>
      <c r="Z39" s="2">
        <f>SUMIFS('周排班-纵表'!$I:$I,'周排班-纵表'!$C:$C,$C39,'周排班-纵表'!$G:$G,$G39,'周排班-纵表'!$H:$H,Z$1)</f>
        <v/>
      </c>
      <c r="AA39" s="2">
        <f>SUMIFS('周排班-纵表'!$I:$I,'周排班-纵表'!$C:$C,$C39,'周排班-纵表'!$G:$G,$G39,'周排班-纵表'!$H:$H,AA$1)</f>
        <v/>
      </c>
      <c r="AB39" s="2">
        <f>SUMIFS('周排班-纵表'!$I:$I,'周排班-纵表'!$C:$C,$C39,'周排班-纵表'!$G:$G,$G39,'周排班-纵表'!$H:$H,AB$1)</f>
        <v/>
      </c>
      <c r="AC39" s="2">
        <f>SUMIFS('周排班-纵表'!$I:$I,'周排班-纵表'!$C:$C,$C39,'周排班-纵表'!$G:$G,$G39,'周排班-纵表'!$H:$H,AC$1)</f>
        <v/>
      </c>
      <c r="AD39" s="2">
        <f>SUMIFS('周排班-纵表'!$I:$I,'周排班-纵表'!$C:$C,$C39,'周排班-纵表'!$G:$G,$G39,'周排班-纵表'!$H:$H,AD$1)</f>
        <v/>
      </c>
      <c r="AE39" s="2">
        <f>SUMIFS('周排班-纵表'!$I:$I,'周排班-纵表'!$C:$C,$C39,'周排班-纵表'!$G:$G,$G39,'周排班-纵表'!$H:$H,AE$1)</f>
        <v/>
      </c>
      <c r="AF39" s="2">
        <f>SUMIFS('周排班-纵表'!$I:$I,'周排班-纵表'!$C:$C,$C39,'周排班-纵表'!$G:$G,$G39,'周排班-纵表'!$H:$H,AF$1)</f>
        <v/>
      </c>
      <c r="AG39" s="2">
        <f>SUMIFS('周排班-纵表'!$I:$I,'周排班-纵表'!$C:$C,$C39,'周排班-纵表'!$G:$G,$G39,'周排班-纵表'!$H:$H,AG$1)</f>
        <v/>
      </c>
      <c r="AH39" s="2">
        <f>SUMIFS('周排班-纵表'!$I:$I,'周排班-纵表'!$C:$C,$C39,'周排班-纵表'!$G:$G,$G39,'周排班-纵表'!$H:$H,AH$1)</f>
        <v/>
      </c>
      <c r="AI39" s="2">
        <f>SUMIFS('周排班-纵表'!$I:$I,'周排班-纵表'!$C:$C,$C39,'周排班-纵表'!$G:$G,$G39,'周排班-纵表'!$H:$H,AI$1)</f>
        <v/>
      </c>
      <c r="AJ39" s="2">
        <f>SUMIFS('周排班-纵表'!$I:$I,'周排班-纵表'!$C:$C,$C39,'周排班-纵表'!$G:$G,$G39,'周排班-纵表'!$H:$H,AJ$1)</f>
        <v/>
      </c>
      <c r="AK39" s="2">
        <f>SUMIFS('周排班-纵表'!$I:$I,'周排班-纵表'!$C:$C,$C39,'周排班-纵表'!$G:$G,$G39,'周排班-纵表'!$H:$H,AK$1)</f>
        <v/>
      </c>
      <c r="AL39" s="2">
        <f>SUMIFS('周排班-纵表'!$I:$I,'周排班-纵表'!$C:$C,$C39,'周排班-纵表'!$G:$G,$G39,'周排班-纵表'!$H:$H,AL$1)</f>
        <v/>
      </c>
    </row>
    <row r="40">
      <c r="A40" s="2" t="inlineStr">
        <is>
          <t>ICBC</t>
        </is>
      </c>
      <c r="B40" s="2" t="inlineStr">
        <is>
          <t>Industrial And Commercial Bank of China (Asia) Limited</t>
        </is>
      </c>
      <c r="C40" s="2" t="inlineStr">
        <is>
          <t>47129548</t>
        </is>
      </c>
      <c r="D40" s="2" t="inlineStr">
        <is>
          <t>AUD2026-12 ICBCA</t>
        </is>
      </c>
      <c r="E40" s="2" t="inlineStr">
        <is>
          <t>Order47129548- 260501002</t>
        </is>
      </c>
      <c r="F40" s="2" t="inlineStr">
        <is>
          <t>47129548- EDC260501001</t>
        </is>
      </c>
      <c r="G40" s="2" t="inlineStr">
        <is>
          <t>Rainbow.MG.Xiao@cn.ey.com</t>
        </is>
      </c>
      <c r="H40" s="2">
        <f>SUMIFS('周排班-纵表'!$I:$I,'周排班-纵表'!$C:$C,$C40,'周排班-纵表'!$G:$G,$G40,'周排班-纵表'!$H:$H,H$1)</f>
        <v/>
      </c>
      <c r="I40" s="2">
        <f>SUMIFS('周排班-纵表'!$I:$I,'周排班-纵表'!$C:$C,$C40,'周排班-纵表'!$G:$G,$G40,'周排班-纵表'!$H:$H,I$1)</f>
        <v/>
      </c>
      <c r="J40" s="2">
        <f>SUMIFS('周排班-纵表'!$I:$I,'周排班-纵表'!$C:$C,$C40,'周排班-纵表'!$G:$G,$G40,'周排班-纵表'!$H:$H,J$1)</f>
        <v/>
      </c>
      <c r="K40" s="2">
        <f>SUMIFS('周排班-纵表'!$I:$I,'周排班-纵表'!$C:$C,$C40,'周排班-纵表'!$G:$G,$G40,'周排班-纵表'!$H:$H,K$1)</f>
        <v/>
      </c>
      <c r="L40" s="2">
        <f>SUMIFS('周排班-纵表'!$I:$I,'周排班-纵表'!$C:$C,$C40,'周排班-纵表'!$G:$G,$G40,'周排班-纵表'!$H:$H,L$1)</f>
        <v/>
      </c>
      <c r="M40" s="2">
        <f>SUMIFS('周排班-纵表'!$I:$I,'周排班-纵表'!$C:$C,$C40,'周排班-纵表'!$G:$G,$G40,'周排班-纵表'!$H:$H,M$1)</f>
        <v/>
      </c>
      <c r="N40" s="2">
        <f>SUMIFS('周排班-纵表'!$I:$I,'周排班-纵表'!$C:$C,$C40,'周排班-纵表'!$G:$G,$G40,'周排班-纵表'!$H:$H,N$1)</f>
        <v/>
      </c>
      <c r="O40" s="2">
        <f>SUMIFS('周排班-纵表'!$I:$I,'周排班-纵表'!$C:$C,$C40,'周排班-纵表'!$G:$G,$G40,'周排班-纵表'!$H:$H,O$1)</f>
        <v/>
      </c>
      <c r="P40" s="2">
        <f>SUMIFS('周排班-纵表'!$I:$I,'周排班-纵表'!$C:$C,$C40,'周排班-纵表'!$G:$G,$G40,'周排班-纵表'!$H:$H,P$1)</f>
        <v/>
      </c>
      <c r="Q40" s="2">
        <f>SUMIFS('周排班-纵表'!$I:$I,'周排班-纵表'!$C:$C,$C40,'周排班-纵表'!$G:$G,$G40,'周排班-纵表'!$H:$H,Q$1)</f>
        <v/>
      </c>
      <c r="R40" s="2">
        <f>SUMIFS('周排班-纵表'!$I:$I,'周排班-纵表'!$C:$C,$C40,'周排班-纵表'!$G:$G,$G40,'周排班-纵表'!$H:$H,R$1)</f>
        <v/>
      </c>
      <c r="S40" s="2">
        <f>SUMIFS('周排班-纵表'!$I:$I,'周排班-纵表'!$C:$C,$C40,'周排班-纵表'!$G:$G,$G40,'周排班-纵表'!$H:$H,S$1)</f>
        <v/>
      </c>
      <c r="T40" s="2">
        <f>SUMIFS('周排班-纵表'!$I:$I,'周排班-纵表'!$C:$C,$C40,'周排班-纵表'!$G:$G,$G40,'周排班-纵表'!$H:$H,T$1)</f>
        <v/>
      </c>
      <c r="U40" s="2">
        <f>SUMIFS('周排班-纵表'!$I:$I,'周排班-纵表'!$C:$C,$C40,'周排班-纵表'!$G:$G,$G40,'周排班-纵表'!$H:$H,U$1)</f>
        <v/>
      </c>
      <c r="V40" s="2">
        <f>SUMIFS('周排班-纵表'!$I:$I,'周排班-纵表'!$C:$C,$C40,'周排班-纵表'!$G:$G,$G40,'周排班-纵表'!$H:$H,V$1)</f>
        <v/>
      </c>
      <c r="W40" s="2">
        <f>SUMIFS('周排班-纵表'!$I:$I,'周排班-纵表'!$C:$C,$C40,'周排班-纵表'!$G:$G,$G40,'周排班-纵表'!$H:$H,W$1)</f>
        <v/>
      </c>
      <c r="X40" s="2">
        <f>SUMIFS('周排班-纵表'!$I:$I,'周排班-纵表'!$C:$C,$C40,'周排班-纵表'!$G:$G,$G40,'周排班-纵表'!$H:$H,X$1)</f>
        <v/>
      </c>
      <c r="Y40" s="2">
        <f>SUMIFS('周排班-纵表'!$I:$I,'周排班-纵表'!$C:$C,$C40,'周排班-纵表'!$G:$G,$G40,'周排班-纵表'!$H:$H,Y$1)</f>
        <v/>
      </c>
      <c r="Z40" s="2">
        <f>SUMIFS('周排班-纵表'!$I:$I,'周排班-纵表'!$C:$C,$C40,'周排班-纵表'!$G:$G,$G40,'周排班-纵表'!$H:$H,Z$1)</f>
        <v/>
      </c>
      <c r="AA40" s="2">
        <f>SUMIFS('周排班-纵表'!$I:$I,'周排班-纵表'!$C:$C,$C40,'周排班-纵表'!$G:$G,$G40,'周排班-纵表'!$H:$H,AA$1)</f>
        <v/>
      </c>
      <c r="AB40" s="2">
        <f>SUMIFS('周排班-纵表'!$I:$I,'周排班-纵表'!$C:$C,$C40,'周排班-纵表'!$G:$G,$G40,'周排班-纵表'!$H:$H,AB$1)</f>
        <v/>
      </c>
      <c r="AC40" s="2">
        <f>SUMIFS('周排班-纵表'!$I:$I,'周排班-纵表'!$C:$C,$C40,'周排班-纵表'!$G:$G,$G40,'周排班-纵表'!$H:$H,AC$1)</f>
        <v/>
      </c>
      <c r="AD40" s="2">
        <f>SUMIFS('周排班-纵表'!$I:$I,'周排班-纵表'!$C:$C,$C40,'周排班-纵表'!$G:$G,$G40,'周排班-纵表'!$H:$H,AD$1)</f>
        <v/>
      </c>
      <c r="AE40" s="2">
        <f>SUMIFS('周排班-纵表'!$I:$I,'周排班-纵表'!$C:$C,$C40,'周排班-纵表'!$G:$G,$G40,'周排班-纵表'!$H:$H,AE$1)</f>
        <v/>
      </c>
      <c r="AF40" s="2">
        <f>SUMIFS('周排班-纵表'!$I:$I,'周排班-纵表'!$C:$C,$C40,'周排班-纵表'!$G:$G,$G40,'周排班-纵表'!$H:$H,AF$1)</f>
        <v/>
      </c>
      <c r="AG40" s="2">
        <f>SUMIFS('周排班-纵表'!$I:$I,'周排班-纵表'!$C:$C,$C40,'周排班-纵表'!$G:$G,$G40,'周排班-纵表'!$H:$H,AG$1)</f>
        <v/>
      </c>
      <c r="AH40" s="2">
        <f>SUMIFS('周排班-纵表'!$I:$I,'周排班-纵表'!$C:$C,$C40,'周排班-纵表'!$G:$G,$G40,'周排班-纵表'!$H:$H,AH$1)</f>
        <v/>
      </c>
      <c r="AI40" s="2">
        <f>SUMIFS('周排班-纵表'!$I:$I,'周排班-纵表'!$C:$C,$C40,'周排班-纵表'!$G:$G,$G40,'周排班-纵表'!$H:$H,AI$1)</f>
        <v/>
      </c>
      <c r="AJ40" s="2">
        <f>SUMIFS('周排班-纵表'!$I:$I,'周排班-纵表'!$C:$C,$C40,'周排班-纵表'!$G:$G,$G40,'周排班-纵表'!$H:$H,AJ$1)</f>
        <v/>
      </c>
      <c r="AK40" s="2">
        <f>SUMIFS('周排班-纵表'!$I:$I,'周排班-纵表'!$C:$C,$C40,'周排班-纵表'!$G:$G,$G40,'周排班-纵表'!$H:$H,AK$1)</f>
        <v/>
      </c>
      <c r="AL40" s="2">
        <f>SUMIFS('周排班-纵表'!$I:$I,'周排班-纵表'!$C:$C,$C40,'周排班-纵表'!$G:$G,$G40,'周排班-纵表'!$H:$H,AL$1)</f>
        <v/>
      </c>
    </row>
    <row r="41">
      <c r="A41" s="2" t="inlineStr">
        <is>
          <t>ICBC</t>
        </is>
      </c>
      <c r="B41" s="2" t="inlineStr">
        <is>
          <t>Industrial And Commercial Bank of China (Asia) Limited</t>
        </is>
      </c>
      <c r="C41" s="2" t="inlineStr">
        <is>
          <t>47129548</t>
        </is>
      </c>
      <c r="D41" s="2" t="inlineStr">
        <is>
          <t>AUD2026-12 ICBCA</t>
        </is>
      </c>
      <c r="E41" s="2" t="inlineStr">
        <is>
          <t>Order47129548- 260501002</t>
        </is>
      </c>
      <c r="F41" s="2" t="inlineStr">
        <is>
          <t>47129548- EDC260501001</t>
        </is>
      </c>
      <c r="G41" s="2" t="inlineStr">
        <is>
          <t>Vivi.W.Yang@cn.ey.com</t>
        </is>
      </c>
      <c r="H41" s="2">
        <f>SUMIFS('周排班-纵表'!$I:$I,'周排班-纵表'!$C:$C,$C41,'周排班-纵表'!$G:$G,$G41,'周排班-纵表'!$H:$H,H$1)</f>
        <v/>
      </c>
      <c r="I41" s="2">
        <f>SUMIFS('周排班-纵表'!$I:$I,'周排班-纵表'!$C:$C,$C41,'周排班-纵表'!$G:$G,$G41,'周排班-纵表'!$H:$H,I$1)</f>
        <v/>
      </c>
      <c r="J41" s="2">
        <f>SUMIFS('周排班-纵表'!$I:$I,'周排班-纵表'!$C:$C,$C41,'周排班-纵表'!$G:$G,$G41,'周排班-纵表'!$H:$H,J$1)</f>
        <v/>
      </c>
      <c r="K41" s="2">
        <f>SUMIFS('周排班-纵表'!$I:$I,'周排班-纵表'!$C:$C,$C41,'周排班-纵表'!$G:$G,$G41,'周排班-纵表'!$H:$H,K$1)</f>
        <v/>
      </c>
      <c r="L41" s="2">
        <f>SUMIFS('周排班-纵表'!$I:$I,'周排班-纵表'!$C:$C,$C41,'周排班-纵表'!$G:$G,$G41,'周排班-纵表'!$H:$H,L$1)</f>
        <v/>
      </c>
      <c r="M41" s="2">
        <f>SUMIFS('周排班-纵表'!$I:$I,'周排班-纵表'!$C:$C,$C41,'周排班-纵表'!$G:$G,$G41,'周排班-纵表'!$H:$H,M$1)</f>
        <v/>
      </c>
      <c r="N41" s="2">
        <f>SUMIFS('周排班-纵表'!$I:$I,'周排班-纵表'!$C:$C,$C41,'周排班-纵表'!$G:$G,$G41,'周排班-纵表'!$H:$H,N$1)</f>
        <v/>
      </c>
      <c r="O41" s="2">
        <f>SUMIFS('周排班-纵表'!$I:$I,'周排班-纵表'!$C:$C,$C41,'周排班-纵表'!$G:$G,$G41,'周排班-纵表'!$H:$H,O$1)</f>
        <v/>
      </c>
      <c r="P41" s="2">
        <f>SUMIFS('周排班-纵表'!$I:$I,'周排班-纵表'!$C:$C,$C41,'周排班-纵表'!$G:$G,$G41,'周排班-纵表'!$H:$H,P$1)</f>
        <v/>
      </c>
      <c r="Q41" s="2">
        <f>SUMIFS('周排班-纵表'!$I:$I,'周排班-纵表'!$C:$C,$C41,'周排班-纵表'!$G:$G,$G41,'周排班-纵表'!$H:$H,Q$1)</f>
        <v/>
      </c>
      <c r="R41" s="2">
        <f>SUMIFS('周排班-纵表'!$I:$I,'周排班-纵表'!$C:$C,$C41,'周排班-纵表'!$G:$G,$G41,'周排班-纵表'!$H:$H,R$1)</f>
        <v/>
      </c>
      <c r="S41" s="2">
        <f>SUMIFS('周排班-纵表'!$I:$I,'周排班-纵表'!$C:$C,$C41,'周排班-纵表'!$G:$G,$G41,'周排班-纵表'!$H:$H,S$1)</f>
        <v/>
      </c>
      <c r="T41" s="2">
        <f>SUMIFS('周排班-纵表'!$I:$I,'周排班-纵表'!$C:$C,$C41,'周排班-纵表'!$G:$G,$G41,'周排班-纵表'!$H:$H,T$1)</f>
        <v/>
      </c>
      <c r="U41" s="2">
        <f>SUMIFS('周排班-纵表'!$I:$I,'周排班-纵表'!$C:$C,$C41,'周排班-纵表'!$G:$G,$G41,'周排班-纵表'!$H:$H,U$1)</f>
        <v/>
      </c>
      <c r="V41" s="2">
        <f>SUMIFS('周排班-纵表'!$I:$I,'周排班-纵表'!$C:$C,$C41,'周排班-纵表'!$G:$G,$G41,'周排班-纵表'!$H:$H,V$1)</f>
        <v/>
      </c>
      <c r="W41" s="2">
        <f>SUMIFS('周排班-纵表'!$I:$I,'周排班-纵表'!$C:$C,$C41,'周排班-纵表'!$G:$G,$G41,'周排班-纵表'!$H:$H,W$1)</f>
        <v/>
      </c>
      <c r="X41" s="2">
        <f>SUMIFS('周排班-纵表'!$I:$I,'周排班-纵表'!$C:$C,$C41,'周排班-纵表'!$G:$G,$G41,'周排班-纵表'!$H:$H,X$1)</f>
        <v/>
      </c>
      <c r="Y41" s="2">
        <f>SUMIFS('周排班-纵表'!$I:$I,'周排班-纵表'!$C:$C,$C41,'周排班-纵表'!$G:$G,$G41,'周排班-纵表'!$H:$H,Y$1)</f>
        <v/>
      </c>
      <c r="Z41" s="2">
        <f>SUMIFS('周排班-纵表'!$I:$I,'周排班-纵表'!$C:$C,$C41,'周排班-纵表'!$G:$G,$G41,'周排班-纵表'!$H:$H,Z$1)</f>
        <v/>
      </c>
      <c r="AA41" s="2">
        <f>SUMIFS('周排班-纵表'!$I:$I,'周排班-纵表'!$C:$C,$C41,'周排班-纵表'!$G:$G,$G41,'周排班-纵表'!$H:$H,AA$1)</f>
        <v/>
      </c>
      <c r="AB41" s="2">
        <f>SUMIFS('周排班-纵表'!$I:$I,'周排班-纵表'!$C:$C,$C41,'周排班-纵表'!$G:$G,$G41,'周排班-纵表'!$H:$H,AB$1)</f>
        <v/>
      </c>
      <c r="AC41" s="2">
        <f>SUMIFS('周排班-纵表'!$I:$I,'周排班-纵表'!$C:$C,$C41,'周排班-纵表'!$G:$G,$G41,'周排班-纵表'!$H:$H,AC$1)</f>
        <v/>
      </c>
      <c r="AD41" s="2">
        <f>SUMIFS('周排班-纵表'!$I:$I,'周排班-纵表'!$C:$C,$C41,'周排班-纵表'!$G:$G,$G41,'周排班-纵表'!$H:$H,AD$1)</f>
        <v/>
      </c>
      <c r="AE41" s="2">
        <f>SUMIFS('周排班-纵表'!$I:$I,'周排班-纵表'!$C:$C,$C41,'周排班-纵表'!$G:$G,$G41,'周排班-纵表'!$H:$H,AE$1)</f>
        <v/>
      </c>
      <c r="AF41" s="2">
        <f>SUMIFS('周排班-纵表'!$I:$I,'周排班-纵表'!$C:$C,$C41,'周排班-纵表'!$G:$G,$G41,'周排班-纵表'!$H:$H,AF$1)</f>
        <v/>
      </c>
      <c r="AG41" s="2">
        <f>SUMIFS('周排班-纵表'!$I:$I,'周排班-纵表'!$C:$C,$C41,'周排班-纵表'!$G:$G,$G41,'周排班-纵表'!$H:$H,AG$1)</f>
        <v/>
      </c>
      <c r="AH41" s="2">
        <f>SUMIFS('周排班-纵表'!$I:$I,'周排班-纵表'!$C:$C,$C41,'周排班-纵表'!$G:$G,$G41,'周排班-纵表'!$H:$H,AH$1)</f>
        <v/>
      </c>
      <c r="AI41" s="2">
        <f>SUMIFS('周排班-纵表'!$I:$I,'周排班-纵表'!$C:$C,$C41,'周排班-纵表'!$G:$G,$G41,'周排班-纵表'!$H:$H,AI$1)</f>
        <v/>
      </c>
      <c r="AJ41" s="2">
        <f>SUMIFS('周排班-纵表'!$I:$I,'周排班-纵表'!$C:$C,$C41,'周排班-纵表'!$G:$G,$G41,'周排班-纵表'!$H:$H,AJ$1)</f>
        <v/>
      </c>
      <c r="AK41" s="2">
        <f>SUMIFS('周排班-纵表'!$I:$I,'周排班-纵表'!$C:$C,$C41,'周排班-纵表'!$G:$G,$G41,'周排班-纵表'!$H:$H,AK$1)</f>
        <v/>
      </c>
      <c r="AL41" s="2">
        <f>SUMIFS('周排班-纵表'!$I:$I,'周排班-纵表'!$C:$C,$C41,'周排班-纵表'!$G:$G,$G41,'周排班-纵表'!$H:$H,AL$1)</f>
        <v/>
      </c>
    </row>
    <row r="42">
      <c r="A42" s="2" t="inlineStr">
        <is>
          <t>ICBC</t>
        </is>
      </c>
      <c r="B42" s="2" t="inlineStr">
        <is>
          <t>Industrial And Commercial Bank of China (Asia) Limited</t>
        </is>
      </c>
      <c r="C42" s="2" t="inlineStr">
        <is>
          <t>47129548</t>
        </is>
      </c>
      <c r="D42" s="2" t="inlineStr">
        <is>
          <t>AUD2026-12 ICBCA</t>
        </is>
      </c>
      <c r="E42" s="2" t="inlineStr">
        <is>
          <t>Order47129548- 260501002</t>
        </is>
      </c>
      <c r="F42" s="2" t="inlineStr">
        <is>
          <t>47129548- EDC260501001</t>
        </is>
      </c>
      <c r="G42" s="2" t="inlineStr">
        <is>
          <t>Yuan.Yuan.YY.Chen@cn.ey.com</t>
        </is>
      </c>
      <c r="H42" s="2">
        <f>SUMIFS('周排班-纵表'!$I:$I,'周排班-纵表'!$C:$C,$C42,'周排班-纵表'!$G:$G,$G42,'周排班-纵表'!$H:$H,H$1)</f>
        <v/>
      </c>
      <c r="I42" s="2">
        <f>SUMIFS('周排班-纵表'!$I:$I,'周排班-纵表'!$C:$C,$C42,'周排班-纵表'!$G:$G,$G42,'周排班-纵表'!$H:$H,I$1)</f>
        <v/>
      </c>
      <c r="J42" s="2">
        <f>SUMIFS('周排班-纵表'!$I:$I,'周排班-纵表'!$C:$C,$C42,'周排班-纵表'!$G:$G,$G42,'周排班-纵表'!$H:$H,J$1)</f>
        <v/>
      </c>
      <c r="K42" s="2">
        <f>SUMIFS('周排班-纵表'!$I:$I,'周排班-纵表'!$C:$C,$C42,'周排班-纵表'!$G:$G,$G42,'周排班-纵表'!$H:$H,K$1)</f>
        <v/>
      </c>
      <c r="L42" s="2">
        <f>SUMIFS('周排班-纵表'!$I:$I,'周排班-纵表'!$C:$C,$C42,'周排班-纵表'!$G:$G,$G42,'周排班-纵表'!$H:$H,L$1)</f>
        <v/>
      </c>
      <c r="M42" s="2">
        <f>SUMIFS('周排班-纵表'!$I:$I,'周排班-纵表'!$C:$C,$C42,'周排班-纵表'!$G:$G,$G42,'周排班-纵表'!$H:$H,M$1)</f>
        <v/>
      </c>
      <c r="N42" s="2">
        <f>SUMIFS('周排班-纵表'!$I:$I,'周排班-纵表'!$C:$C,$C42,'周排班-纵表'!$G:$G,$G42,'周排班-纵表'!$H:$H,N$1)</f>
        <v/>
      </c>
      <c r="O42" s="2">
        <f>SUMIFS('周排班-纵表'!$I:$I,'周排班-纵表'!$C:$C,$C42,'周排班-纵表'!$G:$G,$G42,'周排班-纵表'!$H:$H,O$1)</f>
        <v/>
      </c>
      <c r="P42" s="2">
        <f>SUMIFS('周排班-纵表'!$I:$I,'周排班-纵表'!$C:$C,$C42,'周排班-纵表'!$G:$G,$G42,'周排班-纵表'!$H:$H,P$1)</f>
        <v/>
      </c>
      <c r="Q42" s="2">
        <f>SUMIFS('周排班-纵表'!$I:$I,'周排班-纵表'!$C:$C,$C42,'周排班-纵表'!$G:$G,$G42,'周排班-纵表'!$H:$H,Q$1)</f>
        <v/>
      </c>
      <c r="R42" s="2">
        <f>SUMIFS('周排班-纵表'!$I:$I,'周排班-纵表'!$C:$C,$C42,'周排班-纵表'!$G:$G,$G42,'周排班-纵表'!$H:$H,R$1)</f>
        <v/>
      </c>
      <c r="S42" s="2">
        <f>SUMIFS('周排班-纵表'!$I:$I,'周排班-纵表'!$C:$C,$C42,'周排班-纵表'!$G:$G,$G42,'周排班-纵表'!$H:$H,S$1)</f>
        <v/>
      </c>
      <c r="T42" s="2">
        <f>SUMIFS('周排班-纵表'!$I:$I,'周排班-纵表'!$C:$C,$C42,'周排班-纵表'!$G:$G,$G42,'周排班-纵表'!$H:$H,T$1)</f>
        <v/>
      </c>
      <c r="U42" s="2">
        <f>SUMIFS('周排班-纵表'!$I:$I,'周排班-纵表'!$C:$C,$C42,'周排班-纵表'!$G:$G,$G42,'周排班-纵表'!$H:$H,U$1)</f>
        <v/>
      </c>
      <c r="V42" s="2">
        <f>SUMIFS('周排班-纵表'!$I:$I,'周排班-纵表'!$C:$C,$C42,'周排班-纵表'!$G:$G,$G42,'周排班-纵表'!$H:$H,V$1)</f>
        <v/>
      </c>
      <c r="W42" s="2">
        <f>SUMIFS('周排班-纵表'!$I:$I,'周排班-纵表'!$C:$C,$C42,'周排班-纵表'!$G:$G,$G42,'周排班-纵表'!$H:$H,W$1)</f>
        <v/>
      </c>
      <c r="X42" s="2">
        <f>SUMIFS('周排班-纵表'!$I:$I,'周排班-纵表'!$C:$C,$C42,'周排班-纵表'!$G:$G,$G42,'周排班-纵表'!$H:$H,X$1)</f>
        <v/>
      </c>
      <c r="Y42" s="2">
        <f>SUMIFS('周排班-纵表'!$I:$I,'周排班-纵表'!$C:$C,$C42,'周排班-纵表'!$G:$G,$G42,'周排班-纵表'!$H:$H,Y$1)</f>
        <v/>
      </c>
      <c r="Z42" s="2">
        <f>SUMIFS('周排班-纵表'!$I:$I,'周排班-纵表'!$C:$C,$C42,'周排班-纵表'!$G:$G,$G42,'周排班-纵表'!$H:$H,Z$1)</f>
        <v/>
      </c>
      <c r="AA42" s="2">
        <f>SUMIFS('周排班-纵表'!$I:$I,'周排班-纵表'!$C:$C,$C42,'周排班-纵表'!$G:$G,$G42,'周排班-纵表'!$H:$H,AA$1)</f>
        <v/>
      </c>
      <c r="AB42" s="2">
        <f>SUMIFS('周排班-纵表'!$I:$I,'周排班-纵表'!$C:$C,$C42,'周排班-纵表'!$G:$G,$G42,'周排班-纵表'!$H:$H,AB$1)</f>
        <v/>
      </c>
      <c r="AC42" s="2">
        <f>SUMIFS('周排班-纵表'!$I:$I,'周排班-纵表'!$C:$C,$C42,'周排班-纵表'!$G:$G,$G42,'周排班-纵表'!$H:$H,AC$1)</f>
        <v/>
      </c>
      <c r="AD42" s="2">
        <f>SUMIFS('周排班-纵表'!$I:$I,'周排班-纵表'!$C:$C,$C42,'周排班-纵表'!$G:$G,$G42,'周排班-纵表'!$H:$H,AD$1)</f>
        <v/>
      </c>
      <c r="AE42" s="2">
        <f>SUMIFS('周排班-纵表'!$I:$I,'周排班-纵表'!$C:$C,$C42,'周排班-纵表'!$G:$G,$G42,'周排班-纵表'!$H:$H,AE$1)</f>
        <v/>
      </c>
      <c r="AF42" s="2">
        <f>SUMIFS('周排班-纵表'!$I:$I,'周排班-纵表'!$C:$C,$C42,'周排班-纵表'!$G:$G,$G42,'周排班-纵表'!$H:$H,AF$1)</f>
        <v/>
      </c>
      <c r="AG42" s="2">
        <f>SUMIFS('周排班-纵表'!$I:$I,'周排班-纵表'!$C:$C,$C42,'周排班-纵表'!$G:$G,$G42,'周排班-纵表'!$H:$H,AG$1)</f>
        <v/>
      </c>
      <c r="AH42" s="2">
        <f>SUMIFS('周排班-纵表'!$I:$I,'周排班-纵表'!$C:$C,$C42,'周排班-纵表'!$G:$G,$G42,'周排班-纵表'!$H:$H,AH$1)</f>
        <v/>
      </c>
      <c r="AI42" s="2">
        <f>SUMIFS('周排班-纵表'!$I:$I,'周排班-纵表'!$C:$C,$C42,'周排班-纵表'!$G:$G,$G42,'周排班-纵表'!$H:$H,AI$1)</f>
        <v/>
      </c>
      <c r="AJ42" s="2">
        <f>SUMIFS('周排班-纵表'!$I:$I,'周排班-纵表'!$C:$C,$C42,'周排班-纵表'!$G:$G,$G42,'周排班-纵表'!$H:$H,AJ$1)</f>
        <v/>
      </c>
      <c r="AK42" s="2">
        <f>SUMIFS('周排班-纵表'!$I:$I,'周排班-纵表'!$C:$C,$C42,'周排班-纵表'!$G:$G,$G42,'周排班-纵表'!$H:$H,AK$1)</f>
        <v/>
      </c>
      <c r="AL42" s="2">
        <f>SUMIFS('周排班-纵表'!$I:$I,'周排班-纵表'!$C:$C,$C42,'周排班-纵表'!$G:$G,$G42,'周排班-纵表'!$H:$H,AL$1)</f>
        <v/>
      </c>
    </row>
    <row r="43">
      <c r="A43" s="2" t="inlineStr">
        <is>
          <t>PE</t>
        </is>
      </c>
      <c r="B43" s="2" t="inlineStr">
        <is>
          <t>Shanghai Xinze Sanhe Venture Investment LP</t>
        </is>
      </c>
      <c r="C43" s="2" t="inlineStr">
        <is>
          <t>47127971</t>
        </is>
      </c>
      <c r="D43" s="2" t="inlineStr">
        <is>
          <t>AUD2026-12 Xingze Fund</t>
        </is>
      </c>
      <c r="E43" s="2" t="inlineStr">
        <is>
          <t>Order47127971- 260501004</t>
        </is>
      </c>
      <c r="F43" s="2" t="inlineStr">
        <is>
          <t>47127971- EDC260501001</t>
        </is>
      </c>
      <c r="G43" s="2" t="inlineStr">
        <is>
          <t>Luna.CD.Zhang@cn.ey.com</t>
        </is>
      </c>
      <c r="H43" s="2">
        <f>SUMIFS('周排班-纵表'!$I:$I,'周排班-纵表'!$C:$C,$C43,'周排班-纵表'!$G:$G,$G43,'周排班-纵表'!$H:$H,H$1)</f>
        <v/>
      </c>
      <c r="I43" s="2">
        <f>SUMIFS('周排班-纵表'!$I:$I,'周排班-纵表'!$C:$C,$C43,'周排班-纵表'!$G:$G,$G43,'周排班-纵表'!$H:$H,I$1)</f>
        <v/>
      </c>
      <c r="J43" s="2">
        <f>SUMIFS('周排班-纵表'!$I:$I,'周排班-纵表'!$C:$C,$C43,'周排班-纵表'!$G:$G,$G43,'周排班-纵表'!$H:$H,J$1)</f>
        <v/>
      </c>
      <c r="K43" s="2">
        <f>SUMIFS('周排班-纵表'!$I:$I,'周排班-纵表'!$C:$C,$C43,'周排班-纵表'!$G:$G,$G43,'周排班-纵表'!$H:$H,K$1)</f>
        <v/>
      </c>
      <c r="L43" s="2">
        <f>SUMIFS('周排班-纵表'!$I:$I,'周排班-纵表'!$C:$C,$C43,'周排班-纵表'!$G:$G,$G43,'周排班-纵表'!$H:$H,L$1)</f>
        <v/>
      </c>
      <c r="M43" s="2">
        <f>SUMIFS('周排班-纵表'!$I:$I,'周排班-纵表'!$C:$C,$C43,'周排班-纵表'!$G:$G,$G43,'周排班-纵表'!$H:$H,M$1)</f>
        <v/>
      </c>
      <c r="N43" s="2">
        <f>SUMIFS('周排班-纵表'!$I:$I,'周排班-纵表'!$C:$C,$C43,'周排班-纵表'!$G:$G,$G43,'周排班-纵表'!$H:$H,N$1)</f>
        <v/>
      </c>
      <c r="O43" s="2">
        <f>SUMIFS('周排班-纵表'!$I:$I,'周排班-纵表'!$C:$C,$C43,'周排班-纵表'!$G:$G,$G43,'周排班-纵表'!$H:$H,O$1)</f>
        <v/>
      </c>
      <c r="P43" s="2">
        <f>SUMIFS('周排班-纵表'!$I:$I,'周排班-纵表'!$C:$C,$C43,'周排班-纵表'!$G:$G,$G43,'周排班-纵表'!$H:$H,P$1)</f>
        <v/>
      </c>
      <c r="Q43" s="2">
        <f>SUMIFS('周排班-纵表'!$I:$I,'周排班-纵表'!$C:$C,$C43,'周排班-纵表'!$G:$G,$G43,'周排班-纵表'!$H:$H,Q$1)</f>
        <v/>
      </c>
      <c r="R43" s="2">
        <f>SUMIFS('周排班-纵表'!$I:$I,'周排班-纵表'!$C:$C,$C43,'周排班-纵表'!$G:$G,$G43,'周排班-纵表'!$H:$H,R$1)</f>
        <v/>
      </c>
      <c r="S43" s="2">
        <f>SUMIFS('周排班-纵表'!$I:$I,'周排班-纵表'!$C:$C,$C43,'周排班-纵表'!$G:$G,$G43,'周排班-纵表'!$H:$H,S$1)</f>
        <v/>
      </c>
      <c r="T43" s="2">
        <f>SUMIFS('周排班-纵表'!$I:$I,'周排班-纵表'!$C:$C,$C43,'周排班-纵表'!$G:$G,$G43,'周排班-纵表'!$H:$H,T$1)</f>
        <v/>
      </c>
      <c r="U43" s="2">
        <f>SUMIFS('周排班-纵表'!$I:$I,'周排班-纵表'!$C:$C,$C43,'周排班-纵表'!$G:$G,$G43,'周排班-纵表'!$H:$H,U$1)</f>
        <v/>
      </c>
      <c r="V43" s="2">
        <f>SUMIFS('周排班-纵表'!$I:$I,'周排班-纵表'!$C:$C,$C43,'周排班-纵表'!$G:$G,$G43,'周排班-纵表'!$H:$H,V$1)</f>
        <v/>
      </c>
      <c r="W43" s="2">
        <f>SUMIFS('周排班-纵表'!$I:$I,'周排班-纵表'!$C:$C,$C43,'周排班-纵表'!$G:$G,$G43,'周排班-纵表'!$H:$H,W$1)</f>
        <v/>
      </c>
      <c r="X43" s="2">
        <f>SUMIFS('周排班-纵表'!$I:$I,'周排班-纵表'!$C:$C,$C43,'周排班-纵表'!$G:$G,$G43,'周排班-纵表'!$H:$H,X$1)</f>
        <v/>
      </c>
      <c r="Y43" s="2">
        <f>SUMIFS('周排班-纵表'!$I:$I,'周排班-纵表'!$C:$C,$C43,'周排班-纵表'!$G:$G,$G43,'周排班-纵表'!$H:$H,Y$1)</f>
        <v/>
      </c>
      <c r="Z43" s="2">
        <f>SUMIFS('周排班-纵表'!$I:$I,'周排班-纵表'!$C:$C,$C43,'周排班-纵表'!$G:$G,$G43,'周排班-纵表'!$H:$H,Z$1)</f>
        <v/>
      </c>
      <c r="AA43" s="2">
        <f>SUMIFS('周排班-纵表'!$I:$I,'周排班-纵表'!$C:$C,$C43,'周排班-纵表'!$G:$G,$G43,'周排班-纵表'!$H:$H,AA$1)</f>
        <v/>
      </c>
      <c r="AB43" s="2">
        <f>SUMIFS('周排班-纵表'!$I:$I,'周排班-纵表'!$C:$C,$C43,'周排班-纵表'!$G:$G,$G43,'周排班-纵表'!$H:$H,AB$1)</f>
        <v/>
      </c>
      <c r="AC43" s="2">
        <f>SUMIFS('周排班-纵表'!$I:$I,'周排班-纵表'!$C:$C,$C43,'周排班-纵表'!$G:$G,$G43,'周排班-纵表'!$H:$H,AC$1)</f>
        <v/>
      </c>
      <c r="AD43" s="2">
        <f>SUMIFS('周排班-纵表'!$I:$I,'周排班-纵表'!$C:$C,$C43,'周排班-纵表'!$G:$G,$G43,'周排班-纵表'!$H:$H,AD$1)</f>
        <v/>
      </c>
      <c r="AE43" s="2">
        <f>SUMIFS('周排班-纵表'!$I:$I,'周排班-纵表'!$C:$C,$C43,'周排班-纵表'!$G:$G,$G43,'周排班-纵表'!$H:$H,AE$1)</f>
        <v/>
      </c>
      <c r="AF43" s="2">
        <f>SUMIFS('周排班-纵表'!$I:$I,'周排班-纵表'!$C:$C,$C43,'周排班-纵表'!$G:$G,$G43,'周排班-纵表'!$H:$H,AF$1)</f>
        <v/>
      </c>
      <c r="AG43" s="2">
        <f>SUMIFS('周排班-纵表'!$I:$I,'周排班-纵表'!$C:$C,$C43,'周排班-纵表'!$G:$G,$G43,'周排班-纵表'!$H:$H,AG$1)</f>
        <v/>
      </c>
      <c r="AH43" s="2">
        <f>SUMIFS('周排班-纵表'!$I:$I,'周排班-纵表'!$C:$C,$C43,'周排班-纵表'!$G:$G,$G43,'周排班-纵表'!$H:$H,AH$1)</f>
        <v/>
      </c>
      <c r="AI43" s="2">
        <f>SUMIFS('周排班-纵表'!$I:$I,'周排班-纵表'!$C:$C,$C43,'周排班-纵表'!$G:$G,$G43,'周排班-纵表'!$H:$H,AI$1)</f>
        <v/>
      </c>
      <c r="AJ43" s="2">
        <f>SUMIFS('周排班-纵表'!$I:$I,'周排班-纵表'!$C:$C,$C43,'周排班-纵表'!$G:$G,$G43,'周排班-纵表'!$H:$H,AJ$1)</f>
        <v/>
      </c>
      <c r="AK43" s="2">
        <f>SUMIFS('周排班-纵表'!$I:$I,'周排班-纵表'!$C:$C,$C43,'周排班-纵表'!$G:$G,$G43,'周排班-纵表'!$H:$H,AK$1)</f>
        <v/>
      </c>
      <c r="AL43" s="2">
        <f>SUMIFS('周排班-纵表'!$I:$I,'周排班-纵表'!$C:$C,$C43,'周排班-纵表'!$G:$G,$G43,'周排班-纵表'!$H:$H,AL$1)</f>
        <v/>
      </c>
    </row>
    <row r="44">
      <c r="A44" s="2" t="inlineStr">
        <is>
          <t>PE</t>
        </is>
      </c>
      <c r="B44" s="2" t="inlineStr">
        <is>
          <t>Shanghai Xinze Sanhe Venture Investment LP</t>
        </is>
      </c>
      <c r="C44" s="2" t="inlineStr">
        <is>
          <t>47127971</t>
        </is>
      </c>
      <c r="D44" s="2" t="inlineStr">
        <is>
          <t>AUD2026-12 Xingze Fund</t>
        </is>
      </c>
      <c r="E44" s="2" t="inlineStr">
        <is>
          <t>Order47127971- 260501004</t>
        </is>
      </c>
      <c r="F44" s="2" t="inlineStr">
        <is>
          <t>47127971- EDC260501001</t>
        </is>
      </c>
      <c r="G44" s="2" t="inlineStr">
        <is>
          <t>Marsh.Ma@cn.ey.com</t>
        </is>
      </c>
      <c r="H44" s="2">
        <f>SUMIFS('周排班-纵表'!$I:$I,'周排班-纵表'!$C:$C,$C44,'周排班-纵表'!$G:$G,$G44,'周排班-纵表'!$H:$H,H$1)</f>
        <v/>
      </c>
      <c r="I44" s="2">
        <f>SUMIFS('周排班-纵表'!$I:$I,'周排班-纵表'!$C:$C,$C44,'周排班-纵表'!$G:$G,$G44,'周排班-纵表'!$H:$H,I$1)</f>
        <v/>
      </c>
      <c r="J44" s="2">
        <f>SUMIFS('周排班-纵表'!$I:$I,'周排班-纵表'!$C:$C,$C44,'周排班-纵表'!$G:$G,$G44,'周排班-纵表'!$H:$H,J$1)</f>
        <v/>
      </c>
      <c r="K44" s="2">
        <f>SUMIFS('周排班-纵表'!$I:$I,'周排班-纵表'!$C:$C,$C44,'周排班-纵表'!$G:$G,$G44,'周排班-纵表'!$H:$H,K$1)</f>
        <v/>
      </c>
      <c r="L44" s="2">
        <f>SUMIFS('周排班-纵表'!$I:$I,'周排班-纵表'!$C:$C,$C44,'周排班-纵表'!$G:$G,$G44,'周排班-纵表'!$H:$H,L$1)</f>
        <v/>
      </c>
      <c r="M44" s="2">
        <f>SUMIFS('周排班-纵表'!$I:$I,'周排班-纵表'!$C:$C,$C44,'周排班-纵表'!$G:$G,$G44,'周排班-纵表'!$H:$H,M$1)</f>
        <v/>
      </c>
      <c r="N44" s="2">
        <f>SUMIFS('周排班-纵表'!$I:$I,'周排班-纵表'!$C:$C,$C44,'周排班-纵表'!$G:$G,$G44,'周排班-纵表'!$H:$H,N$1)</f>
        <v/>
      </c>
      <c r="O44" s="2">
        <f>SUMIFS('周排班-纵表'!$I:$I,'周排班-纵表'!$C:$C,$C44,'周排班-纵表'!$G:$G,$G44,'周排班-纵表'!$H:$H,O$1)</f>
        <v/>
      </c>
      <c r="P44" s="2">
        <f>SUMIFS('周排班-纵表'!$I:$I,'周排班-纵表'!$C:$C,$C44,'周排班-纵表'!$G:$G,$G44,'周排班-纵表'!$H:$H,P$1)</f>
        <v/>
      </c>
      <c r="Q44" s="2">
        <f>SUMIFS('周排班-纵表'!$I:$I,'周排班-纵表'!$C:$C,$C44,'周排班-纵表'!$G:$G,$G44,'周排班-纵表'!$H:$H,Q$1)</f>
        <v/>
      </c>
      <c r="R44" s="2">
        <f>SUMIFS('周排班-纵表'!$I:$I,'周排班-纵表'!$C:$C,$C44,'周排班-纵表'!$G:$G,$G44,'周排班-纵表'!$H:$H,R$1)</f>
        <v/>
      </c>
      <c r="S44" s="2">
        <f>SUMIFS('周排班-纵表'!$I:$I,'周排班-纵表'!$C:$C,$C44,'周排班-纵表'!$G:$G,$G44,'周排班-纵表'!$H:$H,S$1)</f>
        <v/>
      </c>
      <c r="T44" s="2">
        <f>SUMIFS('周排班-纵表'!$I:$I,'周排班-纵表'!$C:$C,$C44,'周排班-纵表'!$G:$G,$G44,'周排班-纵表'!$H:$H,T$1)</f>
        <v/>
      </c>
      <c r="U44" s="2">
        <f>SUMIFS('周排班-纵表'!$I:$I,'周排班-纵表'!$C:$C,$C44,'周排班-纵表'!$G:$G,$G44,'周排班-纵表'!$H:$H,U$1)</f>
        <v/>
      </c>
      <c r="V44" s="2">
        <f>SUMIFS('周排班-纵表'!$I:$I,'周排班-纵表'!$C:$C,$C44,'周排班-纵表'!$G:$G,$G44,'周排班-纵表'!$H:$H,V$1)</f>
        <v/>
      </c>
      <c r="W44" s="2">
        <f>SUMIFS('周排班-纵表'!$I:$I,'周排班-纵表'!$C:$C,$C44,'周排班-纵表'!$G:$G,$G44,'周排班-纵表'!$H:$H,W$1)</f>
        <v/>
      </c>
      <c r="X44" s="2">
        <f>SUMIFS('周排班-纵表'!$I:$I,'周排班-纵表'!$C:$C,$C44,'周排班-纵表'!$G:$G,$G44,'周排班-纵表'!$H:$H,X$1)</f>
        <v/>
      </c>
      <c r="Y44" s="2">
        <f>SUMIFS('周排班-纵表'!$I:$I,'周排班-纵表'!$C:$C,$C44,'周排班-纵表'!$G:$G,$G44,'周排班-纵表'!$H:$H,Y$1)</f>
        <v/>
      </c>
      <c r="Z44" s="2">
        <f>SUMIFS('周排班-纵表'!$I:$I,'周排班-纵表'!$C:$C,$C44,'周排班-纵表'!$G:$G,$G44,'周排班-纵表'!$H:$H,Z$1)</f>
        <v/>
      </c>
      <c r="AA44" s="2">
        <f>SUMIFS('周排班-纵表'!$I:$I,'周排班-纵表'!$C:$C,$C44,'周排班-纵表'!$G:$G,$G44,'周排班-纵表'!$H:$H,AA$1)</f>
        <v/>
      </c>
      <c r="AB44" s="2">
        <f>SUMIFS('周排班-纵表'!$I:$I,'周排班-纵表'!$C:$C,$C44,'周排班-纵表'!$G:$G,$G44,'周排班-纵表'!$H:$H,AB$1)</f>
        <v/>
      </c>
      <c r="AC44" s="2">
        <f>SUMIFS('周排班-纵表'!$I:$I,'周排班-纵表'!$C:$C,$C44,'周排班-纵表'!$G:$G,$G44,'周排班-纵表'!$H:$H,AC$1)</f>
        <v/>
      </c>
      <c r="AD44" s="2">
        <f>SUMIFS('周排班-纵表'!$I:$I,'周排班-纵表'!$C:$C,$C44,'周排班-纵表'!$G:$G,$G44,'周排班-纵表'!$H:$H,AD$1)</f>
        <v/>
      </c>
      <c r="AE44" s="2">
        <f>SUMIFS('周排班-纵表'!$I:$I,'周排班-纵表'!$C:$C,$C44,'周排班-纵表'!$G:$G,$G44,'周排班-纵表'!$H:$H,AE$1)</f>
        <v/>
      </c>
      <c r="AF44" s="2">
        <f>SUMIFS('周排班-纵表'!$I:$I,'周排班-纵表'!$C:$C,$C44,'周排班-纵表'!$G:$G,$G44,'周排班-纵表'!$H:$H,AF$1)</f>
        <v/>
      </c>
      <c r="AG44" s="2">
        <f>SUMIFS('周排班-纵表'!$I:$I,'周排班-纵表'!$C:$C,$C44,'周排班-纵表'!$G:$G,$G44,'周排班-纵表'!$H:$H,AG$1)</f>
        <v/>
      </c>
      <c r="AH44" s="2">
        <f>SUMIFS('周排班-纵表'!$I:$I,'周排班-纵表'!$C:$C,$C44,'周排班-纵表'!$G:$G,$G44,'周排班-纵表'!$H:$H,AH$1)</f>
        <v/>
      </c>
      <c r="AI44" s="2">
        <f>SUMIFS('周排班-纵表'!$I:$I,'周排班-纵表'!$C:$C,$C44,'周排班-纵表'!$G:$G,$G44,'周排班-纵表'!$H:$H,AI$1)</f>
        <v/>
      </c>
      <c r="AJ44" s="2">
        <f>SUMIFS('周排班-纵表'!$I:$I,'周排班-纵表'!$C:$C,$C44,'周排班-纵表'!$G:$G,$G44,'周排班-纵表'!$H:$H,AJ$1)</f>
        <v/>
      </c>
      <c r="AK44" s="2">
        <f>SUMIFS('周排班-纵表'!$I:$I,'周排班-纵表'!$C:$C,$C44,'周排班-纵表'!$G:$G,$G44,'周排班-纵表'!$H:$H,AK$1)</f>
        <v/>
      </c>
      <c r="AL44" s="2">
        <f>SUMIFS('周排班-纵表'!$I:$I,'周排班-纵表'!$C:$C,$C44,'周排班-纵表'!$G:$G,$G44,'周排班-纵表'!$H:$H,AL$1)</f>
        <v/>
      </c>
    </row>
    <row r="45">
      <c r="A45" s="2" t="inlineStr">
        <is>
          <t>PE</t>
        </is>
      </c>
      <c r="B45" s="2" t="inlineStr">
        <is>
          <t>Shanghai Xinze Sanhe Venture Investment LP</t>
        </is>
      </c>
      <c r="C45" s="2" t="inlineStr">
        <is>
          <t>47127971</t>
        </is>
      </c>
      <c r="D45" s="2" t="inlineStr">
        <is>
          <t>AUD2026-12 Xingze Fund</t>
        </is>
      </c>
      <c r="E45" s="2" t="inlineStr">
        <is>
          <t>Order47127971- 260501004</t>
        </is>
      </c>
      <c r="F45" s="2" t="inlineStr">
        <is>
          <t>47127971- EDC260501001</t>
        </is>
      </c>
      <c r="G45" s="2" t="inlineStr">
        <is>
          <t>Rainbow.MG.Xiao@cn.ey.com</t>
        </is>
      </c>
      <c r="H45" s="2">
        <f>SUMIFS('周排班-纵表'!$I:$I,'周排班-纵表'!$C:$C,$C45,'周排班-纵表'!$G:$G,$G45,'周排班-纵表'!$H:$H,H$1)</f>
        <v/>
      </c>
      <c r="I45" s="2">
        <f>SUMIFS('周排班-纵表'!$I:$I,'周排班-纵表'!$C:$C,$C45,'周排班-纵表'!$G:$G,$G45,'周排班-纵表'!$H:$H,I$1)</f>
        <v/>
      </c>
      <c r="J45" s="2">
        <f>SUMIFS('周排班-纵表'!$I:$I,'周排班-纵表'!$C:$C,$C45,'周排班-纵表'!$G:$G,$G45,'周排班-纵表'!$H:$H,J$1)</f>
        <v/>
      </c>
      <c r="K45" s="2">
        <f>SUMIFS('周排班-纵表'!$I:$I,'周排班-纵表'!$C:$C,$C45,'周排班-纵表'!$G:$G,$G45,'周排班-纵表'!$H:$H,K$1)</f>
        <v/>
      </c>
      <c r="L45" s="2">
        <f>SUMIFS('周排班-纵表'!$I:$I,'周排班-纵表'!$C:$C,$C45,'周排班-纵表'!$G:$G,$G45,'周排班-纵表'!$H:$H,L$1)</f>
        <v/>
      </c>
      <c r="M45" s="2">
        <f>SUMIFS('周排班-纵表'!$I:$I,'周排班-纵表'!$C:$C,$C45,'周排班-纵表'!$G:$G,$G45,'周排班-纵表'!$H:$H,M$1)</f>
        <v/>
      </c>
      <c r="N45" s="2">
        <f>SUMIFS('周排班-纵表'!$I:$I,'周排班-纵表'!$C:$C,$C45,'周排班-纵表'!$G:$G,$G45,'周排班-纵表'!$H:$H,N$1)</f>
        <v/>
      </c>
      <c r="O45" s="2">
        <f>SUMIFS('周排班-纵表'!$I:$I,'周排班-纵表'!$C:$C,$C45,'周排班-纵表'!$G:$G,$G45,'周排班-纵表'!$H:$H,O$1)</f>
        <v/>
      </c>
      <c r="P45" s="2">
        <f>SUMIFS('周排班-纵表'!$I:$I,'周排班-纵表'!$C:$C,$C45,'周排班-纵表'!$G:$G,$G45,'周排班-纵表'!$H:$H,P$1)</f>
        <v/>
      </c>
      <c r="Q45" s="2">
        <f>SUMIFS('周排班-纵表'!$I:$I,'周排班-纵表'!$C:$C,$C45,'周排班-纵表'!$G:$G,$G45,'周排班-纵表'!$H:$H,Q$1)</f>
        <v/>
      </c>
      <c r="R45" s="2">
        <f>SUMIFS('周排班-纵表'!$I:$I,'周排班-纵表'!$C:$C,$C45,'周排班-纵表'!$G:$G,$G45,'周排班-纵表'!$H:$H,R$1)</f>
        <v/>
      </c>
      <c r="S45" s="2">
        <f>SUMIFS('周排班-纵表'!$I:$I,'周排班-纵表'!$C:$C,$C45,'周排班-纵表'!$G:$G,$G45,'周排班-纵表'!$H:$H,S$1)</f>
        <v/>
      </c>
      <c r="T45" s="2">
        <f>SUMIFS('周排班-纵表'!$I:$I,'周排班-纵表'!$C:$C,$C45,'周排班-纵表'!$G:$G,$G45,'周排班-纵表'!$H:$H,T$1)</f>
        <v/>
      </c>
      <c r="U45" s="2">
        <f>SUMIFS('周排班-纵表'!$I:$I,'周排班-纵表'!$C:$C,$C45,'周排班-纵表'!$G:$G,$G45,'周排班-纵表'!$H:$H,U$1)</f>
        <v/>
      </c>
      <c r="V45" s="2">
        <f>SUMIFS('周排班-纵表'!$I:$I,'周排班-纵表'!$C:$C,$C45,'周排班-纵表'!$G:$G,$G45,'周排班-纵表'!$H:$H,V$1)</f>
        <v/>
      </c>
      <c r="W45" s="2">
        <f>SUMIFS('周排班-纵表'!$I:$I,'周排班-纵表'!$C:$C,$C45,'周排班-纵表'!$G:$G,$G45,'周排班-纵表'!$H:$H,W$1)</f>
        <v/>
      </c>
      <c r="X45" s="2">
        <f>SUMIFS('周排班-纵表'!$I:$I,'周排班-纵表'!$C:$C,$C45,'周排班-纵表'!$G:$G,$G45,'周排班-纵表'!$H:$H,X$1)</f>
        <v/>
      </c>
      <c r="Y45" s="2">
        <f>SUMIFS('周排班-纵表'!$I:$I,'周排班-纵表'!$C:$C,$C45,'周排班-纵表'!$G:$G,$G45,'周排班-纵表'!$H:$H,Y$1)</f>
        <v/>
      </c>
      <c r="Z45" s="2">
        <f>SUMIFS('周排班-纵表'!$I:$I,'周排班-纵表'!$C:$C,$C45,'周排班-纵表'!$G:$G,$G45,'周排班-纵表'!$H:$H,Z$1)</f>
        <v/>
      </c>
      <c r="AA45" s="2">
        <f>SUMIFS('周排班-纵表'!$I:$I,'周排班-纵表'!$C:$C,$C45,'周排班-纵表'!$G:$G,$G45,'周排班-纵表'!$H:$H,AA$1)</f>
        <v/>
      </c>
      <c r="AB45" s="2">
        <f>SUMIFS('周排班-纵表'!$I:$I,'周排班-纵表'!$C:$C,$C45,'周排班-纵表'!$G:$G,$G45,'周排班-纵表'!$H:$H,AB$1)</f>
        <v/>
      </c>
      <c r="AC45" s="2">
        <f>SUMIFS('周排班-纵表'!$I:$I,'周排班-纵表'!$C:$C,$C45,'周排班-纵表'!$G:$G,$G45,'周排班-纵表'!$H:$H,AC$1)</f>
        <v/>
      </c>
      <c r="AD45" s="2">
        <f>SUMIFS('周排班-纵表'!$I:$I,'周排班-纵表'!$C:$C,$C45,'周排班-纵表'!$G:$G,$G45,'周排班-纵表'!$H:$H,AD$1)</f>
        <v/>
      </c>
      <c r="AE45" s="2">
        <f>SUMIFS('周排班-纵表'!$I:$I,'周排班-纵表'!$C:$C,$C45,'周排班-纵表'!$G:$G,$G45,'周排班-纵表'!$H:$H,AE$1)</f>
        <v/>
      </c>
      <c r="AF45" s="2">
        <f>SUMIFS('周排班-纵表'!$I:$I,'周排班-纵表'!$C:$C,$C45,'周排班-纵表'!$G:$G,$G45,'周排班-纵表'!$H:$H,AF$1)</f>
        <v/>
      </c>
      <c r="AG45" s="2">
        <f>SUMIFS('周排班-纵表'!$I:$I,'周排班-纵表'!$C:$C,$C45,'周排班-纵表'!$G:$G,$G45,'周排班-纵表'!$H:$H,AG$1)</f>
        <v/>
      </c>
      <c r="AH45" s="2">
        <f>SUMIFS('周排班-纵表'!$I:$I,'周排班-纵表'!$C:$C,$C45,'周排班-纵表'!$G:$G,$G45,'周排班-纵表'!$H:$H,AH$1)</f>
        <v/>
      </c>
      <c r="AI45" s="2">
        <f>SUMIFS('周排班-纵表'!$I:$I,'周排班-纵表'!$C:$C,$C45,'周排班-纵表'!$G:$G,$G45,'周排班-纵表'!$H:$H,AI$1)</f>
        <v/>
      </c>
      <c r="AJ45" s="2">
        <f>SUMIFS('周排班-纵表'!$I:$I,'周排班-纵表'!$C:$C,$C45,'周排班-纵表'!$G:$G,$G45,'周排班-纵表'!$H:$H,AJ$1)</f>
        <v/>
      </c>
      <c r="AK45" s="2">
        <f>SUMIFS('周排班-纵表'!$I:$I,'周排班-纵表'!$C:$C,$C45,'周排班-纵表'!$G:$G,$G45,'周排班-纵表'!$H:$H,AK$1)</f>
        <v/>
      </c>
      <c r="AL45" s="2">
        <f>SUMIFS('周排班-纵表'!$I:$I,'周排班-纵表'!$C:$C,$C45,'周排班-纵表'!$G:$G,$G45,'周排班-纵表'!$H:$H,AL$1)</f>
        <v/>
      </c>
    </row>
    <row r="46">
      <c r="A46" s="2" t="inlineStr">
        <is>
          <t>PE</t>
        </is>
      </c>
      <c r="B46" s="2" t="inlineStr">
        <is>
          <t>Shanghai Xinze Sanhe Venture Investment LP</t>
        </is>
      </c>
      <c r="C46" s="2" t="inlineStr">
        <is>
          <t>47127971</t>
        </is>
      </c>
      <c r="D46" s="2" t="inlineStr">
        <is>
          <t>AUD2026-12 Xingze Fund</t>
        </is>
      </c>
      <c r="E46" s="2" t="inlineStr">
        <is>
          <t>Order47127971- 260501004</t>
        </is>
      </c>
      <c r="F46" s="2" t="inlineStr">
        <is>
          <t>47127971- EDC260501001</t>
        </is>
      </c>
      <c r="G46" s="2" t="inlineStr">
        <is>
          <t>Vivi.W.Yang@cn.ey.com</t>
        </is>
      </c>
      <c r="H46" s="2">
        <f>SUMIFS('周排班-纵表'!$I:$I,'周排班-纵表'!$C:$C,$C46,'周排班-纵表'!$G:$G,$G46,'周排班-纵表'!$H:$H,H$1)</f>
        <v/>
      </c>
      <c r="I46" s="2">
        <f>SUMIFS('周排班-纵表'!$I:$I,'周排班-纵表'!$C:$C,$C46,'周排班-纵表'!$G:$G,$G46,'周排班-纵表'!$H:$H,I$1)</f>
        <v/>
      </c>
      <c r="J46" s="2">
        <f>SUMIFS('周排班-纵表'!$I:$I,'周排班-纵表'!$C:$C,$C46,'周排班-纵表'!$G:$G,$G46,'周排班-纵表'!$H:$H,J$1)</f>
        <v/>
      </c>
      <c r="K46" s="2">
        <f>SUMIFS('周排班-纵表'!$I:$I,'周排班-纵表'!$C:$C,$C46,'周排班-纵表'!$G:$G,$G46,'周排班-纵表'!$H:$H,K$1)</f>
        <v/>
      </c>
      <c r="L46" s="2">
        <f>SUMIFS('周排班-纵表'!$I:$I,'周排班-纵表'!$C:$C,$C46,'周排班-纵表'!$G:$G,$G46,'周排班-纵表'!$H:$H,L$1)</f>
        <v/>
      </c>
      <c r="M46" s="2">
        <f>SUMIFS('周排班-纵表'!$I:$I,'周排班-纵表'!$C:$C,$C46,'周排班-纵表'!$G:$G,$G46,'周排班-纵表'!$H:$H,M$1)</f>
        <v/>
      </c>
      <c r="N46" s="2">
        <f>SUMIFS('周排班-纵表'!$I:$I,'周排班-纵表'!$C:$C,$C46,'周排班-纵表'!$G:$G,$G46,'周排班-纵表'!$H:$H,N$1)</f>
        <v/>
      </c>
      <c r="O46" s="2">
        <f>SUMIFS('周排班-纵表'!$I:$I,'周排班-纵表'!$C:$C,$C46,'周排班-纵表'!$G:$G,$G46,'周排班-纵表'!$H:$H,O$1)</f>
        <v/>
      </c>
      <c r="P46" s="2">
        <f>SUMIFS('周排班-纵表'!$I:$I,'周排班-纵表'!$C:$C,$C46,'周排班-纵表'!$G:$G,$G46,'周排班-纵表'!$H:$H,P$1)</f>
        <v/>
      </c>
      <c r="Q46" s="2">
        <f>SUMIFS('周排班-纵表'!$I:$I,'周排班-纵表'!$C:$C,$C46,'周排班-纵表'!$G:$G,$G46,'周排班-纵表'!$H:$H,Q$1)</f>
        <v/>
      </c>
      <c r="R46" s="2">
        <f>SUMIFS('周排班-纵表'!$I:$I,'周排班-纵表'!$C:$C,$C46,'周排班-纵表'!$G:$G,$G46,'周排班-纵表'!$H:$H,R$1)</f>
        <v/>
      </c>
      <c r="S46" s="2">
        <f>SUMIFS('周排班-纵表'!$I:$I,'周排班-纵表'!$C:$C,$C46,'周排班-纵表'!$G:$G,$G46,'周排班-纵表'!$H:$H,S$1)</f>
        <v/>
      </c>
      <c r="T46" s="2">
        <f>SUMIFS('周排班-纵表'!$I:$I,'周排班-纵表'!$C:$C,$C46,'周排班-纵表'!$G:$G,$G46,'周排班-纵表'!$H:$H,T$1)</f>
        <v/>
      </c>
      <c r="U46" s="2">
        <f>SUMIFS('周排班-纵表'!$I:$I,'周排班-纵表'!$C:$C,$C46,'周排班-纵表'!$G:$G,$G46,'周排班-纵表'!$H:$H,U$1)</f>
        <v/>
      </c>
      <c r="V46" s="2">
        <f>SUMIFS('周排班-纵表'!$I:$I,'周排班-纵表'!$C:$C,$C46,'周排班-纵表'!$G:$G,$G46,'周排班-纵表'!$H:$H,V$1)</f>
        <v/>
      </c>
      <c r="W46" s="2">
        <f>SUMIFS('周排班-纵表'!$I:$I,'周排班-纵表'!$C:$C,$C46,'周排班-纵表'!$G:$G,$G46,'周排班-纵表'!$H:$H,W$1)</f>
        <v/>
      </c>
      <c r="X46" s="2">
        <f>SUMIFS('周排班-纵表'!$I:$I,'周排班-纵表'!$C:$C,$C46,'周排班-纵表'!$G:$G,$G46,'周排班-纵表'!$H:$H,X$1)</f>
        <v/>
      </c>
      <c r="Y46" s="2">
        <f>SUMIFS('周排班-纵表'!$I:$I,'周排班-纵表'!$C:$C,$C46,'周排班-纵表'!$G:$G,$G46,'周排班-纵表'!$H:$H,Y$1)</f>
        <v/>
      </c>
      <c r="Z46" s="2">
        <f>SUMIFS('周排班-纵表'!$I:$I,'周排班-纵表'!$C:$C,$C46,'周排班-纵表'!$G:$G,$G46,'周排班-纵表'!$H:$H,Z$1)</f>
        <v/>
      </c>
      <c r="AA46" s="2">
        <f>SUMIFS('周排班-纵表'!$I:$I,'周排班-纵表'!$C:$C,$C46,'周排班-纵表'!$G:$G,$G46,'周排班-纵表'!$H:$H,AA$1)</f>
        <v/>
      </c>
      <c r="AB46" s="2">
        <f>SUMIFS('周排班-纵表'!$I:$I,'周排班-纵表'!$C:$C,$C46,'周排班-纵表'!$G:$G,$G46,'周排班-纵表'!$H:$H,AB$1)</f>
        <v/>
      </c>
      <c r="AC46" s="2">
        <f>SUMIFS('周排班-纵表'!$I:$I,'周排班-纵表'!$C:$C,$C46,'周排班-纵表'!$G:$G,$G46,'周排班-纵表'!$H:$H,AC$1)</f>
        <v/>
      </c>
      <c r="AD46" s="2">
        <f>SUMIFS('周排班-纵表'!$I:$I,'周排班-纵表'!$C:$C,$C46,'周排班-纵表'!$G:$G,$G46,'周排班-纵表'!$H:$H,AD$1)</f>
        <v/>
      </c>
      <c r="AE46" s="2">
        <f>SUMIFS('周排班-纵表'!$I:$I,'周排班-纵表'!$C:$C,$C46,'周排班-纵表'!$G:$G,$G46,'周排班-纵表'!$H:$H,AE$1)</f>
        <v/>
      </c>
      <c r="AF46" s="2">
        <f>SUMIFS('周排班-纵表'!$I:$I,'周排班-纵表'!$C:$C,$C46,'周排班-纵表'!$G:$G,$G46,'周排班-纵表'!$H:$H,AF$1)</f>
        <v/>
      </c>
      <c r="AG46" s="2">
        <f>SUMIFS('周排班-纵表'!$I:$I,'周排班-纵表'!$C:$C,$C46,'周排班-纵表'!$G:$G,$G46,'周排班-纵表'!$H:$H,AG$1)</f>
        <v/>
      </c>
      <c r="AH46" s="2">
        <f>SUMIFS('周排班-纵表'!$I:$I,'周排班-纵表'!$C:$C,$C46,'周排班-纵表'!$G:$G,$G46,'周排班-纵表'!$H:$H,AH$1)</f>
        <v/>
      </c>
      <c r="AI46" s="2">
        <f>SUMIFS('周排班-纵表'!$I:$I,'周排班-纵表'!$C:$C,$C46,'周排班-纵表'!$G:$G,$G46,'周排班-纵表'!$H:$H,AI$1)</f>
        <v/>
      </c>
      <c r="AJ46" s="2">
        <f>SUMIFS('周排班-纵表'!$I:$I,'周排班-纵表'!$C:$C,$C46,'周排班-纵表'!$G:$G,$G46,'周排班-纵表'!$H:$H,AJ$1)</f>
        <v/>
      </c>
      <c r="AK46" s="2">
        <f>SUMIFS('周排班-纵表'!$I:$I,'周排班-纵表'!$C:$C,$C46,'周排班-纵表'!$G:$G,$G46,'周排班-纵表'!$H:$H,AK$1)</f>
        <v/>
      </c>
      <c r="AL46" s="2">
        <f>SUMIFS('周排班-纵表'!$I:$I,'周排班-纵表'!$C:$C,$C46,'周排班-纵表'!$G:$G,$G46,'周排班-纵表'!$H:$H,AL$1)</f>
        <v/>
      </c>
    </row>
    <row r="47">
      <c r="A47" s="2" t="inlineStr">
        <is>
          <t>PE</t>
        </is>
      </c>
      <c r="B47" s="2" t="inlineStr">
        <is>
          <t>Shanghai Xinze Sanhe Venture Investment LP</t>
        </is>
      </c>
      <c r="C47" s="2" t="inlineStr">
        <is>
          <t>47127971</t>
        </is>
      </c>
      <c r="D47" s="2" t="inlineStr">
        <is>
          <t>AUD2026-12 Xingze Fund</t>
        </is>
      </c>
      <c r="E47" s="2" t="inlineStr">
        <is>
          <t>Order47127971- 260501004</t>
        </is>
      </c>
      <c r="F47" s="2" t="inlineStr">
        <is>
          <t>47127971- EDC260501001</t>
        </is>
      </c>
      <c r="G47" s="2" t="inlineStr">
        <is>
          <t>Yuan.Yuan.YY.Chen@cn.ey.com</t>
        </is>
      </c>
      <c r="H47" s="2">
        <f>SUMIFS('周排班-纵表'!$I:$I,'周排班-纵表'!$C:$C,$C47,'周排班-纵表'!$G:$G,$G47,'周排班-纵表'!$H:$H,H$1)</f>
        <v/>
      </c>
      <c r="I47" s="2">
        <f>SUMIFS('周排班-纵表'!$I:$I,'周排班-纵表'!$C:$C,$C47,'周排班-纵表'!$G:$G,$G47,'周排班-纵表'!$H:$H,I$1)</f>
        <v/>
      </c>
      <c r="J47" s="2">
        <f>SUMIFS('周排班-纵表'!$I:$I,'周排班-纵表'!$C:$C,$C47,'周排班-纵表'!$G:$G,$G47,'周排班-纵表'!$H:$H,J$1)</f>
        <v/>
      </c>
      <c r="K47" s="2">
        <f>SUMIFS('周排班-纵表'!$I:$I,'周排班-纵表'!$C:$C,$C47,'周排班-纵表'!$G:$G,$G47,'周排班-纵表'!$H:$H,K$1)</f>
        <v/>
      </c>
      <c r="L47" s="2">
        <f>SUMIFS('周排班-纵表'!$I:$I,'周排班-纵表'!$C:$C,$C47,'周排班-纵表'!$G:$G,$G47,'周排班-纵表'!$H:$H,L$1)</f>
        <v/>
      </c>
      <c r="M47" s="2">
        <f>SUMIFS('周排班-纵表'!$I:$I,'周排班-纵表'!$C:$C,$C47,'周排班-纵表'!$G:$G,$G47,'周排班-纵表'!$H:$H,M$1)</f>
        <v/>
      </c>
      <c r="N47" s="2">
        <f>SUMIFS('周排班-纵表'!$I:$I,'周排班-纵表'!$C:$C,$C47,'周排班-纵表'!$G:$G,$G47,'周排班-纵表'!$H:$H,N$1)</f>
        <v/>
      </c>
      <c r="O47" s="2">
        <f>SUMIFS('周排班-纵表'!$I:$I,'周排班-纵表'!$C:$C,$C47,'周排班-纵表'!$G:$G,$G47,'周排班-纵表'!$H:$H,O$1)</f>
        <v/>
      </c>
      <c r="P47" s="2">
        <f>SUMIFS('周排班-纵表'!$I:$I,'周排班-纵表'!$C:$C,$C47,'周排班-纵表'!$G:$G,$G47,'周排班-纵表'!$H:$H,P$1)</f>
        <v/>
      </c>
      <c r="Q47" s="2">
        <f>SUMIFS('周排班-纵表'!$I:$I,'周排班-纵表'!$C:$C,$C47,'周排班-纵表'!$G:$G,$G47,'周排班-纵表'!$H:$H,Q$1)</f>
        <v/>
      </c>
      <c r="R47" s="2">
        <f>SUMIFS('周排班-纵表'!$I:$I,'周排班-纵表'!$C:$C,$C47,'周排班-纵表'!$G:$G,$G47,'周排班-纵表'!$H:$H,R$1)</f>
        <v/>
      </c>
      <c r="S47" s="2">
        <f>SUMIFS('周排班-纵表'!$I:$I,'周排班-纵表'!$C:$C,$C47,'周排班-纵表'!$G:$G,$G47,'周排班-纵表'!$H:$H,S$1)</f>
        <v/>
      </c>
      <c r="T47" s="2">
        <f>SUMIFS('周排班-纵表'!$I:$I,'周排班-纵表'!$C:$C,$C47,'周排班-纵表'!$G:$G,$G47,'周排班-纵表'!$H:$H,T$1)</f>
        <v/>
      </c>
      <c r="U47" s="2">
        <f>SUMIFS('周排班-纵表'!$I:$I,'周排班-纵表'!$C:$C,$C47,'周排班-纵表'!$G:$G,$G47,'周排班-纵表'!$H:$H,U$1)</f>
        <v/>
      </c>
      <c r="V47" s="2">
        <f>SUMIFS('周排班-纵表'!$I:$I,'周排班-纵表'!$C:$C,$C47,'周排班-纵表'!$G:$G,$G47,'周排班-纵表'!$H:$H,V$1)</f>
        <v/>
      </c>
      <c r="W47" s="2">
        <f>SUMIFS('周排班-纵表'!$I:$I,'周排班-纵表'!$C:$C,$C47,'周排班-纵表'!$G:$G,$G47,'周排班-纵表'!$H:$H,W$1)</f>
        <v/>
      </c>
      <c r="X47" s="2">
        <f>SUMIFS('周排班-纵表'!$I:$I,'周排班-纵表'!$C:$C,$C47,'周排班-纵表'!$G:$G,$G47,'周排班-纵表'!$H:$H,X$1)</f>
        <v/>
      </c>
      <c r="Y47" s="2">
        <f>SUMIFS('周排班-纵表'!$I:$I,'周排班-纵表'!$C:$C,$C47,'周排班-纵表'!$G:$G,$G47,'周排班-纵表'!$H:$H,Y$1)</f>
        <v/>
      </c>
      <c r="Z47" s="2">
        <f>SUMIFS('周排班-纵表'!$I:$I,'周排班-纵表'!$C:$C,$C47,'周排班-纵表'!$G:$G,$G47,'周排班-纵表'!$H:$H,Z$1)</f>
        <v/>
      </c>
      <c r="AA47" s="2">
        <f>SUMIFS('周排班-纵表'!$I:$I,'周排班-纵表'!$C:$C,$C47,'周排班-纵表'!$G:$G,$G47,'周排班-纵表'!$H:$H,AA$1)</f>
        <v/>
      </c>
      <c r="AB47" s="2">
        <f>SUMIFS('周排班-纵表'!$I:$I,'周排班-纵表'!$C:$C,$C47,'周排班-纵表'!$G:$G,$G47,'周排班-纵表'!$H:$H,AB$1)</f>
        <v/>
      </c>
      <c r="AC47" s="2">
        <f>SUMIFS('周排班-纵表'!$I:$I,'周排班-纵表'!$C:$C,$C47,'周排班-纵表'!$G:$G,$G47,'周排班-纵表'!$H:$H,AC$1)</f>
        <v/>
      </c>
      <c r="AD47" s="2">
        <f>SUMIFS('周排班-纵表'!$I:$I,'周排班-纵表'!$C:$C,$C47,'周排班-纵表'!$G:$G,$G47,'周排班-纵表'!$H:$H,AD$1)</f>
        <v/>
      </c>
      <c r="AE47" s="2">
        <f>SUMIFS('周排班-纵表'!$I:$I,'周排班-纵表'!$C:$C,$C47,'周排班-纵表'!$G:$G,$G47,'周排班-纵表'!$H:$H,AE$1)</f>
        <v/>
      </c>
      <c r="AF47" s="2">
        <f>SUMIFS('周排班-纵表'!$I:$I,'周排班-纵表'!$C:$C,$C47,'周排班-纵表'!$G:$G,$G47,'周排班-纵表'!$H:$H,AF$1)</f>
        <v/>
      </c>
      <c r="AG47" s="2">
        <f>SUMIFS('周排班-纵表'!$I:$I,'周排班-纵表'!$C:$C,$C47,'周排班-纵表'!$G:$G,$G47,'周排班-纵表'!$H:$H,AG$1)</f>
        <v/>
      </c>
      <c r="AH47" s="2">
        <f>SUMIFS('周排班-纵表'!$I:$I,'周排班-纵表'!$C:$C,$C47,'周排班-纵表'!$G:$G,$G47,'周排班-纵表'!$H:$H,AH$1)</f>
        <v/>
      </c>
      <c r="AI47" s="2">
        <f>SUMIFS('周排班-纵表'!$I:$I,'周排班-纵表'!$C:$C,$C47,'周排班-纵表'!$G:$G,$G47,'周排班-纵表'!$H:$H,AI$1)</f>
        <v/>
      </c>
      <c r="AJ47" s="2">
        <f>SUMIFS('周排班-纵表'!$I:$I,'周排班-纵表'!$C:$C,$C47,'周排班-纵表'!$G:$G,$G47,'周排班-纵表'!$H:$H,AJ$1)</f>
        <v/>
      </c>
      <c r="AK47" s="2">
        <f>SUMIFS('周排班-纵表'!$I:$I,'周排班-纵表'!$C:$C,$C47,'周排班-纵表'!$G:$G,$G47,'周排班-纵表'!$H:$H,AK$1)</f>
        <v/>
      </c>
      <c r="AL47" s="2">
        <f>SUMIFS('周排班-纵表'!$I:$I,'周排班-纵表'!$C:$C,$C47,'周排班-纵表'!$G:$G,$G47,'周排班-纵表'!$H:$H,AL$1)</f>
        <v/>
      </c>
    </row>
    <row r="48">
      <c r="A48" s="2" t="inlineStr">
        <is>
          <t>PE</t>
        </is>
      </c>
      <c r="B48" s="2" t="inlineStr">
        <is>
          <t>EverYi Capital Asia Fund, L.P.</t>
        </is>
      </c>
      <c r="C48" s="2" t="inlineStr">
        <is>
          <t>47128108</t>
        </is>
      </c>
      <c r="D48" s="2" t="inlineStr">
        <is>
          <t>AUD2026-12 EverYi Capital</t>
        </is>
      </c>
      <c r="E48" s="2" t="inlineStr">
        <is>
          <t>Order47128108- 260501005</t>
        </is>
      </c>
      <c r="F48" s="2" t="inlineStr">
        <is>
          <t>47128108- EDC260504001</t>
        </is>
      </c>
      <c r="G48" s="2" t="inlineStr">
        <is>
          <t>Luna.CD.Zhang@cn.ey.com</t>
        </is>
      </c>
      <c r="H48" s="2">
        <f>SUMIFS('周排班-纵表'!$I:$I,'周排班-纵表'!$C:$C,$C48,'周排班-纵表'!$G:$G,$G48,'周排班-纵表'!$H:$H,H$1)</f>
        <v/>
      </c>
      <c r="I48" s="2">
        <f>SUMIFS('周排班-纵表'!$I:$I,'周排班-纵表'!$C:$C,$C48,'周排班-纵表'!$G:$G,$G48,'周排班-纵表'!$H:$H,I$1)</f>
        <v/>
      </c>
      <c r="J48" s="2">
        <f>SUMIFS('周排班-纵表'!$I:$I,'周排班-纵表'!$C:$C,$C48,'周排班-纵表'!$G:$G,$G48,'周排班-纵表'!$H:$H,J$1)</f>
        <v/>
      </c>
      <c r="K48" s="2">
        <f>SUMIFS('周排班-纵表'!$I:$I,'周排班-纵表'!$C:$C,$C48,'周排班-纵表'!$G:$G,$G48,'周排班-纵表'!$H:$H,K$1)</f>
        <v/>
      </c>
      <c r="L48" s="2">
        <f>SUMIFS('周排班-纵表'!$I:$I,'周排班-纵表'!$C:$C,$C48,'周排班-纵表'!$G:$G,$G48,'周排班-纵表'!$H:$H,L$1)</f>
        <v/>
      </c>
      <c r="M48" s="2">
        <f>SUMIFS('周排班-纵表'!$I:$I,'周排班-纵表'!$C:$C,$C48,'周排班-纵表'!$G:$G,$G48,'周排班-纵表'!$H:$H,M$1)</f>
        <v/>
      </c>
      <c r="N48" s="2">
        <f>SUMIFS('周排班-纵表'!$I:$I,'周排班-纵表'!$C:$C,$C48,'周排班-纵表'!$G:$G,$G48,'周排班-纵表'!$H:$H,N$1)</f>
        <v/>
      </c>
      <c r="O48" s="2">
        <f>SUMIFS('周排班-纵表'!$I:$I,'周排班-纵表'!$C:$C,$C48,'周排班-纵表'!$G:$G,$G48,'周排班-纵表'!$H:$H,O$1)</f>
        <v/>
      </c>
      <c r="P48" s="2">
        <f>SUMIFS('周排班-纵表'!$I:$I,'周排班-纵表'!$C:$C,$C48,'周排班-纵表'!$G:$G,$G48,'周排班-纵表'!$H:$H,P$1)</f>
        <v/>
      </c>
      <c r="Q48" s="2">
        <f>SUMIFS('周排班-纵表'!$I:$I,'周排班-纵表'!$C:$C,$C48,'周排班-纵表'!$G:$G,$G48,'周排班-纵表'!$H:$H,Q$1)</f>
        <v/>
      </c>
      <c r="R48" s="2">
        <f>SUMIFS('周排班-纵表'!$I:$I,'周排班-纵表'!$C:$C,$C48,'周排班-纵表'!$G:$G,$G48,'周排班-纵表'!$H:$H,R$1)</f>
        <v/>
      </c>
      <c r="S48" s="2">
        <f>SUMIFS('周排班-纵表'!$I:$I,'周排班-纵表'!$C:$C,$C48,'周排班-纵表'!$G:$G,$G48,'周排班-纵表'!$H:$H,S$1)</f>
        <v/>
      </c>
      <c r="T48" s="2">
        <f>SUMIFS('周排班-纵表'!$I:$I,'周排班-纵表'!$C:$C,$C48,'周排班-纵表'!$G:$G,$G48,'周排班-纵表'!$H:$H,T$1)</f>
        <v/>
      </c>
      <c r="U48" s="2">
        <f>SUMIFS('周排班-纵表'!$I:$I,'周排班-纵表'!$C:$C,$C48,'周排班-纵表'!$G:$G,$G48,'周排班-纵表'!$H:$H,U$1)</f>
        <v/>
      </c>
      <c r="V48" s="2">
        <f>SUMIFS('周排班-纵表'!$I:$I,'周排班-纵表'!$C:$C,$C48,'周排班-纵表'!$G:$G,$G48,'周排班-纵表'!$H:$H,V$1)</f>
        <v/>
      </c>
      <c r="W48" s="2">
        <f>SUMIFS('周排班-纵表'!$I:$I,'周排班-纵表'!$C:$C,$C48,'周排班-纵表'!$G:$G,$G48,'周排班-纵表'!$H:$H,W$1)</f>
        <v/>
      </c>
      <c r="X48" s="2">
        <f>SUMIFS('周排班-纵表'!$I:$I,'周排班-纵表'!$C:$C,$C48,'周排班-纵表'!$G:$G,$G48,'周排班-纵表'!$H:$H,X$1)</f>
        <v/>
      </c>
      <c r="Y48" s="2">
        <f>SUMIFS('周排班-纵表'!$I:$I,'周排班-纵表'!$C:$C,$C48,'周排班-纵表'!$G:$G,$G48,'周排班-纵表'!$H:$H,Y$1)</f>
        <v/>
      </c>
      <c r="Z48" s="2">
        <f>SUMIFS('周排班-纵表'!$I:$I,'周排班-纵表'!$C:$C,$C48,'周排班-纵表'!$G:$G,$G48,'周排班-纵表'!$H:$H,Z$1)</f>
        <v/>
      </c>
      <c r="AA48" s="2">
        <f>SUMIFS('周排班-纵表'!$I:$I,'周排班-纵表'!$C:$C,$C48,'周排班-纵表'!$G:$G,$G48,'周排班-纵表'!$H:$H,AA$1)</f>
        <v/>
      </c>
      <c r="AB48" s="2">
        <f>SUMIFS('周排班-纵表'!$I:$I,'周排班-纵表'!$C:$C,$C48,'周排班-纵表'!$G:$G,$G48,'周排班-纵表'!$H:$H,AB$1)</f>
        <v/>
      </c>
      <c r="AC48" s="2">
        <f>SUMIFS('周排班-纵表'!$I:$I,'周排班-纵表'!$C:$C,$C48,'周排班-纵表'!$G:$G,$G48,'周排班-纵表'!$H:$H,AC$1)</f>
        <v/>
      </c>
      <c r="AD48" s="2">
        <f>SUMIFS('周排班-纵表'!$I:$I,'周排班-纵表'!$C:$C,$C48,'周排班-纵表'!$G:$G,$G48,'周排班-纵表'!$H:$H,AD$1)</f>
        <v/>
      </c>
      <c r="AE48" s="2">
        <f>SUMIFS('周排班-纵表'!$I:$I,'周排班-纵表'!$C:$C,$C48,'周排班-纵表'!$G:$G,$G48,'周排班-纵表'!$H:$H,AE$1)</f>
        <v/>
      </c>
      <c r="AF48" s="2">
        <f>SUMIFS('周排班-纵表'!$I:$I,'周排班-纵表'!$C:$C,$C48,'周排班-纵表'!$G:$G,$G48,'周排班-纵表'!$H:$H,AF$1)</f>
        <v/>
      </c>
      <c r="AG48" s="2">
        <f>SUMIFS('周排班-纵表'!$I:$I,'周排班-纵表'!$C:$C,$C48,'周排班-纵表'!$G:$G,$G48,'周排班-纵表'!$H:$H,AG$1)</f>
        <v/>
      </c>
      <c r="AH48" s="2">
        <f>SUMIFS('周排班-纵表'!$I:$I,'周排班-纵表'!$C:$C,$C48,'周排班-纵表'!$G:$G,$G48,'周排班-纵表'!$H:$H,AH$1)</f>
        <v/>
      </c>
      <c r="AI48" s="2">
        <f>SUMIFS('周排班-纵表'!$I:$I,'周排班-纵表'!$C:$C,$C48,'周排班-纵表'!$G:$G,$G48,'周排班-纵表'!$H:$H,AI$1)</f>
        <v/>
      </c>
      <c r="AJ48" s="2">
        <f>SUMIFS('周排班-纵表'!$I:$I,'周排班-纵表'!$C:$C,$C48,'周排班-纵表'!$G:$G,$G48,'周排班-纵表'!$H:$H,AJ$1)</f>
        <v/>
      </c>
      <c r="AK48" s="2">
        <f>SUMIFS('周排班-纵表'!$I:$I,'周排班-纵表'!$C:$C,$C48,'周排班-纵表'!$G:$G,$G48,'周排班-纵表'!$H:$H,AK$1)</f>
        <v/>
      </c>
      <c r="AL48" s="2">
        <f>SUMIFS('周排班-纵表'!$I:$I,'周排班-纵表'!$C:$C,$C48,'周排班-纵表'!$G:$G,$G48,'周排班-纵表'!$H:$H,AL$1)</f>
        <v/>
      </c>
    </row>
    <row r="49">
      <c r="A49" s="2" t="inlineStr">
        <is>
          <t>PE</t>
        </is>
      </c>
      <c r="B49" s="2" t="inlineStr">
        <is>
          <t>EverYi Capital Asia Fund, L.P.</t>
        </is>
      </c>
      <c r="C49" s="2" t="inlineStr">
        <is>
          <t>47128108</t>
        </is>
      </c>
      <c r="D49" s="2" t="inlineStr">
        <is>
          <t>AUD2026-12 EverYi Capital</t>
        </is>
      </c>
      <c r="E49" s="2" t="inlineStr">
        <is>
          <t>Order47128108- 260501005</t>
        </is>
      </c>
      <c r="F49" s="2" t="inlineStr">
        <is>
          <t>47128108- EDC260504001</t>
        </is>
      </c>
      <c r="G49" s="2" t="inlineStr">
        <is>
          <t>Marsh.Ma@cn.ey.com</t>
        </is>
      </c>
      <c r="H49" s="2">
        <f>SUMIFS('周排班-纵表'!$I:$I,'周排班-纵表'!$C:$C,$C49,'周排班-纵表'!$G:$G,$G49,'周排班-纵表'!$H:$H,H$1)</f>
        <v/>
      </c>
      <c r="I49" s="2">
        <f>SUMIFS('周排班-纵表'!$I:$I,'周排班-纵表'!$C:$C,$C49,'周排班-纵表'!$G:$G,$G49,'周排班-纵表'!$H:$H,I$1)</f>
        <v/>
      </c>
      <c r="J49" s="2">
        <f>SUMIFS('周排班-纵表'!$I:$I,'周排班-纵表'!$C:$C,$C49,'周排班-纵表'!$G:$G,$G49,'周排班-纵表'!$H:$H,J$1)</f>
        <v/>
      </c>
      <c r="K49" s="2">
        <f>SUMIFS('周排班-纵表'!$I:$I,'周排班-纵表'!$C:$C,$C49,'周排班-纵表'!$G:$G,$G49,'周排班-纵表'!$H:$H,K$1)</f>
        <v/>
      </c>
      <c r="L49" s="2">
        <f>SUMIFS('周排班-纵表'!$I:$I,'周排班-纵表'!$C:$C,$C49,'周排班-纵表'!$G:$G,$G49,'周排班-纵表'!$H:$H,L$1)</f>
        <v/>
      </c>
      <c r="M49" s="2">
        <f>SUMIFS('周排班-纵表'!$I:$I,'周排班-纵表'!$C:$C,$C49,'周排班-纵表'!$G:$G,$G49,'周排班-纵表'!$H:$H,M$1)</f>
        <v/>
      </c>
      <c r="N49" s="2">
        <f>SUMIFS('周排班-纵表'!$I:$I,'周排班-纵表'!$C:$C,$C49,'周排班-纵表'!$G:$G,$G49,'周排班-纵表'!$H:$H,N$1)</f>
        <v/>
      </c>
      <c r="O49" s="2">
        <f>SUMIFS('周排班-纵表'!$I:$I,'周排班-纵表'!$C:$C,$C49,'周排班-纵表'!$G:$G,$G49,'周排班-纵表'!$H:$H,O$1)</f>
        <v/>
      </c>
      <c r="P49" s="2">
        <f>SUMIFS('周排班-纵表'!$I:$I,'周排班-纵表'!$C:$C,$C49,'周排班-纵表'!$G:$G,$G49,'周排班-纵表'!$H:$H,P$1)</f>
        <v/>
      </c>
      <c r="Q49" s="2">
        <f>SUMIFS('周排班-纵表'!$I:$I,'周排班-纵表'!$C:$C,$C49,'周排班-纵表'!$G:$G,$G49,'周排班-纵表'!$H:$H,Q$1)</f>
        <v/>
      </c>
      <c r="R49" s="2">
        <f>SUMIFS('周排班-纵表'!$I:$I,'周排班-纵表'!$C:$C,$C49,'周排班-纵表'!$G:$G,$G49,'周排班-纵表'!$H:$H,R$1)</f>
        <v/>
      </c>
      <c r="S49" s="2">
        <f>SUMIFS('周排班-纵表'!$I:$I,'周排班-纵表'!$C:$C,$C49,'周排班-纵表'!$G:$G,$G49,'周排班-纵表'!$H:$H,S$1)</f>
        <v/>
      </c>
      <c r="T49" s="2">
        <f>SUMIFS('周排班-纵表'!$I:$I,'周排班-纵表'!$C:$C,$C49,'周排班-纵表'!$G:$G,$G49,'周排班-纵表'!$H:$H,T$1)</f>
        <v/>
      </c>
      <c r="U49" s="2">
        <f>SUMIFS('周排班-纵表'!$I:$I,'周排班-纵表'!$C:$C,$C49,'周排班-纵表'!$G:$G,$G49,'周排班-纵表'!$H:$H,U$1)</f>
        <v/>
      </c>
      <c r="V49" s="2">
        <f>SUMIFS('周排班-纵表'!$I:$I,'周排班-纵表'!$C:$C,$C49,'周排班-纵表'!$G:$G,$G49,'周排班-纵表'!$H:$H,V$1)</f>
        <v/>
      </c>
      <c r="W49" s="2">
        <f>SUMIFS('周排班-纵表'!$I:$I,'周排班-纵表'!$C:$C,$C49,'周排班-纵表'!$G:$G,$G49,'周排班-纵表'!$H:$H,W$1)</f>
        <v/>
      </c>
      <c r="X49" s="2">
        <f>SUMIFS('周排班-纵表'!$I:$I,'周排班-纵表'!$C:$C,$C49,'周排班-纵表'!$G:$G,$G49,'周排班-纵表'!$H:$H,X$1)</f>
        <v/>
      </c>
      <c r="Y49" s="2">
        <f>SUMIFS('周排班-纵表'!$I:$I,'周排班-纵表'!$C:$C,$C49,'周排班-纵表'!$G:$G,$G49,'周排班-纵表'!$H:$H,Y$1)</f>
        <v/>
      </c>
      <c r="Z49" s="2">
        <f>SUMIFS('周排班-纵表'!$I:$I,'周排班-纵表'!$C:$C,$C49,'周排班-纵表'!$G:$G,$G49,'周排班-纵表'!$H:$H,Z$1)</f>
        <v/>
      </c>
      <c r="AA49" s="2">
        <f>SUMIFS('周排班-纵表'!$I:$I,'周排班-纵表'!$C:$C,$C49,'周排班-纵表'!$G:$G,$G49,'周排班-纵表'!$H:$H,AA$1)</f>
        <v/>
      </c>
      <c r="AB49" s="2">
        <f>SUMIFS('周排班-纵表'!$I:$I,'周排班-纵表'!$C:$C,$C49,'周排班-纵表'!$G:$G,$G49,'周排班-纵表'!$H:$H,AB$1)</f>
        <v/>
      </c>
      <c r="AC49" s="2">
        <f>SUMIFS('周排班-纵表'!$I:$I,'周排班-纵表'!$C:$C,$C49,'周排班-纵表'!$G:$G,$G49,'周排班-纵表'!$H:$H,AC$1)</f>
        <v/>
      </c>
      <c r="AD49" s="2">
        <f>SUMIFS('周排班-纵表'!$I:$I,'周排班-纵表'!$C:$C,$C49,'周排班-纵表'!$G:$G,$G49,'周排班-纵表'!$H:$H,AD$1)</f>
        <v/>
      </c>
      <c r="AE49" s="2">
        <f>SUMIFS('周排班-纵表'!$I:$I,'周排班-纵表'!$C:$C,$C49,'周排班-纵表'!$G:$G,$G49,'周排班-纵表'!$H:$H,AE$1)</f>
        <v/>
      </c>
      <c r="AF49" s="2">
        <f>SUMIFS('周排班-纵表'!$I:$I,'周排班-纵表'!$C:$C,$C49,'周排班-纵表'!$G:$G,$G49,'周排班-纵表'!$H:$H,AF$1)</f>
        <v/>
      </c>
      <c r="AG49" s="2">
        <f>SUMIFS('周排班-纵表'!$I:$I,'周排班-纵表'!$C:$C,$C49,'周排班-纵表'!$G:$G,$G49,'周排班-纵表'!$H:$H,AG$1)</f>
        <v/>
      </c>
      <c r="AH49" s="2">
        <f>SUMIFS('周排班-纵表'!$I:$I,'周排班-纵表'!$C:$C,$C49,'周排班-纵表'!$G:$G,$G49,'周排班-纵表'!$H:$H,AH$1)</f>
        <v/>
      </c>
      <c r="AI49" s="2">
        <f>SUMIFS('周排班-纵表'!$I:$I,'周排班-纵表'!$C:$C,$C49,'周排班-纵表'!$G:$G,$G49,'周排班-纵表'!$H:$H,AI$1)</f>
        <v/>
      </c>
      <c r="AJ49" s="2">
        <f>SUMIFS('周排班-纵表'!$I:$I,'周排班-纵表'!$C:$C,$C49,'周排班-纵表'!$G:$G,$G49,'周排班-纵表'!$H:$H,AJ$1)</f>
        <v/>
      </c>
      <c r="AK49" s="2">
        <f>SUMIFS('周排班-纵表'!$I:$I,'周排班-纵表'!$C:$C,$C49,'周排班-纵表'!$G:$G,$G49,'周排班-纵表'!$H:$H,AK$1)</f>
        <v/>
      </c>
      <c r="AL49" s="2">
        <f>SUMIFS('周排班-纵表'!$I:$I,'周排班-纵表'!$C:$C,$C49,'周排班-纵表'!$G:$G,$G49,'周排班-纵表'!$H:$H,AL$1)</f>
        <v/>
      </c>
    </row>
    <row r="50">
      <c r="A50" s="2" t="inlineStr">
        <is>
          <t>PE</t>
        </is>
      </c>
      <c r="B50" s="2" t="inlineStr">
        <is>
          <t>EverYi Capital Asia Fund, L.P.</t>
        </is>
      </c>
      <c r="C50" s="2" t="inlineStr">
        <is>
          <t>47128108</t>
        </is>
      </c>
      <c r="D50" s="2" t="inlineStr">
        <is>
          <t>AUD2026-12 EverYi Capital</t>
        </is>
      </c>
      <c r="E50" s="2" t="inlineStr">
        <is>
          <t>Order47128108- 260501005</t>
        </is>
      </c>
      <c r="F50" s="2" t="inlineStr">
        <is>
          <t>47128108- EDC260504001</t>
        </is>
      </c>
      <c r="G50" s="2" t="inlineStr">
        <is>
          <t>Vivi.W.Yang@cn.ey.com</t>
        </is>
      </c>
      <c r="H50" s="2">
        <f>SUMIFS('周排班-纵表'!$I:$I,'周排班-纵表'!$C:$C,$C50,'周排班-纵表'!$G:$G,$G50,'周排班-纵表'!$H:$H,H$1)</f>
        <v/>
      </c>
      <c r="I50" s="2">
        <f>SUMIFS('周排班-纵表'!$I:$I,'周排班-纵表'!$C:$C,$C50,'周排班-纵表'!$G:$G,$G50,'周排班-纵表'!$H:$H,I$1)</f>
        <v/>
      </c>
      <c r="J50" s="2">
        <f>SUMIFS('周排班-纵表'!$I:$I,'周排班-纵表'!$C:$C,$C50,'周排班-纵表'!$G:$G,$G50,'周排班-纵表'!$H:$H,J$1)</f>
        <v/>
      </c>
      <c r="K50" s="2">
        <f>SUMIFS('周排班-纵表'!$I:$I,'周排班-纵表'!$C:$C,$C50,'周排班-纵表'!$G:$G,$G50,'周排班-纵表'!$H:$H,K$1)</f>
        <v/>
      </c>
      <c r="L50" s="2">
        <f>SUMIFS('周排班-纵表'!$I:$I,'周排班-纵表'!$C:$C,$C50,'周排班-纵表'!$G:$G,$G50,'周排班-纵表'!$H:$H,L$1)</f>
        <v/>
      </c>
      <c r="M50" s="2">
        <f>SUMIFS('周排班-纵表'!$I:$I,'周排班-纵表'!$C:$C,$C50,'周排班-纵表'!$G:$G,$G50,'周排班-纵表'!$H:$H,M$1)</f>
        <v/>
      </c>
      <c r="N50" s="2">
        <f>SUMIFS('周排班-纵表'!$I:$I,'周排班-纵表'!$C:$C,$C50,'周排班-纵表'!$G:$G,$G50,'周排班-纵表'!$H:$H,N$1)</f>
        <v/>
      </c>
      <c r="O50" s="2">
        <f>SUMIFS('周排班-纵表'!$I:$I,'周排班-纵表'!$C:$C,$C50,'周排班-纵表'!$G:$G,$G50,'周排班-纵表'!$H:$H,O$1)</f>
        <v/>
      </c>
      <c r="P50" s="2">
        <f>SUMIFS('周排班-纵表'!$I:$I,'周排班-纵表'!$C:$C,$C50,'周排班-纵表'!$G:$G,$G50,'周排班-纵表'!$H:$H,P$1)</f>
        <v/>
      </c>
      <c r="Q50" s="2">
        <f>SUMIFS('周排班-纵表'!$I:$I,'周排班-纵表'!$C:$C,$C50,'周排班-纵表'!$G:$G,$G50,'周排班-纵表'!$H:$H,Q$1)</f>
        <v/>
      </c>
      <c r="R50" s="2">
        <f>SUMIFS('周排班-纵表'!$I:$I,'周排班-纵表'!$C:$C,$C50,'周排班-纵表'!$G:$G,$G50,'周排班-纵表'!$H:$H,R$1)</f>
        <v/>
      </c>
      <c r="S50" s="2">
        <f>SUMIFS('周排班-纵表'!$I:$I,'周排班-纵表'!$C:$C,$C50,'周排班-纵表'!$G:$G,$G50,'周排班-纵表'!$H:$H,S$1)</f>
        <v/>
      </c>
      <c r="T50" s="2">
        <f>SUMIFS('周排班-纵表'!$I:$I,'周排班-纵表'!$C:$C,$C50,'周排班-纵表'!$G:$G,$G50,'周排班-纵表'!$H:$H,T$1)</f>
        <v/>
      </c>
      <c r="U50" s="2">
        <f>SUMIFS('周排班-纵表'!$I:$I,'周排班-纵表'!$C:$C,$C50,'周排班-纵表'!$G:$G,$G50,'周排班-纵表'!$H:$H,U$1)</f>
        <v/>
      </c>
      <c r="V50" s="2">
        <f>SUMIFS('周排班-纵表'!$I:$I,'周排班-纵表'!$C:$C,$C50,'周排班-纵表'!$G:$G,$G50,'周排班-纵表'!$H:$H,V$1)</f>
        <v/>
      </c>
      <c r="W50" s="2">
        <f>SUMIFS('周排班-纵表'!$I:$I,'周排班-纵表'!$C:$C,$C50,'周排班-纵表'!$G:$G,$G50,'周排班-纵表'!$H:$H,W$1)</f>
        <v/>
      </c>
      <c r="X50" s="2">
        <f>SUMIFS('周排班-纵表'!$I:$I,'周排班-纵表'!$C:$C,$C50,'周排班-纵表'!$G:$G,$G50,'周排班-纵表'!$H:$H,X$1)</f>
        <v/>
      </c>
      <c r="Y50" s="2">
        <f>SUMIFS('周排班-纵表'!$I:$I,'周排班-纵表'!$C:$C,$C50,'周排班-纵表'!$G:$G,$G50,'周排班-纵表'!$H:$H,Y$1)</f>
        <v/>
      </c>
      <c r="Z50" s="2">
        <f>SUMIFS('周排班-纵表'!$I:$I,'周排班-纵表'!$C:$C,$C50,'周排班-纵表'!$G:$G,$G50,'周排班-纵表'!$H:$H,Z$1)</f>
        <v/>
      </c>
      <c r="AA50" s="2">
        <f>SUMIFS('周排班-纵表'!$I:$I,'周排班-纵表'!$C:$C,$C50,'周排班-纵表'!$G:$G,$G50,'周排班-纵表'!$H:$H,AA$1)</f>
        <v/>
      </c>
      <c r="AB50" s="2">
        <f>SUMIFS('周排班-纵表'!$I:$I,'周排班-纵表'!$C:$C,$C50,'周排班-纵表'!$G:$G,$G50,'周排班-纵表'!$H:$H,AB$1)</f>
        <v/>
      </c>
      <c r="AC50" s="2">
        <f>SUMIFS('周排班-纵表'!$I:$I,'周排班-纵表'!$C:$C,$C50,'周排班-纵表'!$G:$G,$G50,'周排班-纵表'!$H:$H,AC$1)</f>
        <v/>
      </c>
      <c r="AD50" s="2">
        <f>SUMIFS('周排班-纵表'!$I:$I,'周排班-纵表'!$C:$C,$C50,'周排班-纵表'!$G:$G,$G50,'周排班-纵表'!$H:$H,AD$1)</f>
        <v/>
      </c>
      <c r="AE50" s="2">
        <f>SUMIFS('周排班-纵表'!$I:$I,'周排班-纵表'!$C:$C,$C50,'周排班-纵表'!$G:$G,$G50,'周排班-纵表'!$H:$H,AE$1)</f>
        <v/>
      </c>
      <c r="AF50" s="2">
        <f>SUMIFS('周排班-纵表'!$I:$I,'周排班-纵表'!$C:$C,$C50,'周排班-纵表'!$G:$G,$G50,'周排班-纵表'!$H:$H,AF$1)</f>
        <v/>
      </c>
      <c r="AG50" s="2">
        <f>SUMIFS('周排班-纵表'!$I:$I,'周排班-纵表'!$C:$C,$C50,'周排班-纵表'!$G:$G,$G50,'周排班-纵表'!$H:$H,AG$1)</f>
        <v/>
      </c>
      <c r="AH50" s="2">
        <f>SUMIFS('周排班-纵表'!$I:$I,'周排班-纵表'!$C:$C,$C50,'周排班-纵表'!$G:$G,$G50,'周排班-纵表'!$H:$H,AH$1)</f>
        <v/>
      </c>
      <c r="AI50" s="2">
        <f>SUMIFS('周排班-纵表'!$I:$I,'周排班-纵表'!$C:$C,$C50,'周排班-纵表'!$G:$G,$G50,'周排班-纵表'!$H:$H,AI$1)</f>
        <v/>
      </c>
      <c r="AJ50" s="2">
        <f>SUMIFS('周排班-纵表'!$I:$I,'周排班-纵表'!$C:$C,$C50,'周排班-纵表'!$G:$G,$G50,'周排班-纵表'!$H:$H,AJ$1)</f>
        <v/>
      </c>
      <c r="AK50" s="2">
        <f>SUMIFS('周排班-纵表'!$I:$I,'周排班-纵表'!$C:$C,$C50,'周排班-纵表'!$G:$G,$G50,'周排班-纵表'!$H:$H,AK$1)</f>
        <v/>
      </c>
      <c r="AL50" s="2">
        <f>SUMIFS('周排班-纵表'!$I:$I,'周排班-纵表'!$C:$C,$C50,'周排班-纵表'!$G:$G,$G50,'周排班-纵表'!$H:$H,AL$1)</f>
        <v/>
      </c>
    </row>
    <row r="51">
      <c r="A51" s="2" t="inlineStr">
        <is>
          <t>PE</t>
        </is>
      </c>
      <c r="B51" s="2" t="inlineStr">
        <is>
          <t>Mirae Asset Alternative Investment Management (Shanghai) Co., Ltd.</t>
        </is>
      </c>
      <c r="C51" s="2" t="inlineStr">
        <is>
          <t>47128154</t>
        </is>
      </c>
      <c r="D51" s="2" t="inlineStr">
        <is>
          <t>AUD2026-12 Mirae Asset</t>
        </is>
      </c>
      <c r="E51" s="2" t="inlineStr">
        <is>
          <t>Order47128154- 260501004</t>
        </is>
      </c>
      <c r="F51" s="2" t="inlineStr">
        <is>
          <t>47128154- EDC260504001</t>
        </is>
      </c>
      <c r="G51" s="2" t="inlineStr">
        <is>
          <t>Luna.CD.Zhang@cn.ey.com</t>
        </is>
      </c>
      <c r="H51" s="2">
        <f>SUMIFS('周排班-纵表'!$I:$I,'周排班-纵表'!$C:$C,$C51,'周排班-纵表'!$G:$G,$G51,'周排班-纵表'!$H:$H,H$1)</f>
        <v/>
      </c>
      <c r="I51" s="2">
        <f>SUMIFS('周排班-纵表'!$I:$I,'周排班-纵表'!$C:$C,$C51,'周排班-纵表'!$G:$G,$G51,'周排班-纵表'!$H:$H,I$1)</f>
        <v/>
      </c>
      <c r="J51" s="2">
        <f>SUMIFS('周排班-纵表'!$I:$I,'周排班-纵表'!$C:$C,$C51,'周排班-纵表'!$G:$G,$G51,'周排班-纵表'!$H:$H,J$1)</f>
        <v/>
      </c>
      <c r="K51" s="2">
        <f>SUMIFS('周排班-纵表'!$I:$I,'周排班-纵表'!$C:$C,$C51,'周排班-纵表'!$G:$G,$G51,'周排班-纵表'!$H:$H,K$1)</f>
        <v/>
      </c>
      <c r="L51" s="2">
        <f>SUMIFS('周排班-纵表'!$I:$I,'周排班-纵表'!$C:$C,$C51,'周排班-纵表'!$G:$G,$G51,'周排班-纵表'!$H:$H,L$1)</f>
        <v/>
      </c>
      <c r="M51" s="2">
        <f>SUMIFS('周排班-纵表'!$I:$I,'周排班-纵表'!$C:$C,$C51,'周排班-纵表'!$G:$G,$G51,'周排班-纵表'!$H:$H,M$1)</f>
        <v/>
      </c>
      <c r="N51" s="2">
        <f>SUMIFS('周排班-纵表'!$I:$I,'周排班-纵表'!$C:$C,$C51,'周排班-纵表'!$G:$G,$G51,'周排班-纵表'!$H:$H,N$1)</f>
        <v/>
      </c>
      <c r="O51" s="2">
        <f>SUMIFS('周排班-纵表'!$I:$I,'周排班-纵表'!$C:$C,$C51,'周排班-纵表'!$G:$G,$G51,'周排班-纵表'!$H:$H,O$1)</f>
        <v/>
      </c>
      <c r="P51" s="2">
        <f>SUMIFS('周排班-纵表'!$I:$I,'周排班-纵表'!$C:$C,$C51,'周排班-纵表'!$G:$G,$G51,'周排班-纵表'!$H:$H,P$1)</f>
        <v/>
      </c>
      <c r="Q51" s="2">
        <f>SUMIFS('周排班-纵表'!$I:$I,'周排班-纵表'!$C:$C,$C51,'周排班-纵表'!$G:$G,$G51,'周排班-纵表'!$H:$H,Q$1)</f>
        <v/>
      </c>
      <c r="R51" s="2">
        <f>SUMIFS('周排班-纵表'!$I:$I,'周排班-纵表'!$C:$C,$C51,'周排班-纵表'!$G:$G,$G51,'周排班-纵表'!$H:$H,R$1)</f>
        <v/>
      </c>
      <c r="S51" s="2">
        <f>SUMIFS('周排班-纵表'!$I:$I,'周排班-纵表'!$C:$C,$C51,'周排班-纵表'!$G:$G,$G51,'周排班-纵表'!$H:$H,S$1)</f>
        <v/>
      </c>
      <c r="T51" s="2">
        <f>SUMIFS('周排班-纵表'!$I:$I,'周排班-纵表'!$C:$C,$C51,'周排班-纵表'!$G:$G,$G51,'周排班-纵表'!$H:$H,T$1)</f>
        <v/>
      </c>
      <c r="U51" s="2">
        <f>SUMIFS('周排班-纵表'!$I:$I,'周排班-纵表'!$C:$C,$C51,'周排班-纵表'!$G:$G,$G51,'周排班-纵表'!$H:$H,U$1)</f>
        <v/>
      </c>
      <c r="V51" s="2">
        <f>SUMIFS('周排班-纵表'!$I:$I,'周排班-纵表'!$C:$C,$C51,'周排班-纵表'!$G:$G,$G51,'周排班-纵表'!$H:$H,V$1)</f>
        <v/>
      </c>
      <c r="W51" s="2">
        <f>SUMIFS('周排班-纵表'!$I:$I,'周排班-纵表'!$C:$C,$C51,'周排班-纵表'!$G:$G,$G51,'周排班-纵表'!$H:$H,W$1)</f>
        <v/>
      </c>
      <c r="X51" s="2">
        <f>SUMIFS('周排班-纵表'!$I:$I,'周排班-纵表'!$C:$C,$C51,'周排班-纵表'!$G:$G,$G51,'周排班-纵表'!$H:$H,X$1)</f>
        <v/>
      </c>
      <c r="Y51" s="2">
        <f>SUMIFS('周排班-纵表'!$I:$I,'周排班-纵表'!$C:$C,$C51,'周排班-纵表'!$G:$G,$G51,'周排班-纵表'!$H:$H,Y$1)</f>
        <v/>
      </c>
      <c r="Z51" s="2">
        <f>SUMIFS('周排班-纵表'!$I:$I,'周排班-纵表'!$C:$C,$C51,'周排班-纵表'!$G:$G,$G51,'周排班-纵表'!$H:$H,Z$1)</f>
        <v/>
      </c>
      <c r="AA51" s="2">
        <f>SUMIFS('周排班-纵表'!$I:$I,'周排班-纵表'!$C:$C,$C51,'周排班-纵表'!$G:$G,$G51,'周排班-纵表'!$H:$H,AA$1)</f>
        <v/>
      </c>
      <c r="AB51" s="2">
        <f>SUMIFS('周排班-纵表'!$I:$I,'周排班-纵表'!$C:$C,$C51,'周排班-纵表'!$G:$G,$G51,'周排班-纵表'!$H:$H,AB$1)</f>
        <v/>
      </c>
      <c r="AC51" s="2">
        <f>SUMIFS('周排班-纵表'!$I:$I,'周排班-纵表'!$C:$C,$C51,'周排班-纵表'!$G:$G,$G51,'周排班-纵表'!$H:$H,AC$1)</f>
        <v/>
      </c>
      <c r="AD51" s="2">
        <f>SUMIFS('周排班-纵表'!$I:$I,'周排班-纵表'!$C:$C,$C51,'周排班-纵表'!$G:$G,$G51,'周排班-纵表'!$H:$H,AD$1)</f>
        <v/>
      </c>
      <c r="AE51" s="2">
        <f>SUMIFS('周排班-纵表'!$I:$I,'周排班-纵表'!$C:$C,$C51,'周排班-纵表'!$G:$G,$G51,'周排班-纵表'!$H:$H,AE$1)</f>
        <v/>
      </c>
      <c r="AF51" s="2">
        <f>SUMIFS('周排班-纵表'!$I:$I,'周排班-纵表'!$C:$C,$C51,'周排班-纵表'!$G:$G,$G51,'周排班-纵表'!$H:$H,AF$1)</f>
        <v/>
      </c>
      <c r="AG51" s="2">
        <f>SUMIFS('周排班-纵表'!$I:$I,'周排班-纵表'!$C:$C,$C51,'周排班-纵表'!$G:$G,$G51,'周排班-纵表'!$H:$H,AG$1)</f>
        <v/>
      </c>
      <c r="AH51" s="2">
        <f>SUMIFS('周排班-纵表'!$I:$I,'周排班-纵表'!$C:$C,$C51,'周排班-纵表'!$G:$G,$G51,'周排班-纵表'!$H:$H,AH$1)</f>
        <v/>
      </c>
      <c r="AI51" s="2">
        <f>SUMIFS('周排班-纵表'!$I:$I,'周排班-纵表'!$C:$C,$C51,'周排班-纵表'!$G:$G,$G51,'周排班-纵表'!$H:$H,AI$1)</f>
        <v/>
      </c>
      <c r="AJ51" s="2">
        <f>SUMIFS('周排班-纵表'!$I:$I,'周排班-纵表'!$C:$C,$C51,'周排班-纵表'!$G:$G,$G51,'周排班-纵表'!$H:$H,AJ$1)</f>
        <v/>
      </c>
      <c r="AK51" s="2">
        <f>SUMIFS('周排班-纵表'!$I:$I,'周排班-纵表'!$C:$C,$C51,'周排班-纵表'!$G:$G,$G51,'周排班-纵表'!$H:$H,AK$1)</f>
        <v/>
      </c>
      <c r="AL51" s="2">
        <f>SUMIFS('周排班-纵表'!$I:$I,'周排班-纵表'!$C:$C,$C51,'周排班-纵表'!$G:$G,$G51,'周排班-纵表'!$H:$H,AL$1)</f>
        <v/>
      </c>
    </row>
    <row r="52">
      <c r="A52" s="2" t="inlineStr">
        <is>
          <t>PE</t>
        </is>
      </c>
      <c r="B52" s="2" t="inlineStr">
        <is>
          <t>Mirae Asset Alternative Investment Management (Shanghai) Co., Ltd.</t>
        </is>
      </c>
      <c r="C52" s="2" t="inlineStr">
        <is>
          <t>47128154</t>
        </is>
      </c>
      <c r="D52" s="2" t="inlineStr">
        <is>
          <t>AUD2026-12 Mirae Asset</t>
        </is>
      </c>
      <c r="E52" s="2" t="inlineStr">
        <is>
          <t>Order47128154- 260501004</t>
        </is>
      </c>
      <c r="F52" s="2" t="inlineStr">
        <is>
          <t>47128154- EDC260504001</t>
        </is>
      </c>
      <c r="G52" s="2" t="inlineStr">
        <is>
          <t>Marsh.Ma@cn.ey.com</t>
        </is>
      </c>
      <c r="H52" s="2">
        <f>SUMIFS('周排班-纵表'!$I:$I,'周排班-纵表'!$C:$C,$C52,'周排班-纵表'!$G:$G,$G52,'周排班-纵表'!$H:$H,H$1)</f>
        <v/>
      </c>
      <c r="I52" s="2">
        <f>SUMIFS('周排班-纵表'!$I:$I,'周排班-纵表'!$C:$C,$C52,'周排班-纵表'!$G:$G,$G52,'周排班-纵表'!$H:$H,I$1)</f>
        <v/>
      </c>
      <c r="J52" s="2">
        <f>SUMIFS('周排班-纵表'!$I:$I,'周排班-纵表'!$C:$C,$C52,'周排班-纵表'!$G:$G,$G52,'周排班-纵表'!$H:$H,J$1)</f>
        <v/>
      </c>
      <c r="K52" s="2">
        <f>SUMIFS('周排班-纵表'!$I:$I,'周排班-纵表'!$C:$C,$C52,'周排班-纵表'!$G:$G,$G52,'周排班-纵表'!$H:$H,K$1)</f>
        <v/>
      </c>
      <c r="L52" s="2">
        <f>SUMIFS('周排班-纵表'!$I:$I,'周排班-纵表'!$C:$C,$C52,'周排班-纵表'!$G:$G,$G52,'周排班-纵表'!$H:$H,L$1)</f>
        <v/>
      </c>
      <c r="M52" s="2">
        <f>SUMIFS('周排班-纵表'!$I:$I,'周排班-纵表'!$C:$C,$C52,'周排班-纵表'!$G:$G,$G52,'周排班-纵表'!$H:$H,M$1)</f>
        <v/>
      </c>
      <c r="N52" s="2">
        <f>SUMIFS('周排班-纵表'!$I:$I,'周排班-纵表'!$C:$C,$C52,'周排班-纵表'!$G:$G,$G52,'周排班-纵表'!$H:$H,N$1)</f>
        <v/>
      </c>
      <c r="O52" s="2">
        <f>SUMIFS('周排班-纵表'!$I:$I,'周排班-纵表'!$C:$C,$C52,'周排班-纵表'!$G:$G,$G52,'周排班-纵表'!$H:$H,O$1)</f>
        <v/>
      </c>
      <c r="P52" s="2">
        <f>SUMIFS('周排班-纵表'!$I:$I,'周排班-纵表'!$C:$C,$C52,'周排班-纵表'!$G:$G,$G52,'周排班-纵表'!$H:$H,P$1)</f>
        <v/>
      </c>
      <c r="Q52" s="2">
        <f>SUMIFS('周排班-纵表'!$I:$I,'周排班-纵表'!$C:$C,$C52,'周排班-纵表'!$G:$G,$G52,'周排班-纵表'!$H:$H,Q$1)</f>
        <v/>
      </c>
      <c r="R52" s="2">
        <f>SUMIFS('周排班-纵表'!$I:$I,'周排班-纵表'!$C:$C,$C52,'周排班-纵表'!$G:$G,$G52,'周排班-纵表'!$H:$H,R$1)</f>
        <v/>
      </c>
      <c r="S52" s="2">
        <f>SUMIFS('周排班-纵表'!$I:$I,'周排班-纵表'!$C:$C,$C52,'周排班-纵表'!$G:$G,$G52,'周排班-纵表'!$H:$H,S$1)</f>
        <v/>
      </c>
      <c r="T52" s="2">
        <f>SUMIFS('周排班-纵表'!$I:$I,'周排班-纵表'!$C:$C,$C52,'周排班-纵表'!$G:$G,$G52,'周排班-纵表'!$H:$H,T$1)</f>
        <v/>
      </c>
      <c r="U52" s="2">
        <f>SUMIFS('周排班-纵表'!$I:$I,'周排班-纵表'!$C:$C,$C52,'周排班-纵表'!$G:$G,$G52,'周排班-纵表'!$H:$H,U$1)</f>
        <v/>
      </c>
      <c r="V52" s="2">
        <f>SUMIFS('周排班-纵表'!$I:$I,'周排班-纵表'!$C:$C,$C52,'周排班-纵表'!$G:$G,$G52,'周排班-纵表'!$H:$H,V$1)</f>
        <v/>
      </c>
      <c r="W52" s="2">
        <f>SUMIFS('周排班-纵表'!$I:$I,'周排班-纵表'!$C:$C,$C52,'周排班-纵表'!$G:$G,$G52,'周排班-纵表'!$H:$H,W$1)</f>
        <v/>
      </c>
      <c r="X52" s="2">
        <f>SUMIFS('周排班-纵表'!$I:$I,'周排班-纵表'!$C:$C,$C52,'周排班-纵表'!$G:$G,$G52,'周排班-纵表'!$H:$H,X$1)</f>
        <v/>
      </c>
      <c r="Y52" s="2">
        <f>SUMIFS('周排班-纵表'!$I:$I,'周排班-纵表'!$C:$C,$C52,'周排班-纵表'!$G:$G,$G52,'周排班-纵表'!$H:$H,Y$1)</f>
        <v/>
      </c>
      <c r="Z52" s="2">
        <f>SUMIFS('周排班-纵表'!$I:$I,'周排班-纵表'!$C:$C,$C52,'周排班-纵表'!$G:$G,$G52,'周排班-纵表'!$H:$H,Z$1)</f>
        <v/>
      </c>
      <c r="AA52" s="2">
        <f>SUMIFS('周排班-纵表'!$I:$I,'周排班-纵表'!$C:$C,$C52,'周排班-纵表'!$G:$G,$G52,'周排班-纵表'!$H:$H,AA$1)</f>
        <v/>
      </c>
      <c r="AB52" s="2">
        <f>SUMIFS('周排班-纵表'!$I:$I,'周排班-纵表'!$C:$C,$C52,'周排班-纵表'!$G:$G,$G52,'周排班-纵表'!$H:$H,AB$1)</f>
        <v/>
      </c>
      <c r="AC52" s="2">
        <f>SUMIFS('周排班-纵表'!$I:$I,'周排班-纵表'!$C:$C,$C52,'周排班-纵表'!$G:$G,$G52,'周排班-纵表'!$H:$H,AC$1)</f>
        <v/>
      </c>
      <c r="AD52" s="2">
        <f>SUMIFS('周排班-纵表'!$I:$I,'周排班-纵表'!$C:$C,$C52,'周排班-纵表'!$G:$G,$G52,'周排班-纵表'!$H:$H,AD$1)</f>
        <v/>
      </c>
      <c r="AE52" s="2">
        <f>SUMIFS('周排班-纵表'!$I:$I,'周排班-纵表'!$C:$C,$C52,'周排班-纵表'!$G:$G,$G52,'周排班-纵表'!$H:$H,AE$1)</f>
        <v/>
      </c>
      <c r="AF52" s="2">
        <f>SUMIFS('周排班-纵表'!$I:$I,'周排班-纵表'!$C:$C,$C52,'周排班-纵表'!$G:$G,$G52,'周排班-纵表'!$H:$H,AF$1)</f>
        <v/>
      </c>
      <c r="AG52" s="2">
        <f>SUMIFS('周排班-纵表'!$I:$I,'周排班-纵表'!$C:$C,$C52,'周排班-纵表'!$G:$G,$G52,'周排班-纵表'!$H:$H,AG$1)</f>
        <v/>
      </c>
      <c r="AH52" s="2">
        <f>SUMIFS('周排班-纵表'!$I:$I,'周排班-纵表'!$C:$C,$C52,'周排班-纵表'!$G:$G,$G52,'周排班-纵表'!$H:$H,AH$1)</f>
        <v/>
      </c>
      <c r="AI52" s="2">
        <f>SUMIFS('周排班-纵表'!$I:$I,'周排班-纵表'!$C:$C,$C52,'周排班-纵表'!$G:$G,$G52,'周排班-纵表'!$H:$H,AI$1)</f>
        <v/>
      </c>
      <c r="AJ52" s="2">
        <f>SUMIFS('周排班-纵表'!$I:$I,'周排班-纵表'!$C:$C,$C52,'周排班-纵表'!$G:$G,$G52,'周排班-纵表'!$H:$H,AJ$1)</f>
        <v/>
      </c>
      <c r="AK52" s="2">
        <f>SUMIFS('周排班-纵表'!$I:$I,'周排班-纵表'!$C:$C,$C52,'周排班-纵表'!$G:$G,$G52,'周排班-纵表'!$H:$H,AK$1)</f>
        <v/>
      </c>
      <c r="AL52" s="2">
        <f>SUMIFS('周排班-纵表'!$I:$I,'周排班-纵表'!$C:$C,$C52,'周排班-纵表'!$G:$G,$G52,'周排班-纵表'!$H:$H,AL$1)</f>
        <v/>
      </c>
    </row>
    <row r="53">
      <c r="A53" s="2" t="inlineStr">
        <is>
          <t>PE</t>
        </is>
      </c>
      <c r="B53" s="2" t="inlineStr">
        <is>
          <t>Mirae Asset Alternative Investment Management (Shanghai) Co., Ltd.</t>
        </is>
      </c>
      <c r="C53" s="2" t="inlineStr">
        <is>
          <t>47128154</t>
        </is>
      </c>
      <c r="D53" s="2" t="inlineStr">
        <is>
          <t>AUD2026-12 Mirae Asset</t>
        </is>
      </c>
      <c r="E53" s="2" t="inlineStr">
        <is>
          <t>Order47128154- 260501004</t>
        </is>
      </c>
      <c r="F53" s="2" t="inlineStr">
        <is>
          <t>47128154- EDC260504001</t>
        </is>
      </c>
      <c r="G53" s="2" t="inlineStr">
        <is>
          <t>Vivi.W.Yang@cn.ey.com</t>
        </is>
      </c>
      <c r="H53" s="2">
        <f>SUMIFS('周排班-纵表'!$I:$I,'周排班-纵表'!$C:$C,$C53,'周排班-纵表'!$G:$G,$G53,'周排班-纵表'!$H:$H,H$1)</f>
        <v/>
      </c>
      <c r="I53" s="2">
        <f>SUMIFS('周排班-纵表'!$I:$I,'周排班-纵表'!$C:$C,$C53,'周排班-纵表'!$G:$G,$G53,'周排班-纵表'!$H:$H,I$1)</f>
        <v/>
      </c>
      <c r="J53" s="2">
        <f>SUMIFS('周排班-纵表'!$I:$I,'周排班-纵表'!$C:$C,$C53,'周排班-纵表'!$G:$G,$G53,'周排班-纵表'!$H:$H,J$1)</f>
        <v/>
      </c>
      <c r="K53" s="2">
        <f>SUMIFS('周排班-纵表'!$I:$I,'周排班-纵表'!$C:$C,$C53,'周排班-纵表'!$G:$G,$G53,'周排班-纵表'!$H:$H,K$1)</f>
        <v/>
      </c>
      <c r="L53" s="2">
        <f>SUMIFS('周排班-纵表'!$I:$I,'周排班-纵表'!$C:$C,$C53,'周排班-纵表'!$G:$G,$G53,'周排班-纵表'!$H:$H,L$1)</f>
        <v/>
      </c>
      <c r="M53" s="2">
        <f>SUMIFS('周排班-纵表'!$I:$I,'周排班-纵表'!$C:$C,$C53,'周排班-纵表'!$G:$G,$G53,'周排班-纵表'!$H:$H,M$1)</f>
        <v/>
      </c>
      <c r="N53" s="2">
        <f>SUMIFS('周排班-纵表'!$I:$I,'周排班-纵表'!$C:$C,$C53,'周排班-纵表'!$G:$G,$G53,'周排班-纵表'!$H:$H,N$1)</f>
        <v/>
      </c>
      <c r="O53" s="2">
        <f>SUMIFS('周排班-纵表'!$I:$I,'周排班-纵表'!$C:$C,$C53,'周排班-纵表'!$G:$G,$G53,'周排班-纵表'!$H:$H,O$1)</f>
        <v/>
      </c>
      <c r="P53" s="2">
        <f>SUMIFS('周排班-纵表'!$I:$I,'周排班-纵表'!$C:$C,$C53,'周排班-纵表'!$G:$G,$G53,'周排班-纵表'!$H:$H,P$1)</f>
        <v/>
      </c>
      <c r="Q53" s="2">
        <f>SUMIFS('周排班-纵表'!$I:$I,'周排班-纵表'!$C:$C,$C53,'周排班-纵表'!$G:$G,$G53,'周排班-纵表'!$H:$H,Q$1)</f>
        <v/>
      </c>
      <c r="R53" s="2">
        <f>SUMIFS('周排班-纵表'!$I:$I,'周排班-纵表'!$C:$C,$C53,'周排班-纵表'!$G:$G,$G53,'周排班-纵表'!$H:$H,R$1)</f>
        <v/>
      </c>
      <c r="S53" s="2">
        <f>SUMIFS('周排班-纵表'!$I:$I,'周排班-纵表'!$C:$C,$C53,'周排班-纵表'!$G:$G,$G53,'周排班-纵表'!$H:$H,S$1)</f>
        <v/>
      </c>
      <c r="T53" s="2">
        <f>SUMIFS('周排班-纵表'!$I:$I,'周排班-纵表'!$C:$C,$C53,'周排班-纵表'!$G:$G,$G53,'周排班-纵表'!$H:$H,T$1)</f>
        <v/>
      </c>
      <c r="U53" s="2">
        <f>SUMIFS('周排班-纵表'!$I:$I,'周排班-纵表'!$C:$C,$C53,'周排班-纵表'!$G:$G,$G53,'周排班-纵表'!$H:$H,U$1)</f>
        <v/>
      </c>
      <c r="V53" s="2">
        <f>SUMIFS('周排班-纵表'!$I:$I,'周排班-纵表'!$C:$C,$C53,'周排班-纵表'!$G:$G,$G53,'周排班-纵表'!$H:$H,V$1)</f>
        <v/>
      </c>
      <c r="W53" s="2">
        <f>SUMIFS('周排班-纵表'!$I:$I,'周排班-纵表'!$C:$C,$C53,'周排班-纵表'!$G:$G,$G53,'周排班-纵表'!$H:$H,W$1)</f>
        <v/>
      </c>
      <c r="X53" s="2">
        <f>SUMIFS('周排班-纵表'!$I:$I,'周排班-纵表'!$C:$C,$C53,'周排班-纵表'!$G:$G,$G53,'周排班-纵表'!$H:$H,X$1)</f>
        <v/>
      </c>
      <c r="Y53" s="2">
        <f>SUMIFS('周排班-纵表'!$I:$I,'周排班-纵表'!$C:$C,$C53,'周排班-纵表'!$G:$G,$G53,'周排班-纵表'!$H:$H,Y$1)</f>
        <v/>
      </c>
      <c r="Z53" s="2">
        <f>SUMIFS('周排班-纵表'!$I:$I,'周排班-纵表'!$C:$C,$C53,'周排班-纵表'!$G:$G,$G53,'周排班-纵表'!$H:$H,Z$1)</f>
        <v/>
      </c>
      <c r="AA53" s="2">
        <f>SUMIFS('周排班-纵表'!$I:$I,'周排班-纵表'!$C:$C,$C53,'周排班-纵表'!$G:$G,$G53,'周排班-纵表'!$H:$H,AA$1)</f>
        <v/>
      </c>
      <c r="AB53" s="2">
        <f>SUMIFS('周排班-纵表'!$I:$I,'周排班-纵表'!$C:$C,$C53,'周排班-纵表'!$G:$G,$G53,'周排班-纵表'!$H:$H,AB$1)</f>
        <v/>
      </c>
      <c r="AC53" s="2">
        <f>SUMIFS('周排班-纵表'!$I:$I,'周排班-纵表'!$C:$C,$C53,'周排班-纵表'!$G:$G,$G53,'周排班-纵表'!$H:$H,AC$1)</f>
        <v/>
      </c>
      <c r="AD53" s="2">
        <f>SUMIFS('周排班-纵表'!$I:$I,'周排班-纵表'!$C:$C,$C53,'周排班-纵表'!$G:$G,$G53,'周排班-纵表'!$H:$H,AD$1)</f>
        <v/>
      </c>
      <c r="AE53" s="2">
        <f>SUMIFS('周排班-纵表'!$I:$I,'周排班-纵表'!$C:$C,$C53,'周排班-纵表'!$G:$G,$G53,'周排班-纵表'!$H:$H,AE$1)</f>
        <v/>
      </c>
      <c r="AF53" s="2">
        <f>SUMIFS('周排班-纵表'!$I:$I,'周排班-纵表'!$C:$C,$C53,'周排班-纵表'!$G:$G,$G53,'周排班-纵表'!$H:$H,AF$1)</f>
        <v/>
      </c>
      <c r="AG53" s="2">
        <f>SUMIFS('周排班-纵表'!$I:$I,'周排班-纵表'!$C:$C,$C53,'周排班-纵表'!$G:$G,$G53,'周排班-纵表'!$H:$H,AG$1)</f>
        <v/>
      </c>
      <c r="AH53" s="2">
        <f>SUMIFS('周排班-纵表'!$I:$I,'周排班-纵表'!$C:$C,$C53,'周排班-纵表'!$G:$G,$G53,'周排班-纵表'!$H:$H,AH$1)</f>
        <v/>
      </c>
      <c r="AI53" s="2">
        <f>SUMIFS('周排班-纵表'!$I:$I,'周排班-纵表'!$C:$C,$C53,'周排班-纵表'!$G:$G,$G53,'周排班-纵表'!$H:$H,AI$1)</f>
        <v/>
      </c>
      <c r="AJ53" s="2">
        <f>SUMIFS('周排班-纵表'!$I:$I,'周排班-纵表'!$C:$C,$C53,'周排班-纵表'!$G:$G,$G53,'周排班-纵表'!$H:$H,AJ$1)</f>
        <v/>
      </c>
      <c r="AK53" s="2">
        <f>SUMIFS('周排班-纵表'!$I:$I,'周排班-纵表'!$C:$C,$C53,'周排班-纵表'!$G:$G,$G53,'周排班-纵表'!$H:$H,AK$1)</f>
        <v/>
      </c>
      <c r="AL53" s="2">
        <f>SUMIFS('周排班-纵表'!$I:$I,'周排班-纵表'!$C:$C,$C53,'周排班-纵表'!$G:$G,$G53,'周排班-纵表'!$H:$H,AL$1)</f>
        <v/>
      </c>
    </row>
    <row r="54">
      <c r="A54" s="2" t="inlineStr">
        <is>
          <t>PE</t>
        </is>
      </c>
      <c r="B54" s="2" t="inlineStr">
        <is>
          <t>Hangzhou Huaxin Yunkai Equity Shares Investment Partnership Enterprise (Limited Partnership)</t>
        </is>
      </c>
      <c r="C54" s="2" t="inlineStr">
        <is>
          <t>47128202</t>
        </is>
      </c>
      <c r="D54" s="2" t="inlineStr">
        <is>
          <t>AUD2026-12 Hangzhou Huaxin</t>
        </is>
      </c>
      <c r="E54" s="2" t="inlineStr">
        <is>
          <t>Order47128202- 260501004</t>
        </is>
      </c>
      <c r="F54" s="2" t="inlineStr">
        <is>
          <t>47128202- EDC260501001</t>
        </is>
      </c>
      <c r="G54" s="2" t="inlineStr">
        <is>
          <t>Luna.CD.Zhang@cn.ey.com</t>
        </is>
      </c>
      <c r="H54" s="2">
        <f>SUMIFS('周排班-纵表'!$I:$I,'周排班-纵表'!$C:$C,$C54,'周排班-纵表'!$G:$G,$G54,'周排班-纵表'!$H:$H,H$1)</f>
        <v/>
      </c>
      <c r="I54" s="2">
        <f>SUMIFS('周排班-纵表'!$I:$I,'周排班-纵表'!$C:$C,$C54,'周排班-纵表'!$G:$G,$G54,'周排班-纵表'!$H:$H,I$1)</f>
        <v/>
      </c>
      <c r="J54" s="2">
        <f>SUMIFS('周排班-纵表'!$I:$I,'周排班-纵表'!$C:$C,$C54,'周排班-纵表'!$G:$G,$G54,'周排班-纵表'!$H:$H,J$1)</f>
        <v/>
      </c>
      <c r="K54" s="2">
        <f>SUMIFS('周排班-纵表'!$I:$I,'周排班-纵表'!$C:$C,$C54,'周排班-纵表'!$G:$G,$G54,'周排班-纵表'!$H:$H,K$1)</f>
        <v/>
      </c>
      <c r="L54" s="2">
        <f>SUMIFS('周排班-纵表'!$I:$I,'周排班-纵表'!$C:$C,$C54,'周排班-纵表'!$G:$G,$G54,'周排班-纵表'!$H:$H,L$1)</f>
        <v/>
      </c>
      <c r="M54" s="2">
        <f>SUMIFS('周排班-纵表'!$I:$I,'周排班-纵表'!$C:$C,$C54,'周排班-纵表'!$G:$G,$G54,'周排班-纵表'!$H:$H,M$1)</f>
        <v/>
      </c>
      <c r="N54" s="2">
        <f>SUMIFS('周排班-纵表'!$I:$I,'周排班-纵表'!$C:$C,$C54,'周排班-纵表'!$G:$G,$G54,'周排班-纵表'!$H:$H,N$1)</f>
        <v/>
      </c>
      <c r="O54" s="2">
        <f>SUMIFS('周排班-纵表'!$I:$I,'周排班-纵表'!$C:$C,$C54,'周排班-纵表'!$G:$G,$G54,'周排班-纵表'!$H:$H,O$1)</f>
        <v/>
      </c>
      <c r="P54" s="2">
        <f>SUMIFS('周排班-纵表'!$I:$I,'周排班-纵表'!$C:$C,$C54,'周排班-纵表'!$G:$G,$G54,'周排班-纵表'!$H:$H,P$1)</f>
        <v/>
      </c>
      <c r="Q54" s="2">
        <f>SUMIFS('周排班-纵表'!$I:$I,'周排班-纵表'!$C:$C,$C54,'周排班-纵表'!$G:$G,$G54,'周排班-纵表'!$H:$H,Q$1)</f>
        <v/>
      </c>
      <c r="R54" s="2">
        <f>SUMIFS('周排班-纵表'!$I:$I,'周排班-纵表'!$C:$C,$C54,'周排班-纵表'!$G:$G,$G54,'周排班-纵表'!$H:$H,R$1)</f>
        <v/>
      </c>
      <c r="S54" s="2">
        <f>SUMIFS('周排班-纵表'!$I:$I,'周排班-纵表'!$C:$C,$C54,'周排班-纵表'!$G:$G,$G54,'周排班-纵表'!$H:$H,S$1)</f>
        <v/>
      </c>
      <c r="T54" s="2">
        <f>SUMIFS('周排班-纵表'!$I:$I,'周排班-纵表'!$C:$C,$C54,'周排班-纵表'!$G:$G,$G54,'周排班-纵表'!$H:$H,T$1)</f>
        <v/>
      </c>
      <c r="U54" s="2">
        <f>SUMIFS('周排班-纵表'!$I:$I,'周排班-纵表'!$C:$C,$C54,'周排班-纵表'!$G:$G,$G54,'周排班-纵表'!$H:$H,U$1)</f>
        <v/>
      </c>
      <c r="V54" s="2">
        <f>SUMIFS('周排班-纵表'!$I:$I,'周排班-纵表'!$C:$C,$C54,'周排班-纵表'!$G:$G,$G54,'周排班-纵表'!$H:$H,V$1)</f>
        <v/>
      </c>
      <c r="W54" s="2">
        <f>SUMIFS('周排班-纵表'!$I:$I,'周排班-纵表'!$C:$C,$C54,'周排班-纵表'!$G:$G,$G54,'周排班-纵表'!$H:$H,W$1)</f>
        <v/>
      </c>
      <c r="X54" s="2">
        <f>SUMIFS('周排班-纵表'!$I:$I,'周排班-纵表'!$C:$C,$C54,'周排班-纵表'!$G:$G,$G54,'周排班-纵表'!$H:$H,X$1)</f>
        <v/>
      </c>
      <c r="Y54" s="2">
        <f>SUMIFS('周排班-纵表'!$I:$I,'周排班-纵表'!$C:$C,$C54,'周排班-纵表'!$G:$G,$G54,'周排班-纵表'!$H:$H,Y$1)</f>
        <v/>
      </c>
      <c r="Z54" s="2">
        <f>SUMIFS('周排班-纵表'!$I:$I,'周排班-纵表'!$C:$C,$C54,'周排班-纵表'!$G:$G,$G54,'周排班-纵表'!$H:$H,Z$1)</f>
        <v/>
      </c>
      <c r="AA54" s="2">
        <f>SUMIFS('周排班-纵表'!$I:$I,'周排班-纵表'!$C:$C,$C54,'周排班-纵表'!$G:$G,$G54,'周排班-纵表'!$H:$H,AA$1)</f>
        <v/>
      </c>
      <c r="AB54" s="2">
        <f>SUMIFS('周排班-纵表'!$I:$I,'周排班-纵表'!$C:$C,$C54,'周排班-纵表'!$G:$G,$G54,'周排班-纵表'!$H:$H,AB$1)</f>
        <v/>
      </c>
      <c r="AC54" s="2">
        <f>SUMIFS('周排班-纵表'!$I:$I,'周排班-纵表'!$C:$C,$C54,'周排班-纵表'!$G:$G,$G54,'周排班-纵表'!$H:$H,AC$1)</f>
        <v/>
      </c>
      <c r="AD54" s="2">
        <f>SUMIFS('周排班-纵表'!$I:$I,'周排班-纵表'!$C:$C,$C54,'周排班-纵表'!$G:$G,$G54,'周排班-纵表'!$H:$H,AD$1)</f>
        <v/>
      </c>
      <c r="AE54" s="2">
        <f>SUMIFS('周排班-纵表'!$I:$I,'周排班-纵表'!$C:$C,$C54,'周排班-纵表'!$G:$G,$G54,'周排班-纵表'!$H:$H,AE$1)</f>
        <v/>
      </c>
      <c r="AF54" s="2">
        <f>SUMIFS('周排班-纵表'!$I:$I,'周排班-纵表'!$C:$C,$C54,'周排班-纵表'!$G:$G,$G54,'周排班-纵表'!$H:$H,AF$1)</f>
        <v/>
      </c>
      <c r="AG54" s="2">
        <f>SUMIFS('周排班-纵表'!$I:$I,'周排班-纵表'!$C:$C,$C54,'周排班-纵表'!$G:$G,$G54,'周排班-纵表'!$H:$H,AG$1)</f>
        <v/>
      </c>
      <c r="AH54" s="2">
        <f>SUMIFS('周排班-纵表'!$I:$I,'周排班-纵表'!$C:$C,$C54,'周排班-纵表'!$G:$G,$G54,'周排班-纵表'!$H:$H,AH$1)</f>
        <v/>
      </c>
      <c r="AI54" s="2">
        <f>SUMIFS('周排班-纵表'!$I:$I,'周排班-纵表'!$C:$C,$C54,'周排班-纵表'!$G:$G,$G54,'周排班-纵表'!$H:$H,AI$1)</f>
        <v/>
      </c>
      <c r="AJ54" s="2">
        <f>SUMIFS('周排班-纵表'!$I:$I,'周排班-纵表'!$C:$C,$C54,'周排班-纵表'!$G:$G,$G54,'周排班-纵表'!$H:$H,AJ$1)</f>
        <v/>
      </c>
      <c r="AK54" s="2">
        <f>SUMIFS('周排班-纵表'!$I:$I,'周排班-纵表'!$C:$C,$C54,'周排班-纵表'!$G:$G,$G54,'周排班-纵表'!$H:$H,AK$1)</f>
        <v/>
      </c>
      <c r="AL54" s="2">
        <f>SUMIFS('周排班-纵表'!$I:$I,'周排班-纵表'!$C:$C,$C54,'周排班-纵表'!$G:$G,$G54,'周排班-纵表'!$H:$H,AL$1)</f>
        <v/>
      </c>
    </row>
    <row r="55">
      <c r="A55" s="2" t="inlineStr">
        <is>
          <t>PE</t>
        </is>
      </c>
      <c r="B55" s="2" t="inlineStr">
        <is>
          <t>Hangzhou Huaxin Yunkai Equity Shares Investment Partnership Enterprise (Limited Partnership)</t>
        </is>
      </c>
      <c r="C55" s="2" t="inlineStr">
        <is>
          <t>47128202</t>
        </is>
      </c>
      <c r="D55" s="2" t="inlineStr">
        <is>
          <t>AUD2026-12 Hangzhou Huaxin</t>
        </is>
      </c>
      <c r="E55" s="2" t="inlineStr">
        <is>
          <t>Order47128202- 260501004</t>
        </is>
      </c>
      <c r="F55" s="2" t="inlineStr">
        <is>
          <t>47128202- EDC260501001</t>
        </is>
      </c>
      <c r="G55" s="2" t="inlineStr">
        <is>
          <t>Marsh.Ma@cn.ey.com</t>
        </is>
      </c>
      <c r="H55" s="2">
        <f>SUMIFS('周排班-纵表'!$I:$I,'周排班-纵表'!$C:$C,$C55,'周排班-纵表'!$G:$G,$G55,'周排班-纵表'!$H:$H,H$1)</f>
        <v/>
      </c>
      <c r="I55" s="2">
        <f>SUMIFS('周排班-纵表'!$I:$I,'周排班-纵表'!$C:$C,$C55,'周排班-纵表'!$G:$G,$G55,'周排班-纵表'!$H:$H,I$1)</f>
        <v/>
      </c>
      <c r="J55" s="2">
        <f>SUMIFS('周排班-纵表'!$I:$I,'周排班-纵表'!$C:$C,$C55,'周排班-纵表'!$G:$G,$G55,'周排班-纵表'!$H:$H,J$1)</f>
        <v/>
      </c>
      <c r="K55" s="2">
        <f>SUMIFS('周排班-纵表'!$I:$I,'周排班-纵表'!$C:$C,$C55,'周排班-纵表'!$G:$G,$G55,'周排班-纵表'!$H:$H,K$1)</f>
        <v/>
      </c>
      <c r="L55" s="2">
        <f>SUMIFS('周排班-纵表'!$I:$I,'周排班-纵表'!$C:$C,$C55,'周排班-纵表'!$G:$G,$G55,'周排班-纵表'!$H:$H,L$1)</f>
        <v/>
      </c>
      <c r="M55" s="2">
        <f>SUMIFS('周排班-纵表'!$I:$I,'周排班-纵表'!$C:$C,$C55,'周排班-纵表'!$G:$G,$G55,'周排班-纵表'!$H:$H,M$1)</f>
        <v/>
      </c>
      <c r="N55" s="2">
        <f>SUMIFS('周排班-纵表'!$I:$I,'周排班-纵表'!$C:$C,$C55,'周排班-纵表'!$G:$G,$G55,'周排班-纵表'!$H:$H,N$1)</f>
        <v/>
      </c>
      <c r="O55" s="2">
        <f>SUMIFS('周排班-纵表'!$I:$I,'周排班-纵表'!$C:$C,$C55,'周排班-纵表'!$G:$G,$G55,'周排班-纵表'!$H:$H,O$1)</f>
        <v/>
      </c>
      <c r="P55" s="2">
        <f>SUMIFS('周排班-纵表'!$I:$I,'周排班-纵表'!$C:$C,$C55,'周排班-纵表'!$G:$G,$G55,'周排班-纵表'!$H:$H,P$1)</f>
        <v/>
      </c>
      <c r="Q55" s="2">
        <f>SUMIFS('周排班-纵表'!$I:$I,'周排班-纵表'!$C:$C,$C55,'周排班-纵表'!$G:$G,$G55,'周排班-纵表'!$H:$H,Q$1)</f>
        <v/>
      </c>
      <c r="R55" s="2">
        <f>SUMIFS('周排班-纵表'!$I:$I,'周排班-纵表'!$C:$C,$C55,'周排班-纵表'!$G:$G,$G55,'周排班-纵表'!$H:$H,R$1)</f>
        <v/>
      </c>
      <c r="S55" s="2">
        <f>SUMIFS('周排班-纵表'!$I:$I,'周排班-纵表'!$C:$C,$C55,'周排班-纵表'!$G:$G,$G55,'周排班-纵表'!$H:$H,S$1)</f>
        <v/>
      </c>
      <c r="T55" s="2">
        <f>SUMIFS('周排班-纵表'!$I:$I,'周排班-纵表'!$C:$C,$C55,'周排班-纵表'!$G:$G,$G55,'周排班-纵表'!$H:$H,T$1)</f>
        <v/>
      </c>
      <c r="U55" s="2">
        <f>SUMIFS('周排班-纵表'!$I:$I,'周排班-纵表'!$C:$C,$C55,'周排班-纵表'!$G:$G,$G55,'周排班-纵表'!$H:$H,U$1)</f>
        <v/>
      </c>
      <c r="V55" s="2">
        <f>SUMIFS('周排班-纵表'!$I:$I,'周排班-纵表'!$C:$C,$C55,'周排班-纵表'!$G:$G,$G55,'周排班-纵表'!$H:$H,V$1)</f>
        <v/>
      </c>
      <c r="W55" s="2">
        <f>SUMIFS('周排班-纵表'!$I:$I,'周排班-纵表'!$C:$C,$C55,'周排班-纵表'!$G:$G,$G55,'周排班-纵表'!$H:$H,W$1)</f>
        <v/>
      </c>
      <c r="X55" s="2">
        <f>SUMIFS('周排班-纵表'!$I:$I,'周排班-纵表'!$C:$C,$C55,'周排班-纵表'!$G:$G,$G55,'周排班-纵表'!$H:$H,X$1)</f>
        <v/>
      </c>
      <c r="Y55" s="2">
        <f>SUMIFS('周排班-纵表'!$I:$I,'周排班-纵表'!$C:$C,$C55,'周排班-纵表'!$G:$G,$G55,'周排班-纵表'!$H:$H,Y$1)</f>
        <v/>
      </c>
      <c r="Z55" s="2">
        <f>SUMIFS('周排班-纵表'!$I:$I,'周排班-纵表'!$C:$C,$C55,'周排班-纵表'!$G:$G,$G55,'周排班-纵表'!$H:$H,Z$1)</f>
        <v/>
      </c>
      <c r="AA55" s="2">
        <f>SUMIFS('周排班-纵表'!$I:$I,'周排班-纵表'!$C:$C,$C55,'周排班-纵表'!$G:$G,$G55,'周排班-纵表'!$H:$H,AA$1)</f>
        <v/>
      </c>
      <c r="AB55" s="2">
        <f>SUMIFS('周排班-纵表'!$I:$I,'周排班-纵表'!$C:$C,$C55,'周排班-纵表'!$G:$G,$G55,'周排班-纵表'!$H:$H,AB$1)</f>
        <v/>
      </c>
      <c r="AC55" s="2">
        <f>SUMIFS('周排班-纵表'!$I:$I,'周排班-纵表'!$C:$C,$C55,'周排班-纵表'!$G:$G,$G55,'周排班-纵表'!$H:$H,AC$1)</f>
        <v/>
      </c>
      <c r="AD55" s="2">
        <f>SUMIFS('周排班-纵表'!$I:$I,'周排班-纵表'!$C:$C,$C55,'周排班-纵表'!$G:$G,$G55,'周排班-纵表'!$H:$H,AD$1)</f>
        <v/>
      </c>
      <c r="AE55" s="2">
        <f>SUMIFS('周排班-纵表'!$I:$I,'周排班-纵表'!$C:$C,$C55,'周排班-纵表'!$G:$G,$G55,'周排班-纵表'!$H:$H,AE$1)</f>
        <v/>
      </c>
      <c r="AF55" s="2">
        <f>SUMIFS('周排班-纵表'!$I:$I,'周排班-纵表'!$C:$C,$C55,'周排班-纵表'!$G:$G,$G55,'周排班-纵表'!$H:$H,AF$1)</f>
        <v/>
      </c>
      <c r="AG55" s="2">
        <f>SUMIFS('周排班-纵表'!$I:$I,'周排班-纵表'!$C:$C,$C55,'周排班-纵表'!$G:$G,$G55,'周排班-纵表'!$H:$H,AG$1)</f>
        <v/>
      </c>
      <c r="AH55" s="2">
        <f>SUMIFS('周排班-纵表'!$I:$I,'周排班-纵表'!$C:$C,$C55,'周排班-纵表'!$G:$G,$G55,'周排班-纵表'!$H:$H,AH$1)</f>
        <v/>
      </c>
      <c r="AI55" s="2">
        <f>SUMIFS('周排班-纵表'!$I:$I,'周排班-纵表'!$C:$C,$C55,'周排班-纵表'!$G:$G,$G55,'周排班-纵表'!$H:$H,AI$1)</f>
        <v/>
      </c>
      <c r="AJ55" s="2">
        <f>SUMIFS('周排班-纵表'!$I:$I,'周排班-纵表'!$C:$C,$C55,'周排班-纵表'!$G:$G,$G55,'周排班-纵表'!$H:$H,AJ$1)</f>
        <v/>
      </c>
      <c r="AK55" s="2">
        <f>SUMIFS('周排班-纵表'!$I:$I,'周排班-纵表'!$C:$C,$C55,'周排班-纵表'!$G:$G,$G55,'周排班-纵表'!$H:$H,AK$1)</f>
        <v/>
      </c>
      <c r="AL55" s="2">
        <f>SUMIFS('周排班-纵表'!$I:$I,'周排班-纵表'!$C:$C,$C55,'周排班-纵表'!$G:$G,$G55,'周排班-纵表'!$H:$H,AL$1)</f>
        <v/>
      </c>
    </row>
    <row r="56">
      <c r="A56" s="2" t="inlineStr">
        <is>
          <t>PE</t>
        </is>
      </c>
      <c r="B56" s="2" t="inlineStr">
        <is>
          <t>Hangzhou Huaxin Yunkai Equity Shares Investment Partnership Enterprise (Limited Partnership)</t>
        </is>
      </c>
      <c r="C56" s="2" t="inlineStr">
        <is>
          <t>47128202</t>
        </is>
      </c>
      <c r="D56" s="2" t="inlineStr">
        <is>
          <t>AUD2026-12 Hangzhou Huaxin</t>
        </is>
      </c>
      <c r="E56" s="2" t="inlineStr">
        <is>
          <t>Order47128202- 260501004</t>
        </is>
      </c>
      <c r="F56" s="2" t="inlineStr">
        <is>
          <t>47128202- EDC260501001</t>
        </is>
      </c>
      <c r="G56" s="2" t="inlineStr">
        <is>
          <t>Rainbow.MG.Xiao@cn.ey.com</t>
        </is>
      </c>
      <c r="H56" s="2">
        <f>SUMIFS('周排班-纵表'!$I:$I,'周排班-纵表'!$C:$C,$C56,'周排班-纵表'!$G:$G,$G56,'周排班-纵表'!$H:$H,H$1)</f>
        <v/>
      </c>
      <c r="I56" s="2">
        <f>SUMIFS('周排班-纵表'!$I:$I,'周排班-纵表'!$C:$C,$C56,'周排班-纵表'!$G:$G,$G56,'周排班-纵表'!$H:$H,I$1)</f>
        <v/>
      </c>
      <c r="J56" s="2">
        <f>SUMIFS('周排班-纵表'!$I:$I,'周排班-纵表'!$C:$C,$C56,'周排班-纵表'!$G:$G,$G56,'周排班-纵表'!$H:$H,J$1)</f>
        <v/>
      </c>
      <c r="K56" s="2">
        <f>SUMIFS('周排班-纵表'!$I:$I,'周排班-纵表'!$C:$C,$C56,'周排班-纵表'!$G:$G,$G56,'周排班-纵表'!$H:$H,K$1)</f>
        <v/>
      </c>
      <c r="L56" s="2">
        <f>SUMIFS('周排班-纵表'!$I:$I,'周排班-纵表'!$C:$C,$C56,'周排班-纵表'!$G:$G,$G56,'周排班-纵表'!$H:$H,L$1)</f>
        <v/>
      </c>
      <c r="M56" s="2">
        <f>SUMIFS('周排班-纵表'!$I:$I,'周排班-纵表'!$C:$C,$C56,'周排班-纵表'!$G:$G,$G56,'周排班-纵表'!$H:$H,M$1)</f>
        <v/>
      </c>
      <c r="N56" s="2">
        <f>SUMIFS('周排班-纵表'!$I:$I,'周排班-纵表'!$C:$C,$C56,'周排班-纵表'!$G:$G,$G56,'周排班-纵表'!$H:$H,N$1)</f>
        <v/>
      </c>
      <c r="O56" s="2">
        <f>SUMIFS('周排班-纵表'!$I:$I,'周排班-纵表'!$C:$C,$C56,'周排班-纵表'!$G:$G,$G56,'周排班-纵表'!$H:$H,O$1)</f>
        <v/>
      </c>
      <c r="P56" s="2">
        <f>SUMIFS('周排班-纵表'!$I:$I,'周排班-纵表'!$C:$C,$C56,'周排班-纵表'!$G:$G,$G56,'周排班-纵表'!$H:$H,P$1)</f>
        <v/>
      </c>
      <c r="Q56" s="2">
        <f>SUMIFS('周排班-纵表'!$I:$I,'周排班-纵表'!$C:$C,$C56,'周排班-纵表'!$G:$G,$G56,'周排班-纵表'!$H:$H,Q$1)</f>
        <v/>
      </c>
      <c r="R56" s="2">
        <f>SUMIFS('周排班-纵表'!$I:$I,'周排班-纵表'!$C:$C,$C56,'周排班-纵表'!$G:$G,$G56,'周排班-纵表'!$H:$H,R$1)</f>
        <v/>
      </c>
      <c r="S56" s="2">
        <f>SUMIFS('周排班-纵表'!$I:$I,'周排班-纵表'!$C:$C,$C56,'周排班-纵表'!$G:$G,$G56,'周排班-纵表'!$H:$H,S$1)</f>
        <v/>
      </c>
      <c r="T56" s="2">
        <f>SUMIFS('周排班-纵表'!$I:$I,'周排班-纵表'!$C:$C,$C56,'周排班-纵表'!$G:$G,$G56,'周排班-纵表'!$H:$H,T$1)</f>
        <v/>
      </c>
      <c r="U56" s="2">
        <f>SUMIFS('周排班-纵表'!$I:$I,'周排班-纵表'!$C:$C,$C56,'周排班-纵表'!$G:$G,$G56,'周排班-纵表'!$H:$H,U$1)</f>
        <v/>
      </c>
      <c r="V56" s="2">
        <f>SUMIFS('周排班-纵表'!$I:$I,'周排班-纵表'!$C:$C,$C56,'周排班-纵表'!$G:$G,$G56,'周排班-纵表'!$H:$H,V$1)</f>
        <v/>
      </c>
      <c r="W56" s="2">
        <f>SUMIFS('周排班-纵表'!$I:$I,'周排班-纵表'!$C:$C,$C56,'周排班-纵表'!$G:$G,$G56,'周排班-纵表'!$H:$H,W$1)</f>
        <v/>
      </c>
      <c r="X56" s="2">
        <f>SUMIFS('周排班-纵表'!$I:$I,'周排班-纵表'!$C:$C,$C56,'周排班-纵表'!$G:$G,$G56,'周排班-纵表'!$H:$H,X$1)</f>
        <v/>
      </c>
      <c r="Y56" s="2">
        <f>SUMIFS('周排班-纵表'!$I:$I,'周排班-纵表'!$C:$C,$C56,'周排班-纵表'!$G:$G,$G56,'周排班-纵表'!$H:$H,Y$1)</f>
        <v/>
      </c>
      <c r="Z56" s="2">
        <f>SUMIFS('周排班-纵表'!$I:$I,'周排班-纵表'!$C:$C,$C56,'周排班-纵表'!$G:$G,$G56,'周排班-纵表'!$H:$H,Z$1)</f>
        <v/>
      </c>
      <c r="AA56" s="2">
        <f>SUMIFS('周排班-纵表'!$I:$I,'周排班-纵表'!$C:$C,$C56,'周排班-纵表'!$G:$G,$G56,'周排班-纵表'!$H:$H,AA$1)</f>
        <v/>
      </c>
      <c r="AB56" s="2">
        <f>SUMIFS('周排班-纵表'!$I:$I,'周排班-纵表'!$C:$C,$C56,'周排班-纵表'!$G:$G,$G56,'周排班-纵表'!$H:$H,AB$1)</f>
        <v/>
      </c>
      <c r="AC56" s="2">
        <f>SUMIFS('周排班-纵表'!$I:$I,'周排班-纵表'!$C:$C,$C56,'周排班-纵表'!$G:$G,$G56,'周排班-纵表'!$H:$H,AC$1)</f>
        <v/>
      </c>
      <c r="AD56" s="2">
        <f>SUMIFS('周排班-纵表'!$I:$I,'周排班-纵表'!$C:$C,$C56,'周排班-纵表'!$G:$G,$G56,'周排班-纵表'!$H:$H,AD$1)</f>
        <v/>
      </c>
      <c r="AE56" s="2">
        <f>SUMIFS('周排班-纵表'!$I:$I,'周排班-纵表'!$C:$C,$C56,'周排班-纵表'!$G:$G,$G56,'周排班-纵表'!$H:$H,AE$1)</f>
        <v/>
      </c>
      <c r="AF56" s="2">
        <f>SUMIFS('周排班-纵表'!$I:$I,'周排班-纵表'!$C:$C,$C56,'周排班-纵表'!$G:$G,$G56,'周排班-纵表'!$H:$H,AF$1)</f>
        <v/>
      </c>
      <c r="AG56" s="2">
        <f>SUMIFS('周排班-纵表'!$I:$I,'周排班-纵表'!$C:$C,$C56,'周排班-纵表'!$G:$G,$G56,'周排班-纵表'!$H:$H,AG$1)</f>
        <v/>
      </c>
      <c r="AH56" s="2">
        <f>SUMIFS('周排班-纵表'!$I:$I,'周排班-纵表'!$C:$C,$C56,'周排班-纵表'!$G:$G,$G56,'周排班-纵表'!$H:$H,AH$1)</f>
        <v/>
      </c>
      <c r="AI56" s="2">
        <f>SUMIFS('周排班-纵表'!$I:$I,'周排班-纵表'!$C:$C,$C56,'周排班-纵表'!$G:$G,$G56,'周排班-纵表'!$H:$H,AI$1)</f>
        <v/>
      </c>
      <c r="AJ56" s="2">
        <f>SUMIFS('周排班-纵表'!$I:$I,'周排班-纵表'!$C:$C,$C56,'周排班-纵表'!$G:$G,$G56,'周排班-纵表'!$H:$H,AJ$1)</f>
        <v/>
      </c>
      <c r="AK56" s="2">
        <f>SUMIFS('周排班-纵表'!$I:$I,'周排班-纵表'!$C:$C,$C56,'周排班-纵表'!$G:$G,$G56,'周排班-纵表'!$H:$H,AK$1)</f>
        <v/>
      </c>
      <c r="AL56" s="2">
        <f>SUMIFS('周排班-纵表'!$I:$I,'周排班-纵表'!$C:$C,$C56,'周排班-纵表'!$G:$G,$G56,'周排班-纵表'!$H:$H,AL$1)</f>
        <v/>
      </c>
    </row>
    <row r="57">
      <c r="A57" s="2" t="inlineStr">
        <is>
          <t>PE</t>
        </is>
      </c>
      <c r="B57" s="2" t="inlineStr">
        <is>
          <t>Hangzhou Huaxin Yunkai Equity Shares Investment Partnership Enterprise (Limited Partnership)</t>
        </is>
      </c>
      <c r="C57" s="2" t="inlineStr">
        <is>
          <t>47128202</t>
        </is>
      </c>
      <c r="D57" s="2" t="inlineStr">
        <is>
          <t>AUD2026-12 Hangzhou Huaxin</t>
        </is>
      </c>
      <c r="E57" s="2" t="inlineStr">
        <is>
          <t>Order47128202- 260501004</t>
        </is>
      </c>
      <c r="F57" s="2" t="inlineStr">
        <is>
          <t>47128202- EDC260501001</t>
        </is>
      </c>
      <c r="G57" s="2" t="inlineStr">
        <is>
          <t>Vivi.W.Yang@cn.ey.com</t>
        </is>
      </c>
      <c r="H57" s="2">
        <f>SUMIFS('周排班-纵表'!$I:$I,'周排班-纵表'!$C:$C,$C57,'周排班-纵表'!$G:$G,$G57,'周排班-纵表'!$H:$H,H$1)</f>
        <v/>
      </c>
      <c r="I57" s="2">
        <f>SUMIFS('周排班-纵表'!$I:$I,'周排班-纵表'!$C:$C,$C57,'周排班-纵表'!$G:$G,$G57,'周排班-纵表'!$H:$H,I$1)</f>
        <v/>
      </c>
      <c r="J57" s="2">
        <f>SUMIFS('周排班-纵表'!$I:$I,'周排班-纵表'!$C:$C,$C57,'周排班-纵表'!$G:$G,$G57,'周排班-纵表'!$H:$H,J$1)</f>
        <v/>
      </c>
      <c r="K57" s="2">
        <f>SUMIFS('周排班-纵表'!$I:$I,'周排班-纵表'!$C:$C,$C57,'周排班-纵表'!$G:$G,$G57,'周排班-纵表'!$H:$H,K$1)</f>
        <v/>
      </c>
      <c r="L57" s="2">
        <f>SUMIFS('周排班-纵表'!$I:$I,'周排班-纵表'!$C:$C,$C57,'周排班-纵表'!$G:$G,$G57,'周排班-纵表'!$H:$H,L$1)</f>
        <v/>
      </c>
      <c r="M57" s="2">
        <f>SUMIFS('周排班-纵表'!$I:$I,'周排班-纵表'!$C:$C,$C57,'周排班-纵表'!$G:$G,$G57,'周排班-纵表'!$H:$H,M$1)</f>
        <v/>
      </c>
      <c r="N57" s="2">
        <f>SUMIFS('周排班-纵表'!$I:$I,'周排班-纵表'!$C:$C,$C57,'周排班-纵表'!$G:$G,$G57,'周排班-纵表'!$H:$H,N$1)</f>
        <v/>
      </c>
      <c r="O57" s="2">
        <f>SUMIFS('周排班-纵表'!$I:$I,'周排班-纵表'!$C:$C,$C57,'周排班-纵表'!$G:$G,$G57,'周排班-纵表'!$H:$H,O$1)</f>
        <v/>
      </c>
      <c r="P57" s="2">
        <f>SUMIFS('周排班-纵表'!$I:$I,'周排班-纵表'!$C:$C,$C57,'周排班-纵表'!$G:$G,$G57,'周排班-纵表'!$H:$H,P$1)</f>
        <v/>
      </c>
      <c r="Q57" s="2">
        <f>SUMIFS('周排班-纵表'!$I:$I,'周排班-纵表'!$C:$C,$C57,'周排班-纵表'!$G:$G,$G57,'周排班-纵表'!$H:$H,Q$1)</f>
        <v/>
      </c>
      <c r="R57" s="2">
        <f>SUMIFS('周排班-纵表'!$I:$I,'周排班-纵表'!$C:$C,$C57,'周排班-纵表'!$G:$G,$G57,'周排班-纵表'!$H:$H,R$1)</f>
        <v/>
      </c>
      <c r="S57" s="2">
        <f>SUMIFS('周排班-纵表'!$I:$I,'周排班-纵表'!$C:$C,$C57,'周排班-纵表'!$G:$G,$G57,'周排班-纵表'!$H:$H,S$1)</f>
        <v/>
      </c>
      <c r="T57" s="2">
        <f>SUMIFS('周排班-纵表'!$I:$I,'周排班-纵表'!$C:$C,$C57,'周排班-纵表'!$G:$G,$G57,'周排班-纵表'!$H:$H,T$1)</f>
        <v/>
      </c>
      <c r="U57" s="2">
        <f>SUMIFS('周排班-纵表'!$I:$I,'周排班-纵表'!$C:$C,$C57,'周排班-纵表'!$G:$G,$G57,'周排班-纵表'!$H:$H,U$1)</f>
        <v/>
      </c>
      <c r="V57" s="2">
        <f>SUMIFS('周排班-纵表'!$I:$I,'周排班-纵表'!$C:$C,$C57,'周排班-纵表'!$G:$G,$G57,'周排班-纵表'!$H:$H,V$1)</f>
        <v/>
      </c>
      <c r="W57" s="2">
        <f>SUMIFS('周排班-纵表'!$I:$I,'周排班-纵表'!$C:$C,$C57,'周排班-纵表'!$G:$G,$G57,'周排班-纵表'!$H:$H,W$1)</f>
        <v/>
      </c>
      <c r="X57" s="2">
        <f>SUMIFS('周排班-纵表'!$I:$I,'周排班-纵表'!$C:$C,$C57,'周排班-纵表'!$G:$G,$G57,'周排班-纵表'!$H:$H,X$1)</f>
        <v/>
      </c>
      <c r="Y57" s="2">
        <f>SUMIFS('周排班-纵表'!$I:$I,'周排班-纵表'!$C:$C,$C57,'周排班-纵表'!$G:$G,$G57,'周排班-纵表'!$H:$H,Y$1)</f>
        <v/>
      </c>
      <c r="Z57" s="2">
        <f>SUMIFS('周排班-纵表'!$I:$I,'周排班-纵表'!$C:$C,$C57,'周排班-纵表'!$G:$G,$G57,'周排班-纵表'!$H:$H,Z$1)</f>
        <v/>
      </c>
      <c r="AA57" s="2">
        <f>SUMIFS('周排班-纵表'!$I:$I,'周排班-纵表'!$C:$C,$C57,'周排班-纵表'!$G:$G,$G57,'周排班-纵表'!$H:$H,AA$1)</f>
        <v/>
      </c>
      <c r="AB57" s="2">
        <f>SUMIFS('周排班-纵表'!$I:$I,'周排班-纵表'!$C:$C,$C57,'周排班-纵表'!$G:$G,$G57,'周排班-纵表'!$H:$H,AB$1)</f>
        <v/>
      </c>
      <c r="AC57" s="2">
        <f>SUMIFS('周排班-纵表'!$I:$I,'周排班-纵表'!$C:$C,$C57,'周排班-纵表'!$G:$G,$G57,'周排班-纵表'!$H:$H,AC$1)</f>
        <v/>
      </c>
      <c r="AD57" s="2">
        <f>SUMIFS('周排班-纵表'!$I:$I,'周排班-纵表'!$C:$C,$C57,'周排班-纵表'!$G:$G,$G57,'周排班-纵表'!$H:$H,AD$1)</f>
        <v/>
      </c>
      <c r="AE57" s="2">
        <f>SUMIFS('周排班-纵表'!$I:$I,'周排班-纵表'!$C:$C,$C57,'周排班-纵表'!$G:$G,$G57,'周排班-纵表'!$H:$H,AE$1)</f>
        <v/>
      </c>
      <c r="AF57" s="2">
        <f>SUMIFS('周排班-纵表'!$I:$I,'周排班-纵表'!$C:$C,$C57,'周排班-纵表'!$G:$G,$G57,'周排班-纵表'!$H:$H,AF$1)</f>
        <v/>
      </c>
      <c r="AG57" s="2">
        <f>SUMIFS('周排班-纵表'!$I:$I,'周排班-纵表'!$C:$C,$C57,'周排班-纵表'!$G:$G,$G57,'周排班-纵表'!$H:$H,AG$1)</f>
        <v/>
      </c>
      <c r="AH57" s="2">
        <f>SUMIFS('周排班-纵表'!$I:$I,'周排班-纵表'!$C:$C,$C57,'周排班-纵表'!$G:$G,$G57,'周排班-纵表'!$H:$H,AH$1)</f>
        <v/>
      </c>
      <c r="AI57" s="2">
        <f>SUMIFS('周排班-纵表'!$I:$I,'周排班-纵表'!$C:$C,$C57,'周排班-纵表'!$G:$G,$G57,'周排班-纵表'!$H:$H,AI$1)</f>
        <v/>
      </c>
      <c r="AJ57" s="2">
        <f>SUMIFS('周排班-纵表'!$I:$I,'周排班-纵表'!$C:$C,$C57,'周排班-纵表'!$G:$G,$G57,'周排班-纵表'!$H:$H,AJ$1)</f>
        <v/>
      </c>
      <c r="AK57" s="2">
        <f>SUMIFS('周排班-纵表'!$I:$I,'周排班-纵表'!$C:$C,$C57,'周排班-纵表'!$G:$G,$G57,'周排班-纵表'!$H:$H,AK$1)</f>
        <v/>
      </c>
      <c r="AL57" s="2">
        <f>SUMIFS('周排班-纵表'!$I:$I,'周排班-纵表'!$C:$C,$C57,'周排班-纵表'!$G:$G,$G57,'周排班-纵表'!$H:$H,AL$1)</f>
        <v/>
      </c>
    </row>
    <row r="58">
      <c r="A58" s="2" t="inlineStr">
        <is>
          <t>PE</t>
        </is>
      </c>
      <c r="B58" s="2" t="inlineStr">
        <is>
          <t>Hangzhou Huaxin Yunkai Equity Shares Investment Partnership Enterprise (Limited Partnership)</t>
        </is>
      </c>
      <c r="C58" s="2" t="inlineStr">
        <is>
          <t>47128202</t>
        </is>
      </c>
      <c r="D58" s="2" t="inlineStr">
        <is>
          <t>AUD2026-12 Hangzhou Huaxin</t>
        </is>
      </c>
      <c r="E58" s="2" t="inlineStr">
        <is>
          <t>Order47128202- 260501004</t>
        </is>
      </c>
      <c r="F58" s="2" t="inlineStr">
        <is>
          <t>47128202- EDC260501001</t>
        </is>
      </c>
      <c r="G58" s="2" t="inlineStr">
        <is>
          <t>Yuan.Yuan.YY.Chen@cn.ey.com</t>
        </is>
      </c>
      <c r="H58" s="2">
        <f>SUMIFS('周排班-纵表'!$I:$I,'周排班-纵表'!$C:$C,$C58,'周排班-纵表'!$G:$G,$G58,'周排班-纵表'!$H:$H,H$1)</f>
        <v/>
      </c>
      <c r="I58" s="2">
        <f>SUMIFS('周排班-纵表'!$I:$I,'周排班-纵表'!$C:$C,$C58,'周排班-纵表'!$G:$G,$G58,'周排班-纵表'!$H:$H,I$1)</f>
        <v/>
      </c>
      <c r="J58" s="2">
        <f>SUMIFS('周排班-纵表'!$I:$I,'周排班-纵表'!$C:$C,$C58,'周排班-纵表'!$G:$G,$G58,'周排班-纵表'!$H:$H,J$1)</f>
        <v/>
      </c>
      <c r="K58" s="2">
        <f>SUMIFS('周排班-纵表'!$I:$I,'周排班-纵表'!$C:$C,$C58,'周排班-纵表'!$G:$G,$G58,'周排班-纵表'!$H:$H,K$1)</f>
        <v/>
      </c>
      <c r="L58" s="2">
        <f>SUMIFS('周排班-纵表'!$I:$I,'周排班-纵表'!$C:$C,$C58,'周排班-纵表'!$G:$G,$G58,'周排班-纵表'!$H:$H,L$1)</f>
        <v/>
      </c>
      <c r="M58" s="2">
        <f>SUMIFS('周排班-纵表'!$I:$I,'周排班-纵表'!$C:$C,$C58,'周排班-纵表'!$G:$G,$G58,'周排班-纵表'!$H:$H,M$1)</f>
        <v/>
      </c>
      <c r="N58" s="2">
        <f>SUMIFS('周排班-纵表'!$I:$I,'周排班-纵表'!$C:$C,$C58,'周排班-纵表'!$G:$G,$G58,'周排班-纵表'!$H:$H,N$1)</f>
        <v/>
      </c>
      <c r="O58" s="2">
        <f>SUMIFS('周排班-纵表'!$I:$I,'周排班-纵表'!$C:$C,$C58,'周排班-纵表'!$G:$G,$G58,'周排班-纵表'!$H:$H,O$1)</f>
        <v/>
      </c>
      <c r="P58" s="2">
        <f>SUMIFS('周排班-纵表'!$I:$I,'周排班-纵表'!$C:$C,$C58,'周排班-纵表'!$G:$G,$G58,'周排班-纵表'!$H:$H,P$1)</f>
        <v/>
      </c>
      <c r="Q58" s="2">
        <f>SUMIFS('周排班-纵表'!$I:$I,'周排班-纵表'!$C:$C,$C58,'周排班-纵表'!$G:$G,$G58,'周排班-纵表'!$H:$H,Q$1)</f>
        <v/>
      </c>
      <c r="R58" s="2">
        <f>SUMIFS('周排班-纵表'!$I:$I,'周排班-纵表'!$C:$C,$C58,'周排班-纵表'!$G:$G,$G58,'周排班-纵表'!$H:$H,R$1)</f>
        <v/>
      </c>
      <c r="S58" s="2">
        <f>SUMIFS('周排班-纵表'!$I:$I,'周排班-纵表'!$C:$C,$C58,'周排班-纵表'!$G:$G,$G58,'周排班-纵表'!$H:$H,S$1)</f>
        <v/>
      </c>
      <c r="T58" s="2">
        <f>SUMIFS('周排班-纵表'!$I:$I,'周排班-纵表'!$C:$C,$C58,'周排班-纵表'!$G:$G,$G58,'周排班-纵表'!$H:$H,T$1)</f>
        <v/>
      </c>
      <c r="U58" s="2">
        <f>SUMIFS('周排班-纵表'!$I:$I,'周排班-纵表'!$C:$C,$C58,'周排班-纵表'!$G:$G,$G58,'周排班-纵表'!$H:$H,U$1)</f>
        <v/>
      </c>
      <c r="V58" s="2">
        <f>SUMIFS('周排班-纵表'!$I:$I,'周排班-纵表'!$C:$C,$C58,'周排班-纵表'!$G:$G,$G58,'周排班-纵表'!$H:$H,V$1)</f>
        <v/>
      </c>
      <c r="W58" s="2">
        <f>SUMIFS('周排班-纵表'!$I:$I,'周排班-纵表'!$C:$C,$C58,'周排班-纵表'!$G:$G,$G58,'周排班-纵表'!$H:$H,W$1)</f>
        <v/>
      </c>
      <c r="X58" s="2">
        <f>SUMIFS('周排班-纵表'!$I:$I,'周排班-纵表'!$C:$C,$C58,'周排班-纵表'!$G:$G,$G58,'周排班-纵表'!$H:$H,X$1)</f>
        <v/>
      </c>
      <c r="Y58" s="2">
        <f>SUMIFS('周排班-纵表'!$I:$I,'周排班-纵表'!$C:$C,$C58,'周排班-纵表'!$G:$G,$G58,'周排班-纵表'!$H:$H,Y$1)</f>
        <v/>
      </c>
      <c r="Z58" s="2">
        <f>SUMIFS('周排班-纵表'!$I:$I,'周排班-纵表'!$C:$C,$C58,'周排班-纵表'!$G:$G,$G58,'周排班-纵表'!$H:$H,Z$1)</f>
        <v/>
      </c>
      <c r="AA58" s="2">
        <f>SUMIFS('周排班-纵表'!$I:$I,'周排班-纵表'!$C:$C,$C58,'周排班-纵表'!$G:$G,$G58,'周排班-纵表'!$H:$H,AA$1)</f>
        <v/>
      </c>
      <c r="AB58" s="2">
        <f>SUMIFS('周排班-纵表'!$I:$I,'周排班-纵表'!$C:$C,$C58,'周排班-纵表'!$G:$G,$G58,'周排班-纵表'!$H:$H,AB$1)</f>
        <v/>
      </c>
      <c r="AC58" s="2">
        <f>SUMIFS('周排班-纵表'!$I:$I,'周排班-纵表'!$C:$C,$C58,'周排班-纵表'!$G:$G,$G58,'周排班-纵表'!$H:$H,AC$1)</f>
        <v/>
      </c>
      <c r="AD58" s="2">
        <f>SUMIFS('周排班-纵表'!$I:$I,'周排班-纵表'!$C:$C,$C58,'周排班-纵表'!$G:$G,$G58,'周排班-纵表'!$H:$H,AD$1)</f>
        <v/>
      </c>
      <c r="AE58" s="2">
        <f>SUMIFS('周排班-纵表'!$I:$I,'周排班-纵表'!$C:$C,$C58,'周排班-纵表'!$G:$G,$G58,'周排班-纵表'!$H:$H,AE$1)</f>
        <v/>
      </c>
      <c r="AF58" s="2">
        <f>SUMIFS('周排班-纵表'!$I:$I,'周排班-纵表'!$C:$C,$C58,'周排班-纵表'!$G:$G,$G58,'周排班-纵表'!$H:$H,AF$1)</f>
        <v/>
      </c>
      <c r="AG58" s="2">
        <f>SUMIFS('周排班-纵表'!$I:$I,'周排班-纵表'!$C:$C,$C58,'周排班-纵表'!$G:$G,$G58,'周排班-纵表'!$H:$H,AG$1)</f>
        <v/>
      </c>
      <c r="AH58" s="2">
        <f>SUMIFS('周排班-纵表'!$I:$I,'周排班-纵表'!$C:$C,$C58,'周排班-纵表'!$G:$G,$G58,'周排班-纵表'!$H:$H,AH$1)</f>
        <v/>
      </c>
      <c r="AI58" s="2">
        <f>SUMIFS('周排班-纵表'!$I:$I,'周排班-纵表'!$C:$C,$C58,'周排班-纵表'!$G:$G,$G58,'周排班-纵表'!$H:$H,AI$1)</f>
        <v/>
      </c>
      <c r="AJ58" s="2">
        <f>SUMIFS('周排班-纵表'!$I:$I,'周排班-纵表'!$C:$C,$C58,'周排班-纵表'!$G:$G,$G58,'周排班-纵表'!$H:$H,AJ$1)</f>
        <v/>
      </c>
      <c r="AK58" s="2">
        <f>SUMIFS('周排班-纵表'!$I:$I,'周排班-纵表'!$C:$C,$C58,'周排班-纵表'!$G:$G,$G58,'周排班-纵表'!$H:$H,AK$1)</f>
        <v/>
      </c>
      <c r="AL58" s="2">
        <f>SUMIFS('周排班-纵表'!$I:$I,'周排班-纵表'!$C:$C,$C58,'周排班-纵表'!$G:$G,$G58,'周排班-纵表'!$H:$H,AL$1)</f>
        <v/>
      </c>
    </row>
    <row r="59">
      <c r="A59" s="2" t="inlineStr">
        <is>
          <t>PE</t>
        </is>
      </c>
      <c r="B59" s="2" t="inlineStr">
        <is>
          <t>Vivo (Suzhou) Health Industry Investment Fund Limited Partnership</t>
        </is>
      </c>
      <c r="C59" s="2" t="inlineStr">
        <is>
          <t>47128359</t>
        </is>
      </c>
      <c r="D59" s="2" t="inlineStr">
        <is>
          <t>AUD2026-12 Arrace Holding</t>
        </is>
      </c>
      <c r="E59" s="2" t="inlineStr">
        <is>
          <t>Order47128359- 260501004</t>
        </is>
      </c>
      <c r="F59" s="2" t="inlineStr">
        <is>
          <t>47128359- EDC260501001</t>
        </is>
      </c>
      <c r="G59" s="2" t="inlineStr">
        <is>
          <t>Luna.CD.Zhang@cn.ey.com</t>
        </is>
      </c>
      <c r="H59" s="2">
        <f>SUMIFS('周排班-纵表'!$I:$I,'周排班-纵表'!$C:$C,$C59,'周排班-纵表'!$G:$G,$G59,'周排班-纵表'!$H:$H,H$1)</f>
        <v/>
      </c>
      <c r="I59" s="2">
        <f>SUMIFS('周排班-纵表'!$I:$I,'周排班-纵表'!$C:$C,$C59,'周排班-纵表'!$G:$G,$G59,'周排班-纵表'!$H:$H,I$1)</f>
        <v/>
      </c>
      <c r="J59" s="2">
        <f>SUMIFS('周排班-纵表'!$I:$I,'周排班-纵表'!$C:$C,$C59,'周排班-纵表'!$G:$G,$G59,'周排班-纵表'!$H:$H,J$1)</f>
        <v/>
      </c>
      <c r="K59" s="2">
        <f>SUMIFS('周排班-纵表'!$I:$I,'周排班-纵表'!$C:$C,$C59,'周排班-纵表'!$G:$G,$G59,'周排班-纵表'!$H:$H,K$1)</f>
        <v/>
      </c>
      <c r="L59" s="2">
        <f>SUMIFS('周排班-纵表'!$I:$I,'周排班-纵表'!$C:$C,$C59,'周排班-纵表'!$G:$G,$G59,'周排班-纵表'!$H:$H,L$1)</f>
        <v/>
      </c>
      <c r="M59" s="2">
        <f>SUMIFS('周排班-纵表'!$I:$I,'周排班-纵表'!$C:$C,$C59,'周排班-纵表'!$G:$G,$G59,'周排班-纵表'!$H:$H,M$1)</f>
        <v/>
      </c>
      <c r="N59" s="2">
        <f>SUMIFS('周排班-纵表'!$I:$I,'周排班-纵表'!$C:$C,$C59,'周排班-纵表'!$G:$G,$G59,'周排班-纵表'!$H:$H,N$1)</f>
        <v/>
      </c>
      <c r="O59" s="2">
        <f>SUMIFS('周排班-纵表'!$I:$I,'周排班-纵表'!$C:$C,$C59,'周排班-纵表'!$G:$G,$G59,'周排班-纵表'!$H:$H,O$1)</f>
        <v/>
      </c>
      <c r="P59" s="2">
        <f>SUMIFS('周排班-纵表'!$I:$I,'周排班-纵表'!$C:$C,$C59,'周排班-纵表'!$G:$G,$G59,'周排班-纵表'!$H:$H,P$1)</f>
        <v/>
      </c>
      <c r="Q59" s="2">
        <f>SUMIFS('周排班-纵表'!$I:$I,'周排班-纵表'!$C:$C,$C59,'周排班-纵表'!$G:$G,$G59,'周排班-纵表'!$H:$H,Q$1)</f>
        <v/>
      </c>
      <c r="R59" s="2">
        <f>SUMIFS('周排班-纵表'!$I:$I,'周排班-纵表'!$C:$C,$C59,'周排班-纵表'!$G:$G,$G59,'周排班-纵表'!$H:$H,R$1)</f>
        <v/>
      </c>
      <c r="S59" s="2">
        <f>SUMIFS('周排班-纵表'!$I:$I,'周排班-纵表'!$C:$C,$C59,'周排班-纵表'!$G:$G,$G59,'周排班-纵表'!$H:$H,S$1)</f>
        <v/>
      </c>
      <c r="T59" s="2">
        <f>SUMIFS('周排班-纵表'!$I:$I,'周排班-纵表'!$C:$C,$C59,'周排班-纵表'!$G:$G,$G59,'周排班-纵表'!$H:$H,T$1)</f>
        <v/>
      </c>
      <c r="U59" s="2">
        <f>SUMIFS('周排班-纵表'!$I:$I,'周排班-纵表'!$C:$C,$C59,'周排班-纵表'!$G:$G,$G59,'周排班-纵表'!$H:$H,U$1)</f>
        <v/>
      </c>
      <c r="V59" s="2">
        <f>SUMIFS('周排班-纵表'!$I:$I,'周排班-纵表'!$C:$C,$C59,'周排班-纵表'!$G:$G,$G59,'周排班-纵表'!$H:$H,V$1)</f>
        <v/>
      </c>
      <c r="W59" s="2">
        <f>SUMIFS('周排班-纵表'!$I:$I,'周排班-纵表'!$C:$C,$C59,'周排班-纵表'!$G:$G,$G59,'周排班-纵表'!$H:$H,W$1)</f>
        <v/>
      </c>
      <c r="X59" s="2">
        <f>SUMIFS('周排班-纵表'!$I:$I,'周排班-纵表'!$C:$C,$C59,'周排班-纵表'!$G:$G,$G59,'周排班-纵表'!$H:$H,X$1)</f>
        <v/>
      </c>
      <c r="Y59" s="2">
        <f>SUMIFS('周排班-纵表'!$I:$I,'周排班-纵表'!$C:$C,$C59,'周排班-纵表'!$G:$G,$G59,'周排班-纵表'!$H:$H,Y$1)</f>
        <v/>
      </c>
      <c r="Z59" s="2">
        <f>SUMIFS('周排班-纵表'!$I:$I,'周排班-纵表'!$C:$C,$C59,'周排班-纵表'!$G:$G,$G59,'周排班-纵表'!$H:$H,Z$1)</f>
        <v/>
      </c>
      <c r="AA59" s="2">
        <f>SUMIFS('周排班-纵表'!$I:$I,'周排班-纵表'!$C:$C,$C59,'周排班-纵表'!$G:$G,$G59,'周排班-纵表'!$H:$H,AA$1)</f>
        <v/>
      </c>
      <c r="AB59" s="2">
        <f>SUMIFS('周排班-纵表'!$I:$I,'周排班-纵表'!$C:$C,$C59,'周排班-纵表'!$G:$G,$G59,'周排班-纵表'!$H:$H,AB$1)</f>
        <v/>
      </c>
      <c r="AC59" s="2">
        <f>SUMIFS('周排班-纵表'!$I:$I,'周排班-纵表'!$C:$C,$C59,'周排班-纵表'!$G:$G,$G59,'周排班-纵表'!$H:$H,AC$1)</f>
        <v/>
      </c>
      <c r="AD59" s="2">
        <f>SUMIFS('周排班-纵表'!$I:$I,'周排班-纵表'!$C:$C,$C59,'周排班-纵表'!$G:$G,$G59,'周排班-纵表'!$H:$H,AD$1)</f>
        <v/>
      </c>
      <c r="AE59" s="2">
        <f>SUMIFS('周排班-纵表'!$I:$I,'周排班-纵表'!$C:$C,$C59,'周排班-纵表'!$G:$G,$G59,'周排班-纵表'!$H:$H,AE$1)</f>
        <v/>
      </c>
      <c r="AF59" s="2">
        <f>SUMIFS('周排班-纵表'!$I:$I,'周排班-纵表'!$C:$C,$C59,'周排班-纵表'!$G:$G,$G59,'周排班-纵表'!$H:$H,AF$1)</f>
        <v/>
      </c>
      <c r="AG59" s="2">
        <f>SUMIFS('周排班-纵表'!$I:$I,'周排班-纵表'!$C:$C,$C59,'周排班-纵表'!$G:$G,$G59,'周排班-纵表'!$H:$H,AG$1)</f>
        <v/>
      </c>
      <c r="AH59" s="2">
        <f>SUMIFS('周排班-纵表'!$I:$I,'周排班-纵表'!$C:$C,$C59,'周排班-纵表'!$G:$G,$G59,'周排班-纵表'!$H:$H,AH$1)</f>
        <v/>
      </c>
      <c r="AI59" s="2">
        <f>SUMIFS('周排班-纵表'!$I:$I,'周排班-纵表'!$C:$C,$C59,'周排班-纵表'!$G:$G,$G59,'周排班-纵表'!$H:$H,AI$1)</f>
        <v/>
      </c>
      <c r="AJ59" s="2">
        <f>SUMIFS('周排班-纵表'!$I:$I,'周排班-纵表'!$C:$C,$C59,'周排班-纵表'!$G:$G,$G59,'周排班-纵表'!$H:$H,AJ$1)</f>
        <v/>
      </c>
      <c r="AK59" s="2">
        <f>SUMIFS('周排班-纵表'!$I:$I,'周排班-纵表'!$C:$C,$C59,'周排班-纵表'!$G:$G,$G59,'周排班-纵表'!$H:$H,AK$1)</f>
        <v/>
      </c>
      <c r="AL59" s="2">
        <f>SUMIFS('周排班-纵表'!$I:$I,'周排班-纵表'!$C:$C,$C59,'周排班-纵表'!$G:$G,$G59,'周排班-纵表'!$H:$H,AL$1)</f>
        <v/>
      </c>
    </row>
    <row r="60">
      <c r="A60" s="2" t="inlineStr">
        <is>
          <t>PE</t>
        </is>
      </c>
      <c r="B60" s="2" t="inlineStr">
        <is>
          <t>Vivo (Suzhou) Health Industry Investment Fund Limited Partnership</t>
        </is>
      </c>
      <c r="C60" s="2" t="inlineStr">
        <is>
          <t>47128359</t>
        </is>
      </c>
      <c r="D60" s="2" t="inlineStr">
        <is>
          <t>AUD2026-12 Arrace Holding</t>
        </is>
      </c>
      <c r="E60" s="2" t="inlineStr">
        <is>
          <t>Order47128359- 260501004</t>
        </is>
      </c>
      <c r="F60" s="2" t="inlineStr">
        <is>
          <t>47128359- EDC260501001</t>
        </is>
      </c>
      <c r="G60" s="2" t="inlineStr">
        <is>
          <t>Marsh.Ma@cn.ey.com</t>
        </is>
      </c>
      <c r="H60" s="2">
        <f>SUMIFS('周排班-纵表'!$I:$I,'周排班-纵表'!$C:$C,$C60,'周排班-纵表'!$G:$G,$G60,'周排班-纵表'!$H:$H,H$1)</f>
        <v/>
      </c>
      <c r="I60" s="2">
        <f>SUMIFS('周排班-纵表'!$I:$I,'周排班-纵表'!$C:$C,$C60,'周排班-纵表'!$G:$G,$G60,'周排班-纵表'!$H:$H,I$1)</f>
        <v/>
      </c>
      <c r="J60" s="2">
        <f>SUMIFS('周排班-纵表'!$I:$I,'周排班-纵表'!$C:$C,$C60,'周排班-纵表'!$G:$G,$G60,'周排班-纵表'!$H:$H,J$1)</f>
        <v/>
      </c>
      <c r="K60" s="2">
        <f>SUMIFS('周排班-纵表'!$I:$I,'周排班-纵表'!$C:$C,$C60,'周排班-纵表'!$G:$G,$G60,'周排班-纵表'!$H:$H,K$1)</f>
        <v/>
      </c>
      <c r="L60" s="2">
        <f>SUMIFS('周排班-纵表'!$I:$I,'周排班-纵表'!$C:$C,$C60,'周排班-纵表'!$G:$G,$G60,'周排班-纵表'!$H:$H,L$1)</f>
        <v/>
      </c>
      <c r="M60" s="2">
        <f>SUMIFS('周排班-纵表'!$I:$I,'周排班-纵表'!$C:$C,$C60,'周排班-纵表'!$G:$G,$G60,'周排班-纵表'!$H:$H,M$1)</f>
        <v/>
      </c>
      <c r="N60" s="2">
        <f>SUMIFS('周排班-纵表'!$I:$I,'周排班-纵表'!$C:$C,$C60,'周排班-纵表'!$G:$G,$G60,'周排班-纵表'!$H:$H,N$1)</f>
        <v/>
      </c>
      <c r="O60" s="2">
        <f>SUMIFS('周排班-纵表'!$I:$I,'周排班-纵表'!$C:$C,$C60,'周排班-纵表'!$G:$G,$G60,'周排班-纵表'!$H:$H,O$1)</f>
        <v/>
      </c>
      <c r="P60" s="2">
        <f>SUMIFS('周排班-纵表'!$I:$I,'周排班-纵表'!$C:$C,$C60,'周排班-纵表'!$G:$G,$G60,'周排班-纵表'!$H:$H,P$1)</f>
        <v/>
      </c>
      <c r="Q60" s="2">
        <f>SUMIFS('周排班-纵表'!$I:$I,'周排班-纵表'!$C:$C,$C60,'周排班-纵表'!$G:$G,$G60,'周排班-纵表'!$H:$H,Q$1)</f>
        <v/>
      </c>
      <c r="R60" s="2">
        <f>SUMIFS('周排班-纵表'!$I:$I,'周排班-纵表'!$C:$C,$C60,'周排班-纵表'!$G:$G,$G60,'周排班-纵表'!$H:$H,R$1)</f>
        <v/>
      </c>
      <c r="S60" s="2">
        <f>SUMIFS('周排班-纵表'!$I:$I,'周排班-纵表'!$C:$C,$C60,'周排班-纵表'!$G:$G,$G60,'周排班-纵表'!$H:$H,S$1)</f>
        <v/>
      </c>
      <c r="T60" s="2">
        <f>SUMIFS('周排班-纵表'!$I:$I,'周排班-纵表'!$C:$C,$C60,'周排班-纵表'!$G:$G,$G60,'周排班-纵表'!$H:$H,T$1)</f>
        <v/>
      </c>
      <c r="U60" s="2">
        <f>SUMIFS('周排班-纵表'!$I:$I,'周排班-纵表'!$C:$C,$C60,'周排班-纵表'!$G:$G,$G60,'周排班-纵表'!$H:$H,U$1)</f>
        <v/>
      </c>
      <c r="V60" s="2">
        <f>SUMIFS('周排班-纵表'!$I:$I,'周排班-纵表'!$C:$C,$C60,'周排班-纵表'!$G:$G,$G60,'周排班-纵表'!$H:$H,V$1)</f>
        <v/>
      </c>
      <c r="W60" s="2">
        <f>SUMIFS('周排班-纵表'!$I:$I,'周排班-纵表'!$C:$C,$C60,'周排班-纵表'!$G:$G,$G60,'周排班-纵表'!$H:$H,W$1)</f>
        <v/>
      </c>
      <c r="X60" s="2">
        <f>SUMIFS('周排班-纵表'!$I:$I,'周排班-纵表'!$C:$C,$C60,'周排班-纵表'!$G:$G,$G60,'周排班-纵表'!$H:$H,X$1)</f>
        <v/>
      </c>
      <c r="Y60" s="2">
        <f>SUMIFS('周排班-纵表'!$I:$I,'周排班-纵表'!$C:$C,$C60,'周排班-纵表'!$G:$G,$G60,'周排班-纵表'!$H:$H,Y$1)</f>
        <v/>
      </c>
      <c r="Z60" s="2">
        <f>SUMIFS('周排班-纵表'!$I:$I,'周排班-纵表'!$C:$C,$C60,'周排班-纵表'!$G:$G,$G60,'周排班-纵表'!$H:$H,Z$1)</f>
        <v/>
      </c>
      <c r="AA60" s="2">
        <f>SUMIFS('周排班-纵表'!$I:$I,'周排班-纵表'!$C:$C,$C60,'周排班-纵表'!$G:$G,$G60,'周排班-纵表'!$H:$H,AA$1)</f>
        <v/>
      </c>
      <c r="AB60" s="2">
        <f>SUMIFS('周排班-纵表'!$I:$I,'周排班-纵表'!$C:$C,$C60,'周排班-纵表'!$G:$G,$G60,'周排班-纵表'!$H:$H,AB$1)</f>
        <v/>
      </c>
      <c r="AC60" s="2">
        <f>SUMIFS('周排班-纵表'!$I:$I,'周排班-纵表'!$C:$C,$C60,'周排班-纵表'!$G:$G,$G60,'周排班-纵表'!$H:$H,AC$1)</f>
        <v/>
      </c>
      <c r="AD60" s="2">
        <f>SUMIFS('周排班-纵表'!$I:$I,'周排班-纵表'!$C:$C,$C60,'周排班-纵表'!$G:$G,$G60,'周排班-纵表'!$H:$H,AD$1)</f>
        <v/>
      </c>
      <c r="AE60" s="2">
        <f>SUMIFS('周排班-纵表'!$I:$I,'周排班-纵表'!$C:$C,$C60,'周排班-纵表'!$G:$G,$G60,'周排班-纵表'!$H:$H,AE$1)</f>
        <v/>
      </c>
      <c r="AF60" s="2">
        <f>SUMIFS('周排班-纵表'!$I:$I,'周排班-纵表'!$C:$C,$C60,'周排班-纵表'!$G:$G,$G60,'周排班-纵表'!$H:$H,AF$1)</f>
        <v/>
      </c>
      <c r="AG60" s="2">
        <f>SUMIFS('周排班-纵表'!$I:$I,'周排班-纵表'!$C:$C,$C60,'周排班-纵表'!$G:$G,$G60,'周排班-纵表'!$H:$H,AG$1)</f>
        <v/>
      </c>
      <c r="AH60" s="2">
        <f>SUMIFS('周排班-纵表'!$I:$I,'周排班-纵表'!$C:$C,$C60,'周排班-纵表'!$G:$G,$G60,'周排班-纵表'!$H:$H,AH$1)</f>
        <v/>
      </c>
      <c r="AI60" s="2">
        <f>SUMIFS('周排班-纵表'!$I:$I,'周排班-纵表'!$C:$C,$C60,'周排班-纵表'!$G:$G,$G60,'周排班-纵表'!$H:$H,AI$1)</f>
        <v/>
      </c>
      <c r="AJ60" s="2">
        <f>SUMIFS('周排班-纵表'!$I:$I,'周排班-纵表'!$C:$C,$C60,'周排班-纵表'!$G:$G,$G60,'周排班-纵表'!$H:$H,AJ$1)</f>
        <v/>
      </c>
      <c r="AK60" s="2">
        <f>SUMIFS('周排班-纵表'!$I:$I,'周排班-纵表'!$C:$C,$C60,'周排班-纵表'!$G:$G,$G60,'周排班-纵表'!$H:$H,AK$1)</f>
        <v/>
      </c>
      <c r="AL60" s="2">
        <f>SUMIFS('周排班-纵表'!$I:$I,'周排班-纵表'!$C:$C,$C60,'周排班-纵表'!$G:$G,$G60,'周排班-纵表'!$H:$H,AL$1)</f>
        <v/>
      </c>
    </row>
    <row r="61">
      <c r="A61" s="2" t="inlineStr">
        <is>
          <t>PE</t>
        </is>
      </c>
      <c r="B61" s="2" t="inlineStr">
        <is>
          <t>Vivo (Suzhou) Health Industry Investment Fund Limited Partnership</t>
        </is>
      </c>
      <c r="C61" s="2" t="inlineStr">
        <is>
          <t>47128359</t>
        </is>
      </c>
      <c r="D61" s="2" t="inlineStr">
        <is>
          <t>AUD2026-12 Arrace Holding</t>
        </is>
      </c>
      <c r="E61" s="2" t="inlineStr">
        <is>
          <t>Order47128359- 260501004</t>
        </is>
      </c>
      <c r="F61" s="2" t="inlineStr">
        <is>
          <t>47128359- EDC260501001</t>
        </is>
      </c>
      <c r="G61" s="2" t="inlineStr">
        <is>
          <t>Vivi.W.Yang@cn.ey.com</t>
        </is>
      </c>
      <c r="H61" s="2">
        <f>SUMIFS('周排班-纵表'!$I:$I,'周排班-纵表'!$C:$C,$C61,'周排班-纵表'!$G:$G,$G61,'周排班-纵表'!$H:$H,H$1)</f>
        <v/>
      </c>
      <c r="I61" s="2">
        <f>SUMIFS('周排班-纵表'!$I:$I,'周排班-纵表'!$C:$C,$C61,'周排班-纵表'!$G:$G,$G61,'周排班-纵表'!$H:$H,I$1)</f>
        <v/>
      </c>
      <c r="J61" s="2">
        <f>SUMIFS('周排班-纵表'!$I:$I,'周排班-纵表'!$C:$C,$C61,'周排班-纵表'!$G:$G,$G61,'周排班-纵表'!$H:$H,J$1)</f>
        <v/>
      </c>
      <c r="K61" s="2">
        <f>SUMIFS('周排班-纵表'!$I:$I,'周排班-纵表'!$C:$C,$C61,'周排班-纵表'!$G:$G,$G61,'周排班-纵表'!$H:$H,K$1)</f>
        <v/>
      </c>
      <c r="L61" s="2">
        <f>SUMIFS('周排班-纵表'!$I:$I,'周排班-纵表'!$C:$C,$C61,'周排班-纵表'!$G:$G,$G61,'周排班-纵表'!$H:$H,L$1)</f>
        <v/>
      </c>
      <c r="M61" s="2">
        <f>SUMIFS('周排班-纵表'!$I:$I,'周排班-纵表'!$C:$C,$C61,'周排班-纵表'!$G:$G,$G61,'周排班-纵表'!$H:$H,M$1)</f>
        <v/>
      </c>
      <c r="N61" s="2">
        <f>SUMIFS('周排班-纵表'!$I:$I,'周排班-纵表'!$C:$C,$C61,'周排班-纵表'!$G:$G,$G61,'周排班-纵表'!$H:$H,N$1)</f>
        <v/>
      </c>
      <c r="O61" s="2">
        <f>SUMIFS('周排班-纵表'!$I:$I,'周排班-纵表'!$C:$C,$C61,'周排班-纵表'!$G:$G,$G61,'周排班-纵表'!$H:$H,O$1)</f>
        <v/>
      </c>
      <c r="P61" s="2">
        <f>SUMIFS('周排班-纵表'!$I:$I,'周排班-纵表'!$C:$C,$C61,'周排班-纵表'!$G:$G,$G61,'周排班-纵表'!$H:$H,P$1)</f>
        <v/>
      </c>
      <c r="Q61" s="2">
        <f>SUMIFS('周排班-纵表'!$I:$I,'周排班-纵表'!$C:$C,$C61,'周排班-纵表'!$G:$G,$G61,'周排班-纵表'!$H:$H,Q$1)</f>
        <v/>
      </c>
      <c r="R61" s="2">
        <f>SUMIFS('周排班-纵表'!$I:$I,'周排班-纵表'!$C:$C,$C61,'周排班-纵表'!$G:$G,$G61,'周排班-纵表'!$H:$H,R$1)</f>
        <v/>
      </c>
      <c r="S61" s="2">
        <f>SUMIFS('周排班-纵表'!$I:$I,'周排班-纵表'!$C:$C,$C61,'周排班-纵表'!$G:$G,$G61,'周排班-纵表'!$H:$H,S$1)</f>
        <v/>
      </c>
      <c r="T61" s="2">
        <f>SUMIFS('周排班-纵表'!$I:$I,'周排班-纵表'!$C:$C,$C61,'周排班-纵表'!$G:$G,$G61,'周排班-纵表'!$H:$H,T$1)</f>
        <v/>
      </c>
      <c r="U61" s="2">
        <f>SUMIFS('周排班-纵表'!$I:$I,'周排班-纵表'!$C:$C,$C61,'周排班-纵表'!$G:$G,$G61,'周排班-纵表'!$H:$H,U$1)</f>
        <v/>
      </c>
      <c r="V61" s="2">
        <f>SUMIFS('周排班-纵表'!$I:$I,'周排班-纵表'!$C:$C,$C61,'周排班-纵表'!$G:$G,$G61,'周排班-纵表'!$H:$H,V$1)</f>
        <v/>
      </c>
      <c r="W61" s="2">
        <f>SUMIFS('周排班-纵表'!$I:$I,'周排班-纵表'!$C:$C,$C61,'周排班-纵表'!$G:$G,$G61,'周排班-纵表'!$H:$H,W$1)</f>
        <v/>
      </c>
      <c r="X61" s="2">
        <f>SUMIFS('周排班-纵表'!$I:$I,'周排班-纵表'!$C:$C,$C61,'周排班-纵表'!$G:$G,$G61,'周排班-纵表'!$H:$H,X$1)</f>
        <v/>
      </c>
      <c r="Y61" s="2">
        <f>SUMIFS('周排班-纵表'!$I:$I,'周排班-纵表'!$C:$C,$C61,'周排班-纵表'!$G:$G,$G61,'周排班-纵表'!$H:$H,Y$1)</f>
        <v/>
      </c>
      <c r="Z61" s="2">
        <f>SUMIFS('周排班-纵表'!$I:$I,'周排班-纵表'!$C:$C,$C61,'周排班-纵表'!$G:$G,$G61,'周排班-纵表'!$H:$H,Z$1)</f>
        <v/>
      </c>
      <c r="AA61" s="2">
        <f>SUMIFS('周排班-纵表'!$I:$I,'周排班-纵表'!$C:$C,$C61,'周排班-纵表'!$G:$G,$G61,'周排班-纵表'!$H:$H,AA$1)</f>
        <v/>
      </c>
      <c r="AB61" s="2">
        <f>SUMIFS('周排班-纵表'!$I:$I,'周排班-纵表'!$C:$C,$C61,'周排班-纵表'!$G:$G,$G61,'周排班-纵表'!$H:$H,AB$1)</f>
        <v/>
      </c>
      <c r="AC61" s="2">
        <f>SUMIFS('周排班-纵表'!$I:$I,'周排班-纵表'!$C:$C,$C61,'周排班-纵表'!$G:$G,$G61,'周排班-纵表'!$H:$H,AC$1)</f>
        <v/>
      </c>
      <c r="AD61" s="2">
        <f>SUMIFS('周排班-纵表'!$I:$I,'周排班-纵表'!$C:$C,$C61,'周排班-纵表'!$G:$G,$G61,'周排班-纵表'!$H:$H,AD$1)</f>
        <v/>
      </c>
      <c r="AE61" s="2">
        <f>SUMIFS('周排班-纵表'!$I:$I,'周排班-纵表'!$C:$C,$C61,'周排班-纵表'!$G:$G,$G61,'周排班-纵表'!$H:$H,AE$1)</f>
        <v/>
      </c>
      <c r="AF61" s="2">
        <f>SUMIFS('周排班-纵表'!$I:$I,'周排班-纵表'!$C:$C,$C61,'周排班-纵表'!$G:$G,$G61,'周排班-纵表'!$H:$H,AF$1)</f>
        <v/>
      </c>
      <c r="AG61" s="2">
        <f>SUMIFS('周排班-纵表'!$I:$I,'周排班-纵表'!$C:$C,$C61,'周排班-纵表'!$G:$G,$G61,'周排班-纵表'!$H:$H,AG$1)</f>
        <v/>
      </c>
      <c r="AH61" s="2">
        <f>SUMIFS('周排班-纵表'!$I:$I,'周排班-纵表'!$C:$C,$C61,'周排班-纵表'!$G:$G,$G61,'周排班-纵表'!$H:$H,AH$1)</f>
        <v/>
      </c>
      <c r="AI61" s="2">
        <f>SUMIFS('周排班-纵表'!$I:$I,'周排班-纵表'!$C:$C,$C61,'周排班-纵表'!$G:$G,$G61,'周排班-纵表'!$H:$H,AI$1)</f>
        <v/>
      </c>
      <c r="AJ61" s="2">
        <f>SUMIFS('周排班-纵表'!$I:$I,'周排班-纵表'!$C:$C,$C61,'周排班-纵表'!$G:$G,$G61,'周排班-纵表'!$H:$H,AJ$1)</f>
        <v/>
      </c>
      <c r="AK61" s="2">
        <f>SUMIFS('周排班-纵表'!$I:$I,'周排班-纵表'!$C:$C,$C61,'周排班-纵表'!$G:$G,$G61,'周排班-纵表'!$H:$H,AK$1)</f>
        <v/>
      </c>
      <c r="AL61" s="2">
        <f>SUMIFS('周排班-纵表'!$I:$I,'周排班-纵表'!$C:$C,$C61,'周排班-纵表'!$G:$G,$G61,'周排班-纵表'!$H:$H,AL$1)</f>
        <v/>
      </c>
    </row>
    <row r="62">
      <c r="A62" s="2" t="inlineStr">
        <is>
          <t>PE</t>
        </is>
      </c>
      <c r="B62" s="2" t="inlineStr">
        <is>
          <t>WP Financial Investment, LP</t>
        </is>
      </c>
      <c r="C62" s="2" t="inlineStr">
        <is>
          <t>47128469</t>
        </is>
      </c>
      <c r="D62" s="2" t="inlineStr">
        <is>
          <t>AUD2026-12 Warburg Pincus US Fund</t>
        </is>
      </c>
      <c r="E62" s="2" t="inlineStr">
        <is>
          <t>Order47128469- 260501002</t>
        </is>
      </c>
      <c r="F62" s="2" t="inlineStr">
        <is>
          <t>47128469- EDC260501001</t>
        </is>
      </c>
      <c r="G62" s="2" t="inlineStr">
        <is>
          <t>Luna.CD.Zhang@cn.ey.com</t>
        </is>
      </c>
      <c r="H62" s="2">
        <f>SUMIFS('周排班-纵表'!$I:$I,'周排班-纵表'!$C:$C,$C62,'周排班-纵表'!$G:$G,$G62,'周排班-纵表'!$H:$H,H$1)</f>
        <v/>
      </c>
      <c r="I62" s="2">
        <f>SUMIFS('周排班-纵表'!$I:$I,'周排班-纵表'!$C:$C,$C62,'周排班-纵表'!$G:$G,$G62,'周排班-纵表'!$H:$H,I$1)</f>
        <v/>
      </c>
      <c r="J62" s="2">
        <f>SUMIFS('周排班-纵表'!$I:$I,'周排班-纵表'!$C:$C,$C62,'周排班-纵表'!$G:$G,$G62,'周排班-纵表'!$H:$H,J$1)</f>
        <v/>
      </c>
      <c r="K62" s="2">
        <f>SUMIFS('周排班-纵表'!$I:$I,'周排班-纵表'!$C:$C,$C62,'周排班-纵表'!$G:$G,$G62,'周排班-纵表'!$H:$H,K$1)</f>
        <v/>
      </c>
      <c r="L62" s="2">
        <f>SUMIFS('周排班-纵表'!$I:$I,'周排班-纵表'!$C:$C,$C62,'周排班-纵表'!$G:$G,$G62,'周排班-纵表'!$H:$H,L$1)</f>
        <v/>
      </c>
      <c r="M62" s="2">
        <f>SUMIFS('周排班-纵表'!$I:$I,'周排班-纵表'!$C:$C,$C62,'周排班-纵表'!$G:$G,$G62,'周排班-纵表'!$H:$H,M$1)</f>
        <v/>
      </c>
      <c r="N62" s="2">
        <f>SUMIFS('周排班-纵表'!$I:$I,'周排班-纵表'!$C:$C,$C62,'周排班-纵表'!$G:$G,$G62,'周排班-纵表'!$H:$H,N$1)</f>
        <v/>
      </c>
      <c r="O62" s="2">
        <f>SUMIFS('周排班-纵表'!$I:$I,'周排班-纵表'!$C:$C,$C62,'周排班-纵表'!$G:$G,$G62,'周排班-纵表'!$H:$H,O$1)</f>
        <v/>
      </c>
      <c r="P62" s="2">
        <f>SUMIFS('周排班-纵表'!$I:$I,'周排班-纵表'!$C:$C,$C62,'周排班-纵表'!$G:$G,$G62,'周排班-纵表'!$H:$H,P$1)</f>
        <v/>
      </c>
      <c r="Q62" s="2">
        <f>SUMIFS('周排班-纵表'!$I:$I,'周排班-纵表'!$C:$C,$C62,'周排班-纵表'!$G:$G,$G62,'周排班-纵表'!$H:$H,Q$1)</f>
        <v/>
      </c>
      <c r="R62" s="2">
        <f>SUMIFS('周排班-纵表'!$I:$I,'周排班-纵表'!$C:$C,$C62,'周排班-纵表'!$G:$G,$G62,'周排班-纵表'!$H:$H,R$1)</f>
        <v/>
      </c>
      <c r="S62" s="2">
        <f>SUMIFS('周排班-纵表'!$I:$I,'周排班-纵表'!$C:$C,$C62,'周排班-纵表'!$G:$G,$G62,'周排班-纵表'!$H:$H,S$1)</f>
        <v/>
      </c>
      <c r="T62" s="2">
        <f>SUMIFS('周排班-纵表'!$I:$I,'周排班-纵表'!$C:$C,$C62,'周排班-纵表'!$G:$G,$G62,'周排班-纵表'!$H:$H,T$1)</f>
        <v/>
      </c>
      <c r="U62" s="2">
        <f>SUMIFS('周排班-纵表'!$I:$I,'周排班-纵表'!$C:$C,$C62,'周排班-纵表'!$G:$G,$G62,'周排班-纵表'!$H:$H,U$1)</f>
        <v/>
      </c>
      <c r="V62" s="2">
        <f>SUMIFS('周排班-纵表'!$I:$I,'周排班-纵表'!$C:$C,$C62,'周排班-纵表'!$G:$G,$G62,'周排班-纵表'!$H:$H,V$1)</f>
        <v/>
      </c>
      <c r="W62" s="2">
        <f>SUMIFS('周排班-纵表'!$I:$I,'周排班-纵表'!$C:$C,$C62,'周排班-纵表'!$G:$G,$G62,'周排班-纵表'!$H:$H,W$1)</f>
        <v/>
      </c>
      <c r="X62" s="2">
        <f>SUMIFS('周排班-纵表'!$I:$I,'周排班-纵表'!$C:$C,$C62,'周排班-纵表'!$G:$G,$G62,'周排班-纵表'!$H:$H,X$1)</f>
        <v/>
      </c>
      <c r="Y62" s="2">
        <f>SUMIFS('周排班-纵表'!$I:$I,'周排班-纵表'!$C:$C,$C62,'周排班-纵表'!$G:$G,$G62,'周排班-纵表'!$H:$H,Y$1)</f>
        <v/>
      </c>
      <c r="Z62" s="2">
        <f>SUMIFS('周排班-纵表'!$I:$I,'周排班-纵表'!$C:$C,$C62,'周排班-纵表'!$G:$G,$G62,'周排班-纵表'!$H:$H,Z$1)</f>
        <v/>
      </c>
      <c r="AA62" s="2">
        <f>SUMIFS('周排班-纵表'!$I:$I,'周排班-纵表'!$C:$C,$C62,'周排班-纵表'!$G:$G,$G62,'周排班-纵表'!$H:$H,AA$1)</f>
        <v/>
      </c>
      <c r="AB62" s="2">
        <f>SUMIFS('周排班-纵表'!$I:$I,'周排班-纵表'!$C:$C,$C62,'周排班-纵表'!$G:$G,$G62,'周排班-纵表'!$H:$H,AB$1)</f>
        <v/>
      </c>
      <c r="AC62" s="2">
        <f>SUMIFS('周排班-纵表'!$I:$I,'周排班-纵表'!$C:$C,$C62,'周排班-纵表'!$G:$G,$G62,'周排班-纵表'!$H:$H,AC$1)</f>
        <v/>
      </c>
      <c r="AD62" s="2">
        <f>SUMIFS('周排班-纵表'!$I:$I,'周排班-纵表'!$C:$C,$C62,'周排班-纵表'!$G:$G,$G62,'周排班-纵表'!$H:$H,AD$1)</f>
        <v/>
      </c>
      <c r="AE62" s="2">
        <f>SUMIFS('周排班-纵表'!$I:$I,'周排班-纵表'!$C:$C,$C62,'周排班-纵表'!$G:$G,$G62,'周排班-纵表'!$H:$H,AE$1)</f>
        <v/>
      </c>
      <c r="AF62" s="2">
        <f>SUMIFS('周排班-纵表'!$I:$I,'周排班-纵表'!$C:$C,$C62,'周排班-纵表'!$G:$G,$G62,'周排班-纵表'!$H:$H,AF$1)</f>
        <v/>
      </c>
      <c r="AG62" s="2">
        <f>SUMIFS('周排班-纵表'!$I:$I,'周排班-纵表'!$C:$C,$C62,'周排班-纵表'!$G:$G,$G62,'周排班-纵表'!$H:$H,AG$1)</f>
        <v/>
      </c>
      <c r="AH62" s="2">
        <f>SUMIFS('周排班-纵表'!$I:$I,'周排班-纵表'!$C:$C,$C62,'周排班-纵表'!$G:$G,$G62,'周排班-纵表'!$H:$H,AH$1)</f>
        <v/>
      </c>
      <c r="AI62" s="2">
        <f>SUMIFS('周排班-纵表'!$I:$I,'周排班-纵表'!$C:$C,$C62,'周排班-纵表'!$G:$G,$G62,'周排班-纵表'!$H:$H,AI$1)</f>
        <v/>
      </c>
      <c r="AJ62" s="2">
        <f>SUMIFS('周排班-纵表'!$I:$I,'周排班-纵表'!$C:$C,$C62,'周排班-纵表'!$G:$G,$G62,'周排班-纵表'!$H:$H,AJ$1)</f>
        <v/>
      </c>
      <c r="AK62" s="2">
        <f>SUMIFS('周排班-纵表'!$I:$I,'周排班-纵表'!$C:$C,$C62,'周排班-纵表'!$G:$G,$G62,'周排班-纵表'!$H:$H,AK$1)</f>
        <v/>
      </c>
      <c r="AL62" s="2">
        <f>SUMIFS('周排班-纵表'!$I:$I,'周排班-纵表'!$C:$C,$C62,'周排班-纵表'!$G:$G,$G62,'周排班-纵表'!$H:$H,AL$1)</f>
        <v/>
      </c>
    </row>
    <row r="63">
      <c r="A63" s="2" t="inlineStr">
        <is>
          <t>PE</t>
        </is>
      </c>
      <c r="B63" s="2" t="inlineStr">
        <is>
          <t>WP Financial Investment, LP</t>
        </is>
      </c>
      <c r="C63" s="2" t="inlineStr">
        <is>
          <t>47128469</t>
        </is>
      </c>
      <c r="D63" s="2" t="inlineStr">
        <is>
          <t>AUD2026-12 Warburg Pincus US Fund</t>
        </is>
      </c>
      <c r="E63" s="2" t="inlineStr">
        <is>
          <t>Order47128469- 260501002</t>
        </is>
      </c>
      <c r="F63" s="2" t="inlineStr">
        <is>
          <t>47128469- EDC260501001</t>
        </is>
      </c>
      <c r="G63" s="2" t="inlineStr">
        <is>
          <t>Marsh.Ma@cn.ey.com</t>
        </is>
      </c>
      <c r="H63" s="2">
        <f>SUMIFS('周排班-纵表'!$I:$I,'周排班-纵表'!$C:$C,$C63,'周排班-纵表'!$G:$G,$G63,'周排班-纵表'!$H:$H,H$1)</f>
        <v/>
      </c>
      <c r="I63" s="2">
        <f>SUMIFS('周排班-纵表'!$I:$I,'周排班-纵表'!$C:$C,$C63,'周排班-纵表'!$G:$G,$G63,'周排班-纵表'!$H:$H,I$1)</f>
        <v/>
      </c>
      <c r="J63" s="2">
        <f>SUMIFS('周排班-纵表'!$I:$I,'周排班-纵表'!$C:$C,$C63,'周排班-纵表'!$G:$G,$G63,'周排班-纵表'!$H:$H,J$1)</f>
        <v/>
      </c>
      <c r="K63" s="2">
        <f>SUMIFS('周排班-纵表'!$I:$I,'周排班-纵表'!$C:$C,$C63,'周排班-纵表'!$G:$G,$G63,'周排班-纵表'!$H:$H,K$1)</f>
        <v/>
      </c>
      <c r="L63" s="2">
        <f>SUMIFS('周排班-纵表'!$I:$I,'周排班-纵表'!$C:$C,$C63,'周排班-纵表'!$G:$G,$G63,'周排班-纵表'!$H:$H,L$1)</f>
        <v/>
      </c>
      <c r="M63" s="2">
        <f>SUMIFS('周排班-纵表'!$I:$I,'周排班-纵表'!$C:$C,$C63,'周排班-纵表'!$G:$G,$G63,'周排班-纵表'!$H:$H,M$1)</f>
        <v/>
      </c>
      <c r="N63" s="2">
        <f>SUMIFS('周排班-纵表'!$I:$I,'周排班-纵表'!$C:$C,$C63,'周排班-纵表'!$G:$G,$G63,'周排班-纵表'!$H:$H,N$1)</f>
        <v/>
      </c>
      <c r="O63" s="2">
        <f>SUMIFS('周排班-纵表'!$I:$I,'周排班-纵表'!$C:$C,$C63,'周排班-纵表'!$G:$G,$G63,'周排班-纵表'!$H:$H,O$1)</f>
        <v/>
      </c>
      <c r="P63" s="2">
        <f>SUMIFS('周排班-纵表'!$I:$I,'周排班-纵表'!$C:$C,$C63,'周排班-纵表'!$G:$G,$G63,'周排班-纵表'!$H:$H,P$1)</f>
        <v/>
      </c>
      <c r="Q63" s="2">
        <f>SUMIFS('周排班-纵表'!$I:$I,'周排班-纵表'!$C:$C,$C63,'周排班-纵表'!$G:$G,$G63,'周排班-纵表'!$H:$H,Q$1)</f>
        <v/>
      </c>
      <c r="R63" s="2">
        <f>SUMIFS('周排班-纵表'!$I:$I,'周排班-纵表'!$C:$C,$C63,'周排班-纵表'!$G:$G,$G63,'周排班-纵表'!$H:$H,R$1)</f>
        <v/>
      </c>
      <c r="S63" s="2">
        <f>SUMIFS('周排班-纵表'!$I:$I,'周排班-纵表'!$C:$C,$C63,'周排班-纵表'!$G:$G,$G63,'周排班-纵表'!$H:$H,S$1)</f>
        <v/>
      </c>
      <c r="T63" s="2">
        <f>SUMIFS('周排班-纵表'!$I:$I,'周排班-纵表'!$C:$C,$C63,'周排班-纵表'!$G:$G,$G63,'周排班-纵表'!$H:$H,T$1)</f>
        <v/>
      </c>
      <c r="U63" s="2">
        <f>SUMIFS('周排班-纵表'!$I:$I,'周排班-纵表'!$C:$C,$C63,'周排班-纵表'!$G:$G,$G63,'周排班-纵表'!$H:$H,U$1)</f>
        <v/>
      </c>
      <c r="V63" s="2">
        <f>SUMIFS('周排班-纵表'!$I:$I,'周排班-纵表'!$C:$C,$C63,'周排班-纵表'!$G:$G,$G63,'周排班-纵表'!$H:$H,V$1)</f>
        <v/>
      </c>
      <c r="W63" s="2">
        <f>SUMIFS('周排班-纵表'!$I:$I,'周排班-纵表'!$C:$C,$C63,'周排班-纵表'!$G:$G,$G63,'周排班-纵表'!$H:$H,W$1)</f>
        <v/>
      </c>
      <c r="X63" s="2">
        <f>SUMIFS('周排班-纵表'!$I:$I,'周排班-纵表'!$C:$C,$C63,'周排班-纵表'!$G:$G,$G63,'周排班-纵表'!$H:$H,X$1)</f>
        <v/>
      </c>
      <c r="Y63" s="2">
        <f>SUMIFS('周排班-纵表'!$I:$I,'周排班-纵表'!$C:$C,$C63,'周排班-纵表'!$G:$G,$G63,'周排班-纵表'!$H:$H,Y$1)</f>
        <v/>
      </c>
      <c r="Z63" s="2">
        <f>SUMIFS('周排班-纵表'!$I:$I,'周排班-纵表'!$C:$C,$C63,'周排班-纵表'!$G:$G,$G63,'周排班-纵表'!$H:$H,Z$1)</f>
        <v/>
      </c>
      <c r="AA63" s="2">
        <f>SUMIFS('周排班-纵表'!$I:$I,'周排班-纵表'!$C:$C,$C63,'周排班-纵表'!$G:$G,$G63,'周排班-纵表'!$H:$H,AA$1)</f>
        <v/>
      </c>
      <c r="AB63" s="2">
        <f>SUMIFS('周排班-纵表'!$I:$I,'周排班-纵表'!$C:$C,$C63,'周排班-纵表'!$G:$G,$G63,'周排班-纵表'!$H:$H,AB$1)</f>
        <v/>
      </c>
      <c r="AC63" s="2">
        <f>SUMIFS('周排班-纵表'!$I:$I,'周排班-纵表'!$C:$C,$C63,'周排班-纵表'!$G:$G,$G63,'周排班-纵表'!$H:$H,AC$1)</f>
        <v/>
      </c>
      <c r="AD63" s="2">
        <f>SUMIFS('周排班-纵表'!$I:$I,'周排班-纵表'!$C:$C,$C63,'周排班-纵表'!$G:$G,$G63,'周排班-纵表'!$H:$H,AD$1)</f>
        <v/>
      </c>
      <c r="AE63" s="2">
        <f>SUMIFS('周排班-纵表'!$I:$I,'周排班-纵表'!$C:$C,$C63,'周排班-纵表'!$G:$G,$G63,'周排班-纵表'!$H:$H,AE$1)</f>
        <v/>
      </c>
      <c r="AF63" s="2">
        <f>SUMIFS('周排班-纵表'!$I:$I,'周排班-纵表'!$C:$C,$C63,'周排班-纵表'!$G:$G,$G63,'周排班-纵表'!$H:$H,AF$1)</f>
        <v/>
      </c>
      <c r="AG63" s="2">
        <f>SUMIFS('周排班-纵表'!$I:$I,'周排班-纵表'!$C:$C,$C63,'周排班-纵表'!$G:$G,$G63,'周排班-纵表'!$H:$H,AG$1)</f>
        <v/>
      </c>
      <c r="AH63" s="2">
        <f>SUMIFS('周排班-纵表'!$I:$I,'周排班-纵表'!$C:$C,$C63,'周排班-纵表'!$G:$G,$G63,'周排班-纵表'!$H:$H,AH$1)</f>
        <v/>
      </c>
      <c r="AI63" s="2">
        <f>SUMIFS('周排班-纵表'!$I:$I,'周排班-纵表'!$C:$C,$C63,'周排班-纵表'!$G:$G,$G63,'周排班-纵表'!$H:$H,AI$1)</f>
        <v/>
      </c>
      <c r="AJ63" s="2">
        <f>SUMIFS('周排班-纵表'!$I:$I,'周排班-纵表'!$C:$C,$C63,'周排班-纵表'!$G:$G,$G63,'周排班-纵表'!$H:$H,AJ$1)</f>
        <v/>
      </c>
      <c r="AK63" s="2">
        <f>SUMIFS('周排班-纵表'!$I:$I,'周排班-纵表'!$C:$C,$C63,'周排班-纵表'!$G:$G,$G63,'周排班-纵表'!$H:$H,AK$1)</f>
        <v/>
      </c>
      <c r="AL63" s="2">
        <f>SUMIFS('周排班-纵表'!$I:$I,'周排班-纵表'!$C:$C,$C63,'周排班-纵表'!$G:$G,$G63,'周排班-纵表'!$H:$H,AL$1)</f>
        <v/>
      </c>
    </row>
    <row r="64">
      <c r="A64" s="2" t="inlineStr">
        <is>
          <t>PE</t>
        </is>
      </c>
      <c r="B64" s="2" t="inlineStr">
        <is>
          <t>WP Financial Investment, LP</t>
        </is>
      </c>
      <c r="C64" s="2" t="inlineStr">
        <is>
          <t>47128469</t>
        </is>
      </c>
      <c r="D64" s="2" t="inlineStr">
        <is>
          <t>AUD2026-12 Warburg Pincus US Fund</t>
        </is>
      </c>
      <c r="E64" s="2" t="inlineStr">
        <is>
          <t>Order47128469- 260501002</t>
        </is>
      </c>
      <c r="F64" s="2" t="inlineStr">
        <is>
          <t>47128469- EDC260501001</t>
        </is>
      </c>
      <c r="G64" s="2" t="inlineStr">
        <is>
          <t>Vivi.W.Yang@cn.ey.com</t>
        </is>
      </c>
      <c r="H64" s="2">
        <f>SUMIFS('周排班-纵表'!$I:$I,'周排班-纵表'!$C:$C,$C64,'周排班-纵表'!$G:$G,$G64,'周排班-纵表'!$H:$H,H$1)</f>
        <v/>
      </c>
      <c r="I64" s="2">
        <f>SUMIFS('周排班-纵表'!$I:$I,'周排班-纵表'!$C:$C,$C64,'周排班-纵表'!$G:$G,$G64,'周排班-纵表'!$H:$H,I$1)</f>
        <v/>
      </c>
      <c r="J64" s="2">
        <f>SUMIFS('周排班-纵表'!$I:$I,'周排班-纵表'!$C:$C,$C64,'周排班-纵表'!$G:$G,$G64,'周排班-纵表'!$H:$H,J$1)</f>
        <v/>
      </c>
      <c r="K64" s="2">
        <f>SUMIFS('周排班-纵表'!$I:$I,'周排班-纵表'!$C:$C,$C64,'周排班-纵表'!$G:$G,$G64,'周排班-纵表'!$H:$H,K$1)</f>
        <v/>
      </c>
      <c r="L64" s="2">
        <f>SUMIFS('周排班-纵表'!$I:$I,'周排班-纵表'!$C:$C,$C64,'周排班-纵表'!$G:$G,$G64,'周排班-纵表'!$H:$H,L$1)</f>
        <v/>
      </c>
      <c r="M64" s="2">
        <f>SUMIFS('周排班-纵表'!$I:$I,'周排班-纵表'!$C:$C,$C64,'周排班-纵表'!$G:$G,$G64,'周排班-纵表'!$H:$H,M$1)</f>
        <v/>
      </c>
      <c r="N64" s="2">
        <f>SUMIFS('周排班-纵表'!$I:$I,'周排班-纵表'!$C:$C,$C64,'周排班-纵表'!$G:$G,$G64,'周排班-纵表'!$H:$H,N$1)</f>
        <v/>
      </c>
      <c r="O64" s="2">
        <f>SUMIFS('周排班-纵表'!$I:$I,'周排班-纵表'!$C:$C,$C64,'周排班-纵表'!$G:$G,$G64,'周排班-纵表'!$H:$H,O$1)</f>
        <v/>
      </c>
      <c r="P64" s="2">
        <f>SUMIFS('周排班-纵表'!$I:$I,'周排班-纵表'!$C:$C,$C64,'周排班-纵表'!$G:$G,$G64,'周排班-纵表'!$H:$H,P$1)</f>
        <v/>
      </c>
      <c r="Q64" s="2">
        <f>SUMIFS('周排班-纵表'!$I:$I,'周排班-纵表'!$C:$C,$C64,'周排班-纵表'!$G:$G,$G64,'周排班-纵表'!$H:$H,Q$1)</f>
        <v/>
      </c>
      <c r="R64" s="2">
        <f>SUMIFS('周排班-纵表'!$I:$I,'周排班-纵表'!$C:$C,$C64,'周排班-纵表'!$G:$G,$G64,'周排班-纵表'!$H:$H,R$1)</f>
        <v/>
      </c>
      <c r="S64" s="2">
        <f>SUMIFS('周排班-纵表'!$I:$I,'周排班-纵表'!$C:$C,$C64,'周排班-纵表'!$G:$G,$G64,'周排班-纵表'!$H:$H,S$1)</f>
        <v/>
      </c>
      <c r="T64" s="2">
        <f>SUMIFS('周排班-纵表'!$I:$I,'周排班-纵表'!$C:$C,$C64,'周排班-纵表'!$G:$G,$G64,'周排班-纵表'!$H:$H,T$1)</f>
        <v/>
      </c>
      <c r="U64" s="2">
        <f>SUMIFS('周排班-纵表'!$I:$I,'周排班-纵表'!$C:$C,$C64,'周排班-纵表'!$G:$G,$G64,'周排班-纵表'!$H:$H,U$1)</f>
        <v/>
      </c>
      <c r="V64" s="2">
        <f>SUMIFS('周排班-纵表'!$I:$I,'周排班-纵表'!$C:$C,$C64,'周排班-纵表'!$G:$G,$G64,'周排班-纵表'!$H:$H,V$1)</f>
        <v/>
      </c>
      <c r="W64" s="2">
        <f>SUMIFS('周排班-纵表'!$I:$I,'周排班-纵表'!$C:$C,$C64,'周排班-纵表'!$G:$G,$G64,'周排班-纵表'!$H:$H,W$1)</f>
        <v/>
      </c>
      <c r="X64" s="2">
        <f>SUMIFS('周排班-纵表'!$I:$I,'周排班-纵表'!$C:$C,$C64,'周排班-纵表'!$G:$G,$G64,'周排班-纵表'!$H:$H,X$1)</f>
        <v/>
      </c>
      <c r="Y64" s="2">
        <f>SUMIFS('周排班-纵表'!$I:$I,'周排班-纵表'!$C:$C,$C64,'周排班-纵表'!$G:$G,$G64,'周排班-纵表'!$H:$H,Y$1)</f>
        <v/>
      </c>
      <c r="Z64" s="2">
        <f>SUMIFS('周排班-纵表'!$I:$I,'周排班-纵表'!$C:$C,$C64,'周排班-纵表'!$G:$G,$G64,'周排班-纵表'!$H:$H,Z$1)</f>
        <v/>
      </c>
      <c r="AA64" s="2">
        <f>SUMIFS('周排班-纵表'!$I:$I,'周排班-纵表'!$C:$C,$C64,'周排班-纵表'!$G:$G,$G64,'周排班-纵表'!$H:$H,AA$1)</f>
        <v/>
      </c>
      <c r="AB64" s="2">
        <f>SUMIFS('周排班-纵表'!$I:$I,'周排班-纵表'!$C:$C,$C64,'周排班-纵表'!$G:$G,$G64,'周排班-纵表'!$H:$H,AB$1)</f>
        <v/>
      </c>
      <c r="AC64" s="2">
        <f>SUMIFS('周排班-纵表'!$I:$I,'周排班-纵表'!$C:$C,$C64,'周排班-纵表'!$G:$G,$G64,'周排班-纵表'!$H:$H,AC$1)</f>
        <v/>
      </c>
      <c r="AD64" s="2">
        <f>SUMIFS('周排班-纵表'!$I:$I,'周排班-纵表'!$C:$C,$C64,'周排班-纵表'!$G:$G,$G64,'周排班-纵表'!$H:$H,AD$1)</f>
        <v/>
      </c>
      <c r="AE64" s="2">
        <f>SUMIFS('周排班-纵表'!$I:$I,'周排班-纵表'!$C:$C,$C64,'周排班-纵表'!$G:$G,$G64,'周排班-纵表'!$H:$H,AE$1)</f>
        <v/>
      </c>
      <c r="AF64" s="2">
        <f>SUMIFS('周排班-纵表'!$I:$I,'周排班-纵表'!$C:$C,$C64,'周排班-纵表'!$G:$G,$G64,'周排班-纵表'!$H:$H,AF$1)</f>
        <v/>
      </c>
      <c r="AG64" s="2">
        <f>SUMIFS('周排班-纵表'!$I:$I,'周排班-纵表'!$C:$C,$C64,'周排班-纵表'!$G:$G,$G64,'周排班-纵表'!$H:$H,AG$1)</f>
        <v/>
      </c>
      <c r="AH64" s="2">
        <f>SUMIFS('周排班-纵表'!$I:$I,'周排班-纵表'!$C:$C,$C64,'周排班-纵表'!$G:$G,$G64,'周排班-纵表'!$H:$H,AH$1)</f>
        <v/>
      </c>
      <c r="AI64" s="2">
        <f>SUMIFS('周排班-纵表'!$I:$I,'周排班-纵表'!$C:$C,$C64,'周排班-纵表'!$G:$G,$G64,'周排班-纵表'!$H:$H,AI$1)</f>
        <v/>
      </c>
      <c r="AJ64" s="2">
        <f>SUMIFS('周排班-纵表'!$I:$I,'周排班-纵表'!$C:$C,$C64,'周排班-纵表'!$G:$G,$G64,'周排班-纵表'!$H:$H,AJ$1)</f>
        <v/>
      </c>
      <c r="AK64" s="2">
        <f>SUMIFS('周排班-纵表'!$I:$I,'周排班-纵表'!$C:$C,$C64,'周排班-纵表'!$G:$G,$G64,'周排班-纵表'!$H:$H,AK$1)</f>
        <v/>
      </c>
      <c r="AL64" s="2">
        <f>SUMIFS('周排班-纵表'!$I:$I,'周排班-纵表'!$C:$C,$C64,'周排班-纵表'!$G:$G,$G64,'周排班-纵表'!$H:$H,AL$1)</f>
        <v/>
      </c>
    </row>
    <row r="65">
      <c r="A65" s="2" t="inlineStr">
        <is>
          <t>PE</t>
        </is>
      </c>
      <c r="B65" s="2" t="inlineStr">
        <is>
          <t>Shanghai Xinze Sanhe Venture Investment LP</t>
        </is>
      </c>
      <c r="C65" s="2" t="inlineStr">
        <is>
          <t>47128472</t>
        </is>
      </c>
      <c r="D65" s="2" t="inlineStr">
        <is>
          <t>AUD2026-12 Xingze Management</t>
        </is>
      </c>
      <c r="E65" s="2" t="inlineStr">
        <is>
          <t>Order47128472- 260501003</t>
        </is>
      </c>
      <c r="F65" s="2" t="inlineStr">
        <is>
          <t>47128472- EDC260501001</t>
        </is>
      </c>
      <c r="G65" s="2" t="inlineStr">
        <is>
          <t>Luna.CD.Zhang@cn.ey.com</t>
        </is>
      </c>
      <c r="H65" s="2">
        <f>SUMIFS('周排班-纵表'!$I:$I,'周排班-纵表'!$C:$C,$C65,'周排班-纵表'!$G:$G,$G65,'周排班-纵表'!$H:$H,H$1)</f>
        <v/>
      </c>
      <c r="I65" s="2">
        <f>SUMIFS('周排班-纵表'!$I:$I,'周排班-纵表'!$C:$C,$C65,'周排班-纵表'!$G:$G,$G65,'周排班-纵表'!$H:$H,I$1)</f>
        <v/>
      </c>
      <c r="J65" s="2">
        <f>SUMIFS('周排班-纵表'!$I:$I,'周排班-纵表'!$C:$C,$C65,'周排班-纵表'!$G:$G,$G65,'周排班-纵表'!$H:$H,J$1)</f>
        <v/>
      </c>
      <c r="K65" s="2">
        <f>SUMIFS('周排班-纵表'!$I:$I,'周排班-纵表'!$C:$C,$C65,'周排班-纵表'!$G:$G,$G65,'周排班-纵表'!$H:$H,K$1)</f>
        <v/>
      </c>
      <c r="L65" s="2">
        <f>SUMIFS('周排班-纵表'!$I:$I,'周排班-纵表'!$C:$C,$C65,'周排班-纵表'!$G:$G,$G65,'周排班-纵表'!$H:$H,L$1)</f>
        <v/>
      </c>
      <c r="M65" s="2">
        <f>SUMIFS('周排班-纵表'!$I:$I,'周排班-纵表'!$C:$C,$C65,'周排班-纵表'!$G:$G,$G65,'周排班-纵表'!$H:$H,M$1)</f>
        <v/>
      </c>
      <c r="N65" s="2">
        <f>SUMIFS('周排班-纵表'!$I:$I,'周排班-纵表'!$C:$C,$C65,'周排班-纵表'!$G:$G,$G65,'周排班-纵表'!$H:$H,N$1)</f>
        <v/>
      </c>
      <c r="O65" s="2">
        <f>SUMIFS('周排班-纵表'!$I:$I,'周排班-纵表'!$C:$C,$C65,'周排班-纵表'!$G:$G,$G65,'周排班-纵表'!$H:$H,O$1)</f>
        <v/>
      </c>
      <c r="P65" s="2">
        <f>SUMIFS('周排班-纵表'!$I:$I,'周排班-纵表'!$C:$C,$C65,'周排班-纵表'!$G:$G,$G65,'周排班-纵表'!$H:$H,P$1)</f>
        <v/>
      </c>
      <c r="Q65" s="2">
        <f>SUMIFS('周排班-纵表'!$I:$I,'周排班-纵表'!$C:$C,$C65,'周排班-纵表'!$G:$G,$G65,'周排班-纵表'!$H:$H,Q$1)</f>
        <v/>
      </c>
      <c r="R65" s="2">
        <f>SUMIFS('周排班-纵表'!$I:$I,'周排班-纵表'!$C:$C,$C65,'周排班-纵表'!$G:$G,$G65,'周排班-纵表'!$H:$H,R$1)</f>
        <v/>
      </c>
      <c r="S65" s="2">
        <f>SUMIFS('周排班-纵表'!$I:$I,'周排班-纵表'!$C:$C,$C65,'周排班-纵表'!$G:$G,$G65,'周排班-纵表'!$H:$H,S$1)</f>
        <v/>
      </c>
      <c r="T65" s="2">
        <f>SUMIFS('周排班-纵表'!$I:$I,'周排班-纵表'!$C:$C,$C65,'周排班-纵表'!$G:$G,$G65,'周排班-纵表'!$H:$H,T$1)</f>
        <v/>
      </c>
      <c r="U65" s="2">
        <f>SUMIFS('周排班-纵表'!$I:$I,'周排班-纵表'!$C:$C,$C65,'周排班-纵表'!$G:$G,$G65,'周排班-纵表'!$H:$H,U$1)</f>
        <v/>
      </c>
      <c r="V65" s="2">
        <f>SUMIFS('周排班-纵表'!$I:$I,'周排班-纵表'!$C:$C,$C65,'周排班-纵表'!$G:$G,$G65,'周排班-纵表'!$H:$H,V$1)</f>
        <v/>
      </c>
      <c r="W65" s="2">
        <f>SUMIFS('周排班-纵表'!$I:$I,'周排班-纵表'!$C:$C,$C65,'周排班-纵表'!$G:$G,$G65,'周排班-纵表'!$H:$H,W$1)</f>
        <v/>
      </c>
      <c r="X65" s="2">
        <f>SUMIFS('周排班-纵表'!$I:$I,'周排班-纵表'!$C:$C,$C65,'周排班-纵表'!$G:$G,$G65,'周排班-纵表'!$H:$H,X$1)</f>
        <v/>
      </c>
      <c r="Y65" s="2">
        <f>SUMIFS('周排班-纵表'!$I:$I,'周排班-纵表'!$C:$C,$C65,'周排班-纵表'!$G:$G,$G65,'周排班-纵表'!$H:$H,Y$1)</f>
        <v/>
      </c>
      <c r="Z65" s="2">
        <f>SUMIFS('周排班-纵表'!$I:$I,'周排班-纵表'!$C:$C,$C65,'周排班-纵表'!$G:$G,$G65,'周排班-纵表'!$H:$H,Z$1)</f>
        <v/>
      </c>
      <c r="AA65" s="2">
        <f>SUMIFS('周排班-纵表'!$I:$I,'周排班-纵表'!$C:$C,$C65,'周排班-纵表'!$G:$G,$G65,'周排班-纵表'!$H:$H,AA$1)</f>
        <v/>
      </c>
      <c r="AB65" s="2">
        <f>SUMIFS('周排班-纵表'!$I:$I,'周排班-纵表'!$C:$C,$C65,'周排班-纵表'!$G:$G,$G65,'周排班-纵表'!$H:$H,AB$1)</f>
        <v/>
      </c>
      <c r="AC65" s="2">
        <f>SUMIFS('周排班-纵表'!$I:$I,'周排班-纵表'!$C:$C,$C65,'周排班-纵表'!$G:$G,$G65,'周排班-纵表'!$H:$H,AC$1)</f>
        <v/>
      </c>
      <c r="AD65" s="2">
        <f>SUMIFS('周排班-纵表'!$I:$I,'周排班-纵表'!$C:$C,$C65,'周排班-纵表'!$G:$G,$G65,'周排班-纵表'!$H:$H,AD$1)</f>
        <v/>
      </c>
      <c r="AE65" s="2">
        <f>SUMIFS('周排班-纵表'!$I:$I,'周排班-纵表'!$C:$C,$C65,'周排班-纵表'!$G:$G,$G65,'周排班-纵表'!$H:$H,AE$1)</f>
        <v/>
      </c>
      <c r="AF65" s="2">
        <f>SUMIFS('周排班-纵表'!$I:$I,'周排班-纵表'!$C:$C,$C65,'周排班-纵表'!$G:$G,$G65,'周排班-纵表'!$H:$H,AF$1)</f>
        <v/>
      </c>
      <c r="AG65" s="2">
        <f>SUMIFS('周排班-纵表'!$I:$I,'周排班-纵表'!$C:$C,$C65,'周排班-纵表'!$G:$G,$G65,'周排班-纵表'!$H:$H,AG$1)</f>
        <v/>
      </c>
      <c r="AH65" s="2">
        <f>SUMIFS('周排班-纵表'!$I:$I,'周排班-纵表'!$C:$C,$C65,'周排班-纵表'!$G:$G,$G65,'周排班-纵表'!$H:$H,AH$1)</f>
        <v/>
      </c>
      <c r="AI65" s="2">
        <f>SUMIFS('周排班-纵表'!$I:$I,'周排班-纵表'!$C:$C,$C65,'周排班-纵表'!$G:$G,$G65,'周排班-纵表'!$H:$H,AI$1)</f>
        <v/>
      </c>
      <c r="AJ65" s="2">
        <f>SUMIFS('周排班-纵表'!$I:$I,'周排班-纵表'!$C:$C,$C65,'周排班-纵表'!$G:$G,$G65,'周排班-纵表'!$H:$H,AJ$1)</f>
        <v/>
      </c>
      <c r="AK65" s="2">
        <f>SUMIFS('周排班-纵表'!$I:$I,'周排班-纵表'!$C:$C,$C65,'周排班-纵表'!$G:$G,$G65,'周排班-纵表'!$H:$H,AK$1)</f>
        <v/>
      </c>
      <c r="AL65" s="2">
        <f>SUMIFS('周排班-纵表'!$I:$I,'周排班-纵表'!$C:$C,$C65,'周排班-纵表'!$G:$G,$G65,'周排班-纵表'!$H:$H,AL$1)</f>
        <v/>
      </c>
    </row>
    <row r="66">
      <c r="A66" s="2" t="inlineStr">
        <is>
          <t>PE</t>
        </is>
      </c>
      <c r="B66" s="2" t="inlineStr">
        <is>
          <t>Shanghai Xinze Sanhe Venture Investment LP</t>
        </is>
      </c>
      <c r="C66" s="2" t="inlineStr">
        <is>
          <t>47128472</t>
        </is>
      </c>
      <c r="D66" s="2" t="inlineStr">
        <is>
          <t>AUD2026-12 Xingze Management</t>
        </is>
      </c>
      <c r="E66" s="2" t="inlineStr">
        <is>
          <t>Order47128472- 260501003</t>
        </is>
      </c>
      <c r="F66" s="2" t="inlineStr">
        <is>
          <t>47128472- EDC260501001</t>
        </is>
      </c>
      <c r="G66" s="2" t="inlineStr">
        <is>
          <t>Marsh.Ma@cn.ey.com</t>
        </is>
      </c>
      <c r="H66" s="2">
        <f>SUMIFS('周排班-纵表'!$I:$I,'周排班-纵表'!$C:$C,$C66,'周排班-纵表'!$G:$G,$G66,'周排班-纵表'!$H:$H,H$1)</f>
        <v/>
      </c>
      <c r="I66" s="2">
        <f>SUMIFS('周排班-纵表'!$I:$I,'周排班-纵表'!$C:$C,$C66,'周排班-纵表'!$G:$G,$G66,'周排班-纵表'!$H:$H,I$1)</f>
        <v/>
      </c>
      <c r="J66" s="2">
        <f>SUMIFS('周排班-纵表'!$I:$I,'周排班-纵表'!$C:$C,$C66,'周排班-纵表'!$G:$G,$G66,'周排班-纵表'!$H:$H,J$1)</f>
        <v/>
      </c>
      <c r="K66" s="2">
        <f>SUMIFS('周排班-纵表'!$I:$I,'周排班-纵表'!$C:$C,$C66,'周排班-纵表'!$G:$G,$G66,'周排班-纵表'!$H:$H,K$1)</f>
        <v/>
      </c>
      <c r="L66" s="2">
        <f>SUMIFS('周排班-纵表'!$I:$I,'周排班-纵表'!$C:$C,$C66,'周排班-纵表'!$G:$G,$G66,'周排班-纵表'!$H:$H,L$1)</f>
        <v/>
      </c>
      <c r="M66" s="2">
        <f>SUMIFS('周排班-纵表'!$I:$I,'周排班-纵表'!$C:$C,$C66,'周排班-纵表'!$G:$G,$G66,'周排班-纵表'!$H:$H,M$1)</f>
        <v/>
      </c>
      <c r="N66" s="2">
        <f>SUMIFS('周排班-纵表'!$I:$I,'周排班-纵表'!$C:$C,$C66,'周排班-纵表'!$G:$G,$G66,'周排班-纵表'!$H:$H,N$1)</f>
        <v/>
      </c>
      <c r="O66" s="2">
        <f>SUMIFS('周排班-纵表'!$I:$I,'周排班-纵表'!$C:$C,$C66,'周排班-纵表'!$G:$G,$G66,'周排班-纵表'!$H:$H,O$1)</f>
        <v/>
      </c>
      <c r="P66" s="2">
        <f>SUMIFS('周排班-纵表'!$I:$I,'周排班-纵表'!$C:$C,$C66,'周排班-纵表'!$G:$G,$G66,'周排班-纵表'!$H:$H,P$1)</f>
        <v/>
      </c>
      <c r="Q66" s="2">
        <f>SUMIFS('周排班-纵表'!$I:$I,'周排班-纵表'!$C:$C,$C66,'周排班-纵表'!$G:$G,$G66,'周排班-纵表'!$H:$H,Q$1)</f>
        <v/>
      </c>
      <c r="R66" s="2">
        <f>SUMIFS('周排班-纵表'!$I:$I,'周排班-纵表'!$C:$C,$C66,'周排班-纵表'!$G:$G,$G66,'周排班-纵表'!$H:$H,R$1)</f>
        <v/>
      </c>
      <c r="S66" s="2">
        <f>SUMIFS('周排班-纵表'!$I:$I,'周排班-纵表'!$C:$C,$C66,'周排班-纵表'!$G:$G,$G66,'周排班-纵表'!$H:$H,S$1)</f>
        <v/>
      </c>
      <c r="T66" s="2">
        <f>SUMIFS('周排班-纵表'!$I:$I,'周排班-纵表'!$C:$C,$C66,'周排班-纵表'!$G:$G,$G66,'周排班-纵表'!$H:$H,T$1)</f>
        <v/>
      </c>
      <c r="U66" s="2">
        <f>SUMIFS('周排班-纵表'!$I:$I,'周排班-纵表'!$C:$C,$C66,'周排班-纵表'!$G:$G,$G66,'周排班-纵表'!$H:$H,U$1)</f>
        <v/>
      </c>
      <c r="V66" s="2">
        <f>SUMIFS('周排班-纵表'!$I:$I,'周排班-纵表'!$C:$C,$C66,'周排班-纵表'!$G:$G,$G66,'周排班-纵表'!$H:$H,V$1)</f>
        <v/>
      </c>
      <c r="W66" s="2">
        <f>SUMIFS('周排班-纵表'!$I:$I,'周排班-纵表'!$C:$C,$C66,'周排班-纵表'!$G:$G,$G66,'周排班-纵表'!$H:$H,W$1)</f>
        <v/>
      </c>
      <c r="X66" s="2">
        <f>SUMIFS('周排班-纵表'!$I:$I,'周排班-纵表'!$C:$C,$C66,'周排班-纵表'!$G:$G,$G66,'周排班-纵表'!$H:$H,X$1)</f>
        <v/>
      </c>
      <c r="Y66" s="2">
        <f>SUMIFS('周排班-纵表'!$I:$I,'周排班-纵表'!$C:$C,$C66,'周排班-纵表'!$G:$G,$G66,'周排班-纵表'!$H:$H,Y$1)</f>
        <v/>
      </c>
      <c r="Z66" s="2">
        <f>SUMIFS('周排班-纵表'!$I:$I,'周排班-纵表'!$C:$C,$C66,'周排班-纵表'!$G:$G,$G66,'周排班-纵表'!$H:$H,Z$1)</f>
        <v/>
      </c>
      <c r="AA66" s="2">
        <f>SUMIFS('周排班-纵表'!$I:$I,'周排班-纵表'!$C:$C,$C66,'周排班-纵表'!$G:$G,$G66,'周排班-纵表'!$H:$H,AA$1)</f>
        <v/>
      </c>
      <c r="AB66" s="2">
        <f>SUMIFS('周排班-纵表'!$I:$I,'周排班-纵表'!$C:$C,$C66,'周排班-纵表'!$G:$G,$G66,'周排班-纵表'!$H:$H,AB$1)</f>
        <v/>
      </c>
      <c r="AC66" s="2">
        <f>SUMIFS('周排班-纵表'!$I:$I,'周排班-纵表'!$C:$C,$C66,'周排班-纵表'!$G:$G,$G66,'周排班-纵表'!$H:$H,AC$1)</f>
        <v/>
      </c>
      <c r="AD66" s="2">
        <f>SUMIFS('周排班-纵表'!$I:$I,'周排班-纵表'!$C:$C,$C66,'周排班-纵表'!$G:$G,$G66,'周排班-纵表'!$H:$H,AD$1)</f>
        <v/>
      </c>
      <c r="AE66" s="2">
        <f>SUMIFS('周排班-纵表'!$I:$I,'周排班-纵表'!$C:$C,$C66,'周排班-纵表'!$G:$G,$G66,'周排班-纵表'!$H:$H,AE$1)</f>
        <v/>
      </c>
      <c r="AF66" s="2">
        <f>SUMIFS('周排班-纵表'!$I:$I,'周排班-纵表'!$C:$C,$C66,'周排班-纵表'!$G:$G,$G66,'周排班-纵表'!$H:$H,AF$1)</f>
        <v/>
      </c>
      <c r="AG66" s="2">
        <f>SUMIFS('周排班-纵表'!$I:$I,'周排班-纵表'!$C:$C,$C66,'周排班-纵表'!$G:$G,$G66,'周排班-纵表'!$H:$H,AG$1)</f>
        <v/>
      </c>
      <c r="AH66" s="2">
        <f>SUMIFS('周排班-纵表'!$I:$I,'周排班-纵表'!$C:$C,$C66,'周排班-纵表'!$G:$G,$G66,'周排班-纵表'!$H:$H,AH$1)</f>
        <v/>
      </c>
      <c r="AI66" s="2">
        <f>SUMIFS('周排班-纵表'!$I:$I,'周排班-纵表'!$C:$C,$C66,'周排班-纵表'!$G:$G,$G66,'周排班-纵表'!$H:$H,AI$1)</f>
        <v/>
      </c>
      <c r="AJ66" s="2">
        <f>SUMIFS('周排班-纵表'!$I:$I,'周排班-纵表'!$C:$C,$C66,'周排班-纵表'!$G:$G,$G66,'周排班-纵表'!$H:$H,AJ$1)</f>
        <v/>
      </c>
      <c r="AK66" s="2">
        <f>SUMIFS('周排班-纵表'!$I:$I,'周排班-纵表'!$C:$C,$C66,'周排班-纵表'!$G:$G,$G66,'周排班-纵表'!$H:$H,AK$1)</f>
        <v/>
      </c>
      <c r="AL66" s="2">
        <f>SUMIFS('周排班-纵表'!$I:$I,'周排班-纵表'!$C:$C,$C66,'周排班-纵表'!$G:$G,$G66,'周排班-纵表'!$H:$H,AL$1)</f>
        <v/>
      </c>
    </row>
    <row r="67">
      <c r="A67" s="2" t="inlineStr">
        <is>
          <t>PE</t>
        </is>
      </c>
      <c r="B67" s="2" t="inlineStr">
        <is>
          <t>Shanghai Xinze Sanhe Venture Investment LP</t>
        </is>
      </c>
      <c r="C67" s="2" t="inlineStr">
        <is>
          <t>47128472</t>
        </is>
      </c>
      <c r="D67" s="2" t="inlineStr">
        <is>
          <t>AUD2026-12 Xingze Management</t>
        </is>
      </c>
      <c r="E67" s="2" t="inlineStr">
        <is>
          <t>Order47128472- 260501003</t>
        </is>
      </c>
      <c r="F67" s="2" t="inlineStr">
        <is>
          <t>47128472- EDC260501001</t>
        </is>
      </c>
      <c r="G67" s="2" t="inlineStr">
        <is>
          <t>Vivi.W.Yang@cn.ey.com</t>
        </is>
      </c>
      <c r="H67" s="2">
        <f>SUMIFS('周排班-纵表'!$I:$I,'周排班-纵表'!$C:$C,$C67,'周排班-纵表'!$G:$G,$G67,'周排班-纵表'!$H:$H,H$1)</f>
        <v/>
      </c>
      <c r="I67" s="2">
        <f>SUMIFS('周排班-纵表'!$I:$I,'周排班-纵表'!$C:$C,$C67,'周排班-纵表'!$G:$G,$G67,'周排班-纵表'!$H:$H,I$1)</f>
        <v/>
      </c>
      <c r="J67" s="2">
        <f>SUMIFS('周排班-纵表'!$I:$I,'周排班-纵表'!$C:$C,$C67,'周排班-纵表'!$G:$G,$G67,'周排班-纵表'!$H:$H,J$1)</f>
        <v/>
      </c>
      <c r="K67" s="2">
        <f>SUMIFS('周排班-纵表'!$I:$I,'周排班-纵表'!$C:$C,$C67,'周排班-纵表'!$G:$G,$G67,'周排班-纵表'!$H:$H,K$1)</f>
        <v/>
      </c>
      <c r="L67" s="2">
        <f>SUMIFS('周排班-纵表'!$I:$I,'周排班-纵表'!$C:$C,$C67,'周排班-纵表'!$G:$G,$G67,'周排班-纵表'!$H:$H,L$1)</f>
        <v/>
      </c>
      <c r="M67" s="2">
        <f>SUMIFS('周排班-纵表'!$I:$I,'周排班-纵表'!$C:$C,$C67,'周排班-纵表'!$G:$G,$G67,'周排班-纵表'!$H:$H,M$1)</f>
        <v/>
      </c>
      <c r="N67" s="2">
        <f>SUMIFS('周排班-纵表'!$I:$I,'周排班-纵表'!$C:$C,$C67,'周排班-纵表'!$G:$G,$G67,'周排班-纵表'!$H:$H,N$1)</f>
        <v/>
      </c>
      <c r="O67" s="2">
        <f>SUMIFS('周排班-纵表'!$I:$I,'周排班-纵表'!$C:$C,$C67,'周排班-纵表'!$G:$G,$G67,'周排班-纵表'!$H:$H,O$1)</f>
        <v/>
      </c>
      <c r="P67" s="2">
        <f>SUMIFS('周排班-纵表'!$I:$I,'周排班-纵表'!$C:$C,$C67,'周排班-纵表'!$G:$G,$G67,'周排班-纵表'!$H:$H,P$1)</f>
        <v/>
      </c>
      <c r="Q67" s="2">
        <f>SUMIFS('周排班-纵表'!$I:$I,'周排班-纵表'!$C:$C,$C67,'周排班-纵表'!$G:$G,$G67,'周排班-纵表'!$H:$H,Q$1)</f>
        <v/>
      </c>
      <c r="R67" s="2">
        <f>SUMIFS('周排班-纵表'!$I:$I,'周排班-纵表'!$C:$C,$C67,'周排班-纵表'!$G:$G,$G67,'周排班-纵表'!$H:$H,R$1)</f>
        <v/>
      </c>
      <c r="S67" s="2">
        <f>SUMIFS('周排班-纵表'!$I:$I,'周排班-纵表'!$C:$C,$C67,'周排班-纵表'!$G:$G,$G67,'周排班-纵表'!$H:$H,S$1)</f>
        <v/>
      </c>
      <c r="T67" s="2">
        <f>SUMIFS('周排班-纵表'!$I:$I,'周排班-纵表'!$C:$C,$C67,'周排班-纵表'!$G:$G,$G67,'周排班-纵表'!$H:$H,T$1)</f>
        <v/>
      </c>
      <c r="U67" s="2">
        <f>SUMIFS('周排班-纵表'!$I:$I,'周排班-纵表'!$C:$C,$C67,'周排班-纵表'!$G:$G,$G67,'周排班-纵表'!$H:$H,U$1)</f>
        <v/>
      </c>
      <c r="V67" s="2">
        <f>SUMIFS('周排班-纵表'!$I:$I,'周排班-纵表'!$C:$C,$C67,'周排班-纵表'!$G:$G,$G67,'周排班-纵表'!$H:$H,V$1)</f>
        <v/>
      </c>
      <c r="W67" s="2">
        <f>SUMIFS('周排班-纵表'!$I:$I,'周排班-纵表'!$C:$C,$C67,'周排班-纵表'!$G:$G,$G67,'周排班-纵表'!$H:$H,W$1)</f>
        <v/>
      </c>
      <c r="X67" s="2">
        <f>SUMIFS('周排班-纵表'!$I:$I,'周排班-纵表'!$C:$C,$C67,'周排班-纵表'!$G:$G,$G67,'周排班-纵表'!$H:$H,X$1)</f>
        <v/>
      </c>
      <c r="Y67" s="2">
        <f>SUMIFS('周排班-纵表'!$I:$I,'周排班-纵表'!$C:$C,$C67,'周排班-纵表'!$G:$G,$G67,'周排班-纵表'!$H:$H,Y$1)</f>
        <v/>
      </c>
      <c r="Z67" s="2">
        <f>SUMIFS('周排班-纵表'!$I:$I,'周排班-纵表'!$C:$C,$C67,'周排班-纵表'!$G:$G,$G67,'周排班-纵表'!$H:$H,Z$1)</f>
        <v/>
      </c>
      <c r="AA67" s="2">
        <f>SUMIFS('周排班-纵表'!$I:$I,'周排班-纵表'!$C:$C,$C67,'周排班-纵表'!$G:$G,$G67,'周排班-纵表'!$H:$H,AA$1)</f>
        <v/>
      </c>
      <c r="AB67" s="2">
        <f>SUMIFS('周排班-纵表'!$I:$I,'周排班-纵表'!$C:$C,$C67,'周排班-纵表'!$G:$G,$G67,'周排班-纵表'!$H:$H,AB$1)</f>
        <v/>
      </c>
      <c r="AC67" s="2">
        <f>SUMIFS('周排班-纵表'!$I:$I,'周排班-纵表'!$C:$C,$C67,'周排班-纵表'!$G:$G,$G67,'周排班-纵表'!$H:$H,AC$1)</f>
        <v/>
      </c>
      <c r="AD67" s="2">
        <f>SUMIFS('周排班-纵表'!$I:$I,'周排班-纵表'!$C:$C,$C67,'周排班-纵表'!$G:$G,$G67,'周排班-纵表'!$H:$H,AD$1)</f>
        <v/>
      </c>
      <c r="AE67" s="2">
        <f>SUMIFS('周排班-纵表'!$I:$I,'周排班-纵表'!$C:$C,$C67,'周排班-纵表'!$G:$G,$G67,'周排班-纵表'!$H:$H,AE$1)</f>
        <v/>
      </c>
      <c r="AF67" s="2">
        <f>SUMIFS('周排班-纵表'!$I:$I,'周排班-纵表'!$C:$C,$C67,'周排班-纵表'!$G:$G,$G67,'周排班-纵表'!$H:$H,AF$1)</f>
        <v/>
      </c>
      <c r="AG67" s="2">
        <f>SUMIFS('周排班-纵表'!$I:$I,'周排班-纵表'!$C:$C,$C67,'周排班-纵表'!$G:$G,$G67,'周排班-纵表'!$H:$H,AG$1)</f>
        <v/>
      </c>
      <c r="AH67" s="2">
        <f>SUMIFS('周排班-纵表'!$I:$I,'周排班-纵表'!$C:$C,$C67,'周排班-纵表'!$G:$G,$G67,'周排班-纵表'!$H:$H,AH$1)</f>
        <v/>
      </c>
      <c r="AI67" s="2">
        <f>SUMIFS('周排班-纵表'!$I:$I,'周排班-纵表'!$C:$C,$C67,'周排班-纵表'!$G:$G,$G67,'周排班-纵表'!$H:$H,AI$1)</f>
        <v/>
      </c>
      <c r="AJ67" s="2">
        <f>SUMIFS('周排班-纵表'!$I:$I,'周排班-纵表'!$C:$C,$C67,'周排班-纵表'!$G:$G,$G67,'周排班-纵表'!$H:$H,AJ$1)</f>
        <v/>
      </c>
      <c r="AK67" s="2">
        <f>SUMIFS('周排班-纵表'!$I:$I,'周排班-纵表'!$C:$C,$C67,'周排班-纵表'!$G:$G,$G67,'周排班-纵表'!$H:$H,AK$1)</f>
        <v/>
      </c>
      <c r="AL67" s="2">
        <f>SUMIFS('周排班-纵表'!$I:$I,'周排班-纵表'!$C:$C,$C67,'周排班-纵表'!$G:$G,$G67,'周排班-纵表'!$H:$H,AL$1)</f>
        <v/>
      </c>
    </row>
    <row r="68">
      <c r="A68" s="2" t="inlineStr">
        <is>
          <t>PE</t>
        </is>
      </c>
      <c r="B68" s="2" t="inlineStr">
        <is>
          <t>Xiamen Fuhai New Materials Phase Iii Venture Capital Partnership Enterprise(Limi ted Partnership)</t>
        </is>
      </c>
      <c r="C68" s="2" t="inlineStr">
        <is>
          <t>47128515</t>
        </is>
      </c>
      <c r="D68" s="2" t="inlineStr">
        <is>
          <t>AUD2026-12 OFC Fund</t>
        </is>
      </c>
      <c r="E68" s="2" t="inlineStr">
        <is>
          <t>Order47128515- 260501002</t>
        </is>
      </c>
      <c r="F68" s="2" t="inlineStr">
        <is>
          <t>47128515- EDC260501001</t>
        </is>
      </c>
      <c r="G68" s="2" t="inlineStr">
        <is>
          <t>Luna.CD.Zhang@cn.ey.com</t>
        </is>
      </c>
      <c r="H68" s="2">
        <f>SUMIFS('周排班-纵表'!$I:$I,'周排班-纵表'!$C:$C,$C68,'周排班-纵表'!$G:$G,$G68,'周排班-纵表'!$H:$H,H$1)</f>
        <v/>
      </c>
      <c r="I68" s="2">
        <f>SUMIFS('周排班-纵表'!$I:$I,'周排班-纵表'!$C:$C,$C68,'周排班-纵表'!$G:$G,$G68,'周排班-纵表'!$H:$H,I$1)</f>
        <v/>
      </c>
      <c r="J68" s="2">
        <f>SUMIFS('周排班-纵表'!$I:$I,'周排班-纵表'!$C:$C,$C68,'周排班-纵表'!$G:$G,$G68,'周排班-纵表'!$H:$H,J$1)</f>
        <v/>
      </c>
      <c r="K68" s="2">
        <f>SUMIFS('周排班-纵表'!$I:$I,'周排班-纵表'!$C:$C,$C68,'周排班-纵表'!$G:$G,$G68,'周排班-纵表'!$H:$H,K$1)</f>
        <v/>
      </c>
      <c r="L68" s="2">
        <f>SUMIFS('周排班-纵表'!$I:$I,'周排班-纵表'!$C:$C,$C68,'周排班-纵表'!$G:$G,$G68,'周排班-纵表'!$H:$H,L$1)</f>
        <v/>
      </c>
      <c r="M68" s="2">
        <f>SUMIFS('周排班-纵表'!$I:$I,'周排班-纵表'!$C:$C,$C68,'周排班-纵表'!$G:$G,$G68,'周排班-纵表'!$H:$H,M$1)</f>
        <v/>
      </c>
      <c r="N68" s="2">
        <f>SUMIFS('周排班-纵表'!$I:$I,'周排班-纵表'!$C:$C,$C68,'周排班-纵表'!$G:$G,$G68,'周排班-纵表'!$H:$H,N$1)</f>
        <v/>
      </c>
      <c r="O68" s="2">
        <f>SUMIFS('周排班-纵表'!$I:$I,'周排班-纵表'!$C:$C,$C68,'周排班-纵表'!$G:$G,$G68,'周排班-纵表'!$H:$H,O$1)</f>
        <v/>
      </c>
      <c r="P68" s="2">
        <f>SUMIFS('周排班-纵表'!$I:$I,'周排班-纵表'!$C:$C,$C68,'周排班-纵表'!$G:$G,$G68,'周排班-纵表'!$H:$H,P$1)</f>
        <v/>
      </c>
      <c r="Q68" s="2">
        <f>SUMIFS('周排班-纵表'!$I:$I,'周排班-纵表'!$C:$C,$C68,'周排班-纵表'!$G:$G,$G68,'周排班-纵表'!$H:$H,Q$1)</f>
        <v/>
      </c>
      <c r="R68" s="2">
        <f>SUMIFS('周排班-纵表'!$I:$I,'周排班-纵表'!$C:$C,$C68,'周排班-纵表'!$G:$G,$G68,'周排班-纵表'!$H:$H,R$1)</f>
        <v/>
      </c>
      <c r="S68" s="2">
        <f>SUMIFS('周排班-纵表'!$I:$I,'周排班-纵表'!$C:$C,$C68,'周排班-纵表'!$G:$G,$G68,'周排班-纵表'!$H:$H,S$1)</f>
        <v/>
      </c>
      <c r="T68" s="2">
        <f>SUMIFS('周排班-纵表'!$I:$I,'周排班-纵表'!$C:$C,$C68,'周排班-纵表'!$G:$G,$G68,'周排班-纵表'!$H:$H,T$1)</f>
        <v/>
      </c>
      <c r="U68" s="2">
        <f>SUMIFS('周排班-纵表'!$I:$I,'周排班-纵表'!$C:$C,$C68,'周排班-纵表'!$G:$G,$G68,'周排班-纵表'!$H:$H,U$1)</f>
        <v/>
      </c>
      <c r="V68" s="2">
        <f>SUMIFS('周排班-纵表'!$I:$I,'周排班-纵表'!$C:$C,$C68,'周排班-纵表'!$G:$G,$G68,'周排班-纵表'!$H:$H,V$1)</f>
        <v/>
      </c>
      <c r="W68" s="2">
        <f>SUMIFS('周排班-纵表'!$I:$I,'周排班-纵表'!$C:$C,$C68,'周排班-纵表'!$G:$G,$G68,'周排班-纵表'!$H:$H,W$1)</f>
        <v/>
      </c>
      <c r="X68" s="2">
        <f>SUMIFS('周排班-纵表'!$I:$I,'周排班-纵表'!$C:$C,$C68,'周排班-纵表'!$G:$G,$G68,'周排班-纵表'!$H:$H,X$1)</f>
        <v/>
      </c>
      <c r="Y68" s="2">
        <f>SUMIFS('周排班-纵表'!$I:$I,'周排班-纵表'!$C:$C,$C68,'周排班-纵表'!$G:$G,$G68,'周排班-纵表'!$H:$H,Y$1)</f>
        <v/>
      </c>
      <c r="Z68" s="2">
        <f>SUMIFS('周排班-纵表'!$I:$I,'周排班-纵表'!$C:$C,$C68,'周排班-纵表'!$G:$G,$G68,'周排班-纵表'!$H:$H,Z$1)</f>
        <v/>
      </c>
      <c r="AA68" s="2">
        <f>SUMIFS('周排班-纵表'!$I:$I,'周排班-纵表'!$C:$C,$C68,'周排班-纵表'!$G:$G,$G68,'周排班-纵表'!$H:$H,AA$1)</f>
        <v/>
      </c>
      <c r="AB68" s="2">
        <f>SUMIFS('周排班-纵表'!$I:$I,'周排班-纵表'!$C:$C,$C68,'周排班-纵表'!$G:$G,$G68,'周排班-纵表'!$H:$H,AB$1)</f>
        <v/>
      </c>
      <c r="AC68" s="2">
        <f>SUMIFS('周排班-纵表'!$I:$I,'周排班-纵表'!$C:$C,$C68,'周排班-纵表'!$G:$G,$G68,'周排班-纵表'!$H:$H,AC$1)</f>
        <v/>
      </c>
      <c r="AD68" s="2">
        <f>SUMIFS('周排班-纵表'!$I:$I,'周排班-纵表'!$C:$C,$C68,'周排班-纵表'!$G:$G,$G68,'周排班-纵表'!$H:$H,AD$1)</f>
        <v/>
      </c>
      <c r="AE68" s="2">
        <f>SUMIFS('周排班-纵表'!$I:$I,'周排班-纵表'!$C:$C,$C68,'周排班-纵表'!$G:$G,$G68,'周排班-纵表'!$H:$H,AE$1)</f>
        <v/>
      </c>
      <c r="AF68" s="2">
        <f>SUMIFS('周排班-纵表'!$I:$I,'周排班-纵表'!$C:$C,$C68,'周排班-纵表'!$G:$G,$G68,'周排班-纵表'!$H:$H,AF$1)</f>
        <v/>
      </c>
      <c r="AG68" s="2">
        <f>SUMIFS('周排班-纵表'!$I:$I,'周排班-纵表'!$C:$C,$C68,'周排班-纵表'!$G:$G,$G68,'周排班-纵表'!$H:$H,AG$1)</f>
        <v/>
      </c>
      <c r="AH68" s="2">
        <f>SUMIFS('周排班-纵表'!$I:$I,'周排班-纵表'!$C:$C,$C68,'周排班-纵表'!$G:$G,$G68,'周排班-纵表'!$H:$H,AH$1)</f>
        <v/>
      </c>
      <c r="AI68" s="2">
        <f>SUMIFS('周排班-纵表'!$I:$I,'周排班-纵表'!$C:$C,$C68,'周排班-纵表'!$G:$G,$G68,'周排班-纵表'!$H:$H,AI$1)</f>
        <v/>
      </c>
      <c r="AJ68" s="2">
        <f>SUMIFS('周排班-纵表'!$I:$I,'周排班-纵表'!$C:$C,$C68,'周排班-纵表'!$G:$G,$G68,'周排班-纵表'!$H:$H,AJ$1)</f>
        <v/>
      </c>
      <c r="AK68" s="2">
        <f>SUMIFS('周排班-纵表'!$I:$I,'周排班-纵表'!$C:$C,$C68,'周排班-纵表'!$G:$G,$G68,'周排班-纵表'!$H:$H,AK$1)</f>
        <v/>
      </c>
      <c r="AL68" s="2">
        <f>SUMIFS('周排班-纵表'!$I:$I,'周排班-纵表'!$C:$C,$C68,'周排班-纵表'!$G:$G,$G68,'周排班-纵表'!$H:$H,AL$1)</f>
        <v/>
      </c>
    </row>
    <row r="69">
      <c r="A69" s="2" t="inlineStr">
        <is>
          <t>PE</t>
        </is>
      </c>
      <c r="B69" s="2" t="inlineStr">
        <is>
          <t>Xiamen Fuhai New Materials Phase Iii Venture Capital Partnership Enterprise(Limi ted Partnership)</t>
        </is>
      </c>
      <c r="C69" s="2" t="inlineStr">
        <is>
          <t>47128515</t>
        </is>
      </c>
      <c r="D69" s="2" t="inlineStr">
        <is>
          <t>AUD2026-12 OFC Fund</t>
        </is>
      </c>
      <c r="E69" s="2" t="inlineStr">
        <is>
          <t>Order47128515- 260501002</t>
        </is>
      </c>
      <c r="F69" s="2" t="inlineStr">
        <is>
          <t>47128515- EDC260501001</t>
        </is>
      </c>
      <c r="G69" s="2" t="inlineStr">
        <is>
          <t>Marsh.Ma@cn.ey.com</t>
        </is>
      </c>
      <c r="H69" s="2">
        <f>SUMIFS('周排班-纵表'!$I:$I,'周排班-纵表'!$C:$C,$C69,'周排班-纵表'!$G:$G,$G69,'周排班-纵表'!$H:$H,H$1)</f>
        <v/>
      </c>
      <c r="I69" s="2">
        <f>SUMIFS('周排班-纵表'!$I:$I,'周排班-纵表'!$C:$C,$C69,'周排班-纵表'!$G:$G,$G69,'周排班-纵表'!$H:$H,I$1)</f>
        <v/>
      </c>
      <c r="J69" s="2">
        <f>SUMIFS('周排班-纵表'!$I:$I,'周排班-纵表'!$C:$C,$C69,'周排班-纵表'!$G:$G,$G69,'周排班-纵表'!$H:$H,J$1)</f>
        <v/>
      </c>
      <c r="K69" s="2">
        <f>SUMIFS('周排班-纵表'!$I:$I,'周排班-纵表'!$C:$C,$C69,'周排班-纵表'!$G:$G,$G69,'周排班-纵表'!$H:$H,K$1)</f>
        <v/>
      </c>
      <c r="L69" s="2">
        <f>SUMIFS('周排班-纵表'!$I:$I,'周排班-纵表'!$C:$C,$C69,'周排班-纵表'!$G:$G,$G69,'周排班-纵表'!$H:$H,L$1)</f>
        <v/>
      </c>
      <c r="M69" s="2">
        <f>SUMIFS('周排班-纵表'!$I:$I,'周排班-纵表'!$C:$C,$C69,'周排班-纵表'!$G:$G,$G69,'周排班-纵表'!$H:$H,M$1)</f>
        <v/>
      </c>
      <c r="N69" s="2">
        <f>SUMIFS('周排班-纵表'!$I:$I,'周排班-纵表'!$C:$C,$C69,'周排班-纵表'!$G:$G,$G69,'周排班-纵表'!$H:$H,N$1)</f>
        <v/>
      </c>
      <c r="O69" s="2">
        <f>SUMIFS('周排班-纵表'!$I:$I,'周排班-纵表'!$C:$C,$C69,'周排班-纵表'!$G:$G,$G69,'周排班-纵表'!$H:$H,O$1)</f>
        <v/>
      </c>
      <c r="P69" s="2">
        <f>SUMIFS('周排班-纵表'!$I:$I,'周排班-纵表'!$C:$C,$C69,'周排班-纵表'!$G:$G,$G69,'周排班-纵表'!$H:$H,P$1)</f>
        <v/>
      </c>
      <c r="Q69" s="2">
        <f>SUMIFS('周排班-纵表'!$I:$I,'周排班-纵表'!$C:$C,$C69,'周排班-纵表'!$G:$G,$G69,'周排班-纵表'!$H:$H,Q$1)</f>
        <v/>
      </c>
      <c r="R69" s="2">
        <f>SUMIFS('周排班-纵表'!$I:$I,'周排班-纵表'!$C:$C,$C69,'周排班-纵表'!$G:$G,$G69,'周排班-纵表'!$H:$H,R$1)</f>
        <v/>
      </c>
      <c r="S69" s="2">
        <f>SUMIFS('周排班-纵表'!$I:$I,'周排班-纵表'!$C:$C,$C69,'周排班-纵表'!$G:$G,$G69,'周排班-纵表'!$H:$H,S$1)</f>
        <v/>
      </c>
      <c r="T69" s="2">
        <f>SUMIFS('周排班-纵表'!$I:$I,'周排班-纵表'!$C:$C,$C69,'周排班-纵表'!$G:$G,$G69,'周排班-纵表'!$H:$H,T$1)</f>
        <v/>
      </c>
      <c r="U69" s="2">
        <f>SUMIFS('周排班-纵表'!$I:$I,'周排班-纵表'!$C:$C,$C69,'周排班-纵表'!$G:$G,$G69,'周排班-纵表'!$H:$H,U$1)</f>
        <v/>
      </c>
      <c r="V69" s="2">
        <f>SUMIFS('周排班-纵表'!$I:$I,'周排班-纵表'!$C:$C,$C69,'周排班-纵表'!$G:$G,$G69,'周排班-纵表'!$H:$H,V$1)</f>
        <v/>
      </c>
      <c r="W69" s="2">
        <f>SUMIFS('周排班-纵表'!$I:$I,'周排班-纵表'!$C:$C,$C69,'周排班-纵表'!$G:$G,$G69,'周排班-纵表'!$H:$H,W$1)</f>
        <v/>
      </c>
      <c r="X69" s="2">
        <f>SUMIFS('周排班-纵表'!$I:$I,'周排班-纵表'!$C:$C,$C69,'周排班-纵表'!$G:$G,$G69,'周排班-纵表'!$H:$H,X$1)</f>
        <v/>
      </c>
      <c r="Y69" s="2">
        <f>SUMIFS('周排班-纵表'!$I:$I,'周排班-纵表'!$C:$C,$C69,'周排班-纵表'!$G:$G,$G69,'周排班-纵表'!$H:$H,Y$1)</f>
        <v/>
      </c>
      <c r="Z69" s="2">
        <f>SUMIFS('周排班-纵表'!$I:$I,'周排班-纵表'!$C:$C,$C69,'周排班-纵表'!$G:$G,$G69,'周排班-纵表'!$H:$H,Z$1)</f>
        <v/>
      </c>
      <c r="AA69" s="2">
        <f>SUMIFS('周排班-纵表'!$I:$I,'周排班-纵表'!$C:$C,$C69,'周排班-纵表'!$G:$G,$G69,'周排班-纵表'!$H:$H,AA$1)</f>
        <v/>
      </c>
      <c r="AB69" s="2">
        <f>SUMIFS('周排班-纵表'!$I:$I,'周排班-纵表'!$C:$C,$C69,'周排班-纵表'!$G:$G,$G69,'周排班-纵表'!$H:$H,AB$1)</f>
        <v/>
      </c>
      <c r="AC69" s="2">
        <f>SUMIFS('周排班-纵表'!$I:$I,'周排班-纵表'!$C:$C,$C69,'周排班-纵表'!$G:$G,$G69,'周排班-纵表'!$H:$H,AC$1)</f>
        <v/>
      </c>
      <c r="AD69" s="2">
        <f>SUMIFS('周排班-纵表'!$I:$I,'周排班-纵表'!$C:$C,$C69,'周排班-纵表'!$G:$G,$G69,'周排班-纵表'!$H:$H,AD$1)</f>
        <v/>
      </c>
      <c r="AE69" s="2">
        <f>SUMIFS('周排班-纵表'!$I:$I,'周排班-纵表'!$C:$C,$C69,'周排班-纵表'!$G:$G,$G69,'周排班-纵表'!$H:$H,AE$1)</f>
        <v/>
      </c>
      <c r="AF69" s="2">
        <f>SUMIFS('周排班-纵表'!$I:$I,'周排班-纵表'!$C:$C,$C69,'周排班-纵表'!$G:$G,$G69,'周排班-纵表'!$H:$H,AF$1)</f>
        <v/>
      </c>
      <c r="AG69" s="2">
        <f>SUMIFS('周排班-纵表'!$I:$I,'周排班-纵表'!$C:$C,$C69,'周排班-纵表'!$G:$G,$G69,'周排班-纵表'!$H:$H,AG$1)</f>
        <v/>
      </c>
      <c r="AH69" s="2">
        <f>SUMIFS('周排班-纵表'!$I:$I,'周排班-纵表'!$C:$C,$C69,'周排班-纵表'!$G:$G,$G69,'周排班-纵表'!$H:$H,AH$1)</f>
        <v/>
      </c>
      <c r="AI69" s="2">
        <f>SUMIFS('周排班-纵表'!$I:$I,'周排班-纵表'!$C:$C,$C69,'周排班-纵表'!$G:$G,$G69,'周排班-纵表'!$H:$H,AI$1)</f>
        <v/>
      </c>
      <c r="AJ69" s="2">
        <f>SUMIFS('周排班-纵表'!$I:$I,'周排班-纵表'!$C:$C,$C69,'周排班-纵表'!$G:$G,$G69,'周排班-纵表'!$H:$H,AJ$1)</f>
        <v/>
      </c>
      <c r="AK69" s="2">
        <f>SUMIFS('周排班-纵表'!$I:$I,'周排班-纵表'!$C:$C,$C69,'周排班-纵表'!$G:$G,$G69,'周排班-纵表'!$H:$H,AK$1)</f>
        <v/>
      </c>
      <c r="AL69" s="2">
        <f>SUMIFS('周排班-纵表'!$I:$I,'周排班-纵表'!$C:$C,$C69,'周排班-纵表'!$G:$G,$G69,'周排班-纵表'!$H:$H,AL$1)</f>
        <v/>
      </c>
    </row>
    <row r="70">
      <c r="A70" s="2" t="inlineStr">
        <is>
          <t>PE</t>
        </is>
      </c>
      <c r="B70" s="2" t="inlineStr">
        <is>
          <t>Xiamen Fuhai New Materials Phase Iii Venture Capital Partnership Enterprise(Limi ted Partnership)</t>
        </is>
      </c>
      <c r="C70" s="2" t="inlineStr">
        <is>
          <t>47128515</t>
        </is>
      </c>
      <c r="D70" s="2" t="inlineStr">
        <is>
          <t>AUD2026-12 OFC Fund</t>
        </is>
      </c>
      <c r="E70" s="2" t="inlineStr">
        <is>
          <t>Order47128515- 260501002</t>
        </is>
      </c>
      <c r="F70" s="2" t="inlineStr">
        <is>
          <t>47128515- EDC260501001</t>
        </is>
      </c>
      <c r="G70" s="2" t="inlineStr">
        <is>
          <t>Vivi.W.Yang@cn.ey.com</t>
        </is>
      </c>
      <c r="H70" s="2">
        <f>SUMIFS('周排班-纵表'!$I:$I,'周排班-纵表'!$C:$C,$C70,'周排班-纵表'!$G:$G,$G70,'周排班-纵表'!$H:$H,H$1)</f>
        <v/>
      </c>
      <c r="I70" s="2">
        <f>SUMIFS('周排班-纵表'!$I:$I,'周排班-纵表'!$C:$C,$C70,'周排班-纵表'!$G:$G,$G70,'周排班-纵表'!$H:$H,I$1)</f>
        <v/>
      </c>
      <c r="J70" s="2">
        <f>SUMIFS('周排班-纵表'!$I:$I,'周排班-纵表'!$C:$C,$C70,'周排班-纵表'!$G:$G,$G70,'周排班-纵表'!$H:$H,J$1)</f>
        <v/>
      </c>
      <c r="K70" s="2">
        <f>SUMIFS('周排班-纵表'!$I:$I,'周排班-纵表'!$C:$C,$C70,'周排班-纵表'!$G:$G,$G70,'周排班-纵表'!$H:$H,K$1)</f>
        <v/>
      </c>
      <c r="L70" s="2">
        <f>SUMIFS('周排班-纵表'!$I:$I,'周排班-纵表'!$C:$C,$C70,'周排班-纵表'!$G:$G,$G70,'周排班-纵表'!$H:$H,L$1)</f>
        <v/>
      </c>
      <c r="M70" s="2">
        <f>SUMIFS('周排班-纵表'!$I:$I,'周排班-纵表'!$C:$C,$C70,'周排班-纵表'!$G:$G,$G70,'周排班-纵表'!$H:$H,M$1)</f>
        <v/>
      </c>
      <c r="N70" s="2">
        <f>SUMIFS('周排班-纵表'!$I:$I,'周排班-纵表'!$C:$C,$C70,'周排班-纵表'!$G:$G,$G70,'周排班-纵表'!$H:$H,N$1)</f>
        <v/>
      </c>
      <c r="O70" s="2">
        <f>SUMIFS('周排班-纵表'!$I:$I,'周排班-纵表'!$C:$C,$C70,'周排班-纵表'!$G:$G,$G70,'周排班-纵表'!$H:$H,O$1)</f>
        <v/>
      </c>
      <c r="P70" s="2">
        <f>SUMIFS('周排班-纵表'!$I:$I,'周排班-纵表'!$C:$C,$C70,'周排班-纵表'!$G:$G,$G70,'周排班-纵表'!$H:$H,P$1)</f>
        <v/>
      </c>
      <c r="Q70" s="2">
        <f>SUMIFS('周排班-纵表'!$I:$I,'周排班-纵表'!$C:$C,$C70,'周排班-纵表'!$G:$G,$G70,'周排班-纵表'!$H:$H,Q$1)</f>
        <v/>
      </c>
      <c r="R70" s="2">
        <f>SUMIFS('周排班-纵表'!$I:$I,'周排班-纵表'!$C:$C,$C70,'周排班-纵表'!$G:$G,$G70,'周排班-纵表'!$H:$H,R$1)</f>
        <v/>
      </c>
      <c r="S70" s="2">
        <f>SUMIFS('周排班-纵表'!$I:$I,'周排班-纵表'!$C:$C,$C70,'周排班-纵表'!$G:$G,$G70,'周排班-纵表'!$H:$H,S$1)</f>
        <v/>
      </c>
      <c r="T70" s="2">
        <f>SUMIFS('周排班-纵表'!$I:$I,'周排班-纵表'!$C:$C,$C70,'周排班-纵表'!$G:$G,$G70,'周排班-纵表'!$H:$H,T$1)</f>
        <v/>
      </c>
      <c r="U70" s="2">
        <f>SUMIFS('周排班-纵表'!$I:$I,'周排班-纵表'!$C:$C,$C70,'周排班-纵表'!$G:$G,$G70,'周排班-纵表'!$H:$H,U$1)</f>
        <v/>
      </c>
      <c r="V70" s="2">
        <f>SUMIFS('周排班-纵表'!$I:$I,'周排班-纵表'!$C:$C,$C70,'周排班-纵表'!$G:$G,$G70,'周排班-纵表'!$H:$H,V$1)</f>
        <v/>
      </c>
      <c r="W70" s="2">
        <f>SUMIFS('周排班-纵表'!$I:$I,'周排班-纵表'!$C:$C,$C70,'周排班-纵表'!$G:$G,$G70,'周排班-纵表'!$H:$H,W$1)</f>
        <v/>
      </c>
      <c r="X70" s="2">
        <f>SUMIFS('周排班-纵表'!$I:$I,'周排班-纵表'!$C:$C,$C70,'周排班-纵表'!$G:$G,$G70,'周排班-纵表'!$H:$H,X$1)</f>
        <v/>
      </c>
      <c r="Y70" s="2">
        <f>SUMIFS('周排班-纵表'!$I:$I,'周排班-纵表'!$C:$C,$C70,'周排班-纵表'!$G:$G,$G70,'周排班-纵表'!$H:$H,Y$1)</f>
        <v/>
      </c>
      <c r="Z70" s="2">
        <f>SUMIFS('周排班-纵表'!$I:$I,'周排班-纵表'!$C:$C,$C70,'周排班-纵表'!$G:$G,$G70,'周排班-纵表'!$H:$H,Z$1)</f>
        <v/>
      </c>
      <c r="AA70" s="2">
        <f>SUMIFS('周排班-纵表'!$I:$I,'周排班-纵表'!$C:$C,$C70,'周排班-纵表'!$G:$G,$G70,'周排班-纵表'!$H:$H,AA$1)</f>
        <v/>
      </c>
      <c r="AB70" s="2">
        <f>SUMIFS('周排班-纵表'!$I:$I,'周排班-纵表'!$C:$C,$C70,'周排班-纵表'!$G:$G,$G70,'周排班-纵表'!$H:$H,AB$1)</f>
        <v/>
      </c>
      <c r="AC70" s="2">
        <f>SUMIFS('周排班-纵表'!$I:$I,'周排班-纵表'!$C:$C,$C70,'周排班-纵表'!$G:$G,$G70,'周排班-纵表'!$H:$H,AC$1)</f>
        <v/>
      </c>
      <c r="AD70" s="2">
        <f>SUMIFS('周排班-纵表'!$I:$I,'周排班-纵表'!$C:$C,$C70,'周排班-纵表'!$G:$G,$G70,'周排班-纵表'!$H:$H,AD$1)</f>
        <v/>
      </c>
      <c r="AE70" s="2">
        <f>SUMIFS('周排班-纵表'!$I:$I,'周排班-纵表'!$C:$C,$C70,'周排班-纵表'!$G:$G,$G70,'周排班-纵表'!$H:$H,AE$1)</f>
        <v/>
      </c>
      <c r="AF70" s="2">
        <f>SUMIFS('周排班-纵表'!$I:$I,'周排班-纵表'!$C:$C,$C70,'周排班-纵表'!$G:$G,$G70,'周排班-纵表'!$H:$H,AF$1)</f>
        <v/>
      </c>
      <c r="AG70" s="2">
        <f>SUMIFS('周排班-纵表'!$I:$I,'周排班-纵表'!$C:$C,$C70,'周排班-纵表'!$G:$G,$G70,'周排班-纵表'!$H:$H,AG$1)</f>
        <v/>
      </c>
      <c r="AH70" s="2">
        <f>SUMIFS('周排班-纵表'!$I:$I,'周排班-纵表'!$C:$C,$C70,'周排班-纵表'!$G:$G,$G70,'周排班-纵表'!$H:$H,AH$1)</f>
        <v/>
      </c>
      <c r="AI70" s="2">
        <f>SUMIFS('周排班-纵表'!$I:$I,'周排班-纵表'!$C:$C,$C70,'周排班-纵表'!$G:$G,$G70,'周排班-纵表'!$H:$H,AI$1)</f>
        <v/>
      </c>
      <c r="AJ70" s="2">
        <f>SUMIFS('周排班-纵表'!$I:$I,'周排班-纵表'!$C:$C,$C70,'周排班-纵表'!$G:$G,$G70,'周排班-纵表'!$H:$H,AJ$1)</f>
        <v/>
      </c>
      <c r="AK70" s="2">
        <f>SUMIFS('周排班-纵表'!$I:$I,'周排班-纵表'!$C:$C,$C70,'周排班-纵表'!$G:$G,$G70,'周排班-纵表'!$H:$H,AK$1)</f>
        <v/>
      </c>
      <c r="AL70" s="2">
        <f>SUMIFS('周排班-纵表'!$I:$I,'周排班-纵表'!$C:$C,$C70,'周排班-纵表'!$G:$G,$G70,'周排班-纵表'!$H:$H,AL$1)</f>
        <v/>
      </c>
    </row>
    <row r="71">
      <c r="A71" s="2" t="inlineStr">
        <is>
          <t>PE</t>
        </is>
      </c>
      <c r="B71" s="2" t="inlineStr">
        <is>
          <t>Vivo (Suzhou) Health Industry Investment Fund Limited Partnership</t>
        </is>
      </c>
      <c r="C71" s="2" t="inlineStr">
        <is>
          <t>47128684</t>
        </is>
      </c>
      <c r="D71" s="2" t="inlineStr">
        <is>
          <t>AUD2026-12 Vivo Capital</t>
        </is>
      </c>
      <c r="E71" s="2" t="inlineStr">
        <is>
          <t>Order47128684- 260501004</t>
        </is>
      </c>
      <c r="F71" s="2" t="inlineStr">
        <is>
          <t>47128684- EDC260501001</t>
        </is>
      </c>
      <c r="G71" s="2" t="inlineStr">
        <is>
          <t>Luna.CD.Zhang@cn.ey.com</t>
        </is>
      </c>
      <c r="H71" s="2">
        <f>SUMIFS('周排班-纵表'!$I:$I,'周排班-纵表'!$C:$C,$C71,'周排班-纵表'!$G:$G,$G71,'周排班-纵表'!$H:$H,H$1)</f>
        <v/>
      </c>
      <c r="I71" s="2">
        <f>SUMIFS('周排班-纵表'!$I:$I,'周排班-纵表'!$C:$C,$C71,'周排班-纵表'!$G:$G,$G71,'周排班-纵表'!$H:$H,I$1)</f>
        <v/>
      </c>
      <c r="J71" s="2">
        <f>SUMIFS('周排班-纵表'!$I:$I,'周排班-纵表'!$C:$C,$C71,'周排班-纵表'!$G:$G,$G71,'周排班-纵表'!$H:$H,J$1)</f>
        <v/>
      </c>
      <c r="K71" s="2">
        <f>SUMIFS('周排班-纵表'!$I:$I,'周排班-纵表'!$C:$C,$C71,'周排班-纵表'!$G:$G,$G71,'周排班-纵表'!$H:$H,K$1)</f>
        <v/>
      </c>
      <c r="L71" s="2">
        <f>SUMIFS('周排班-纵表'!$I:$I,'周排班-纵表'!$C:$C,$C71,'周排班-纵表'!$G:$G,$G71,'周排班-纵表'!$H:$H,L$1)</f>
        <v/>
      </c>
      <c r="M71" s="2">
        <f>SUMIFS('周排班-纵表'!$I:$I,'周排班-纵表'!$C:$C,$C71,'周排班-纵表'!$G:$G,$G71,'周排班-纵表'!$H:$H,M$1)</f>
        <v/>
      </c>
      <c r="N71" s="2">
        <f>SUMIFS('周排班-纵表'!$I:$I,'周排班-纵表'!$C:$C,$C71,'周排班-纵表'!$G:$G,$G71,'周排班-纵表'!$H:$H,N$1)</f>
        <v/>
      </c>
      <c r="O71" s="2">
        <f>SUMIFS('周排班-纵表'!$I:$I,'周排班-纵表'!$C:$C,$C71,'周排班-纵表'!$G:$G,$G71,'周排班-纵表'!$H:$H,O$1)</f>
        <v/>
      </c>
      <c r="P71" s="2">
        <f>SUMIFS('周排班-纵表'!$I:$I,'周排班-纵表'!$C:$C,$C71,'周排班-纵表'!$G:$G,$G71,'周排班-纵表'!$H:$H,P$1)</f>
        <v/>
      </c>
      <c r="Q71" s="2">
        <f>SUMIFS('周排班-纵表'!$I:$I,'周排班-纵表'!$C:$C,$C71,'周排班-纵表'!$G:$G,$G71,'周排班-纵表'!$H:$H,Q$1)</f>
        <v/>
      </c>
      <c r="R71" s="2">
        <f>SUMIFS('周排班-纵表'!$I:$I,'周排班-纵表'!$C:$C,$C71,'周排班-纵表'!$G:$G,$G71,'周排班-纵表'!$H:$H,R$1)</f>
        <v/>
      </c>
      <c r="S71" s="2">
        <f>SUMIFS('周排班-纵表'!$I:$I,'周排班-纵表'!$C:$C,$C71,'周排班-纵表'!$G:$G,$G71,'周排班-纵表'!$H:$H,S$1)</f>
        <v/>
      </c>
      <c r="T71" s="2">
        <f>SUMIFS('周排班-纵表'!$I:$I,'周排班-纵表'!$C:$C,$C71,'周排班-纵表'!$G:$G,$G71,'周排班-纵表'!$H:$H,T$1)</f>
        <v/>
      </c>
      <c r="U71" s="2">
        <f>SUMIFS('周排班-纵表'!$I:$I,'周排班-纵表'!$C:$C,$C71,'周排班-纵表'!$G:$G,$G71,'周排班-纵表'!$H:$H,U$1)</f>
        <v/>
      </c>
      <c r="V71" s="2">
        <f>SUMIFS('周排班-纵表'!$I:$I,'周排班-纵表'!$C:$C,$C71,'周排班-纵表'!$G:$G,$G71,'周排班-纵表'!$H:$H,V$1)</f>
        <v/>
      </c>
      <c r="W71" s="2">
        <f>SUMIFS('周排班-纵表'!$I:$I,'周排班-纵表'!$C:$C,$C71,'周排班-纵表'!$G:$G,$G71,'周排班-纵表'!$H:$H,W$1)</f>
        <v/>
      </c>
      <c r="X71" s="2">
        <f>SUMIFS('周排班-纵表'!$I:$I,'周排班-纵表'!$C:$C,$C71,'周排班-纵表'!$G:$G,$G71,'周排班-纵表'!$H:$H,X$1)</f>
        <v/>
      </c>
      <c r="Y71" s="2">
        <f>SUMIFS('周排班-纵表'!$I:$I,'周排班-纵表'!$C:$C,$C71,'周排班-纵表'!$G:$G,$G71,'周排班-纵表'!$H:$H,Y$1)</f>
        <v/>
      </c>
      <c r="Z71" s="2">
        <f>SUMIFS('周排班-纵表'!$I:$I,'周排班-纵表'!$C:$C,$C71,'周排班-纵表'!$G:$G,$G71,'周排班-纵表'!$H:$H,Z$1)</f>
        <v/>
      </c>
      <c r="AA71" s="2">
        <f>SUMIFS('周排班-纵表'!$I:$I,'周排班-纵表'!$C:$C,$C71,'周排班-纵表'!$G:$G,$G71,'周排班-纵表'!$H:$H,AA$1)</f>
        <v/>
      </c>
      <c r="AB71" s="2">
        <f>SUMIFS('周排班-纵表'!$I:$I,'周排班-纵表'!$C:$C,$C71,'周排班-纵表'!$G:$G,$G71,'周排班-纵表'!$H:$H,AB$1)</f>
        <v/>
      </c>
      <c r="AC71" s="2">
        <f>SUMIFS('周排班-纵表'!$I:$I,'周排班-纵表'!$C:$C,$C71,'周排班-纵表'!$G:$G,$G71,'周排班-纵表'!$H:$H,AC$1)</f>
        <v/>
      </c>
      <c r="AD71" s="2">
        <f>SUMIFS('周排班-纵表'!$I:$I,'周排班-纵表'!$C:$C,$C71,'周排班-纵表'!$G:$G,$G71,'周排班-纵表'!$H:$H,AD$1)</f>
        <v/>
      </c>
      <c r="AE71" s="2">
        <f>SUMIFS('周排班-纵表'!$I:$I,'周排班-纵表'!$C:$C,$C71,'周排班-纵表'!$G:$G,$G71,'周排班-纵表'!$H:$H,AE$1)</f>
        <v/>
      </c>
      <c r="AF71" s="2">
        <f>SUMIFS('周排班-纵表'!$I:$I,'周排班-纵表'!$C:$C,$C71,'周排班-纵表'!$G:$G,$G71,'周排班-纵表'!$H:$H,AF$1)</f>
        <v/>
      </c>
      <c r="AG71" s="2">
        <f>SUMIFS('周排班-纵表'!$I:$I,'周排班-纵表'!$C:$C,$C71,'周排班-纵表'!$G:$G,$G71,'周排班-纵表'!$H:$H,AG$1)</f>
        <v/>
      </c>
      <c r="AH71" s="2">
        <f>SUMIFS('周排班-纵表'!$I:$I,'周排班-纵表'!$C:$C,$C71,'周排班-纵表'!$G:$G,$G71,'周排班-纵表'!$H:$H,AH$1)</f>
        <v/>
      </c>
      <c r="AI71" s="2">
        <f>SUMIFS('周排班-纵表'!$I:$I,'周排班-纵表'!$C:$C,$C71,'周排班-纵表'!$G:$G,$G71,'周排班-纵表'!$H:$H,AI$1)</f>
        <v/>
      </c>
      <c r="AJ71" s="2">
        <f>SUMIFS('周排班-纵表'!$I:$I,'周排班-纵表'!$C:$C,$C71,'周排班-纵表'!$G:$G,$G71,'周排班-纵表'!$H:$H,AJ$1)</f>
        <v/>
      </c>
      <c r="AK71" s="2">
        <f>SUMIFS('周排班-纵表'!$I:$I,'周排班-纵表'!$C:$C,$C71,'周排班-纵表'!$G:$G,$G71,'周排班-纵表'!$H:$H,AK$1)</f>
        <v/>
      </c>
      <c r="AL71" s="2">
        <f>SUMIFS('周排班-纵表'!$I:$I,'周排班-纵表'!$C:$C,$C71,'周排班-纵表'!$G:$G,$G71,'周排班-纵表'!$H:$H,AL$1)</f>
        <v/>
      </c>
    </row>
    <row r="72">
      <c r="A72" s="2" t="inlineStr">
        <is>
          <t>PE</t>
        </is>
      </c>
      <c r="B72" s="2" t="inlineStr">
        <is>
          <t>Vivo (Suzhou) Health Industry Investment Fund Limited Partnership</t>
        </is>
      </c>
      <c r="C72" s="2" t="inlineStr">
        <is>
          <t>47128684</t>
        </is>
      </c>
      <c r="D72" s="2" t="inlineStr">
        <is>
          <t>AUD2026-12 Vivo Capital</t>
        </is>
      </c>
      <c r="E72" s="2" t="inlineStr">
        <is>
          <t>Order47128684- 260501004</t>
        </is>
      </c>
      <c r="F72" s="2" t="inlineStr">
        <is>
          <t>47128684- EDC260501001</t>
        </is>
      </c>
      <c r="G72" s="2" t="inlineStr">
        <is>
          <t>Marsh.Ma@cn.ey.com</t>
        </is>
      </c>
      <c r="H72" s="2">
        <f>SUMIFS('周排班-纵表'!$I:$I,'周排班-纵表'!$C:$C,$C72,'周排班-纵表'!$G:$G,$G72,'周排班-纵表'!$H:$H,H$1)</f>
        <v/>
      </c>
      <c r="I72" s="2">
        <f>SUMIFS('周排班-纵表'!$I:$I,'周排班-纵表'!$C:$C,$C72,'周排班-纵表'!$G:$G,$G72,'周排班-纵表'!$H:$H,I$1)</f>
        <v/>
      </c>
      <c r="J72" s="2">
        <f>SUMIFS('周排班-纵表'!$I:$I,'周排班-纵表'!$C:$C,$C72,'周排班-纵表'!$G:$G,$G72,'周排班-纵表'!$H:$H,J$1)</f>
        <v/>
      </c>
      <c r="K72" s="2">
        <f>SUMIFS('周排班-纵表'!$I:$I,'周排班-纵表'!$C:$C,$C72,'周排班-纵表'!$G:$G,$G72,'周排班-纵表'!$H:$H,K$1)</f>
        <v/>
      </c>
      <c r="L72" s="2">
        <f>SUMIFS('周排班-纵表'!$I:$I,'周排班-纵表'!$C:$C,$C72,'周排班-纵表'!$G:$G,$G72,'周排班-纵表'!$H:$H,L$1)</f>
        <v/>
      </c>
      <c r="M72" s="2">
        <f>SUMIFS('周排班-纵表'!$I:$I,'周排班-纵表'!$C:$C,$C72,'周排班-纵表'!$G:$G,$G72,'周排班-纵表'!$H:$H,M$1)</f>
        <v/>
      </c>
      <c r="N72" s="2">
        <f>SUMIFS('周排班-纵表'!$I:$I,'周排班-纵表'!$C:$C,$C72,'周排班-纵表'!$G:$G,$G72,'周排班-纵表'!$H:$H,N$1)</f>
        <v/>
      </c>
      <c r="O72" s="2">
        <f>SUMIFS('周排班-纵表'!$I:$I,'周排班-纵表'!$C:$C,$C72,'周排班-纵表'!$G:$G,$G72,'周排班-纵表'!$H:$H,O$1)</f>
        <v/>
      </c>
      <c r="P72" s="2">
        <f>SUMIFS('周排班-纵表'!$I:$I,'周排班-纵表'!$C:$C,$C72,'周排班-纵表'!$G:$G,$G72,'周排班-纵表'!$H:$H,P$1)</f>
        <v/>
      </c>
      <c r="Q72" s="2">
        <f>SUMIFS('周排班-纵表'!$I:$I,'周排班-纵表'!$C:$C,$C72,'周排班-纵表'!$G:$G,$G72,'周排班-纵表'!$H:$H,Q$1)</f>
        <v/>
      </c>
      <c r="R72" s="2">
        <f>SUMIFS('周排班-纵表'!$I:$I,'周排班-纵表'!$C:$C,$C72,'周排班-纵表'!$G:$G,$G72,'周排班-纵表'!$H:$H,R$1)</f>
        <v/>
      </c>
      <c r="S72" s="2">
        <f>SUMIFS('周排班-纵表'!$I:$I,'周排班-纵表'!$C:$C,$C72,'周排班-纵表'!$G:$G,$G72,'周排班-纵表'!$H:$H,S$1)</f>
        <v/>
      </c>
      <c r="T72" s="2">
        <f>SUMIFS('周排班-纵表'!$I:$I,'周排班-纵表'!$C:$C,$C72,'周排班-纵表'!$G:$G,$G72,'周排班-纵表'!$H:$H,T$1)</f>
        <v/>
      </c>
      <c r="U72" s="2">
        <f>SUMIFS('周排班-纵表'!$I:$I,'周排班-纵表'!$C:$C,$C72,'周排班-纵表'!$G:$G,$G72,'周排班-纵表'!$H:$H,U$1)</f>
        <v/>
      </c>
      <c r="V72" s="2">
        <f>SUMIFS('周排班-纵表'!$I:$I,'周排班-纵表'!$C:$C,$C72,'周排班-纵表'!$G:$G,$G72,'周排班-纵表'!$H:$H,V$1)</f>
        <v/>
      </c>
      <c r="W72" s="2">
        <f>SUMIFS('周排班-纵表'!$I:$I,'周排班-纵表'!$C:$C,$C72,'周排班-纵表'!$G:$G,$G72,'周排班-纵表'!$H:$H,W$1)</f>
        <v/>
      </c>
      <c r="X72" s="2">
        <f>SUMIFS('周排班-纵表'!$I:$I,'周排班-纵表'!$C:$C,$C72,'周排班-纵表'!$G:$G,$G72,'周排班-纵表'!$H:$H,X$1)</f>
        <v/>
      </c>
      <c r="Y72" s="2">
        <f>SUMIFS('周排班-纵表'!$I:$I,'周排班-纵表'!$C:$C,$C72,'周排班-纵表'!$G:$G,$G72,'周排班-纵表'!$H:$H,Y$1)</f>
        <v/>
      </c>
      <c r="Z72" s="2">
        <f>SUMIFS('周排班-纵表'!$I:$I,'周排班-纵表'!$C:$C,$C72,'周排班-纵表'!$G:$G,$G72,'周排班-纵表'!$H:$H,Z$1)</f>
        <v/>
      </c>
      <c r="AA72" s="2">
        <f>SUMIFS('周排班-纵表'!$I:$I,'周排班-纵表'!$C:$C,$C72,'周排班-纵表'!$G:$G,$G72,'周排班-纵表'!$H:$H,AA$1)</f>
        <v/>
      </c>
      <c r="AB72" s="2">
        <f>SUMIFS('周排班-纵表'!$I:$I,'周排班-纵表'!$C:$C,$C72,'周排班-纵表'!$G:$G,$G72,'周排班-纵表'!$H:$H,AB$1)</f>
        <v/>
      </c>
      <c r="AC72" s="2">
        <f>SUMIFS('周排班-纵表'!$I:$I,'周排班-纵表'!$C:$C,$C72,'周排班-纵表'!$G:$G,$G72,'周排班-纵表'!$H:$H,AC$1)</f>
        <v/>
      </c>
      <c r="AD72" s="2">
        <f>SUMIFS('周排班-纵表'!$I:$I,'周排班-纵表'!$C:$C,$C72,'周排班-纵表'!$G:$G,$G72,'周排班-纵表'!$H:$H,AD$1)</f>
        <v/>
      </c>
      <c r="AE72" s="2">
        <f>SUMIFS('周排班-纵表'!$I:$I,'周排班-纵表'!$C:$C,$C72,'周排班-纵表'!$G:$G,$G72,'周排班-纵表'!$H:$H,AE$1)</f>
        <v/>
      </c>
      <c r="AF72" s="2">
        <f>SUMIFS('周排班-纵表'!$I:$I,'周排班-纵表'!$C:$C,$C72,'周排班-纵表'!$G:$G,$G72,'周排班-纵表'!$H:$H,AF$1)</f>
        <v/>
      </c>
      <c r="AG72" s="2">
        <f>SUMIFS('周排班-纵表'!$I:$I,'周排班-纵表'!$C:$C,$C72,'周排班-纵表'!$G:$G,$G72,'周排班-纵表'!$H:$H,AG$1)</f>
        <v/>
      </c>
      <c r="AH72" s="2">
        <f>SUMIFS('周排班-纵表'!$I:$I,'周排班-纵表'!$C:$C,$C72,'周排班-纵表'!$G:$G,$G72,'周排班-纵表'!$H:$H,AH$1)</f>
        <v/>
      </c>
      <c r="AI72" s="2">
        <f>SUMIFS('周排班-纵表'!$I:$I,'周排班-纵表'!$C:$C,$C72,'周排班-纵表'!$G:$G,$G72,'周排班-纵表'!$H:$H,AI$1)</f>
        <v/>
      </c>
      <c r="AJ72" s="2">
        <f>SUMIFS('周排班-纵表'!$I:$I,'周排班-纵表'!$C:$C,$C72,'周排班-纵表'!$G:$G,$G72,'周排班-纵表'!$H:$H,AJ$1)</f>
        <v/>
      </c>
      <c r="AK72" s="2">
        <f>SUMIFS('周排班-纵表'!$I:$I,'周排班-纵表'!$C:$C,$C72,'周排班-纵表'!$G:$G,$G72,'周排班-纵表'!$H:$H,AK$1)</f>
        <v/>
      </c>
      <c r="AL72" s="2">
        <f>SUMIFS('周排班-纵表'!$I:$I,'周排班-纵表'!$C:$C,$C72,'周排班-纵表'!$G:$G,$G72,'周排班-纵表'!$H:$H,AL$1)</f>
        <v/>
      </c>
    </row>
    <row r="73">
      <c r="A73" s="2" t="inlineStr">
        <is>
          <t>PE</t>
        </is>
      </c>
      <c r="B73" s="2" t="inlineStr">
        <is>
          <t>Vivo (Suzhou) Health Industry Investment Fund Limited Partnership</t>
        </is>
      </c>
      <c r="C73" s="2" t="inlineStr">
        <is>
          <t>47128684</t>
        </is>
      </c>
      <c r="D73" s="2" t="inlineStr">
        <is>
          <t>AUD2026-12 Vivo Capital</t>
        </is>
      </c>
      <c r="E73" s="2" t="inlineStr">
        <is>
          <t>Order47128684- 260501004</t>
        </is>
      </c>
      <c r="F73" s="2" t="inlineStr">
        <is>
          <t>47128684- EDC260501001</t>
        </is>
      </c>
      <c r="G73" s="2" t="inlineStr">
        <is>
          <t>Vivi.W.Yang@cn.ey.com</t>
        </is>
      </c>
      <c r="H73" s="2">
        <f>SUMIFS('周排班-纵表'!$I:$I,'周排班-纵表'!$C:$C,$C73,'周排班-纵表'!$G:$G,$G73,'周排班-纵表'!$H:$H,H$1)</f>
        <v/>
      </c>
      <c r="I73" s="2">
        <f>SUMIFS('周排班-纵表'!$I:$I,'周排班-纵表'!$C:$C,$C73,'周排班-纵表'!$G:$G,$G73,'周排班-纵表'!$H:$H,I$1)</f>
        <v/>
      </c>
      <c r="J73" s="2">
        <f>SUMIFS('周排班-纵表'!$I:$I,'周排班-纵表'!$C:$C,$C73,'周排班-纵表'!$G:$G,$G73,'周排班-纵表'!$H:$H,J$1)</f>
        <v/>
      </c>
      <c r="K73" s="2">
        <f>SUMIFS('周排班-纵表'!$I:$I,'周排班-纵表'!$C:$C,$C73,'周排班-纵表'!$G:$G,$G73,'周排班-纵表'!$H:$H,K$1)</f>
        <v/>
      </c>
      <c r="L73" s="2">
        <f>SUMIFS('周排班-纵表'!$I:$I,'周排班-纵表'!$C:$C,$C73,'周排班-纵表'!$G:$G,$G73,'周排班-纵表'!$H:$H,L$1)</f>
        <v/>
      </c>
      <c r="M73" s="2">
        <f>SUMIFS('周排班-纵表'!$I:$I,'周排班-纵表'!$C:$C,$C73,'周排班-纵表'!$G:$G,$G73,'周排班-纵表'!$H:$H,M$1)</f>
        <v/>
      </c>
      <c r="N73" s="2">
        <f>SUMIFS('周排班-纵表'!$I:$I,'周排班-纵表'!$C:$C,$C73,'周排班-纵表'!$G:$G,$G73,'周排班-纵表'!$H:$H,N$1)</f>
        <v/>
      </c>
      <c r="O73" s="2">
        <f>SUMIFS('周排班-纵表'!$I:$I,'周排班-纵表'!$C:$C,$C73,'周排班-纵表'!$G:$G,$G73,'周排班-纵表'!$H:$H,O$1)</f>
        <v/>
      </c>
      <c r="P73" s="2">
        <f>SUMIFS('周排班-纵表'!$I:$I,'周排班-纵表'!$C:$C,$C73,'周排班-纵表'!$G:$G,$G73,'周排班-纵表'!$H:$H,P$1)</f>
        <v/>
      </c>
      <c r="Q73" s="2">
        <f>SUMIFS('周排班-纵表'!$I:$I,'周排班-纵表'!$C:$C,$C73,'周排班-纵表'!$G:$G,$G73,'周排班-纵表'!$H:$H,Q$1)</f>
        <v/>
      </c>
      <c r="R73" s="2">
        <f>SUMIFS('周排班-纵表'!$I:$I,'周排班-纵表'!$C:$C,$C73,'周排班-纵表'!$G:$G,$G73,'周排班-纵表'!$H:$H,R$1)</f>
        <v/>
      </c>
      <c r="S73" s="2">
        <f>SUMIFS('周排班-纵表'!$I:$I,'周排班-纵表'!$C:$C,$C73,'周排班-纵表'!$G:$G,$G73,'周排班-纵表'!$H:$H,S$1)</f>
        <v/>
      </c>
      <c r="T73" s="2">
        <f>SUMIFS('周排班-纵表'!$I:$I,'周排班-纵表'!$C:$C,$C73,'周排班-纵表'!$G:$G,$G73,'周排班-纵表'!$H:$H,T$1)</f>
        <v/>
      </c>
      <c r="U73" s="2">
        <f>SUMIFS('周排班-纵表'!$I:$I,'周排班-纵表'!$C:$C,$C73,'周排班-纵表'!$G:$G,$G73,'周排班-纵表'!$H:$H,U$1)</f>
        <v/>
      </c>
      <c r="V73" s="2">
        <f>SUMIFS('周排班-纵表'!$I:$I,'周排班-纵表'!$C:$C,$C73,'周排班-纵表'!$G:$G,$G73,'周排班-纵表'!$H:$H,V$1)</f>
        <v/>
      </c>
      <c r="W73" s="2">
        <f>SUMIFS('周排班-纵表'!$I:$I,'周排班-纵表'!$C:$C,$C73,'周排班-纵表'!$G:$G,$G73,'周排班-纵表'!$H:$H,W$1)</f>
        <v/>
      </c>
      <c r="X73" s="2">
        <f>SUMIFS('周排班-纵表'!$I:$I,'周排班-纵表'!$C:$C,$C73,'周排班-纵表'!$G:$G,$G73,'周排班-纵表'!$H:$H,X$1)</f>
        <v/>
      </c>
      <c r="Y73" s="2">
        <f>SUMIFS('周排班-纵表'!$I:$I,'周排班-纵表'!$C:$C,$C73,'周排班-纵表'!$G:$G,$G73,'周排班-纵表'!$H:$H,Y$1)</f>
        <v/>
      </c>
      <c r="Z73" s="2">
        <f>SUMIFS('周排班-纵表'!$I:$I,'周排班-纵表'!$C:$C,$C73,'周排班-纵表'!$G:$G,$G73,'周排班-纵表'!$H:$H,Z$1)</f>
        <v/>
      </c>
      <c r="AA73" s="2">
        <f>SUMIFS('周排班-纵表'!$I:$I,'周排班-纵表'!$C:$C,$C73,'周排班-纵表'!$G:$G,$G73,'周排班-纵表'!$H:$H,AA$1)</f>
        <v/>
      </c>
      <c r="AB73" s="2">
        <f>SUMIFS('周排班-纵表'!$I:$I,'周排班-纵表'!$C:$C,$C73,'周排班-纵表'!$G:$G,$G73,'周排班-纵表'!$H:$H,AB$1)</f>
        <v/>
      </c>
      <c r="AC73" s="2">
        <f>SUMIFS('周排班-纵表'!$I:$I,'周排班-纵表'!$C:$C,$C73,'周排班-纵表'!$G:$G,$G73,'周排班-纵表'!$H:$H,AC$1)</f>
        <v/>
      </c>
      <c r="AD73" s="2">
        <f>SUMIFS('周排班-纵表'!$I:$I,'周排班-纵表'!$C:$C,$C73,'周排班-纵表'!$G:$G,$G73,'周排班-纵表'!$H:$H,AD$1)</f>
        <v/>
      </c>
      <c r="AE73" s="2">
        <f>SUMIFS('周排班-纵表'!$I:$I,'周排班-纵表'!$C:$C,$C73,'周排班-纵表'!$G:$G,$G73,'周排班-纵表'!$H:$H,AE$1)</f>
        <v/>
      </c>
      <c r="AF73" s="2">
        <f>SUMIFS('周排班-纵表'!$I:$I,'周排班-纵表'!$C:$C,$C73,'周排班-纵表'!$G:$G,$G73,'周排班-纵表'!$H:$H,AF$1)</f>
        <v/>
      </c>
      <c r="AG73" s="2">
        <f>SUMIFS('周排班-纵表'!$I:$I,'周排班-纵表'!$C:$C,$C73,'周排班-纵表'!$G:$G,$G73,'周排班-纵表'!$H:$H,AG$1)</f>
        <v/>
      </c>
      <c r="AH73" s="2">
        <f>SUMIFS('周排班-纵表'!$I:$I,'周排班-纵表'!$C:$C,$C73,'周排班-纵表'!$G:$G,$G73,'周排班-纵表'!$H:$H,AH$1)</f>
        <v/>
      </c>
      <c r="AI73" s="2">
        <f>SUMIFS('周排班-纵表'!$I:$I,'周排班-纵表'!$C:$C,$C73,'周排班-纵表'!$G:$G,$G73,'周排班-纵表'!$H:$H,AI$1)</f>
        <v/>
      </c>
      <c r="AJ73" s="2">
        <f>SUMIFS('周排班-纵表'!$I:$I,'周排班-纵表'!$C:$C,$C73,'周排班-纵表'!$G:$G,$G73,'周排班-纵表'!$H:$H,AJ$1)</f>
        <v/>
      </c>
      <c r="AK73" s="2">
        <f>SUMIFS('周排班-纵表'!$I:$I,'周排班-纵表'!$C:$C,$C73,'周排班-纵表'!$G:$G,$G73,'周排班-纵表'!$H:$H,AK$1)</f>
        <v/>
      </c>
      <c r="AL73" s="2">
        <f>SUMIFS('周排班-纵表'!$I:$I,'周排班-纵表'!$C:$C,$C73,'周排班-纵表'!$G:$G,$G73,'周排班-纵表'!$H:$H,AL$1)</f>
        <v/>
      </c>
    </row>
    <row r="74">
      <c r="A74" s="2" t="inlineStr">
        <is>
          <t>PE</t>
        </is>
      </c>
      <c r="B74" s="2" t="inlineStr">
        <is>
          <t>Shanghai Lingyi Investment Partnership (limited partnership)</t>
        </is>
      </c>
      <c r="C74" s="2" t="inlineStr">
        <is>
          <t>47128835</t>
        </is>
      </c>
      <c r="D74" s="2" t="inlineStr">
        <is>
          <t>AUD2026-12 01VC USD Fund</t>
        </is>
      </c>
      <c r="E74" s="2" t="inlineStr">
        <is>
          <t>Order47128835- 260501004</t>
        </is>
      </c>
      <c r="F74" s="2" t="inlineStr">
        <is>
          <t>47128835- EDC260501001</t>
        </is>
      </c>
      <c r="G74" s="2" t="inlineStr">
        <is>
          <t>Luna.CD.Zhang@cn.ey.com</t>
        </is>
      </c>
      <c r="H74" s="2">
        <f>SUMIFS('周排班-纵表'!$I:$I,'周排班-纵表'!$C:$C,$C74,'周排班-纵表'!$G:$G,$G74,'周排班-纵表'!$H:$H,H$1)</f>
        <v/>
      </c>
      <c r="I74" s="2">
        <f>SUMIFS('周排班-纵表'!$I:$I,'周排班-纵表'!$C:$C,$C74,'周排班-纵表'!$G:$G,$G74,'周排班-纵表'!$H:$H,I$1)</f>
        <v/>
      </c>
      <c r="J74" s="2">
        <f>SUMIFS('周排班-纵表'!$I:$I,'周排班-纵表'!$C:$C,$C74,'周排班-纵表'!$G:$G,$G74,'周排班-纵表'!$H:$H,J$1)</f>
        <v/>
      </c>
      <c r="K74" s="2">
        <f>SUMIFS('周排班-纵表'!$I:$I,'周排班-纵表'!$C:$C,$C74,'周排班-纵表'!$G:$G,$G74,'周排班-纵表'!$H:$H,K$1)</f>
        <v/>
      </c>
      <c r="L74" s="2">
        <f>SUMIFS('周排班-纵表'!$I:$I,'周排班-纵表'!$C:$C,$C74,'周排班-纵表'!$G:$G,$G74,'周排班-纵表'!$H:$H,L$1)</f>
        <v/>
      </c>
      <c r="M74" s="2">
        <f>SUMIFS('周排班-纵表'!$I:$I,'周排班-纵表'!$C:$C,$C74,'周排班-纵表'!$G:$G,$G74,'周排班-纵表'!$H:$H,M$1)</f>
        <v/>
      </c>
      <c r="N74" s="2">
        <f>SUMIFS('周排班-纵表'!$I:$I,'周排班-纵表'!$C:$C,$C74,'周排班-纵表'!$G:$G,$G74,'周排班-纵表'!$H:$H,N$1)</f>
        <v/>
      </c>
      <c r="O74" s="2">
        <f>SUMIFS('周排班-纵表'!$I:$I,'周排班-纵表'!$C:$C,$C74,'周排班-纵表'!$G:$G,$G74,'周排班-纵表'!$H:$H,O$1)</f>
        <v/>
      </c>
      <c r="P74" s="2">
        <f>SUMIFS('周排班-纵表'!$I:$I,'周排班-纵表'!$C:$C,$C74,'周排班-纵表'!$G:$G,$G74,'周排班-纵表'!$H:$H,P$1)</f>
        <v/>
      </c>
      <c r="Q74" s="2">
        <f>SUMIFS('周排班-纵表'!$I:$I,'周排班-纵表'!$C:$C,$C74,'周排班-纵表'!$G:$G,$G74,'周排班-纵表'!$H:$H,Q$1)</f>
        <v/>
      </c>
      <c r="R74" s="2">
        <f>SUMIFS('周排班-纵表'!$I:$I,'周排班-纵表'!$C:$C,$C74,'周排班-纵表'!$G:$G,$G74,'周排班-纵表'!$H:$H,R$1)</f>
        <v/>
      </c>
      <c r="S74" s="2">
        <f>SUMIFS('周排班-纵表'!$I:$I,'周排班-纵表'!$C:$C,$C74,'周排班-纵表'!$G:$G,$G74,'周排班-纵表'!$H:$H,S$1)</f>
        <v/>
      </c>
      <c r="T74" s="2">
        <f>SUMIFS('周排班-纵表'!$I:$I,'周排班-纵表'!$C:$C,$C74,'周排班-纵表'!$G:$G,$G74,'周排班-纵表'!$H:$H,T$1)</f>
        <v/>
      </c>
      <c r="U74" s="2">
        <f>SUMIFS('周排班-纵表'!$I:$I,'周排班-纵表'!$C:$C,$C74,'周排班-纵表'!$G:$G,$G74,'周排班-纵表'!$H:$H,U$1)</f>
        <v/>
      </c>
      <c r="V74" s="2">
        <f>SUMIFS('周排班-纵表'!$I:$I,'周排班-纵表'!$C:$C,$C74,'周排班-纵表'!$G:$G,$G74,'周排班-纵表'!$H:$H,V$1)</f>
        <v/>
      </c>
      <c r="W74" s="2">
        <f>SUMIFS('周排班-纵表'!$I:$I,'周排班-纵表'!$C:$C,$C74,'周排班-纵表'!$G:$G,$G74,'周排班-纵表'!$H:$H,W$1)</f>
        <v/>
      </c>
      <c r="X74" s="2">
        <f>SUMIFS('周排班-纵表'!$I:$I,'周排班-纵表'!$C:$C,$C74,'周排班-纵表'!$G:$G,$G74,'周排班-纵表'!$H:$H,X$1)</f>
        <v/>
      </c>
      <c r="Y74" s="2">
        <f>SUMIFS('周排班-纵表'!$I:$I,'周排班-纵表'!$C:$C,$C74,'周排班-纵表'!$G:$G,$G74,'周排班-纵表'!$H:$H,Y$1)</f>
        <v/>
      </c>
      <c r="Z74" s="2">
        <f>SUMIFS('周排班-纵表'!$I:$I,'周排班-纵表'!$C:$C,$C74,'周排班-纵表'!$G:$G,$G74,'周排班-纵表'!$H:$H,Z$1)</f>
        <v/>
      </c>
      <c r="AA74" s="2">
        <f>SUMIFS('周排班-纵表'!$I:$I,'周排班-纵表'!$C:$C,$C74,'周排班-纵表'!$G:$G,$G74,'周排班-纵表'!$H:$H,AA$1)</f>
        <v/>
      </c>
      <c r="AB74" s="2">
        <f>SUMIFS('周排班-纵表'!$I:$I,'周排班-纵表'!$C:$C,$C74,'周排班-纵表'!$G:$G,$G74,'周排班-纵表'!$H:$H,AB$1)</f>
        <v/>
      </c>
      <c r="AC74" s="2">
        <f>SUMIFS('周排班-纵表'!$I:$I,'周排班-纵表'!$C:$C,$C74,'周排班-纵表'!$G:$G,$G74,'周排班-纵表'!$H:$H,AC$1)</f>
        <v/>
      </c>
      <c r="AD74" s="2">
        <f>SUMIFS('周排班-纵表'!$I:$I,'周排班-纵表'!$C:$C,$C74,'周排班-纵表'!$G:$G,$G74,'周排班-纵表'!$H:$H,AD$1)</f>
        <v/>
      </c>
      <c r="AE74" s="2">
        <f>SUMIFS('周排班-纵表'!$I:$I,'周排班-纵表'!$C:$C,$C74,'周排班-纵表'!$G:$G,$G74,'周排班-纵表'!$H:$H,AE$1)</f>
        <v/>
      </c>
      <c r="AF74" s="2">
        <f>SUMIFS('周排班-纵表'!$I:$I,'周排班-纵表'!$C:$C,$C74,'周排班-纵表'!$G:$G,$G74,'周排班-纵表'!$H:$H,AF$1)</f>
        <v/>
      </c>
      <c r="AG74" s="2">
        <f>SUMIFS('周排班-纵表'!$I:$I,'周排班-纵表'!$C:$C,$C74,'周排班-纵表'!$G:$G,$G74,'周排班-纵表'!$H:$H,AG$1)</f>
        <v/>
      </c>
      <c r="AH74" s="2">
        <f>SUMIFS('周排班-纵表'!$I:$I,'周排班-纵表'!$C:$C,$C74,'周排班-纵表'!$G:$G,$G74,'周排班-纵表'!$H:$H,AH$1)</f>
        <v/>
      </c>
      <c r="AI74" s="2">
        <f>SUMIFS('周排班-纵表'!$I:$I,'周排班-纵表'!$C:$C,$C74,'周排班-纵表'!$G:$G,$G74,'周排班-纵表'!$H:$H,AI$1)</f>
        <v/>
      </c>
      <c r="AJ74" s="2">
        <f>SUMIFS('周排班-纵表'!$I:$I,'周排班-纵表'!$C:$C,$C74,'周排班-纵表'!$G:$G,$G74,'周排班-纵表'!$H:$H,AJ$1)</f>
        <v/>
      </c>
      <c r="AK74" s="2">
        <f>SUMIFS('周排班-纵表'!$I:$I,'周排班-纵表'!$C:$C,$C74,'周排班-纵表'!$G:$G,$G74,'周排班-纵表'!$H:$H,AK$1)</f>
        <v/>
      </c>
      <c r="AL74" s="2">
        <f>SUMIFS('周排班-纵表'!$I:$I,'周排班-纵表'!$C:$C,$C74,'周排班-纵表'!$G:$G,$G74,'周排班-纵表'!$H:$H,AL$1)</f>
        <v/>
      </c>
    </row>
    <row r="75">
      <c r="A75" s="2" t="inlineStr">
        <is>
          <t>PE</t>
        </is>
      </c>
      <c r="B75" s="2" t="inlineStr">
        <is>
          <t>Shanghai Lingyi Investment Partnership (limited partnership)</t>
        </is>
      </c>
      <c r="C75" s="2" t="inlineStr">
        <is>
          <t>47128835</t>
        </is>
      </c>
      <c r="D75" s="2" t="inlineStr">
        <is>
          <t>AUD2026-12 01VC USD Fund</t>
        </is>
      </c>
      <c r="E75" s="2" t="inlineStr">
        <is>
          <t>Order47128835- 260501004</t>
        </is>
      </c>
      <c r="F75" s="2" t="inlineStr">
        <is>
          <t>47128835- EDC260501001</t>
        </is>
      </c>
      <c r="G75" s="2" t="inlineStr">
        <is>
          <t>Marsh.Ma@cn.ey.com</t>
        </is>
      </c>
      <c r="H75" s="2">
        <f>SUMIFS('周排班-纵表'!$I:$I,'周排班-纵表'!$C:$C,$C75,'周排班-纵表'!$G:$G,$G75,'周排班-纵表'!$H:$H,H$1)</f>
        <v/>
      </c>
      <c r="I75" s="2">
        <f>SUMIFS('周排班-纵表'!$I:$I,'周排班-纵表'!$C:$C,$C75,'周排班-纵表'!$G:$G,$G75,'周排班-纵表'!$H:$H,I$1)</f>
        <v/>
      </c>
      <c r="J75" s="2">
        <f>SUMIFS('周排班-纵表'!$I:$I,'周排班-纵表'!$C:$C,$C75,'周排班-纵表'!$G:$G,$G75,'周排班-纵表'!$H:$H,J$1)</f>
        <v/>
      </c>
      <c r="K75" s="2">
        <f>SUMIFS('周排班-纵表'!$I:$I,'周排班-纵表'!$C:$C,$C75,'周排班-纵表'!$G:$G,$G75,'周排班-纵表'!$H:$H,K$1)</f>
        <v/>
      </c>
      <c r="L75" s="2">
        <f>SUMIFS('周排班-纵表'!$I:$I,'周排班-纵表'!$C:$C,$C75,'周排班-纵表'!$G:$G,$G75,'周排班-纵表'!$H:$H,L$1)</f>
        <v/>
      </c>
      <c r="M75" s="2">
        <f>SUMIFS('周排班-纵表'!$I:$I,'周排班-纵表'!$C:$C,$C75,'周排班-纵表'!$G:$G,$G75,'周排班-纵表'!$H:$H,M$1)</f>
        <v/>
      </c>
      <c r="N75" s="2">
        <f>SUMIFS('周排班-纵表'!$I:$I,'周排班-纵表'!$C:$C,$C75,'周排班-纵表'!$G:$G,$G75,'周排班-纵表'!$H:$H,N$1)</f>
        <v/>
      </c>
      <c r="O75" s="2">
        <f>SUMIFS('周排班-纵表'!$I:$I,'周排班-纵表'!$C:$C,$C75,'周排班-纵表'!$G:$G,$G75,'周排班-纵表'!$H:$H,O$1)</f>
        <v/>
      </c>
      <c r="P75" s="2">
        <f>SUMIFS('周排班-纵表'!$I:$I,'周排班-纵表'!$C:$C,$C75,'周排班-纵表'!$G:$G,$G75,'周排班-纵表'!$H:$H,P$1)</f>
        <v/>
      </c>
      <c r="Q75" s="2">
        <f>SUMIFS('周排班-纵表'!$I:$I,'周排班-纵表'!$C:$C,$C75,'周排班-纵表'!$G:$G,$G75,'周排班-纵表'!$H:$H,Q$1)</f>
        <v/>
      </c>
      <c r="R75" s="2">
        <f>SUMIFS('周排班-纵表'!$I:$I,'周排班-纵表'!$C:$C,$C75,'周排班-纵表'!$G:$G,$G75,'周排班-纵表'!$H:$H,R$1)</f>
        <v/>
      </c>
      <c r="S75" s="2">
        <f>SUMIFS('周排班-纵表'!$I:$I,'周排班-纵表'!$C:$C,$C75,'周排班-纵表'!$G:$G,$G75,'周排班-纵表'!$H:$H,S$1)</f>
        <v/>
      </c>
      <c r="T75" s="2">
        <f>SUMIFS('周排班-纵表'!$I:$I,'周排班-纵表'!$C:$C,$C75,'周排班-纵表'!$G:$G,$G75,'周排班-纵表'!$H:$H,T$1)</f>
        <v/>
      </c>
      <c r="U75" s="2">
        <f>SUMIFS('周排班-纵表'!$I:$I,'周排班-纵表'!$C:$C,$C75,'周排班-纵表'!$G:$G,$G75,'周排班-纵表'!$H:$H,U$1)</f>
        <v/>
      </c>
      <c r="V75" s="2">
        <f>SUMIFS('周排班-纵表'!$I:$I,'周排班-纵表'!$C:$C,$C75,'周排班-纵表'!$G:$G,$G75,'周排班-纵表'!$H:$H,V$1)</f>
        <v/>
      </c>
      <c r="W75" s="2">
        <f>SUMIFS('周排班-纵表'!$I:$I,'周排班-纵表'!$C:$C,$C75,'周排班-纵表'!$G:$G,$G75,'周排班-纵表'!$H:$H,W$1)</f>
        <v/>
      </c>
      <c r="X75" s="2">
        <f>SUMIFS('周排班-纵表'!$I:$I,'周排班-纵表'!$C:$C,$C75,'周排班-纵表'!$G:$G,$G75,'周排班-纵表'!$H:$H,X$1)</f>
        <v/>
      </c>
      <c r="Y75" s="2">
        <f>SUMIFS('周排班-纵表'!$I:$I,'周排班-纵表'!$C:$C,$C75,'周排班-纵表'!$G:$G,$G75,'周排班-纵表'!$H:$H,Y$1)</f>
        <v/>
      </c>
      <c r="Z75" s="2">
        <f>SUMIFS('周排班-纵表'!$I:$I,'周排班-纵表'!$C:$C,$C75,'周排班-纵表'!$G:$G,$G75,'周排班-纵表'!$H:$H,Z$1)</f>
        <v/>
      </c>
      <c r="AA75" s="2">
        <f>SUMIFS('周排班-纵表'!$I:$I,'周排班-纵表'!$C:$C,$C75,'周排班-纵表'!$G:$G,$G75,'周排班-纵表'!$H:$H,AA$1)</f>
        <v/>
      </c>
      <c r="AB75" s="2">
        <f>SUMIFS('周排班-纵表'!$I:$I,'周排班-纵表'!$C:$C,$C75,'周排班-纵表'!$G:$G,$G75,'周排班-纵表'!$H:$H,AB$1)</f>
        <v/>
      </c>
      <c r="AC75" s="2">
        <f>SUMIFS('周排班-纵表'!$I:$I,'周排班-纵表'!$C:$C,$C75,'周排班-纵表'!$G:$G,$G75,'周排班-纵表'!$H:$H,AC$1)</f>
        <v/>
      </c>
      <c r="AD75" s="2">
        <f>SUMIFS('周排班-纵表'!$I:$I,'周排班-纵表'!$C:$C,$C75,'周排班-纵表'!$G:$G,$G75,'周排班-纵表'!$H:$H,AD$1)</f>
        <v/>
      </c>
      <c r="AE75" s="2">
        <f>SUMIFS('周排班-纵表'!$I:$I,'周排班-纵表'!$C:$C,$C75,'周排班-纵表'!$G:$G,$G75,'周排班-纵表'!$H:$H,AE$1)</f>
        <v/>
      </c>
      <c r="AF75" s="2">
        <f>SUMIFS('周排班-纵表'!$I:$I,'周排班-纵表'!$C:$C,$C75,'周排班-纵表'!$G:$G,$G75,'周排班-纵表'!$H:$H,AF$1)</f>
        <v/>
      </c>
      <c r="AG75" s="2">
        <f>SUMIFS('周排班-纵表'!$I:$I,'周排班-纵表'!$C:$C,$C75,'周排班-纵表'!$G:$G,$G75,'周排班-纵表'!$H:$H,AG$1)</f>
        <v/>
      </c>
      <c r="AH75" s="2">
        <f>SUMIFS('周排班-纵表'!$I:$I,'周排班-纵表'!$C:$C,$C75,'周排班-纵表'!$G:$G,$G75,'周排班-纵表'!$H:$H,AH$1)</f>
        <v/>
      </c>
      <c r="AI75" s="2">
        <f>SUMIFS('周排班-纵表'!$I:$I,'周排班-纵表'!$C:$C,$C75,'周排班-纵表'!$G:$G,$G75,'周排班-纵表'!$H:$H,AI$1)</f>
        <v/>
      </c>
      <c r="AJ75" s="2">
        <f>SUMIFS('周排班-纵表'!$I:$I,'周排班-纵表'!$C:$C,$C75,'周排班-纵表'!$G:$G,$G75,'周排班-纵表'!$H:$H,AJ$1)</f>
        <v/>
      </c>
      <c r="AK75" s="2">
        <f>SUMIFS('周排班-纵表'!$I:$I,'周排班-纵表'!$C:$C,$C75,'周排班-纵表'!$G:$G,$G75,'周排班-纵表'!$H:$H,AK$1)</f>
        <v/>
      </c>
      <c r="AL75" s="2">
        <f>SUMIFS('周排班-纵表'!$I:$I,'周排班-纵表'!$C:$C,$C75,'周排班-纵表'!$G:$G,$G75,'周排班-纵表'!$H:$H,AL$1)</f>
        <v/>
      </c>
    </row>
    <row r="76">
      <c r="A76" s="2" t="inlineStr">
        <is>
          <t>PE</t>
        </is>
      </c>
      <c r="B76" s="2" t="inlineStr">
        <is>
          <t>Shanghai Lingyi Investment Partnership (limited partnership)</t>
        </is>
      </c>
      <c r="C76" s="2" t="inlineStr">
        <is>
          <t>47128835</t>
        </is>
      </c>
      <c r="D76" s="2" t="inlineStr">
        <is>
          <t>AUD2026-12 01VC USD Fund</t>
        </is>
      </c>
      <c r="E76" s="2" t="inlineStr">
        <is>
          <t>Order47128835- 260501004</t>
        </is>
      </c>
      <c r="F76" s="2" t="inlineStr">
        <is>
          <t>47128835- EDC260501001</t>
        </is>
      </c>
      <c r="G76" s="2" t="inlineStr">
        <is>
          <t>Rainbow.MG.Xiao@cn.ey.com</t>
        </is>
      </c>
      <c r="H76" s="2">
        <f>SUMIFS('周排班-纵表'!$I:$I,'周排班-纵表'!$C:$C,$C76,'周排班-纵表'!$G:$G,$G76,'周排班-纵表'!$H:$H,H$1)</f>
        <v/>
      </c>
      <c r="I76" s="2">
        <f>SUMIFS('周排班-纵表'!$I:$I,'周排班-纵表'!$C:$C,$C76,'周排班-纵表'!$G:$G,$G76,'周排班-纵表'!$H:$H,I$1)</f>
        <v/>
      </c>
      <c r="J76" s="2">
        <f>SUMIFS('周排班-纵表'!$I:$I,'周排班-纵表'!$C:$C,$C76,'周排班-纵表'!$G:$G,$G76,'周排班-纵表'!$H:$H,J$1)</f>
        <v/>
      </c>
      <c r="K76" s="2">
        <f>SUMIFS('周排班-纵表'!$I:$I,'周排班-纵表'!$C:$C,$C76,'周排班-纵表'!$G:$G,$G76,'周排班-纵表'!$H:$H,K$1)</f>
        <v/>
      </c>
      <c r="L76" s="2">
        <f>SUMIFS('周排班-纵表'!$I:$I,'周排班-纵表'!$C:$C,$C76,'周排班-纵表'!$G:$G,$G76,'周排班-纵表'!$H:$H,L$1)</f>
        <v/>
      </c>
      <c r="M76" s="2">
        <f>SUMIFS('周排班-纵表'!$I:$I,'周排班-纵表'!$C:$C,$C76,'周排班-纵表'!$G:$G,$G76,'周排班-纵表'!$H:$H,M$1)</f>
        <v/>
      </c>
      <c r="N76" s="2">
        <f>SUMIFS('周排班-纵表'!$I:$I,'周排班-纵表'!$C:$C,$C76,'周排班-纵表'!$G:$G,$G76,'周排班-纵表'!$H:$H,N$1)</f>
        <v/>
      </c>
      <c r="O76" s="2">
        <f>SUMIFS('周排班-纵表'!$I:$I,'周排班-纵表'!$C:$C,$C76,'周排班-纵表'!$G:$G,$G76,'周排班-纵表'!$H:$H,O$1)</f>
        <v/>
      </c>
      <c r="P76" s="2">
        <f>SUMIFS('周排班-纵表'!$I:$I,'周排班-纵表'!$C:$C,$C76,'周排班-纵表'!$G:$G,$G76,'周排班-纵表'!$H:$H,P$1)</f>
        <v/>
      </c>
      <c r="Q76" s="2">
        <f>SUMIFS('周排班-纵表'!$I:$I,'周排班-纵表'!$C:$C,$C76,'周排班-纵表'!$G:$G,$G76,'周排班-纵表'!$H:$H,Q$1)</f>
        <v/>
      </c>
      <c r="R76" s="2">
        <f>SUMIFS('周排班-纵表'!$I:$I,'周排班-纵表'!$C:$C,$C76,'周排班-纵表'!$G:$G,$G76,'周排班-纵表'!$H:$H,R$1)</f>
        <v/>
      </c>
      <c r="S76" s="2">
        <f>SUMIFS('周排班-纵表'!$I:$I,'周排班-纵表'!$C:$C,$C76,'周排班-纵表'!$G:$G,$G76,'周排班-纵表'!$H:$H,S$1)</f>
        <v/>
      </c>
      <c r="T76" s="2">
        <f>SUMIFS('周排班-纵表'!$I:$I,'周排班-纵表'!$C:$C,$C76,'周排班-纵表'!$G:$G,$G76,'周排班-纵表'!$H:$H,T$1)</f>
        <v/>
      </c>
      <c r="U76" s="2">
        <f>SUMIFS('周排班-纵表'!$I:$I,'周排班-纵表'!$C:$C,$C76,'周排班-纵表'!$G:$G,$G76,'周排班-纵表'!$H:$H,U$1)</f>
        <v/>
      </c>
      <c r="V76" s="2">
        <f>SUMIFS('周排班-纵表'!$I:$I,'周排班-纵表'!$C:$C,$C76,'周排班-纵表'!$G:$G,$G76,'周排班-纵表'!$H:$H,V$1)</f>
        <v/>
      </c>
      <c r="W76" s="2">
        <f>SUMIFS('周排班-纵表'!$I:$I,'周排班-纵表'!$C:$C,$C76,'周排班-纵表'!$G:$G,$G76,'周排班-纵表'!$H:$H,W$1)</f>
        <v/>
      </c>
      <c r="X76" s="2">
        <f>SUMIFS('周排班-纵表'!$I:$I,'周排班-纵表'!$C:$C,$C76,'周排班-纵表'!$G:$G,$G76,'周排班-纵表'!$H:$H,X$1)</f>
        <v/>
      </c>
      <c r="Y76" s="2">
        <f>SUMIFS('周排班-纵表'!$I:$I,'周排班-纵表'!$C:$C,$C76,'周排班-纵表'!$G:$G,$G76,'周排班-纵表'!$H:$H,Y$1)</f>
        <v/>
      </c>
      <c r="Z76" s="2">
        <f>SUMIFS('周排班-纵表'!$I:$I,'周排班-纵表'!$C:$C,$C76,'周排班-纵表'!$G:$G,$G76,'周排班-纵表'!$H:$H,Z$1)</f>
        <v/>
      </c>
      <c r="AA76" s="2">
        <f>SUMIFS('周排班-纵表'!$I:$I,'周排班-纵表'!$C:$C,$C76,'周排班-纵表'!$G:$G,$G76,'周排班-纵表'!$H:$H,AA$1)</f>
        <v/>
      </c>
      <c r="AB76" s="2">
        <f>SUMIFS('周排班-纵表'!$I:$I,'周排班-纵表'!$C:$C,$C76,'周排班-纵表'!$G:$G,$G76,'周排班-纵表'!$H:$H,AB$1)</f>
        <v/>
      </c>
      <c r="AC76" s="2">
        <f>SUMIFS('周排班-纵表'!$I:$I,'周排班-纵表'!$C:$C,$C76,'周排班-纵表'!$G:$G,$G76,'周排班-纵表'!$H:$H,AC$1)</f>
        <v/>
      </c>
      <c r="AD76" s="2">
        <f>SUMIFS('周排班-纵表'!$I:$I,'周排班-纵表'!$C:$C,$C76,'周排班-纵表'!$G:$G,$G76,'周排班-纵表'!$H:$H,AD$1)</f>
        <v/>
      </c>
      <c r="AE76" s="2">
        <f>SUMIFS('周排班-纵表'!$I:$I,'周排班-纵表'!$C:$C,$C76,'周排班-纵表'!$G:$G,$G76,'周排班-纵表'!$H:$H,AE$1)</f>
        <v/>
      </c>
      <c r="AF76" s="2">
        <f>SUMIFS('周排班-纵表'!$I:$I,'周排班-纵表'!$C:$C,$C76,'周排班-纵表'!$G:$G,$G76,'周排班-纵表'!$H:$H,AF$1)</f>
        <v/>
      </c>
      <c r="AG76" s="2">
        <f>SUMIFS('周排班-纵表'!$I:$I,'周排班-纵表'!$C:$C,$C76,'周排班-纵表'!$G:$G,$G76,'周排班-纵表'!$H:$H,AG$1)</f>
        <v/>
      </c>
      <c r="AH76" s="2">
        <f>SUMIFS('周排班-纵表'!$I:$I,'周排班-纵表'!$C:$C,$C76,'周排班-纵表'!$G:$G,$G76,'周排班-纵表'!$H:$H,AH$1)</f>
        <v/>
      </c>
      <c r="AI76" s="2">
        <f>SUMIFS('周排班-纵表'!$I:$I,'周排班-纵表'!$C:$C,$C76,'周排班-纵表'!$G:$G,$G76,'周排班-纵表'!$H:$H,AI$1)</f>
        <v/>
      </c>
      <c r="AJ76" s="2">
        <f>SUMIFS('周排班-纵表'!$I:$I,'周排班-纵表'!$C:$C,$C76,'周排班-纵表'!$G:$G,$G76,'周排班-纵表'!$H:$H,AJ$1)</f>
        <v/>
      </c>
      <c r="AK76" s="2">
        <f>SUMIFS('周排班-纵表'!$I:$I,'周排班-纵表'!$C:$C,$C76,'周排班-纵表'!$G:$G,$G76,'周排班-纵表'!$H:$H,AK$1)</f>
        <v/>
      </c>
      <c r="AL76" s="2">
        <f>SUMIFS('周排班-纵表'!$I:$I,'周排班-纵表'!$C:$C,$C76,'周排班-纵表'!$G:$G,$G76,'周排班-纵表'!$H:$H,AL$1)</f>
        <v/>
      </c>
    </row>
    <row r="77">
      <c r="A77" s="2" t="inlineStr">
        <is>
          <t>PE</t>
        </is>
      </c>
      <c r="B77" s="2" t="inlineStr">
        <is>
          <t>Shanghai Lingyi Investment Partnership (limited partnership)</t>
        </is>
      </c>
      <c r="C77" s="2" t="inlineStr">
        <is>
          <t>47128835</t>
        </is>
      </c>
      <c r="D77" s="2" t="inlineStr">
        <is>
          <t>AUD2026-12 01VC USD Fund</t>
        </is>
      </c>
      <c r="E77" s="2" t="inlineStr">
        <is>
          <t>Order47128835- 260501004</t>
        </is>
      </c>
      <c r="F77" s="2" t="inlineStr">
        <is>
          <t>47128835- EDC260501001</t>
        </is>
      </c>
      <c r="G77" s="2" t="inlineStr">
        <is>
          <t>Vivi.W.Yang@cn.ey.com</t>
        </is>
      </c>
      <c r="H77" s="2">
        <f>SUMIFS('周排班-纵表'!$I:$I,'周排班-纵表'!$C:$C,$C77,'周排班-纵表'!$G:$G,$G77,'周排班-纵表'!$H:$H,H$1)</f>
        <v/>
      </c>
      <c r="I77" s="2">
        <f>SUMIFS('周排班-纵表'!$I:$I,'周排班-纵表'!$C:$C,$C77,'周排班-纵表'!$G:$G,$G77,'周排班-纵表'!$H:$H,I$1)</f>
        <v/>
      </c>
      <c r="J77" s="2">
        <f>SUMIFS('周排班-纵表'!$I:$I,'周排班-纵表'!$C:$C,$C77,'周排班-纵表'!$G:$G,$G77,'周排班-纵表'!$H:$H,J$1)</f>
        <v/>
      </c>
      <c r="K77" s="2">
        <f>SUMIFS('周排班-纵表'!$I:$I,'周排班-纵表'!$C:$C,$C77,'周排班-纵表'!$G:$G,$G77,'周排班-纵表'!$H:$H,K$1)</f>
        <v/>
      </c>
      <c r="L77" s="2">
        <f>SUMIFS('周排班-纵表'!$I:$I,'周排班-纵表'!$C:$C,$C77,'周排班-纵表'!$G:$G,$G77,'周排班-纵表'!$H:$H,L$1)</f>
        <v/>
      </c>
      <c r="M77" s="2">
        <f>SUMIFS('周排班-纵表'!$I:$I,'周排班-纵表'!$C:$C,$C77,'周排班-纵表'!$G:$G,$G77,'周排班-纵表'!$H:$H,M$1)</f>
        <v/>
      </c>
      <c r="N77" s="2">
        <f>SUMIFS('周排班-纵表'!$I:$I,'周排班-纵表'!$C:$C,$C77,'周排班-纵表'!$G:$G,$G77,'周排班-纵表'!$H:$H,N$1)</f>
        <v/>
      </c>
      <c r="O77" s="2">
        <f>SUMIFS('周排班-纵表'!$I:$I,'周排班-纵表'!$C:$C,$C77,'周排班-纵表'!$G:$G,$G77,'周排班-纵表'!$H:$H,O$1)</f>
        <v/>
      </c>
      <c r="P77" s="2">
        <f>SUMIFS('周排班-纵表'!$I:$I,'周排班-纵表'!$C:$C,$C77,'周排班-纵表'!$G:$G,$G77,'周排班-纵表'!$H:$H,P$1)</f>
        <v/>
      </c>
      <c r="Q77" s="2">
        <f>SUMIFS('周排班-纵表'!$I:$I,'周排班-纵表'!$C:$C,$C77,'周排班-纵表'!$G:$G,$G77,'周排班-纵表'!$H:$H,Q$1)</f>
        <v/>
      </c>
      <c r="R77" s="2">
        <f>SUMIFS('周排班-纵表'!$I:$I,'周排班-纵表'!$C:$C,$C77,'周排班-纵表'!$G:$G,$G77,'周排班-纵表'!$H:$H,R$1)</f>
        <v/>
      </c>
      <c r="S77" s="2">
        <f>SUMIFS('周排班-纵表'!$I:$I,'周排班-纵表'!$C:$C,$C77,'周排班-纵表'!$G:$G,$G77,'周排班-纵表'!$H:$H,S$1)</f>
        <v/>
      </c>
      <c r="T77" s="2">
        <f>SUMIFS('周排班-纵表'!$I:$I,'周排班-纵表'!$C:$C,$C77,'周排班-纵表'!$G:$G,$G77,'周排班-纵表'!$H:$H,T$1)</f>
        <v/>
      </c>
      <c r="U77" s="2">
        <f>SUMIFS('周排班-纵表'!$I:$I,'周排班-纵表'!$C:$C,$C77,'周排班-纵表'!$G:$G,$G77,'周排班-纵表'!$H:$H,U$1)</f>
        <v/>
      </c>
      <c r="V77" s="2">
        <f>SUMIFS('周排班-纵表'!$I:$I,'周排班-纵表'!$C:$C,$C77,'周排班-纵表'!$G:$G,$G77,'周排班-纵表'!$H:$H,V$1)</f>
        <v/>
      </c>
      <c r="W77" s="2">
        <f>SUMIFS('周排班-纵表'!$I:$I,'周排班-纵表'!$C:$C,$C77,'周排班-纵表'!$G:$G,$G77,'周排班-纵表'!$H:$H,W$1)</f>
        <v/>
      </c>
      <c r="X77" s="2">
        <f>SUMIFS('周排班-纵表'!$I:$I,'周排班-纵表'!$C:$C,$C77,'周排班-纵表'!$G:$G,$G77,'周排班-纵表'!$H:$H,X$1)</f>
        <v/>
      </c>
      <c r="Y77" s="2">
        <f>SUMIFS('周排班-纵表'!$I:$I,'周排班-纵表'!$C:$C,$C77,'周排班-纵表'!$G:$G,$G77,'周排班-纵表'!$H:$H,Y$1)</f>
        <v/>
      </c>
      <c r="Z77" s="2">
        <f>SUMIFS('周排班-纵表'!$I:$I,'周排班-纵表'!$C:$C,$C77,'周排班-纵表'!$G:$G,$G77,'周排班-纵表'!$H:$H,Z$1)</f>
        <v/>
      </c>
      <c r="AA77" s="2">
        <f>SUMIFS('周排班-纵表'!$I:$I,'周排班-纵表'!$C:$C,$C77,'周排班-纵表'!$G:$G,$G77,'周排班-纵表'!$H:$H,AA$1)</f>
        <v/>
      </c>
      <c r="AB77" s="2">
        <f>SUMIFS('周排班-纵表'!$I:$I,'周排班-纵表'!$C:$C,$C77,'周排班-纵表'!$G:$G,$G77,'周排班-纵表'!$H:$H,AB$1)</f>
        <v/>
      </c>
      <c r="AC77" s="2">
        <f>SUMIFS('周排班-纵表'!$I:$I,'周排班-纵表'!$C:$C,$C77,'周排班-纵表'!$G:$G,$G77,'周排班-纵表'!$H:$H,AC$1)</f>
        <v/>
      </c>
      <c r="AD77" s="2">
        <f>SUMIFS('周排班-纵表'!$I:$I,'周排班-纵表'!$C:$C,$C77,'周排班-纵表'!$G:$G,$G77,'周排班-纵表'!$H:$H,AD$1)</f>
        <v/>
      </c>
      <c r="AE77" s="2">
        <f>SUMIFS('周排班-纵表'!$I:$I,'周排班-纵表'!$C:$C,$C77,'周排班-纵表'!$G:$G,$G77,'周排班-纵表'!$H:$H,AE$1)</f>
        <v/>
      </c>
      <c r="AF77" s="2">
        <f>SUMIFS('周排班-纵表'!$I:$I,'周排班-纵表'!$C:$C,$C77,'周排班-纵表'!$G:$G,$G77,'周排班-纵表'!$H:$H,AF$1)</f>
        <v/>
      </c>
      <c r="AG77" s="2">
        <f>SUMIFS('周排班-纵表'!$I:$I,'周排班-纵表'!$C:$C,$C77,'周排班-纵表'!$G:$G,$G77,'周排班-纵表'!$H:$H,AG$1)</f>
        <v/>
      </c>
      <c r="AH77" s="2">
        <f>SUMIFS('周排班-纵表'!$I:$I,'周排班-纵表'!$C:$C,$C77,'周排班-纵表'!$G:$G,$G77,'周排班-纵表'!$H:$H,AH$1)</f>
        <v/>
      </c>
      <c r="AI77" s="2">
        <f>SUMIFS('周排班-纵表'!$I:$I,'周排班-纵表'!$C:$C,$C77,'周排班-纵表'!$G:$G,$G77,'周排班-纵表'!$H:$H,AI$1)</f>
        <v/>
      </c>
      <c r="AJ77" s="2">
        <f>SUMIFS('周排班-纵表'!$I:$I,'周排班-纵表'!$C:$C,$C77,'周排班-纵表'!$G:$G,$G77,'周排班-纵表'!$H:$H,AJ$1)</f>
        <v/>
      </c>
      <c r="AK77" s="2">
        <f>SUMIFS('周排班-纵表'!$I:$I,'周排班-纵表'!$C:$C,$C77,'周排班-纵表'!$G:$G,$G77,'周排班-纵表'!$H:$H,AK$1)</f>
        <v/>
      </c>
      <c r="AL77" s="2">
        <f>SUMIFS('周排班-纵表'!$I:$I,'周排班-纵表'!$C:$C,$C77,'周排班-纵表'!$G:$G,$G77,'周排班-纵表'!$H:$H,AL$1)</f>
        <v/>
      </c>
    </row>
    <row r="78">
      <c r="A78" s="2" t="inlineStr">
        <is>
          <t>PE</t>
        </is>
      </c>
      <c r="B78" s="2" t="inlineStr">
        <is>
          <t>Jamesonite Gem (HK) Holdings Limited</t>
        </is>
      </c>
      <c r="C78" s="2" t="inlineStr">
        <is>
          <t>47136348</t>
        </is>
      </c>
      <c r="D78" s="2" t="inlineStr">
        <is>
          <t>AUD2026-12 Warburg Pincus HK SPV JZ</t>
        </is>
      </c>
      <c r="E78" s="2" t="inlineStr">
        <is>
          <t>Order47136348- 260504004</t>
        </is>
      </c>
      <c r="F78" s="2" t="inlineStr">
        <is>
          <t>47136348- EDC260504001</t>
        </is>
      </c>
      <c r="G78" s="2" t="inlineStr">
        <is>
          <t>Luna.CD.Zhang@cn.ey.com</t>
        </is>
      </c>
      <c r="H78" s="2">
        <f>SUMIFS('周排班-纵表'!$I:$I,'周排班-纵表'!$C:$C,$C78,'周排班-纵表'!$G:$G,$G78,'周排班-纵表'!$H:$H,H$1)</f>
        <v/>
      </c>
      <c r="I78" s="2">
        <f>SUMIFS('周排班-纵表'!$I:$I,'周排班-纵表'!$C:$C,$C78,'周排班-纵表'!$G:$G,$G78,'周排班-纵表'!$H:$H,I$1)</f>
        <v/>
      </c>
      <c r="J78" s="2">
        <f>SUMIFS('周排班-纵表'!$I:$I,'周排班-纵表'!$C:$C,$C78,'周排班-纵表'!$G:$G,$G78,'周排班-纵表'!$H:$H,J$1)</f>
        <v/>
      </c>
      <c r="K78" s="2">
        <f>SUMIFS('周排班-纵表'!$I:$I,'周排班-纵表'!$C:$C,$C78,'周排班-纵表'!$G:$G,$G78,'周排班-纵表'!$H:$H,K$1)</f>
        <v/>
      </c>
      <c r="L78" s="2">
        <f>SUMIFS('周排班-纵表'!$I:$I,'周排班-纵表'!$C:$C,$C78,'周排班-纵表'!$G:$G,$G78,'周排班-纵表'!$H:$H,L$1)</f>
        <v/>
      </c>
      <c r="M78" s="2">
        <f>SUMIFS('周排班-纵表'!$I:$I,'周排班-纵表'!$C:$C,$C78,'周排班-纵表'!$G:$G,$G78,'周排班-纵表'!$H:$H,M$1)</f>
        <v/>
      </c>
      <c r="N78" s="2">
        <f>SUMIFS('周排班-纵表'!$I:$I,'周排班-纵表'!$C:$C,$C78,'周排班-纵表'!$G:$G,$G78,'周排班-纵表'!$H:$H,N$1)</f>
        <v/>
      </c>
      <c r="O78" s="2">
        <f>SUMIFS('周排班-纵表'!$I:$I,'周排班-纵表'!$C:$C,$C78,'周排班-纵表'!$G:$G,$G78,'周排班-纵表'!$H:$H,O$1)</f>
        <v/>
      </c>
      <c r="P78" s="2">
        <f>SUMIFS('周排班-纵表'!$I:$I,'周排班-纵表'!$C:$C,$C78,'周排班-纵表'!$G:$G,$G78,'周排班-纵表'!$H:$H,P$1)</f>
        <v/>
      </c>
      <c r="Q78" s="2">
        <f>SUMIFS('周排班-纵表'!$I:$I,'周排班-纵表'!$C:$C,$C78,'周排班-纵表'!$G:$G,$G78,'周排班-纵表'!$H:$H,Q$1)</f>
        <v/>
      </c>
      <c r="R78" s="2">
        <f>SUMIFS('周排班-纵表'!$I:$I,'周排班-纵表'!$C:$C,$C78,'周排班-纵表'!$G:$G,$G78,'周排班-纵表'!$H:$H,R$1)</f>
        <v/>
      </c>
      <c r="S78" s="2">
        <f>SUMIFS('周排班-纵表'!$I:$I,'周排班-纵表'!$C:$C,$C78,'周排班-纵表'!$G:$G,$G78,'周排班-纵表'!$H:$H,S$1)</f>
        <v/>
      </c>
      <c r="T78" s="2">
        <f>SUMIFS('周排班-纵表'!$I:$I,'周排班-纵表'!$C:$C,$C78,'周排班-纵表'!$G:$G,$G78,'周排班-纵表'!$H:$H,T$1)</f>
        <v/>
      </c>
      <c r="U78" s="2">
        <f>SUMIFS('周排班-纵表'!$I:$I,'周排班-纵表'!$C:$C,$C78,'周排班-纵表'!$G:$G,$G78,'周排班-纵表'!$H:$H,U$1)</f>
        <v/>
      </c>
      <c r="V78" s="2">
        <f>SUMIFS('周排班-纵表'!$I:$I,'周排班-纵表'!$C:$C,$C78,'周排班-纵表'!$G:$G,$G78,'周排班-纵表'!$H:$H,V$1)</f>
        <v/>
      </c>
      <c r="W78" s="2">
        <f>SUMIFS('周排班-纵表'!$I:$I,'周排班-纵表'!$C:$C,$C78,'周排班-纵表'!$G:$G,$G78,'周排班-纵表'!$H:$H,W$1)</f>
        <v/>
      </c>
      <c r="X78" s="2">
        <f>SUMIFS('周排班-纵表'!$I:$I,'周排班-纵表'!$C:$C,$C78,'周排班-纵表'!$G:$G,$G78,'周排班-纵表'!$H:$H,X$1)</f>
        <v/>
      </c>
      <c r="Y78" s="2">
        <f>SUMIFS('周排班-纵表'!$I:$I,'周排班-纵表'!$C:$C,$C78,'周排班-纵表'!$G:$G,$G78,'周排班-纵表'!$H:$H,Y$1)</f>
        <v/>
      </c>
      <c r="Z78" s="2">
        <f>SUMIFS('周排班-纵表'!$I:$I,'周排班-纵表'!$C:$C,$C78,'周排班-纵表'!$G:$G,$G78,'周排班-纵表'!$H:$H,Z$1)</f>
        <v/>
      </c>
      <c r="AA78" s="2">
        <f>SUMIFS('周排班-纵表'!$I:$I,'周排班-纵表'!$C:$C,$C78,'周排班-纵表'!$G:$G,$G78,'周排班-纵表'!$H:$H,AA$1)</f>
        <v/>
      </c>
      <c r="AB78" s="2">
        <f>SUMIFS('周排班-纵表'!$I:$I,'周排班-纵表'!$C:$C,$C78,'周排班-纵表'!$G:$G,$G78,'周排班-纵表'!$H:$H,AB$1)</f>
        <v/>
      </c>
      <c r="AC78" s="2">
        <f>SUMIFS('周排班-纵表'!$I:$I,'周排班-纵表'!$C:$C,$C78,'周排班-纵表'!$G:$G,$G78,'周排班-纵表'!$H:$H,AC$1)</f>
        <v/>
      </c>
      <c r="AD78" s="2">
        <f>SUMIFS('周排班-纵表'!$I:$I,'周排班-纵表'!$C:$C,$C78,'周排班-纵表'!$G:$G,$G78,'周排班-纵表'!$H:$H,AD$1)</f>
        <v/>
      </c>
      <c r="AE78" s="2">
        <f>SUMIFS('周排班-纵表'!$I:$I,'周排班-纵表'!$C:$C,$C78,'周排班-纵表'!$G:$G,$G78,'周排班-纵表'!$H:$H,AE$1)</f>
        <v/>
      </c>
      <c r="AF78" s="2">
        <f>SUMIFS('周排班-纵表'!$I:$I,'周排班-纵表'!$C:$C,$C78,'周排班-纵表'!$G:$G,$G78,'周排班-纵表'!$H:$H,AF$1)</f>
        <v/>
      </c>
      <c r="AG78" s="2">
        <f>SUMIFS('周排班-纵表'!$I:$I,'周排班-纵表'!$C:$C,$C78,'周排班-纵表'!$G:$G,$G78,'周排班-纵表'!$H:$H,AG$1)</f>
        <v/>
      </c>
      <c r="AH78" s="2">
        <f>SUMIFS('周排班-纵表'!$I:$I,'周排班-纵表'!$C:$C,$C78,'周排班-纵表'!$G:$G,$G78,'周排班-纵表'!$H:$H,AH$1)</f>
        <v/>
      </c>
      <c r="AI78" s="2">
        <f>SUMIFS('周排班-纵表'!$I:$I,'周排班-纵表'!$C:$C,$C78,'周排班-纵表'!$G:$G,$G78,'周排班-纵表'!$H:$H,AI$1)</f>
        <v/>
      </c>
      <c r="AJ78" s="2">
        <f>SUMIFS('周排班-纵表'!$I:$I,'周排班-纵表'!$C:$C,$C78,'周排班-纵表'!$G:$G,$G78,'周排班-纵表'!$H:$H,AJ$1)</f>
        <v/>
      </c>
      <c r="AK78" s="2">
        <f>SUMIFS('周排班-纵表'!$I:$I,'周排班-纵表'!$C:$C,$C78,'周排班-纵表'!$G:$G,$G78,'周排班-纵表'!$H:$H,AK$1)</f>
        <v/>
      </c>
      <c r="AL78" s="2">
        <f>SUMIFS('周排班-纵表'!$I:$I,'周排班-纵表'!$C:$C,$C78,'周排班-纵表'!$G:$G,$G78,'周排班-纵表'!$H:$H,AL$1)</f>
        <v/>
      </c>
    </row>
    <row r="79">
      <c r="A79" s="2" t="inlineStr">
        <is>
          <t>PE</t>
        </is>
      </c>
      <c r="B79" s="2" t="inlineStr">
        <is>
          <t>Jamesonite Gem (HK) Holdings Limited</t>
        </is>
      </c>
      <c r="C79" s="2" t="inlineStr">
        <is>
          <t>47136348</t>
        </is>
      </c>
      <c r="D79" s="2" t="inlineStr">
        <is>
          <t>AUD2026-12 Warburg Pincus HK SPV JZ</t>
        </is>
      </c>
      <c r="E79" s="2" t="inlineStr">
        <is>
          <t>Order47136348- 260504004</t>
        </is>
      </c>
      <c r="F79" s="2" t="inlineStr">
        <is>
          <t>47136348- EDC260504001</t>
        </is>
      </c>
      <c r="G79" s="2" t="inlineStr">
        <is>
          <t>Marsh.Ma@cn.ey.com</t>
        </is>
      </c>
      <c r="H79" s="2">
        <f>SUMIFS('周排班-纵表'!$I:$I,'周排班-纵表'!$C:$C,$C79,'周排班-纵表'!$G:$G,$G79,'周排班-纵表'!$H:$H,H$1)</f>
        <v/>
      </c>
      <c r="I79" s="2">
        <f>SUMIFS('周排班-纵表'!$I:$I,'周排班-纵表'!$C:$C,$C79,'周排班-纵表'!$G:$G,$G79,'周排班-纵表'!$H:$H,I$1)</f>
        <v/>
      </c>
      <c r="J79" s="2">
        <f>SUMIFS('周排班-纵表'!$I:$I,'周排班-纵表'!$C:$C,$C79,'周排班-纵表'!$G:$G,$G79,'周排班-纵表'!$H:$H,J$1)</f>
        <v/>
      </c>
      <c r="K79" s="2">
        <f>SUMIFS('周排班-纵表'!$I:$I,'周排班-纵表'!$C:$C,$C79,'周排班-纵表'!$G:$G,$G79,'周排班-纵表'!$H:$H,K$1)</f>
        <v/>
      </c>
      <c r="L79" s="2">
        <f>SUMIFS('周排班-纵表'!$I:$I,'周排班-纵表'!$C:$C,$C79,'周排班-纵表'!$G:$G,$G79,'周排班-纵表'!$H:$H,L$1)</f>
        <v/>
      </c>
      <c r="M79" s="2">
        <f>SUMIFS('周排班-纵表'!$I:$I,'周排班-纵表'!$C:$C,$C79,'周排班-纵表'!$G:$G,$G79,'周排班-纵表'!$H:$H,M$1)</f>
        <v/>
      </c>
      <c r="N79" s="2">
        <f>SUMIFS('周排班-纵表'!$I:$I,'周排班-纵表'!$C:$C,$C79,'周排班-纵表'!$G:$G,$G79,'周排班-纵表'!$H:$H,N$1)</f>
        <v/>
      </c>
      <c r="O79" s="2">
        <f>SUMIFS('周排班-纵表'!$I:$I,'周排班-纵表'!$C:$C,$C79,'周排班-纵表'!$G:$G,$G79,'周排班-纵表'!$H:$H,O$1)</f>
        <v/>
      </c>
      <c r="P79" s="2">
        <f>SUMIFS('周排班-纵表'!$I:$I,'周排班-纵表'!$C:$C,$C79,'周排班-纵表'!$G:$G,$G79,'周排班-纵表'!$H:$H,P$1)</f>
        <v/>
      </c>
      <c r="Q79" s="2">
        <f>SUMIFS('周排班-纵表'!$I:$I,'周排班-纵表'!$C:$C,$C79,'周排班-纵表'!$G:$G,$G79,'周排班-纵表'!$H:$H,Q$1)</f>
        <v/>
      </c>
      <c r="R79" s="2">
        <f>SUMIFS('周排班-纵表'!$I:$I,'周排班-纵表'!$C:$C,$C79,'周排班-纵表'!$G:$G,$G79,'周排班-纵表'!$H:$H,R$1)</f>
        <v/>
      </c>
      <c r="S79" s="2">
        <f>SUMIFS('周排班-纵表'!$I:$I,'周排班-纵表'!$C:$C,$C79,'周排班-纵表'!$G:$G,$G79,'周排班-纵表'!$H:$H,S$1)</f>
        <v/>
      </c>
      <c r="T79" s="2">
        <f>SUMIFS('周排班-纵表'!$I:$I,'周排班-纵表'!$C:$C,$C79,'周排班-纵表'!$G:$G,$G79,'周排班-纵表'!$H:$H,T$1)</f>
        <v/>
      </c>
      <c r="U79" s="2">
        <f>SUMIFS('周排班-纵表'!$I:$I,'周排班-纵表'!$C:$C,$C79,'周排班-纵表'!$G:$G,$G79,'周排班-纵表'!$H:$H,U$1)</f>
        <v/>
      </c>
      <c r="V79" s="2">
        <f>SUMIFS('周排班-纵表'!$I:$I,'周排班-纵表'!$C:$C,$C79,'周排班-纵表'!$G:$G,$G79,'周排班-纵表'!$H:$H,V$1)</f>
        <v/>
      </c>
      <c r="W79" s="2">
        <f>SUMIFS('周排班-纵表'!$I:$I,'周排班-纵表'!$C:$C,$C79,'周排班-纵表'!$G:$G,$G79,'周排班-纵表'!$H:$H,W$1)</f>
        <v/>
      </c>
      <c r="X79" s="2">
        <f>SUMIFS('周排班-纵表'!$I:$I,'周排班-纵表'!$C:$C,$C79,'周排班-纵表'!$G:$G,$G79,'周排班-纵表'!$H:$H,X$1)</f>
        <v/>
      </c>
      <c r="Y79" s="2">
        <f>SUMIFS('周排班-纵表'!$I:$I,'周排班-纵表'!$C:$C,$C79,'周排班-纵表'!$G:$G,$G79,'周排班-纵表'!$H:$H,Y$1)</f>
        <v/>
      </c>
      <c r="Z79" s="2">
        <f>SUMIFS('周排班-纵表'!$I:$I,'周排班-纵表'!$C:$C,$C79,'周排班-纵表'!$G:$G,$G79,'周排班-纵表'!$H:$H,Z$1)</f>
        <v/>
      </c>
      <c r="AA79" s="2">
        <f>SUMIFS('周排班-纵表'!$I:$I,'周排班-纵表'!$C:$C,$C79,'周排班-纵表'!$G:$G,$G79,'周排班-纵表'!$H:$H,AA$1)</f>
        <v/>
      </c>
      <c r="AB79" s="2">
        <f>SUMIFS('周排班-纵表'!$I:$I,'周排班-纵表'!$C:$C,$C79,'周排班-纵表'!$G:$G,$G79,'周排班-纵表'!$H:$H,AB$1)</f>
        <v/>
      </c>
      <c r="AC79" s="2">
        <f>SUMIFS('周排班-纵表'!$I:$I,'周排班-纵表'!$C:$C,$C79,'周排班-纵表'!$G:$G,$G79,'周排班-纵表'!$H:$H,AC$1)</f>
        <v/>
      </c>
      <c r="AD79" s="2">
        <f>SUMIFS('周排班-纵表'!$I:$I,'周排班-纵表'!$C:$C,$C79,'周排班-纵表'!$G:$G,$G79,'周排班-纵表'!$H:$H,AD$1)</f>
        <v/>
      </c>
      <c r="AE79" s="2">
        <f>SUMIFS('周排班-纵表'!$I:$I,'周排班-纵表'!$C:$C,$C79,'周排班-纵表'!$G:$G,$G79,'周排班-纵表'!$H:$H,AE$1)</f>
        <v/>
      </c>
      <c r="AF79" s="2">
        <f>SUMIFS('周排班-纵表'!$I:$I,'周排班-纵表'!$C:$C,$C79,'周排班-纵表'!$G:$G,$G79,'周排班-纵表'!$H:$H,AF$1)</f>
        <v/>
      </c>
      <c r="AG79" s="2">
        <f>SUMIFS('周排班-纵表'!$I:$I,'周排班-纵表'!$C:$C,$C79,'周排班-纵表'!$G:$G,$G79,'周排班-纵表'!$H:$H,AG$1)</f>
        <v/>
      </c>
      <c r="AH79" s="2">
        <f>SUMIFS('周排班-纵表'!$I:$I,'周排班-纵表'!$C:$C,$C79,'周排班-纵表'!$G:$G,$G79,'周排班-纵表'!$H:$H,AH$1)</f>
        <v/>
      </c>
      <c r="AI79" s="2">
        <f>SUMIFS('周排班-纵表'!$I:$I,'周排班-纵表'!$C:$C,$C79,'周排班-纵表'!$G:$G,$G79,'周排班-纵表'!$H:$H,AI$1)</f>
        <v/>
      </c>
      <c r="AJ79" s="2">
        <f>SUMIFS('周排班-纵表'!$I:$I,'周排班-纵表'!$C:$C,$C79,'周排班-纵表'!$G:$G,$G79,'周排班-纵表'!$H:$H,AJ$1)</f>
        <v/>
      </c>
      <c r="AK79" s="2">
        <f>SUMIFS('周排班-纵表'!$I:$I,'周排班-纵表'!$C:$C,$C79,'周排班-纵表'!$G:$G,$G79,'周排班-纵表'!$H:$H,AK$1)</f>
        <v/>
      </c>
      <c r="AL79" s="2">
        <f>SUMIFS('周排班-纵表'!$I:$I,'周排班-纵表'!$C:$C,$C79,'周排班-纵表'!$G:$G,$G79,'周排班-纵表'!$H:$H,AL$1)</f>
        <v/>
      </c>
    </row>
    <row r="80">
      <c r="A80" s="2" t="inlineStr">
        <is>
          <t>PE</t>
        </is>
      </c>
      <c r="B80" s="2" t="inlineStr">
        <is>
          <t>Jamesonite Gem (HK) Holdings Limited</t>
        </is>
      </c>
      <c r="C80" s="2" t="inlineStr">
        <is>
          <t>47136348</t>
        </is>
      </c>
      <c r="D80" s="2" t="inlineStr">
        <is>
          <t>AUD2026-12 Warburg Pincus HK SPV JZ</t>
        </is>
      </c>
      <c r="E80" s="2" t="inlineStr">
        <is>
          <t>Order47136348- 260504004</t>
        </is>
      </c>
      <c r="F80" s="2" t="inlineStr">
        <is>
          <t>47136348- EDC260504001</t>
        </is>
      </c>
      <c r="G80" s="2" t="inlineStr">
        <is>
          <t>Rainbow.MG.Xiao@cn.ey.com</t>
        </is>
      </c>
      <c r="H80" s="2">
        <f>SUMIFS('周排班-纵表'!$I:$I,'周排班-纵表'!$C:$C,$C80,'周排班-纵表'!$G:$G,$G80,'周排班-纵表'!$H:$H,H$1)</f>
        <v/>
      </c>
      <c r="I80" s="2">
        <f>SUMIFS('周排班-纵表'!$I:$I,'周排班-纵表'!$C:$C,$C80,'周排班-纵表'!$G:$G,$G80,'周排班-纵表'!$H:$H,I$1)</f>
        <v/>
      </c>
      <c r="J80" s="2">
        <f>SUMIFS('周排班-纵表'!$I:$I,'周排班-纵表'!$C:$C,$C80,'周排班-纵表'!$G:$G,$G80,'周排班-纵表'!$H:$H,J$1)</f>
        <v/>
      </c>
      <c r="K80" s="2">
        <f>SUMIFS('周排班-纵表'!$I:$I,'周排班-纵表'!$C:$C,$C80,'周排班-纵表'!$G:$G,$G80,'周排班-纵表'!$H:$H,K$1)</f>
        <v/>
      </c>
      <c r="L80" s="2">
        <f>SUMIFS('周排班-纵表'!$I:$I,'周排班-纵表'!$C:$C,$C80,'周排班-纵表'!$G:$G,$G80,'周排班-纵表'!$H:$H,L$1)</f>
        <v/>
      </c>
      <c r="M80" s="2">
        <f>SUMIFS('周排班-纵表'!$I:$I,'周排班-纵表'!$C:$C,$C80,'周排班-纵表'!$G:$G,$G80,'周排班-纵表'!$H:$H,M$1)</f>
        <v/>
      </c>
      <c r="N80" s="2">
        <f>SUMIFS('周排班-纵表'!$I:$I,'周排班-纵表'!$C:$C,$C80,'周排班-纵表'!$G:$G,$G80,'周排班-纵表'!$H:$H,N$1)</f>
        <v/>
      </c>
      <c r="O80" s="2">
        <f>SUMIFS('周排班-纵表'!$I:$I,'周排班-纵表'!$C:$C,$C80,'周排班-纵表'!$G:$G,$G80,'周排班-纵表'!$H:$H,O$1)</f>
        <v/>
      </c>
      <c r="P80" s="2">
        <f>SUMIFS('周排班-纵表'!$I:$I,'周排班-纵表'!$C:$C,$C80,'周排班-纵表'!$G:$G,$G80,'周排班-纵表'!$H:$H,P$1)</f>
        <v/>
      </c>
      <c r="Q80" s="2">
        <f>SUMIFS('周排班-纵表'!$I:$I,'周排班-纵表'!$C:$C,$C80,'周排班-纵表'!$G:$G,$G80,'周排班-纵表'!$H:$H,Q$1)</f>
        <v/>
      </c>
      <c r="R80" s="2">
        <f>SUMIFS('周排班-纵表'!$I:$I,'周排班-纵表'!$C:$C,$C80,'周排班-纵表'!$G:$G,$G80,'周排班-纵表'!$H:$H,R$1)</f>
        <v/>
      </c>
      <c r="S80" s="2">
        <f>SUMIFS('周排班-纵表'!$I:$I,'周排班-纵表'!$C:$C,$C80,'周排班-纵表'!$G:$G,$G80,'周排班-纵表'!$H:$H,S$1)</f>
        <v/>
      </c>
      <c r="T80" s="2">
        <f>SUMIFS('周排班-纵表'!$I:$I,'周排班-纵表'!$C:$C,$C80,'周排班-纵表'!$G:$G,$G80,'周排班-纵表'!$H:$H,T$1)</f>
        <v/>
      </c>
      <c r="U80" s="2">
        <f>SUMIFS('周排班-纵表'!$I:$I,'周排班-纵表'!$C:$C,$C80,'周排班-纵表'!$G:$G,$G80,'周排班-纵表'!$H:$H,U$1)</f>
        <v/>
      </c>
      <c r="V80" s="2">
        <f>SUMIFS('周排班-纵表'!$I:$I,'周排班-纵表'!$C:$C,$C80,'周排班-纵表'!$G:$G,$G80,'周排班-纵表'!$H:$H,V$1)</f>
        <v/>
      </c>
      <c r="W80" s="2">
        <f>SUMIFS('周排班-纵表'!$I:$I,'周排班-纵表'!$C:$C,$C80,'周排班-纵表'!$G:$G,$G80,'周排班-纵表'!$H:$H,W$1)</f>
        <v/>
      </c>
      <c r="X80" s="2">
        <f>SUMIFS('周排班-纵表'!$I:$I,'周排班-纵表'!$C:$C,$C80,'周排班-纵表'!$G:$G,$G80,'周排班-纵表'!$H:$H,X$1)</f>
        <v/>
      </c>
      <c r="Y80" s="2">
        <f>SUMIFS('周排班-纵表'!$I:$I,'周排班-纵表'!$C:$C,$C80,'周排班-纵表'!$G:$G,$G80,'周排班-纵表'!$H:$H,Y$1)</f>
        <v/>
      </c>
      <c r="Z80" s="2">
        <f>SUMIFS('周排班-纵表'!$I:$I,'周排班-纵表'!$C:$C,$C80,'周排班-纵表'!$G:$G,$G80,'周排班-纵表'!$H:$H,Z$1)</f>
        <v/>
      </c>
      <c r="AA80" s="2">
        <f>SUMIFS('周排班-纵表'!$I:$I,'周排班-纵表'!$C:$C,$C80,'周排班-纵表'!$G:$G,$G80,'周排班-纵表'!$H:$H,AA$1)</f>
        <v/>
      </c>
      <c r="AB80" s="2">
        <f>SUMIFS('周排班-纵表'!$I:$I,'周排班-纵表'!$C:$C,$C80,'周排班-纵表'!$G:$G,$G80,'周排班-纵表'!$H:$H,AB$1)</f>
        <v/>
      </c>
      <c r="AC80" s="2">
        <f>SUMIFS('周排班-纵表'!$I:$I,'周排班-纵表'!$C:$C,$C80,'周排班-纵表'!$G:$G,$G80,'周排班-纵表'!$H:$H,AC$1)</f>
        <v/>
      </c>
      <c r="AD80" s="2">
        <f>SUMIFS('周排班-纵表'!$I:$I,'周排班-纵表'!$C:$C,$C80,'周排班-纵表'!$G:$G,$G80,'周排班-纵表'!$H:$H,AD$1)</f>
        <v/>
      </c>
      <c r="AE80" s="2">
        <f>SUMIFS('周排班-纵表'!$I:$I,'周排班-纵表'!$C:$C,$C80,'周排班-纵表'!$G:$G,$G80,'周排班-纵表'!$H:$H,AE$1)</f>
        <v/>
      </c>
      <c r="AF80" s="2">
        <f>SUMIFS('周排班-纵表'!$I:$I,'周排班-纵表'!$C:$C,$C80,'周排班-纵表'!$G:$G,$G80,'周排班-纵表'!$H:$H,AF$1)</f>
        <v/>
      </c>
      <c r="AG80" s="2">
        <f>SUMIFS('周排班-纵表'!$I:$I,'周排班-纵表'!$C:$C,$C80,'周排班-纵表'!$G:$G,$G80,'周排班-纵表'!$H:$H,AG$1)</f>
        <v/>
      </c>
      <c r="AH80" s="2">
        <f>SUMIFS('周排班-纵表'!$I:$I,'周排班-纵表'!$C:$C,$C80,'周排班-纵表'!$G:$G,$G80,'周排班-纵表'!$H:$H,AH$1)</f>
        <v/>
      </c>
      <c r="AI80" s="2">
        <f>SUMIFS('周排班-纵表'!$I:$I,'周排班-纵表'!$C:$C,$C80,'周排班-纵表'!$G:$G,$G80,'周排班-纵表'!$H:$H,AI$1)</f>
        <v/>
      </c>
      <c r="AJ80" s="2">
        <f>SUMIFS('周排班-纵表'!$I:$I,'周排班-纵表'!$C:$C,$C80,'周排班-纵表'!$G:$G,$G80,'周排班-纵表'!$H:$H,AJ$1)</f>
        <v/>
      </c>
      <c r="AK80" s="2">
        <f>SUMIFS('周排班-纵表'!$I:$I,'周排班-纵表'!$C:$C,$C80,'周排班-纵表'!$G:$G,$G80,'周排班-纵表'!$H:$H,AK$1)</f>
        <v/>
      </c>
      <c r="AL80" s="2">
        <f>SUMIFS('周排班-纵表'!$I:$I,'周排班-纵表'!$C:$C,$C80,'周排班-纵表'!$G:$G,$G80,'周排班-纵表'!$H:$H,AL$1)</f>
        <v/>
      </c>
    </row>
    <row r="81">
      <c r="A81" s="2" t="inlineStr">
        <is>
          <t>PE</t>
        </is>
      </c>
      <c r="B81" s="2" t="inlineStr">
        <is>
          <t>Jamesonite Gem (HK) Holdings Limited</t>
        </is>
      </c>
      <c r="C81" s="2" t="inlineStr">
        <is>
          <t>47136348</t>
        </is>
      </c>
      <c r="D81" s="2" t="inlineStr">
        <is>
          <t>AUD2026-12 Warburg Pincus HK SPV JZ</t>
        </is>
      </c>
      <c r="E81" s="2" t="inlineStr">
        <is>
          <t>Order47136348- 260504004</t>
        </is>
      </c>
      <c r="F81" s="2" t="inlineStr">
        <is>
          <t>47136348- EDC260504001</t>
        </is>
      </c>
      <c r="G81" s="2" t="inlineStr">
        <is>
          <t>Vivi.W.Yang@cn.ey.com</t>
        </is>
      </c>
      <c r="H81" s="2">
        <f>SUMIFS('周排班-纵表'!$I:$I,'周排班-纵表'!$C:$C,$C81,'周排班-纵表'!$G:$G,$G81,'周排班-纵表'!$H:$H,H$1)</f>
        <v/>
      </c>
      <c r="I81" s="2">
        <f>SUMIFS('周排班-纵表'!$I:$I,'周排班-纵表'!$C:$C,$C81,'周排班-纵表'!$G:$G,$G81,'周排班-纵表'!$H:$H,I$1)</f>
        <v/>
      </c>
      <c r="J81" s="2">
        <f>SUMIFS('周排班-纵表'!$I:$I,'周排班-纵表'!$C:$C,$C81,'周排班-纵表'!$G:$G,$G81,'周排班-纵表'!$H:$H,J$1)</f>
        <v/>
      </c>
      <c r="K81" s="2">
        <f>SUMIFS('周排班-纵表'!$I:$I,'周排班-纵表'!$C:$C,$C81,'周排班-纵表'!$G:$G,$G81,'周排班-纵表'!$H:$H,K$1)</f>
        <v/>
      </c>
      <c r="L81" s="2">
        <f>SUMIFS('周排班-纵表'!$I:$I,'周排班-纵表'!$C:$C,$C81,'周排班-纵表'!$G:$G,$G81,'周排班-纵表'!$H:$H,L$1)</f>
        <v/>
      </c>
      <c r="M81" s="2">
        <f>SUMIFS('周排班-纵表'!$I:$I,'周排班-纵表'!$C:$C,$C81,'周排班-纵表'!$G:$G,$G81,'周排班-纵表'!$H:$H,M$1)</f>
        <v/>
      </c>
      <c r="N81" s="2">
        <f>SUMIFS('周排班-纵表'!$I:$I,'周排班-纵表'!$C:$C,$C81,'周排班-纵表'!$G:$G,$G81,'周排班-纵表'!$H:$H,N$1)</f>
        <v/>
      </c>
      <c r="O81" s="2">
        <f>SUMIFS('周排班-纵表'!$I:$I,'周排班-纵表'!$C:$C,$C81,'周排班-纵表'!$G:$G,$G81,'周排班-纵表'!$H:$H,O$1)</f>
        <v/>
      </c>
      <c r="P81" s="2">
        <f>SUMIFS('周排班-纵表'!$I:$I,'周排班-纵表'!$C:$C,$C81,'周排班-纵表'!$G:$G,$G81,'周排班-纵表'!$H:$H,P$1)</f>
        <v/>
      </c>
      <c r="Q81" s="2">
        <f>SUMIFS('周排班-纵表'!$I:$I,'周排班-纵表'!$C:$C,$C81,'周排班-纵表'!$G:$G,$G81,'周排班-纵表'!$H:$H,Q$1)</f>
        <v/>
      </c>
      <c r="R81" s="2">
        <f>SUMIFS('周排班-纵表'!$I:$I,'周排班-纵表'!$C:$C,$C81,'周排班-纵表'!$G:$G,$G81,'周排班-纵表'!$H:$H,R$1)</f>
        <v/>
      </c>
      <c r="S81" s="2">
        <f>SUMIFS('周排班-纵表'!$I:$I,'周排班-纵表'!$C:$C,$C81,'周排班-纵表'!$G:$G,$G81,'周排班-纵表'!$H:$H,S$1)</f>
        <v/>
      </c>
      <c r="T81" s="2">
        <f>SUMIFS('周排班-纵表'!$I:$I,'周排班-纵表'!$C:$C,$C81,'周排班-纵表'!$G:$G,$G81,'周排班-纵表'!$H:$H,T$1)</f>
        <v/>
      </c>
      <c r="U81" s="2">
        <f>SUMIFS('周排班-纵表'!$I:$I,'周排班-纵表'!$C:$C,$C81,'周排班-纵表'!$G:$G,$G81,'周排班-纵表'!$H:$H,U$1)</f>
        <v/>
      </c>
      <c r="V81" s="2">
        <f>SUMIFS('周排班-纵表'!$I:$I,'周排班-纵表'!$C:$C,$C81,'周排班-纵表'!$G:$G,$G81,'周排班-纵表'!$H:$H,V$1)</f>
        <v/>
      </c>
      <c r="W81" s="2">
        <f>SUMIFS('周排班-纵表'!$I:$I,'周排班-纵表'!$C:$C,$C81,'周排班-纵表'!$G:$G,$G81,'周排班-纵表'!$H:$H,W$1)</f>
        <v/>
      </c>
      <c r="X81" s="2">
        <f>SUMIFS('周排班-纵表'!$I:$I,'周排班-纵表'!$C:$C,$C81,'周排班-纵表'!$G:$G,$G81,'周排班-纵表'!$H:$H,X$1)</f>
        <v/>
      </c>
      <c r="Y81" s="2">
        <f>SUMIFS('周排班-纵表'!$I:$I,'周排班-纵表'!$C:$C,$C81,'周排班-纵表'!$G:$G,$G81,'周排班-纵表'!$H:$H,Y$1)</f>
        <v/>
      </c>
      <c r="Z81" s="2">
        <f>SUMIFS('周排班-纵表'!$I:$I,'周排班-纵表'!$C:$C,$C81,'周排班-纵表'!$G:$G,$G81,'周排班-纵表'!$H:$H,Z$1)</f>
        <v/>
      </c>
      <c r="AA81" s="2">
        <f>SUMIFS('周排班-纵表'!$I:$I,'周排班-纵表'!$C:$C,$C81,'周排班-纵表'!$G:$G,$G81,'周排班-纵表'!$H:$H,AA$1)</f>
        <v/>
      </c>
      <c r="AB81" s="2">
        <f>SUMIFS('周排班-纵表'!$I:$I,'周排班-纵表'!$C:$C,$C81,'周排班-纵表'!$G:$G,$G81,'周排班-纵表'!$H:$H,AB$1)</f>
        <v/>
      </c>
      <c r="AC81" s="2">
        <f>SUMIFS('周排班-纵表'!$I:$I,'周排班-纵表'!$C:$C,$C81,'周排班-纵表'!$G:$G,$G81,'周排班-纵表'!$H:$H,AC$1)</f>
        <v/>
      </c>
      <c r="AD81" s="2">
        <f>SUMIFS('周排班-纵表'!$I:$I,'周排班-纵表'!$C:$C,$C81,'周排班-纵表'!$G:$G,$G81,'周排班-纵表'!$H:$H,AD$1)</f>
        <v/>
      </c>
      <c r="AE81" s="2">
        <f>SUMIFS('周排班-纵表'!$I:$I,'周排班-纵表'!$C:$C,$C81,'周排班-纵表'!$G:$G,$G81,'周排班-纵表'!$H:$H,AE$1)</f>
        <v/>
      </c>
      <c r="AF81" s="2">
        <f>SUMIFS('周排班-纵表'!$I:$I,'周排班-纵表'!$C:$C,$C81,'周排班-纵表'!$G:$G,$G81,'周排班-纵表'!$H:$H,AF$1)</f>
        <v/>
      </c>
      <c r="AG81" s="2">
        <f>SUMIFS('周排班-纵表'!$I:$I,'周排班-纵表'!$C:$C,$C81,'周排班-纵表'!$G:$G,$G81,'周排班-纵表'!$H:$H,AG$1)</f>
        <v/>
      </c>
      <c r="AH81" s="2">
        <f>SUMIFS('周排班-纵表'!$I:$I,'周排班-纵表'!$C:$C,$C81,'周排班-纵表'!$G:$G,$G81,'周排班-纵表'!$H:$H,AH$1)</f>
        <v/>
      </c>
      <c r="AI81" s="2">
        <f>SUMIFS('周排班-纵表'!$I:$I,'周排班-纵表'!$C:$C,$C81,'周排班-纵表'!$G:$G,$G81,'周排班-纵表'!$H:$H,AI$1)</f>
        <v/>
      </c>
      <c r="AJ81" s="2">
        <f>SUMIFS('周排班-纵表'!$I:$I,'周排班-纵表'!$C:$C,$C81,'周排班-纵表'!$G:$G,$G81,'周排班-纵表'!$H:$H,AJ$1)</f>
        <v/>
      </c>
      <c r="AK81" s="2">
        <f>SUMIFS('周排班-纵表'!$I:$I,'周排班-纵表'!$C:$C,$C81,'周排班-纵表'!$G:$G,$G81,'周排班-纵表'!$H:$H,AK$1)</f>
        <v/>
      </c>
      <c r="AL81" s="2">
        <f>SUMIFS('周排班-纵表'!$I:$I,'周排班-纵表'!$C:$C,$C81,'周排班-纵表'!$G:$G,$G81,'周排班-纵表'!$H:$H,AL$1)</f>
        <v/>
      </c>
    </row>
    <row r="82">
      <c r="A82" s="2" t="inlineStr">
        <is>
          <t>公募</t>
        </is>
      </c>
      <c r="B82" s="2" t="inlineStr">
        <is>
          <t>FORTUNE &amp; ROYAL ASSET MANAGEMENT CORPORATION LIMITED</t>
        </is>
      </c>
      <c r="C82" s="2" t="inlineStr">
        <is>
          <t>47128046</t>
        </is>
      </c>
      <c r="D82" s="2" t="inlineStr">
        <is>
          <t>AUD2026-12 FR Funds</t>
        </is>
      </c>
      <c r="E82" s="2" t="inlineStr">
        <is>
          <t>Order47128046- 260501004</t>
        </is>
      </c>
      <c r="F82" s="2" t="inlineStr">
        <is>
          <t>47128046- EDC260504001</t>
        </is>
      </c>
      <c r="G82" s="2" t="inlineStr">
        <is>
          <t>Marsh.Ma@cn.ey.com</t>
        </is>
      </c>
      <c r="H82" s="2">
        <f>SUMIFS('周排班-纵表'!$I:$I,'周排班-纵表'!$C:$C,$C82,'周排班-纵表'!$G:$G,$G82,'周排班-纵表'!$H:$H,H$1)</f>
        <v/>
      </c>
      <c r="I82" s="2">
        <f>SUMIFS('周排班-纵表'!$I:$I,'周排班-纵表'!$C:$C,$C82,'周排班-纵表'!$G:$G,$G82,'周排班-纵表'!$H:$H,I$1)</f>
        <v/>
      </c>
      <c r="J82" s="2">
        <f>SUMIFS('周排班-纵表'!$I:$I,'周排班-纵表'!$C:$C,$C82,'周排班-纵表'!$G:$G,$G82,'周排班-纵表'!$H:$H,J$1)</f>
        <v/>
      </c>
      <c r="K82" s="2">
        <f>SUMIFS('周排班-纵表'!$I:$I,'周排班-纵表'!$C:$C,$C82,'周排班-纵表'!$G:$G,$G82,'周排班-纵表'!$H:$H,K$1)</f>
        <v/>
      </c>
      <c r="L82" s="2">
        <f>SUMIFS('周排班-纵表'!$I:$I,'周排班-纵表'!$C:$C,$C82,'周排班-纵表'!$G:$G,$G82,'周排班-纵表'!$H:$H,L$1)</f>
        <v/>
      </c>
      <c r="M82" s="2">
        <f>SUMIFS('周排班-纵表'!$I:$I,'周排班-纵表'!$C:$C,$C82,'周排班-纵表'!$G:$G,$G82,'周排班-纵表'!$H:$H,M$1)</f>
        <v/>
      </c>
      <c r="N82" s="2">
        <f>SUMIFS('周排班-纵表'!$I:$I,'周排班-纵表'!$C:$C,$C82,'周排班-纵表'!$G:$G,$G82,'周排班-纵表'!$H:$H,N$1)</f>
        <v/>
      </c>
      <c r="O82" s="2">
        <f>SUMIFS('周排班-纵表'!$I:$I,'周排班-纵表'!$C:$C,$C82,'周排班-纵表'!$G:$G,$G82,'周排班-纵表'!$H:$H,O$1)</f>
        <v/>
      </c>
      <c r="P82" s="2">
        <f>SUMIFS('周排班-纵表'!$I:$I,'周排班-纵表'!$C:$C,$C82,'周排班-纵表'!$G:$G,$G82,'周排班-纵表'!$H:$H,P$1)</f>
        <v/>
      </c>
      <c r="Q82" s="2">
        <f>SUMIFS('周排班-纵表'!$I:$I,'周排班-纵表'!$C:$C,$C82,'周排班-纵表'!$G:$G,$G82,'周排班-纵表'!$H:$H,Q$1)</f>
        <v/>
      </c>
      <c r="R82" s="2">
        <f>SUMIFS('周排班-纵表'!$I:$I,'周排班-纵表'!$C:$C,$C82,'周排班-纵表'!$G:$G,$G82,'周排班-纵表'!$H:$H,R$1)</f>
        <v/>
      </c>
      <c r="S82" s="2">
        <f>SUMIFS('周排班-纵表'!$I:$I,'周排班-纵表'!$C:$C,$C82,'周排班-纵表'!$G:$G,$G82,'周排班-纵表'!$H:$H,S$1)</f>
        <v/>
      </c>
      <c r="T82" s="2">
        <f>SUMIFS('周排班-纵表'!$I:$I,'周排班-纵表'!$C:$C,$C82,'周排班-纵表'!$G:$G,$G82,'周排班-纵表'!$H:$H,T$1)</f>
        <v/>
      </c>
      <c r="U82" s="2">
        <f>SUMIFS('周排班-纵表'!$I:$I,'周排班-纵表'!$C:$C,$C82,'周排班-纵表'!$G:$G,$G82,'周排班-纵表'!$H:$H,U$1)</f>
        <v/>
      </c>
      <c r="V82" s="2">
        <f>SUMIFS('周排班-纵表'!$I:$I,'周排班-纵表'!$C:$C,$C82,'周排班-纵表'!$G:$G,$G82,'周排班-纵表'!$H:$H,V$1)</f>
        <v/>
      </c>
      <c r="W82" s="2">
        <f>SUMIFS('周排班-纵表'!$I:$I,'周排班-纵表'!$C:$C,$C82,'周排班-纵表'!$G:$G,$G82,'周排班-纵表'!$H:$H,W$1)</f>
        <v/>
      </c>
      <c r="X82" s="2">
        <f>SUMIFS('周排班-纵表'!$I:$I,'周排班-纵表'!$C:$C,$C82,'周排班-纵表'!$G:$G,$G82,'周排班-纵表'!$H:$H,X$1)</f>
        <v/>
      </c>
      <c r="Y82" s="2">
        <f>SUMIFS('周排班-纵表'!$I:$I,'周排班-纵表'!$C:$C,$C82,'周排班-纵表'!$G:$G,$G82,'周排班-纵表'!$H:$H,Y$1)</f>
        <v/>
      </c>
      <c r="Z82" s="2">
        <f>SUMIFS('周排班-纵表'!$I:$I,'周排班-纵表'!$C:$C,$C82,'周排班-纵表'!$G:$G,$G82,'周排班-纵表'!$H:$H,Z$1)</f>
        <v/>
      </c>
      <c r="AA82" s="2">
        <f>SUMIFS('周排班-纵表'!$I:$I,'周排班-纵表'!$C:$C,$C82,'周排班-纵表'!$G:$G,$G82,'周排班-纵表'!$H:$H,AA$1)</f>
        <v/>
      </c>
      <c r="AB82" s="2">
        <f>SUMIFS('周排班-纵表'!$I:$I,'周排班-纵表'!$C:$C,$C82,'周排班-纵表'!$G:$G,$G82,'周排班-纵表'!$H:$H,AB$1)</f>
        <v/>
      </c>
      <c r="AC82" s="2">
        <f>SUMIFS('周排班-纵表'!$I:$I,'周排班-纵表'!$C:$C,$C82,'周排班-纵表'!$G:$G,$G82,'周排班-纵表'!$H:$H,AC$1)</f>
        <v/>
      </c>
      <c r="AD82" s="2">
        <f>SUMIFS('周排班-纵表'!$I:$I,'周排班-纵表'!$C:$C,$C82,'周排班-纵表'!$G:$G,$G82,'周排班-纵表'!$H:$H,AD$1)</f>
        <v/>
      </c>
      <c r="AE82" s="2">
        <f>SUMIFS('周排班-纵表'!$I:$I,'周排班-纵表'!$C:$C,$C82,'周排班-纵表'!$G:$G,$G82,'周排班-纵表'!$H:$H,AE$1)</f>
        <v/>
      </c>
      <c r="AF82" s="2">
        <f>SUMIFS('周排班-纵表'!$I:$I,'周排班-纵表'!$C:$C,$C82,'周排班-纵表'!$G:$G,$G82,'周排班-纵表'!$H:$H,AF$1)</f>
        <v/>
      </c>
      <c r="AG82" s="2">
        <f>SUMIFS('周排班-纵表'!$I:$I,'周排班-纵表'!$C:$C,$C82,'周排班-纵表'!$G:$G,$G82,'周排班-纵表'!$H:$H,AG$1)</f>
        <v/>
      </c>
      <c r="AH82" s="2">
        <f>SUMIFS('周排班-纵表'!$I:$I,'周排班-纵表'!$C:$C,$C82,'周排班-纵表'!$G:$G,$G82,'周排班-纵表'!$H:$H,AH$1)</f>
        <v/>
      </c>
      <c r="AI82" s="2">
        <f>SUMIFS('周排班-纵表'!$I:$I,'周排班-纵表'!$C:$C,$C82,'周排班-纵表'!$G:$G,$G82,'周排班-纵表'!$H:$H,AI$1)</f>
        <v/>
      </c>
      <c r="AJ82" s="2">
        <f>SUMIFS('周排班-纵表'!$I:$I,'周排班-纵表'!$C:$C,$C82,'周排班-纵表'!$G:$G,$G82,'周排班-纵表'!$H:$H,AJ$1)</f>
        <v/>
      </c>
      <c r="AK82" s="2">
        <f>SUMIFS('周排班-纵表'!$I:$I,'周排班-纵表'!$C:$C,$C82,'周排班-纵表'!$G:$G,$G82,'周排班-纵表'!$H:$H,AK$1)</f>
        <v/>
      </c>
      <c r="AL82" s="2">
        <f>SUMIFS('周排班-纵表'!$I:$I,'周排班-纵表'!$C:$C,$C82,'周排班-纵表'!$G:$G,$G82,'周排班-纵表'!$H:$H,AL$1)</f>
        <v/>
      </c>
    </row>
    <row r="83">
      <c r="A83" s="2" t="inlineStr">
        <is>
          <t>公募</t>
        </is>
      </c>
      <c r="B83" s="2" t="inlineStr">
        <is>
          <t>FORTUNE &amp; ROYAL ASSET MANAGEMENT CORPORATION LIMITED</t>
        </is>
      </c>
      <c r="C83" s="2" t="inlineStr">
        <is>
          <t>47128046</t>
        </is>
      </c>
      <c r="D83" s="2" t="inlineStr">
        <is>
          <t>AUD2026-12 FR Funds</t>
        </is>
      </c>
      <c r="E83" s="2" t="inlineStr">
        <is>
          <t>Order47128046- 260501004</t>
        </is>
      </c>
      <c r="F83" s="2" t="inlineStr">
        <is>
          <t>47128046- EDC260504001</t>
        </is>
      </c>
      <c r="G83" s="2" t="inlineStr">
        <is>
          <t>Yuan.Yuan.YY.Chen@cn.ey.com</t>
        </is>
      </c>
      <c r="H83" s="2">
        <f>SUMIFS('周排班-纵表'!$I:$I,'周排班-纵表'!$C:$C,$C83,'周排班-纵表'!$G:$G,$G83,'周排班-纵表'!$H:$H,H$1)</f>
        <v/>
      </c>
      <c r="I83" s="2">
        <f>SUMIFS('周排班-纵表'!$I:$I,'周排班-纵表'!$C:$C,$C83,'周排班-纵表'!$G:$G,$G83,'周排班-纵表'!$H:$H,I$1)</f>
        <v/>
      </c>
      <c r="J83" s="2">
        <f>SUMIFS('周排班-纵表'!$I:$I,'周排班-纵表'!$C:$C,$C83,'周排班-纵表'!$G:$G,$G83,'周排班-纵表'!$H:$H,J$1)</f>
        <v/>
      </c>
      <c r="K83" s="2">
        <f>SUMIFS('周排班-纵表'!$I:$I,'周排班-纵表'!$C:$C,$C83,'周排班-纵表'!$G:$G,$G83,'周排班-纵表'!$H:$H,K$1)</f>
        <v/>
      </c>
      <c r="L83" s="2">
        <f>SUMIFS('周排班-纵表'!$I:$I,'周排班-纵表'!$C:$C,$C83,'周排班-纵表'!$G:$G,$G83,'周排班-纵表'!$H:$H,L$1)</f>
        <v/>
      </c>
      <c r="M83" s="2">
        <f>SUMIFS('周排班-纵表'!$I:$I,'周排班-纵表'!$C:$C,$C83,'周排班-纵表'!$G:$G,$G83,'周排班-纵表'!$H:$H,M$1)</f>
        <v/>
      </c>
      <c r="N83" s="2">
        <f>SUMIFS('周排班-纵表'!$I:$I,'周排班-纵表'!$C:$C,$C83,'周排班-纵表'!$G:$G,$G83,'周排班-纵表'!$H:$H,N$1)</f>
        <v/>
      </c>
      <c r="O83" s="2">
        <f>SUMIFS('周排班-纵表'!$I:$I,'周排班-纵表'!$C:$C,$C83,'周排班-纵表'!$G:$G,$G83,'周排班-纵表'!$H:$H,O$1)</f>
        <v/>
      </c>
      <c r="P83" s="2">
        <f>SUMIFS('周排班-纵表'!$I:$I,'周排班-纵表'!$C:$C,$C83,'周排班-纵表'!$G:$G,$G83,'周排班-纵表'!$H:$H,P$1)</f>
        <v/>
      </c>
      <c r="Q83" s="2">
        <f>SUMIFS('周排班-纵表'!$I:$I,'周排班-纵表'!$C:$C,$C83,'周排班-纵表'!$G:$G,$G83,'周排班-纵表'!$H:$H,Q$1)</f>
        <v/>
      </c>
      <c r="R83" s="2">
        <f>SUMIFS('周排班-纵表'!$I:$I,'周排班-纵表'!$C:$C,$C83,'周排班-纵表'!$G:$G,$G83,'周排班-纵表'!$H:$H,R$1)</f>
        <v/>
      </c>
      <c r="S83" s="2">
        <f>SUMIFS('周排班-纵表'!$I:$I,'周排班-纵表'!$C:$C,$C83,'周排班-纵表'!$G:$G,$G83,'周排班-纵表'!$H:$H,S$1)</f>
        <v/>
      </c>
      <c r="T83" s="2">
        <f>SUMIFS('周排班-纵表'!$I:$I,'周排班-纵表'!$C:$C,$C83,'周排班-纵表'!$G:$G,$G83,'周排班-纵表'!$H:$H,T$1)</f>
        <v/>
      </c>
      <c r="U83" s="2">
        <f>SUMIFS('周排班-纵表'!$I:$I,'周排班-纵表'!$C:$C,$C83,'周排班-纵表'!$G:$G,$G83,'周排班-纵表'!$H:$H,U$1)</f>
        <v/>
      </c>
      <c r="V83" s="2">
        <f>SUMIFS('周排班-纵表'!$I:$I,'周排班-纵表'!$C:$C,$C83,'周排班-纵表'!$G:$G,$G83,'周排班-纵表'!$H:$H,V$1)</f>
        <v/>
      </c>
      <c r="W83" s="2">
        <f>SUMIFS('周排班-纵表'!$I:$I,'周排班-纵表'!$C:$C,$C83,'周排班-纵表'!$G:$G,$G83,'周排班-纵表'!$H:$H,W$1)</f>
        <v/>
      </c>
      <c r="X83" s="2">
        <f>SUMIFS('周排班-纵表'!$I:$I,'周排班-纵表'!$C:$C,$C83,'周排班-纵表'!$G:$G,$G83,'周排班-纵表'!$H:$H,X$1)</f>
        <v/>
      </c>
      <c r="Y83" s="2">
        <f>SUMIFS('周排班-纵表'!$I:$I,'周排班-纵表'!$C:$C,$C83,'周排班-纵表'!$G:$G,$G83,'周排班-纵表'!$H:$H,Y$1)</f>
        <v/>
      </c>
      <c r="Z83" s="2">
        <f>SUMIFS('周排班-纵表'!$I:$I,'周排班-纵表'!$C:$C,$C83,'周排班-纵表'!$G:$G,$G83,'周排班-纵表'!$H:$H,Z$1)</f>
        <v/>
      </c>
      <c r="AA83" s="2">
        <f>SUMIFS('周排班-纵表'!$I:$I,'周排班-纵表'!$C:$C,$C83,'周排班-纵表'!$G:$G,$G83,'周排班-纵表'!$H:$H,AA$1)</f>
        <v/>
      </c>
      <c r="AB83" s="2">
        <f>SUMIFS('周排班-纵表'!$I:$I,'周排班-纵表'!$C:$C,$C83,'周排班-纵表'!$G:$G,$G83,'周排班-纵表'!$H:$H,AB$1)</f>
        <v/>
      </c>
      <c r="AC83" s="2">
        <f>SUMIFS('周排班-纵表'!$I:$I,'周排班-纵表'!$C:$C,$C83,'周排班-纵表'!$G:$G,$G83,'周排班-纵表'!$H:$H,AC$1)</f>
        <v/>
      </c>
      <c r="AD83" s="2">
        <f>SUMIFS('周排班-纵表'!$I:$I,'周排班-纵表'!$C:$C,$C83,'周排班-纵表'!$G:$G,$G83,'周排班-纵表'!$H:$H,AD$1)</f>
        <v/>
      </c>
      <c r="AE83" s="2">
        <f>SUMIFS('周排班-纵表'!$I:$I,'周排班-纵表'!$C:$C,$C83,'周排班-纵表'!$G:$G,$G83,'周排班-纵表'!$H:$H,AE$1)</f>
        <v/>
      </c>
      <c r="AF83" s="2">
        <f>SUMIFS('周排班-纵表'!$I:$I,'周排班-纵表'!$C:$C,$C83,'周排班-纵表'!$G:$G,$G83,'周排班-纵表'!$H:$H,AF$1)</f>
        <v/>
      </c>
      <c r="AG83" s="2">
        <f>SUMIFS('周排班-纵表'!$I:$I,'周排班-纵表'!$C:$C,$C83,'周排班-纵表'!$G:$G,$G83,'周排班-纵表'!$H:$H,AG$1)</f>
        <v/>
      </c>
      <c r="AH83" s="2">
        <f>SUMIFS('周排班-纵表'!$I:$I,'周排班-纵表'!$C:$C,$C83,'周排班-纵表'!$G:$G,$G83,'周排班-纵表'!$H:$H,AH$1)</f>
        <v/>
      </c>
      <c r="AI83" s="2">
        <f>SUMIFS('周排班-纵表'!$I:$I,'周排班-纵表'!$C:$C,$C83,'周排班-纵表'!$G:$G,$G83,'周排班-纵表'!$H:$H,AI$1)</f>
        <v/>
      </c>
      <c r="AJ83" s="2">
        <f>SUMIFS('周排班-纵表'!$I:$I,'周排班-纵表'!$C:$C,$C83,'周排班-纵表'!$G:$G,$G83,'周排班-纵表'!$H:$H,AJ$1)</f>
        <v/>
      </c>
      <c r="AK83" s="2">
        <f>SUMIFS('周排班-纵表'!$I:$I,'周排班-纵表'!$C:$C,$C83,'周排班-纵表'!$G:$G,$G83,'周排班-纵表'!$H:$H,AK$1)</f>
        <v/>
      </c>
      <c r="AL83" s="2">
        <f>SUMIFS('周排班-纵表'!$I:$I,'周排班-纵表'!$C:$C,$C83,'周排班-纵表'!$G:$G,$G83,'周排班-纵表'!$H:$H,AL$1)</f>
        <v/>
      </c>
    </row>
    <row r="84">
      <c r="A84" s="2" t="inlineStr">
        <is>
          <t>公募</t>
        </is>
      </c>
      <c r="B84" s="2" t="inlineStr">
        <is>
          <t>Great Wall Fund Management Co., Ltd</t>
        </is>
      </c>
      <c r="C84" s="2" t="inlineStr">
        <is>
          <t>47128364</t>
        </is>
      </c>
      <c r="D84" s="2" t="inlineStr">
        <is>
          <t>AUD2026-12 Great Wall Funds</t>
        </is>
      </c>
      <c r="E84" s="2" t="inlineStr">
        <is>
          <t>Order47128364- 260501004</t>
        </is>
      </c>
      <c r="F84" s="2" t="inlineStr">
        <is>
          <t>47128364- EDC260501001</t>
        </is>
      </c>
      <c r="G84" s="2" t="inlineStr">
        <is>
          <t>InternA</t>
        </is>
      </c>
      <c r="H84" s="2">
        <f>SUMIFS('周排班-纵表'!$I:$I,'周排班-纵表'!$C:$C,$C84,'周排班-纵表'!$G:$G,$G84,'周排班-纵表'!$H:$H,H$1)</f>
        <v/>
      </c>
      <c r="I84" s="2">
        <f>SUMIFS('周排班-纵表'!$I:$I,'周排班-纵表'!$C:$C,$C84,'周排班-纵表'!$G:$G,$G84,'周排班-纵表'!$H:$H,I$1)</f>
        <v/>
      </c>
      <c r="J84" s="2">
        <f>SUMIFS('周排班-纵表'!$I:$I,'周排班-纵表'!$C:$C,$C84,'周排班-纵表'!$G:$G,$G84,'周排班-纵表'!$H:$H,J$1)</f>
        <v/>
      </c>
      <c r="K84" s="2">
        <f>SUMIFS('周排班-纵表'!$I:$I,'周排班-纵表'!$C:$C,$C84,'周排班-纵表'!$G:$G,$G84,'周排班-纵表'!$H:$H,K$1)</f>
        <v/>
      </c>
      <c r="L84" s="2">
        <f>SUMIFS('周排班-纵表'!$I:$I,'周排班-纵表'!$C:$C,$C84,'周排班-纵表'!$G:$G,$G84,'周排班-纵表'!$H:$H,L$1)</f>
        <v/>
      </c>
      <c r="M84" s="2">
        <f>SUMIFS('周排班-纵表'!$I:$I,'周排班-纵表'!$C:$C,$C84,'周排班-纵表'!$G:$G,$G84,'周排班-纵表'!$H:$H,M$1)</f>
        <v/>
      </c>
      <c r="N84" s="2">
        <f>SUMIFS('周排班-纵表'!$I:$I,'周排班-纵表'!$C:$C,$C84,'周排班-纵表'!$G:$G,$G84,'周排班-纵表'!$H:$H,N$1)</f>
        <v/>
      </c>
      <c r="O84" s="2">
        <f>SUMIFS('周排班-纵表'!$I:$I,'周排班-纵表'!$C:$C,$C84,'周排班-纵表'!$G:$G,$G84,'周排班-纵表'!$H:$H,O$1)</f>
        <v/>
      </c>
      <c r="P84" s="2">
        <f>SUMIFS('周排班-纵表'!$I:$I,'周排班-纵表'!$C:$C,$C84,'周排班-纵表'!$G:$G,$G84,'周排班-纵表'!$H:$H,P$1)</f>
        <v/>
      </c>
      <c r="Q84" s="2">
        <f>SUMIFS('周排班-纵表'!$I:$I,'周排班-纵表'!$C:$C,$C84,'周排班-纵表'!$G:$G,$G84,'周排班-纵表'!$H:$H,Q$1)</f>
        <v/>
      </c>
      <c r="R84" s="2">
        <f>SUMIFS('周排班-纵表'!$I:$I,'周排班-纵表'!$C:$C,$C84,'周排班-纵表'!$G:$G,$G84,'周排班-纵表'!$H:$H,R$1)</f>
        <v/>
      </c>
      <c r="S84" s="2">
        <f>SUMIFS('周排班-纵表'!$I:$I,'周排班-纵表'!$C:$C,$C84,'周排班-纵表'!$G:$G,$G84,'周排班-纵表'!$H:$H,S$1)</f>
        <v/>
      </c>
      <c r="T84" s="2">
        <f>SUMIFS('周排班-纵表'!$I:$I,'周排班-纵表'!$C:$C,$C84,'周排班-纵表'!$G:$G,$G84,'周排班-纵表'!$H:$H,T$1)</f>
        <v/>
      </c>
      <c r="U84" s="2">
        <f>SUMIFS('周排班-纵表'!$I:$I,'周排班-纵表'!$C:$C,$C84,'周排班-纵表'!$G:$G,$G84,'周排班-纵表'!$H:$H,U$1)</f>
        <v/>
      </c>
      <c r="V84" s="2">
        <f>SUMIFS('周排班-纵表'!$I:$I,'周排班-纵表'!$C:$C,$C84,'周排班-纵表'!$G:$G,$G84,'周排班-纵表'!$H:$H,V$1)</f>
        <v/>
      </c>
      <c r="W84" s="2">
        <f>SUMIFS('周排班-纵表'!$I:$I,'周排班-纵表'!$C:$C,$C84,'周排班-纵表'!$G:$G,$G84,'周排班-纵表'!$H:$H,W$1)</f>
        <v/>
      </c>
      <c r="X84" s="2">
        <f>SUMIFS('周排班-纵表'!$I:$I,'周排班-纵表'!$C:$C,$C84,'周排班-纵表'!$G:$G,$G84,'周排班-纵表'!$H:$H,X$1)</f>
        <v/>
      </c>
      <c r="Y84" s="2">
        <f>SUMIFS('周排班-纵表'!$I:$I,'周排班-纵表'!$C:$C,$C84,'周排班-纵表'!$G:$G,$G84,'周排班-纵表'!$H:$H,Y$1)</f>
        <v/>
      </c>
      <c r="Z84" s="2">
        <f>SUMIFS('周排班-纵表'!$I:$I,'周排班-纵表'!$C:$C,$C84,'周排班-纵表'!$G:$G,$G84,'周排班-纵表'!$H:$H,Z$1)</f>
        <v/>
      </c>
      <c r="AA84" s="2">
        <f>SUMIFS('周排班-纵表'!$I:$I,'周排班-纵表'!$C:$C,$C84,'周排班-纵表'!$G:$G,$G84,'周排班-纵表'!$H:$H,AA$1)</f>
        <v/>
      </c>
      <c r="AB84" s="2">
        <f>SUMIFS('周排班-纵表'!$I:$I,'周排班-纵表'!$C:$C,$C84,'周排班-纵表'!$G:$G,$G84,'周排班-纵表'!$H:$H,AB$1)</f>
        <v/>
      </c>
      <c r="AC84" s="2">
        <f>SUMIFS('周排班-纵表'!$I:$I,'周排班-纵表'!$C:$C,$C84,'周排班-纵表'!$G:$G,$G84,'周排班-纵表'!$H:$H,AC$1)</f>
        <v/>
      </c>
      <c r="AD84" s="2">
        <f>SUMIFS('周排班-纵表'!$I:$I,'周排班-纵表'!$C:$C,$C84,'周排班-纵表'!$G:$G,$G84,'周排班-纵表'!$H:$H,AD$1)</f>
        <v/>
      </c>
      <c r="AE84" s="2">
        <f>SUMIFS('周排班-纵表'!$I:$I,'周排班-纵表'!$C:$C,$C84,'周排班-纵表'!$G:$G,$G84,'周排班-纵表'!$H:$H,AE$1)</f>
        <v/>
      </c>
      <c r="AF84" s="2">
        <f>SUMIFS('周排班-纵表'!$I:$I,'周排班-纵表'!$C:$C,$C84,'周排班-纵表'!$G:$G,$G84,'周排班-纵表'!$H:$H,AF$1)</f>
        <v/>
      </c>
      <c r="AG84" s="2">
        <f>SUMIFS('周排班-纵表'!$I:$I,'周排班-纵表'!$C:$C,$C84,'周排班-纵表'!$G:$G,$G84,'周排班-纵表'!$H:$H,AG$1)</f>
        <v/>
      </c>
      <c r="AH84" s="2">
        <f>SUMIFS('周排班-纵表'!$I:$I,'周排班-纵表'!$C:$C,$C84,'周排班-纵表'!$G:$G,$G84,'周排班-纵表'!$H:$H,AH$1)</f>
        <v/>
      </c>
      <c r="AI84" s="2">
        <f>SUMIFS('周排班-纵表'!$I:$I,'周排班-纵表'!$C:$C,$C84,'周排班-纵表'!$G:$G,$G84,'周排班-纵表'!$H:$H,AI$1)</f>
        <v/>
      </c>
      <c r="AJ84" s="2">
        <f>SUMIFS('周排班-纵表'!$I:$I,'周排班-纵表'!$C:$C,$C84,'周排班-纵表'!$G:$G,$G84,'周排班-纵表'!$H:$H,AJ$1)</f>
        <v/>
      </c>
      <c r="AK84" s="2">
        <f>SUMIFS('周排班-纵表'!$I:$I,'周排班-纵表'!$C:$C,$C84,'周排班-纵表'!$G:$G,$G84,'周排班-纵表'!$H:$H,AK$1)</f>
        <v/>
      </c>
      <c r="AL84" s="2">
        <f>SUMIFS('周排班-纵表'!$I:$I,'周排班-纵表'!$C:$C,$C84,'周排班-纵表'!$G:$G,$G84,'周排班-纵表'!$H:$H,AL$1)</f>
        <v/>
      </c>
    </row>
    <row r="85">
      <c r="A85" s="2" t="inlineStr">
        <is>
          <t>公募</t>
        </is>
      </c>
      <c r="B85" s="2" t="inlineStr">
        <is>
          <t>Great Wall Fund Management Co., Ltd</t>
        </is>
      </c>
      <c r="C85" s="2" t="inlineStr">
        <is>
          <t>47128364</t>
        </is>
      </c>
      <c r="D85" s="2" t="inlineStr">
        <is>
          <t>AUD2026-12 Great Wall Funds</t>
        </is>
      </c>
      <c r="E85" s="2" t="inlineStr">
        <is>
          <t>Order47128364- 260501004</t>
        </is>
      </c>
      <c r="F85" s="2" t="inlineStr">
        <is>
          <t>47128364- EDC260501001</t>
        </is>
      </c>
      <c r="G85" s="2" t="inlineStr">
        <is>
          <t>Marsh.Ma@cn.ey.com</t>
        </is>
      </c>
      <c r="H85" s="2">
        <f>SUMIFS('周排班-纵表'!$I:$I,'周排班-纵表'!$C:$C,$C85,'周排班-纵表'!$G:$G,$G85,'周排班-纵表'!$H:$H,H$1)</f>
        <v/>
      </c>
      <c r="I85" s="2">
        <f>SUMIFS('周排班-纵表'!$I:$I,'周排班-纵表'!$C:$C,$C85,'周排班-纵表'!$G:$G,$G85,'周排班-纵表'!$H:$H,I$1)</f>
        <v/>
      </c>
      <c r="J85" s="2">
        <f>SUMIFS('周排班-纵表'!$I:$I,'周排班-纵表'!$C:$C,$C85,'周排班-纵表'!$G:$G,$G85,'周排班-纵表'!$H:$H,J$1)</f>
        <v/>
      </c>
      <c r="K85" s="2">
        <f>SUMIFS('周排班-纵表'!$I:$I,'周排班-纵表'!$C:$C,$C85,'周排班-纵表'!$G:$G,$G85,'周排班-纵表'!$H:$H,K$1)</f>
        <v/>
      </c>
      <c r="L85" s="2">
        <f>SUMIFS('周排班-纵表'!$I:$I,'周排班-纵表'!$C:$C,$C85,'周排班-纵表'!$G:$G,$G85,'周排班-纵表'!$H:$H,L$1)</f>
        <v/>
      </c>
      <c r="M85" s="2">
        <f>SUMIFS('周排班-纵表'!$I:$I,'周排班-纵表'!$C:$C,$C85,'周排班-纵表'!$G:$G,$G85,'周排班-纵表'!$H:$H,M$1)</f>
        <v/>
      </c>
      <c r="N85" s="2">
        <f>SUMIFS('周排班-纵表'!$I:$I,'周排班-纵表'!$C:$C,$C85,'周排班-纵表'!$G:$G,$G85,'周排班-纵表'!$H:$H,N$1)</f>
        <v/>
      </c>
      <c r="O85" s="2">
        <f>SUMIFS('周排班-纵表'!$I:$I,'周排班-纵表'!$C:$C,$C85,'周排班-纵表'!$G:$G,$G85,'周排班-纵表'!$H:$H,O$1)</f>
        <v/>
      </c>
      <c r="P85" s="2">
        <f>SUMIFS('周排班-纵表'!$I:$I,'周排班-纵表'!$C:$C,$C85,'周排班-纵表'!$G:$G,$G85,'周排班-纵表'!$H:$H,P$1)</f>
        <v/>
      </c>
      <c r="Q85" s="2">
        <f>SUMIFS('周排班-纵表'!$I:$I,'周排班-纵表'!$C:$C,$C85,'周排班-纵表'!$G:$G,$G85,'周排班-纵表'!$H:$H,Q$1)</f>
        <v/>
      </c>
      <c r="R85" s="2">
        <f>SUMIFS('周排班-纵表'!$I:$I,'周排班-纵表'!$C:$C,$C85,'周排班-纵表'!$G:$G,$G85,'周排班-纵表'!$H:$H,R$1)</f>
        <v/>
      </c>
      <c r="S85" s="2">
        <f>SUMIFS('周排班-纵表'!$I:$I,'周排班-纵表'!$C:$C,$C85,'周排班-纵表'!$G:$G,$G85,'周排班-纵表'!$H:$H,S$1)</f>
        <v/>
      </c>
      <c r="T85" s="2">
        <f>SUMIFS('周排班-纵表'!$I:$I,'周排班-纵表'!$C:$C,$C85,'周排班-纵表'!$G:$G,$G85,'周排班-纵表'!$H:$H,T$1)</f>
        <v/>
      </c>
      <c r="U85" s="2">
        <f>SUMIFS('周排班-纵表'!$I:$I,'周排班-纵表'!$C:$C,$C85,'周排班-纵表'!$G:$G,$G85,'周排班-纵表'!$H:$H,U$1)</f>
        <v/>
      </c>
      <c r="V85" s="2">
        <f>SUMIFS('周排班-纵表'!$I:$I,'周排班-纵表'!$C:$C,$C85,'周排班-纵表'!$G:$G,$G85,'周排班-纵表'!$H:$H,V$1)</f>
        <v/>
      </c>
      <c r="W85" s="2">
        <f>SUMIFS('周排班-纵表'!$I:$I,'周排班-纵表'!$C:$C,$C85,'周排班-纵表'!$G:$G,$G85,'周排班-纵表'!$H:$H,W$1)</f>
        <v/>
      </c>
      <c r="X85" s="2">
        <f>SUMIFS('周排班-纵表'!$I:$I,'周排班-纵表'!$C:$C,$C85,'周排班-纵表'!$G:$G,$G85,'周排班-纵表'!$H:$H,X$1)</f>
        <v/>
      </c>
      <c r="Y85" s="2">
        <f>SUMIFS('周排班-纵表'!$I:$I,'周排班-纵表'!$C:$C,$C85,'周排班-纵表'!$G:$G,$G85,'周排班-纵表'!$H:$H,Y$1)</f>
        <v/>
      </c>
      <c r="Z85" s="2">
        <f>SUMIFS('周排班-纵表'!$I:$I,'周排班-纵表'!$C:$C,$C85,'周排班-纵表'!$G:$G,$G85,'周排班-纵表'!$H:$H,Z$1)</f>
        <v/>
      </c>
      <c r="AA85" s="2">
        <f>SUMIFS('周排班-纵表'!$I:$I,'周排班-纵表'!$C:$C,$C85,'周排班-纵表'!$G:$G,$G85,'周排班-纵表'!$H:$H,AA$1)</f>
        <v/>
      </c>
      <c r="AB85" s="2">
        <f>SUMIFS('周排班-纵表'!$I:$I,'周排班-纵表'!$C:$C,$C85,'周排班-纵表'!$G:$G,$G85,'周排班-纵表'!$H:$H,AB$1)</f>
        <v/>
      </c>
      <c r="AC85" s="2">
        <f>SUMIFS('周排班-纵表'!$I:$I,'周排班-纵表'!$C:$C,$C85,'周排班-纵表'!$G:$G,$G85,'周排班-纵表'!$H:$H,AC$1)</f>
        <v/>
      </c>
      <c r="AD85" s="2">
        <f>SUMIFS('周排班-纵表'!$I:$I,'周排班-纵表'!$C:$C,$C85,'周排班-纵表'!$G:$G,$G85,'周排班-纵表'!$H:$H,AD$1)</f>
        <v/>
      </c>
      <c r="AE85" s="2">
        <f>SUMIFS('周排班-纵表'!$I:$I,'周排班-纵表'!$C:$C,$C85,'周排班-纵表'!$G:$G,$G85,'周排班-纵表'!$H:$H,AE$1)</f>
        <v/>
      </c>
      <c r="AF85" s="2">
        <f>SUMIFS('周排班-纵表'!$I:$I,'周排班-纵表'!$C:$C,$C85,'周排班-纵表'!$G:$G,$G85,'周排班-纵表'!$H:$H,AF$1)</f>
        <v/>
      </c>
      <c r="AG85" s="2">
        <f>SUMIFS('周排班-纵表'!$I:$I,'周排班-纵表'!$C:$C,$C85,'周排班-纵表'!$G:$G,$G85,'周排班-纵表'!$H:$H,AG$1)</f>
        <v/>
      </c>
      <c r="AH85" s="2">
        <f>SUMIFS('周排班-纵表'!$I:$I,'周排班-纵表'!$C:$C,$C85,'周排班-纵表'!$G:$G,$G85,'周排班-纵表'!$H:$H,AH$1)</f>
        <v/>
      </c>
      <c r="AI85" s="2">
        <f>SUMIFS('周排班-纵表'!$I:$I,'周排班-纵表'!$C:$C,$C85,'周排班-纵表'!$G:$G,$G85,'周排班-纵表'!$H:$H,AI$1)</f>
        <v/>
      </c>
      <c r="AJ85" s="2">
        <f>SUMIFS('周排班-纵表'!$I:$I,'周排班-纵表'!$C:$C,$C85,'周排班-纵表'!$G:$G,$G85,'周排班-纵表'!$H:$H,AJ$1)</f>
        <v/>
      </c>
      <c r="AK85" s="2">
        <f>SUMIFS('周排班-纵表'!$I:$I,'周排班-纵表'!$C:$C,$C85,'周排班-纵表'!$G:$G,$G85,'周排班-纵表'!$H:$H,AK$1)</f>
        <v/>
      </c>
      <c r="AL85" s="2">
        <f>SUMIFS('周排班-纵表'!$I:$I,'周排班-纵表'!$C:$C,$C85,'周排班-纵表'!$G:$G,$G85,'周排班-纵表'!$H:$H,AL$1)</f>
        <v/>
      </c>
    </row>
    <row r="86">
      <c r="A86" s="2" t="inlineStr">
        <is>
          <t>公募</t>
        </is>
      </c>
      <c r="B86" s="2" t="inlineStr">
        <is>
          <t>Great Wall Fund Management Co., Ltd</t>
        </is>
      </c>
      <c r="C86" s="2" t="inlineStr">
        <is>
          <t>47128364</t>
        </is>
      </c>
      <c r="D86" s="2" t="inlineStr">
        <is>
          <t>AUD2026-12 Great Wall Funds</t>
        </is>
      </c>
      <c r="E86" s="2" t="inlineStr">
        <is>
          <t>Order47128364- 260501004</t>
        </is>
      </c>
      <c r="F86" s="2" t="inlineStr">
        <is>
          <t>47128364- EDC260501001</t>
        </is>
      </c>
      <c r="G86" s="2" t="inlineStr">
        <is>
          <t>Rainbow.MG.Xiao@cn.ey.com</t>
        </is>
      </c>
      <c r="H86" s="2">
        <f>SUMIFS('周排班-纵表'!$I:$I,'周排班-纵表'!$C:$C,$C86,'周排班-纵表'!$G:$G,$G86,'周排班-纵表'!$H:$H,H$1)</f>
        <v/>
      </c>
      <c r="I86" s="2">
        <f>SUMIFS('周排班-纵表'!$I:$I,'周排班-纵表'!$C:$C,$C86,'周排班-纵表'!$G:$G,$G86,'周排班-纵表'!$H:$H,I$1)</f>
        <v/>
      </c>
      <c r="J86" s="2">
        <f>SUMIFS('周排班-纵表'!$I:$I,'周排班-纵表'!$C:$C,$C86,'周排班-纵表'!$G:$G,$G86,'周排班-纵表'!$H:$H,J$1)</f>
        <v/>
      </c>
      <c r="K86" s="2">
        <f>SUMIFS('周排班-纵表'!$I:$I,'周排班-纵表'!$C:$C,$C86,'周排班-纵表'!$G:$G,$G86,'周排班-纵表'!$H:$H,K$1)</f>
        <v/>
      </c>
      <c r="L86" s="2">
        <f>SUMIFS('周排班-纵表'!$I:$I,'周排班-纵表'!$C:$C,$C86,'周排班-纵表'!$G:$G,$G86,'周排班-纵表'!$H:$H,L$1)</f>
        <v/>
      </c>
      <c r="M86" s="2">
        <f>SUMIFS('周排班-纵表'!$I:$I,'周排班-纵表'!$C:$C,$C86,'周排班-纵表'!$G:$G,$G86,'周排班-纵表'!$H:$H,M$1)</f>
        <v/>
      </c>
      <c r="N86" s="2">
        <f>SUMIFS('周排班-纵表'!$I:$I,'周排班-纵表'!$C:$C,$C86,'周排班-纵表'!$G:$G,$G86,'周排班-纵表'!$H:$H,N$1)</f>
        <v/>
      </c>
      <c r="O86" s="2">
        <f>SUMIFS('周排班-纵表'!$I:$I,'周排班-纵表'!$C:$C,$C86,'周排班-纵表'!$G:$G,$G86,'周排班-纵表'!$H:$H,O$1)</f>
        <v/>
      </c>
      <c r="P86" s="2">
        <f>SUMIFS('周排班-纵表'!$I:$I,'周排班-纵表'!$C:$C,$C86,'周排班-纵表'!$G:$G,$G86,'周排班-纵表'!$H:$H,P$1)</f>
        <v/>
      </c>
      <c r="Q86" s="2">
        <f>SUMIFS('周排班-纵表'!$I:$I,'周排班-纵表'!$C:$C,$C86,'周排班-纵表'!$G:$G,$G86,'周排班-纵表'!$H:$H,Q$1)</f>
        <v/>
      </c>
      <c r="R86" s="2">
        <f>SUMIFS('周排班-纵表'!$I:$I,'周排班-纵表'!$C:$C,$C86,'周排班-纵表'!$G:$G,$G86,'周排班-纵表'!$H:$H,R$1)</f>
        <v/>
      </c>
      <c r="S86" s="2">
        <f>SUMIFS('周排班-纵表'!$I:$I,'周排班-纵表'!$C:$C,$C86,'周排班-纵表'!$G:$G,$G86,'周排班-纵表'!$H:$H,S$1)</f>
        <v/>
      </c>
      <c r="T86" s="2">
        <f>SUMIFS('周排班-纵表'!$I:$I,'周排班-纵表'!$C:$C,$C86,'周排班-纵表'!$G:$G,$G86,'周排班-纵表'!$H:$H,T$1)</f>
        <v/>
      </c>
      <c r="U86" s="2">
        <f>SUMIFS('周排班-纵表'!$I:$I,'周排班-纵表'!$C:$C,$C86,'周排班-纵表'!$G:$G,$G86,'周排班-纵表'!$H:$H,U$1)</f>
        <v/>
      </c>
      <c r="V86" s="2">
        <f>SUMIFS('周排班-纵表'!$I:$I,'周排班-纵表'!$C:$C,$C86,'周排班-纵表'!$G:$G,$G86,'周排班-纵表'!$H:$H,V$1)</f>
        <v/>
      </c>
      <c r="W86" s="2">
        <f>SUMIFS('周排班-纵表'!$I:$I,'周排班-纵表'!$C:$C,$C86,'周排班-纵表'!$G:$G,$G86,'周排班-纵表'!$H:$H,W$1)</f>
        <v/>
      </c>
      <c r="X86" s="2">
        <f>SUMIFS('周排班-纵表'!$I:$I,'周排班-纵表'!$C:$C,$C86,'周排班-纵表'!$G:$G,$G86,'周排班-纵表'!$H:$H,X$1)</f>
        <v/>
      </c>
      <c r="Y86" s="2">
        <f>SUMIFS('周排班-纵表'!$I:$I,'周排班-纵表'!$C:$C,$C86,'周排班-纵表'!$G:$G,$G86,'周排班-纵表'!$H:$H,Y$1)</f>
        <v/>
      </c>
      <c r="Z86" s="2">
        <f>SUMIFS('周排班-纵表'!$I:$I,'周排班-纵表'!$C:$C,$C86,'周排班-纵表'!$G:$G,$G86,'周排班-纵表'!$H:$H,Z$1)</f>
        <v/>
      </c>
      <c r="AA86" s="2">
        <f>SUMIFS('周排班-纵表'!$I:$I,'周排班-纵表'!$C:$C,$C86,'周排班-纵表'!$G:$G,$G86,'周排班-纵表'!$H:$H,AA$1)</f>
        <v/>
      </c>
      <c r="AB86" s="2">
        <f>SUMIFS('周排班-纵表'!$I:$I,'周排班-纵表'!$C:$C,$C86,'周排班-纵表'!$G:$G,$G86,'周排班-纵表'!$H:$H,AB$1)</f>
        <v/>
      </c>
      <c r="AC86" s="2">
        <f>SUMIFS('周排班-纵表'!$I:$I,'周排班-纵表'!$C:$C,$C86,'周排班-纵表'!$G:$G,$G86,'周排班-纵表'!$H:$H,AC$1)</f>
        <v/>
      </c>
      <c r="AD86" s="2">
        <f>SUMIFS('周排班-纵表'!$I:$I,'周排班-纵表'!$C:$C,$C86,'周排班-纵表'!$G:$G,$G86,'周排班-纵表'!$H:$H,AD$1)</f>
        <v/>
      </c>
      <c r="AE86" s="2">
        <f>SUMIFS('周排班-纵表'!$I:$I,'周排班-纵表'!$C:$C,$C86,'周排班-纵表'!$G:$G,$G86,'周排班-纵表'!$H:$H,AE$1)</f>
        <v/>
      </c>
      <c r="AF86" s="2">
        <f>SUMIFS('周排班-纵表'!$I:$I,'周排班-纵表'!$C:$C,$C86,'周排班-纵表'!$G:$G,$G86,'周排班-纵表'!$H:$H,AF$1)</f>
        <v/>
      </c>
      <c r="AG86" s="2">
        <f>SUMIFS('周排班-纵表'!$I:$I,'周排班-纵表'!$C:$C,$C86,'周排班-纵表'!$G:$G,$G86,'周排班-纵表'!$H:$H,AG$1)</f>
        <v/>
      </c>
      <c r="AH86" s="2">
        <f>SUMIFS('周排班-纵表'!$I:$I,'周排班-纵表'!$C:$C,$C86,'周排班-纵表'!$G:$G,$G86,'周排班-纵表'!$H:$H,AH$1)</f>
        <v/>
      </c>
      <c r="AI86" s="2">
        <f>SUMIFS('周排班-纵表'!$I:$I,'周排班-纵表'!$C:$C,$C86,'周排班-纵表'!$G:$G,$G86,'周排班-纵表'!$H:$H,AI$1)</f>
        <v/>
      </c>
      <c r="AJ86" s="2">
        <f>SUMIFS('周排班-纵表'!$I:$I,'周排班-纵表'!$C:$C,$C86,'周排班-纵表'!$G:$G,$G86,'周排班-纵表'!$H:$H,AJ$1)</f>
        <v/>
      </c>
      <c r="AK86" s="2">
        <f>SUMIFS('周排班-纵表'!$I:$I,'周排班-纵表'!$C:$C,$C86,'周排班-纵表'!$G:$G,$G86,'周排班-纵表'!$H:$H,AK$1)</f>
        <v/>
      </c>
      <c r="AL86" s="2">
        <f>SUMIFS('周排班-纵表'!$I:$I,'周排班-纵表'!$C:$C,$C86,'周排班-纵表'!$G:$G,$G86,'周排班-纵表'!$H:$H,AL$1)</f>
        <v/>
      </c>
    </row>
    <row r="87">
      <c r="A87" s="2" t="inlineStr">
        <is>
          <t>公募</t>
        </is>
      </c>
      <c r="B87" s="2" t="inlineStr">
        <is>
          <t>Great Wall Fund Management Co., Ltd</t>
        </is>
      </c>
      <c r="C87" s="2" t="inlineStr">
        <is>
          <t>47128364</t>
        </is>
      </c>
      <c r="D87" s="2" t="inlineStr">
        <is>
          <t>AUD2026-12 Great Wall Funds</t>
        </is>
      </c>
      <c r="E87" s="2" t="inlineStr">
        <is>
          <t>Order47128364- 260501004</t>
        </is>
      </c>
      <c r="F87" s="2" t="inlineStr">
        <is>
          <t>47128364- EDC260501001</t>
        </is>
      </c>
      <c r="G87" s="2" t="inlineStr">
        <is>
          <t>Yuan.Yuan.YY.Chen@cn.ey.com</t>
        </is>
      </c>
      <c r="H87" s="2">
        <f>SUMIFS('周排班-纵表'!$I:$I,'周排班-纵表'!$C:$C,$C87,'周排班-纵表'!$G:$G,$G87,'周排班-纵表'!$H:$H,H$1)</f>
        <v/>
      </c>
      <c r="I87" s="2">
        <f>SUMIFS('周排班-纵表'!$I:$I,'周排班-纵表'!$C:$C,$C87,'周排班-纵表'!$G:$G,$G87,'周排班-纵表'!$H:$H,I$1)</f>
        <v/>
      </c>
      <c r="J87" s="2">
        <f>SUMIFS('周排班-纵表'!$I:$I,'周排班-纵表'!$C:$C,$C87,'周排班-纵表'!$G:$G,$G87,'周排班-纵表'!$H:$H,J$1)</f>
        <v/>
      </c>
      <c r="K87" s="2">
        <f>SUMIFS('周排班-纵表'!$I:$I,'周排班-纵表'!$C:$C,$C87,'周排班-纵表'!$G:$G,$G87,'周排班-纵表'!$H:$H,K$1)</f>
        <v/>
      </c>
      <c r="L87" s="2">
        <f>SUMIFS('周排班-纵表'!$I:$I,'周排班-纵表'!$C:$C,$C87,'周排班-纵表'!$G:$G,$G87,'周排班-纵表'!$H:$H,L$1)</f>
        <v/>
      </c>
      <c r="M87" s="2">
        <f>SUMIFS('周排班-纵表'!$I:$I,'周排班-纵表'!$C:$C,$C87,'周排班-纵表'!$G:$G,$G87,'周排班-纵表'!$H:$H,M$1)</f>
        <v/>
      </c>
      <c r="N87" s="2">
        <f>SUMIFS('周排班-纵表'!$I:$I,'周排班-纵表'!$C:$C,$C87,'周排班-纵表'!$G:$G,$G87,'周排班-纵表'!$H:$H,N$1)</f>
        <v/>
      </c>
      <c r="O87" s="2">
        <f>SUMIFS('周排班-纵表'!$I:$I,'周排班-纵表'!$C:$C,$C87,'周排班-纵表'!$G:$G,$G87,'周排班-纵表'!$H:$H,O$1)</f>
        <v/>
      </c>
      <c r="P87" s="2">
        <f>SUMIFS('周排班-纵表'!$I:$I,'周排班-纵表'!$C:$C,$C87,'周排班-纵表'!$G:$G,$G87,'周排班-纵表'!$H:$H,P$1)</f>
        <v/>
      </c>
      <c r="Q87" s="2">
        <f>SUMIFS('周排班-纵表'!$I:$I,'周排班-纵表'!$C:$C,$C87,'周排班-纵表'!$G:$G,$G87,'周排班-纵表'!$H:$H,Q$1)</f>
        <v/>
      </c>
      <c r="R87" s="2">
        <f>SUMIFS('周排班-纵表'!$I:$I,'周排班-纵表'!$C:$C,$C87,'周排班-纵表'!$G:$G,$G87,'周排班-纵表'!$H:$H,R$1)</f>
        <v/>
      </c>
      <c r="S87" s="2">
        <f>SUMIFS('周排班-纵表'!$I:$I,'周排班-纵表'!$C:$C,$C87,'周排班-纵表'!$G:$G,$G87,'周排班-纵表'!$H:$H,S$1)</f>
        <v/>
      </c>
      <c r="T87" s="2">
        <f>SUMIFS('周排班-纵表'!$I:$I,'周排班-纵表'!$C:$C,$C87,'周排班-纵表'!$G:$G,$G87,'周排班-纵表'!$H:$H,T$1)</f>
        <v/>
      </c>
      <c r="U87" s="2">
        <f>SUMIFS('周排班-纵表'!$I:$I,'周排班-纵表'!$C:$C,$C87,'周排班-纵表'!$G:$G,$G87,'周排班-纵表'!$H:$H,U$1)</f>
        <v/>
      </c>
      <c r="V87" s="2">
        <f>SUMIFS('周排班-纵表'!$I:$I,'周排班-纵表'!$C:$C,$C87,'周排班-纵表'!$G:$G,$G87,'周排班-纵表'!$H:$H,V$1)</f>
        <v/>
      </c>
      <c r="W87" s="2">
        <f>SUMIFS('周排班-纵表'!$I:$I,'周排班-纵表'!$C:$C,$C87,'周排班-纵表'!$G:$G,$G87,'周排班-纵表'!$H:$H,W$1)</f>
        <v/>
      </c>
      <c r="X87" s="2">
        <f>SUMIFS('周排班-纵表'!$I:$I,'周排班-纵表'!$C:$C,$C87,'周排班-纵表'!$G:$G,$G87,'周排班-纵表'!$H:$H,X$1)</f>
        <v/>
      </c>
      <c r="Y87" s="2">
        <f>SUMIFS('周排班-纵表'!$I:$I,'周排班-纵表'!$C:$C,$C87,'周排班-纵表'!$G:$G,$G87,'周排班-纵表'!$H:$H,Y$1)</f>
        <v/>
      </c>
      <c r="Z87" s="2">
        <f>SUMIFS('周排班-纵表'!$I:$I,'周排班-纵表'!$C:$C,$C87,'周排班-纵表'!$G:$G,$G87,'周排班-纵表'!$H:$H,Z$1)</f>
        <v/>
      </c>
      <c r="AA87" s="2">
        <f>SUMIFS('周排班-纵表'!$I:$I,'周排班-纵表'!$C:$C,$C87,'周排班-纵表'!$G:$G,$G87,'周排班-纵表'!$H:$H,AA$1)</f>
        <v/>
      </c>
      <c r="AB87" s="2">
        <f>SUMIFS('周排班-纵表'!$I:$I,'周排班-纵表'!$C:$C,$C87,'周排班-纵表'!$G:$G,$G87,'周排班-纵表'!$H:$H,AB$1)</f>
        <v/>
      </c>
      <c r="AC87" s="2">
        <f>SUMIFS('周排班-纵表'!$I:$I,'周排班-纵表'!$C:$C,$C87,'周排班-纵表'!$G:$G,$G87,'周排班-纵表'!$H:$H,AC$1)</f>
        <v/>
      </c>
      <c r="AD87" s="2">
        <f>SUMIFS('周排班-纵表'!$I:$I,'周排班-纵表'!$C:$C,$C87,'周排班-纵表'!$G:$G,$G87,'周排班-纵表'!$H:$H,AD$1)</f>
        <v/>
      </c>
      <c r="AE87" s="2">
        <f>SUMIFS('周排班-纵表'!$I:$I,'周排班-纵表'!$C:$C,$C87,'周排班-纵表'!$G:$G,$G87,'周排班-纵表'!$H:$H,AE$1)</f>
        <v/>
      </c>
      <c r="AF87" s="2">
        <f>SUMIFS('周排班-纵表'!$I:$I,'周排班-纵表'!$C:$C,$C87,'周排班-纵表'!$G:$G,$G87,'周排班-纵表'!$H:$H,AF$1)</f>
        <v/>
      </c>
      <c r="AG87" s="2">
        <f>SUMIFS('周排班-纵表'!$I:$I,'周排班-纵表'!$C:$C,$C87,'周排班-纵表'!$G:$G,$G87,'周排班-纵表'!$H:$H,AG$1)</f>
        <v/>
      </c>
      <c r="AH87" s="2">
        <f>SUMIFS('周排班-纵表'!$I:$I,'周排班-纵表'!$C:$C,$C87,'周排班-纵表'!$G:$G,$G87,'周排班-纵表'!$H:$H,AH$1)</f>
        <v/>
      </c>
      <c r="AI87" s="2">
        <f>SUMIFS('周排班-纵表'!$I:$I,'周排班-纵表'!$C:$C,$C87,'周排班-纵表'!$G:$G,$G87,'周排班-纵表'!$H:$H,AI$1)</f>
        <v/>
      </c>
      <c r="AJ87" s="2">
        <f>SUMIFS('周排班-纵表'!$I:$I,'周排班-纵表'!$C:$C,$C87,'周排班-纵表'!$G:$G,$G87,'周排班-纵表'!$H:$H,AJ$1)</f>
        <v/>
      </c>
      <c r="AK87" s="2">
        <f>SUMIFS('周排班-纵表'!$I:$I,'周排班-纵表'!$C:$C,$C87,'周排班-纵表'!$G:$G,$G87,'周排班-纵表'!$H:$H,AK$1)</f>
        <v/>
      </c>
      <c r="AL87" s="2">
        <f>SUMIFS('周排班-纵表'!$I:$I,'周排班-纵表'!$C:$C,$C87,'周排班-纵表'!$G:$G,$G87,'周排班-纵表'!$H:$H,AL$1)</f>
        <v/>
      </c>
    </row>
    <row r="88">
      <c r="A88" s="2" t="inlineStr">
        <is>
          <t>公募</t>
        </is>
      </c>
      <c r="B88" s="2" t="inlineStr">
        <is>
          <t>Ping An Fund Management Company Limited</t>
        </is>
      </c>
      <c r="C88" s="2" t="inlineStr">
        <is>
          <t>47128421</t>
        </is>
      </c>
      <c r="D88" s="2" t="inlineStr">
        <is>
          <t>AUD2026-12 PA Funds</t>
        </is>
      </c>
      <c r="E88" s="2" t="inlineStr">
        <is>
          <t>Order47128421- 260501003</t>
        </is>
      </c>
      <c r="F88" s="2" t="inlineStr">
        <is>
          <t>47128421- EDC260501001</t>
        </is>
      </c>
      <c r="G88" s="2" t="inlineStr">
        <is>
          <t>Marsh.Ma@cn.ey.com</t>
        </is>
      </c>
      <c r="H88" s="2">
        <f>SUMIFS('周排班-纵表'!$I:$I,'周排班-纵表'!$C:$C,$C88,'周排班-纵表'!$G:$G,$G88,'周排班-纵表'!$H:$H,H$1)</f>
        <v/>
      </c>
      <c r="I88" s="2">
        <f>SUMIFS('周排班-纵表'!$I:$I,'周排班-纵表'!$C:$C,$C88,'周排班-纵表'!$G:$G,$G88,'周排班-纵表'!$H:$H,I$1)</f>
        <v/>
      </c>
      <c r="J88" s="2">
        <f>SUMIFS('周排班-纵表'!$I:$I,'周排班-纵表'!$C:$C,$C88,'周排班-纵表'!$G:$G,$G88,'周排班-纵表'!$H:$H,J$1)</f>
        <v/>
      </c>
      <c r="K88" s="2">
        <f>SUMIFS('周排班-纵表'!$I:$I,'周排班-纵表'!$C:$C,$C88,'周排班-纵表'!$G:$G,$G88,'周排班-纵表'!$H:$H,K$1)</f>
        <v/>
      </c>
      <c r="L88" s="2">
        <f>SUMIFS('周排班-纵表'!$I:$I,'周排班-纵表'!$C:$C,$C88,'周排班-纵表'!$G:$G,$G88,'周排班-纵表'!$H:$H,L$1)</f>
        <v/>
      </c>
      <c r="M88" s="2">
        <f>SUMIFS('周排班-纵表'!$I:$I,'周排班-纵表'!$C:$C,$C88,'周排班-纵表'!$G:$G,$G88,'周排班-纵表'!$H:$H,M$1)</f>
        <v/>
      </c>
      <c r="N88" s="2">
        <f>SUMIFS('周排班-纵表'!$I:$I,'周排班-纵表'!$C:$C,$C88,'周排班-纵表'!$G:$G,$G88,'周排班-纵表'!$H:$H,N$1)</f>
        <v/>
      </c>
      <c r="O88" s="2">
        <f>SUMIFS('周排班-纵表'!$I:$I,'周排班-纵表'!$C:$C,$C88,'周排班-纵表'!$G:$G,$G88,'周排班-纵表'!$H:$H,O$1)</f>
        <v/>
      </c>
      <c r="P88" s="2">
        <f>SUMIFS('周排班-纵表'!$I:$I,'周排班-纵表'!$C:$C,$C88,'周排班-纵表'!$G:$G,$G88,'周排班-纵表'!$H:$H,P$1)</f>
        <v/>
      </c>
      <c r="Q88" s="2">
        <f>SUMIFS('周排班-纵表'!$I:$I,'周排班-纵表'!$C:$C,$C88,'周排班-纵表'!$G:$G,$G88,'周排班-纵表'!$H:$H,Q$1)</f>
        <v/>
      </c>
      <c r="R88" s="2">
        <f>SUMIFS('周排班-纵表'!$I:$I,'周排班-纵表'!$C:$C,$C88,'周排班-纵表'!$G:$G,$G88,'周排班-纵表'!$H:$H,R$1)</f>
        <v/>
      </c>
      <c r="S88" s="2">
        <f>SUMIFS('周排班-纵表'!$I:$I,'周排班-纵表'!$C:$C,$C88,'周排班-纵表'!$G:$G,$G88,'周排班-纵表'!$H:$H,S$1)</f>
        <v/>
      </c>
      <c r="T88" s="2">
        <f>SUMIFS('周排班-纵表'!$I:$I,'周排班-纵表'!$C:$C,$C88,'周排班-纵表'!$G:$G,$G88,'周排班-纵表'!$H:$H,T$1)</f>
        <v/>
      </c>
      <c r="U88" s="2">
        <f>SUMIFS('周排班-纵表'!$I:$I,'周排班-纵表'!$C:$C,$C88,'周排班-纵表'!$G:$G,$G88,'周排班-纵表'!$H:$H,U$1)</f>
        <v/>
      </c>
      <c r="V88" s="2">
        <f>SUMIFS('周排班-纵表'!$I:$I,'周排班-纵表'!$C:$C,$C88,'周排班-纵表'!$G:$G,$G88,'周排班-纵表'!$H:$H,V$1)</f>
        <v/>
      </c>
      <c r="W88" s="2">
        <f>SUMIFS('周排班-纵表'!$I:$I,'周排班-纵表'!$C:$C,$C88,'周排班-纵表'!$G:$G,$G88,'周排班-纵表'!$H:$H,W$1)</f>
        <v/>
      </c>
      <c r="X88" s="2">
        <f>SUMIFS('周排班-纵表'!$I:$I,'周排班-纵表'!$C:$C,$C88,'周排班-纵表'!$G:$G,$G88,'周排班-纵表'!$H:$H,X$1)</f>
        <v/>
      </c>
      <c r="Y88" s="2">
        <f>SUMIFS('周排班-纵表'!$I:$I,'周排班-纵表'!$C:$C,$C88,'周排班-纵表'!$G:$G,$G88,'周排班-纵表'!$H:$H,Y$1)</f>
        <v/>
      </c>
      <c r="Z88" s="2">
        <f>SUMIFS('周排班-纵表'!$I:$I,'周排班-纵表'!$C:$C,$C88,'周排班-纵表'!$G:$G,$G88,'周排班-纵表'!$H:$H,Z$1)</f>
        <v/>
      </c>
      <c r="AA88" s="2">
        <f>SUMIFS('周排班-纵表'!$I:$I,'周排班-纵表'!$C:$C,$C88,'周排班-纵表'!$G:$G,$G88,'周排班-纵表'!$H:$H,AA$1)</f>
        <v/>
      </c>
      <c r="AB88" s="2">
        <f>SUMIFS('周排班-纵表'!$I:$I,'周排班-纵表'!$C:$C,$C88,'周排班-纵表'!$G:$G,$G88,'周排班-纵表'!$H:$H,AB$1)</f>
        <v/>
      </c>
      <c r="AC88" s="2">
        <f>SUMIFS('周排班-纵表'!$I:$I,'周排班-纵表'!$C:$C,$C88,'周排班-纵表'!$G:$G,$G88,'周排班-纵表'!$H:$H,AC$1)</f>
        <v/>
      </c>
      <c r="AD88" s="2">
        <f>SUMIFS('周排班-纵表'!$I:$I,'周排班-纵表'!$C:$C,$C88,'周排班-纵表'!$G:$G,$G88,'周排班-纵表'!$H:$H,AD$1)</f>
        <v/>
      </c>
      <c r="AE88" s="2">
        <f>SUMIFS('周排班-纵表'!$I:$I,'周排班-纵表'!$C:$C,$C88,'周排班-纵表'!$G:$G,$G88,'周排班-纵表'!$H:$H,AE$1)</f>
        <v/>
      </c>
      <c r="AF88" s="2">
        <f>SUMIFS('周排班-纵表'!$I:$I,'周排班-纵表'!$C:$C,$C88,'周排班-纵表'!$G:$G,$G88,'周排班-纵表'!$H:$H,AF$1)</f>
        <v/>
      </c>
      <c r="AG88" s="2">
        <f>SUMIFS('周排班-纵表'!$I:$I,'周排班-纵表'!$C:$C,$C88,'周排班-纵表'!$G:$G,$G88,'周排班-纵表'!$H:$H,AG$1)</f>
        <v/>
      </c>
      <c r="AH88" s="2">
        <f>SUMIFS('周排班-纵表'!$I:$I,'周排班-纵表'!$C:$C,$C88,'周排班-纵表'!$G:$G,$G88,'周排班-纵表'!$H:$H,AH$1)</f>
        <v/>
      </c>
      <c r="AI88" s="2">
        <f>SUMIFS('周排班-纵表'!$I:$I,'周排班-纵表'!$C:$C,$C88,'周排班-纵表'!$G:$G,$G88,'周排班-纵表'!$H:$H,AI$1)</f>
        <v/>
      </c>
      <c r="AJ88" s="2">
        <f>SUMIFS('周排班-纵表'!$I:$I,'周排班-纵表'!$C:$C,$C88,'周排班-纵表'!$G:$G,$G88,'周排班-纵表'!$H:$H,AJ$1)</f>
        <v/>
      </c>
      <c r="AK88" s="2">
        <f>SUMIFS('周排班-纵表'!$I:$I,'周排班-纵表'!$C:$C,$C88,'周排班-纵表'!$G:$G,$G88,'周排班-纵表'!$H:$H,AK$1)</f>
        <v/>
      </c>
      <c r="AL88" s="2">
        <f>SUMIFS('周排班-纵表'!$I:$I,'周排班-纵表'!$C:$C,$C88,'周排班-纵表'!$G:$G,$G88,'周排班-纵表'!$H:$H,AL$1)</f>
        <v/>
      </c>
    </row>
    <row r="89">
      <c r="A89" s="2" t="inlineStr">
        <is>
          <t>公募</t>
        </is>
      </c>
      <c r="B89" s="2" t="inlineStr">
        <is>
          <t>Ping An Fund Management Company Limited</t>
        </is>
      </c>
      <c r="C89" s="2" t="inlineStr">
        <is>
          <t>47128421</t>
        </is>
      </c>
      <c r="D89" s="2" t="inlineStr">
        <is>
          <t>AUD2026-12 PA Funds</t>
        </is>
      </c>
      <c r="E89" s="2" t="inlineStr">
        <is>
          <t>Order47128421- 260501003</t>
        </is>
      </c>
      <c r="F89" s="2" t="inlineStr">
        <is>
          <t>47128421- EDC260501001</t>
        </is>
      </c>
      <c r="G89" s="2" t="inlineStr">
        <is>
          <t>Yuan.Yuan.YY.Chen@cn.ey.com</t>
        </is>
      </c>
      <c r="H89" s="2">
        <f>SUMIFS('周排班-纵表'!$I:$I,'周排班-纵表'!$C:$C,$C89,'周排班-纵表'!$G:$G,$G89,'周排班-纵表'!$H:$H,H$1)</f>
        <v/>
      </c>
      <c r="I89" s="2">
        <f>SUMIFS('周排班-纵表'!$I:$I,'周排班-纵表'!$C:$C,$C89,'周排班-纵表'!$G:$G,$G89,'周排班-纵表'!$H:$H,I$1)</f>
        <v/>
      </c>
      <c r="J89" s="2">
        <f>SUMIFS('周排班-纵表'!$I:$I,'周排班-纵表'!$C:$C,$C89,'周排班-纵表'!$G:$G,$G89,'周排班-纵表'!$H:$H,J$1)</f>
        <v/>
      </c>
      <c r="K89" s="2">
        <f>SUMIFS('周排班-纵表'!$I:$I,'周排班-纵表'!$C:$C,$C89,'周排班-纵表'!$G:$G,$G89,'周排班-纵表'!$H:$H,K$1)</f>
        <v/>
      </c>
      <c r="L89" s="2">
        <f>SUMIFS('周排班-纵表'!$I:$I,'周排班-纵表'!$C:$C,$C89,'周排班-纵表'!$G:$G,$G89,'周排班-纵表'!$H:$H,L$1)</f>
        <v/>
      </c>
      <c r="M89" s="2">
        <f>SUMIFS('周排班-纵表'!$I:$I,'周排班-纵表'!$C:$C,$C89,'周排班-纵表'!$G:$G,$G89,'周排班-纵表'!$H:$H,M$1)</f>
        <v/>
      </c>
      <c r="N89" s="2">
        <f>SUMIFS('周排班-纵表'!$I:$I,'周排班-纵表'!$C:$C,$C89,'周排班-纵表'!$G:$G,$G89,'周排班-纵表'!$H:$H,N$1)</f>
        <v/>
      </c>
      <c r="O89" s="2">
        <f>SUMIFS('周排班-纵表'!$I:$I,'周排班-纵表'!$C:$C,$C89,'周排班-纵表'!$G:$G,$G89,'周排班-纵表'!$H:$H,O$1)</f>
        <v/>
      </c>
      <c r="P89" s="2">
        <f>SUMIFS('周排班-纵表'!$I:$I,'周排班-纵表'!$C:$C,$C89,'周排班-纵表'!$G:$G,$G89,'周排班-纵表'!$H:$H,P$1)</f>
        <v/>
      </c>
      <c r="Q89" s="2">
        <f>SUMIFS('周排班-纵表'!$I:$I,'周排班-纵表'!$C:$C,$C89,'周排班-纵表'!$G:$G,$G89,'周排班-纵表'!$H:$H,Q$1)</f>
        <v/>
      </c>
      <c r="R89" s="2">
        <f>SUMIFS('周排班-纵表'!$I:$I,'周排班-纵表'!$C:$C,$C89,'周排班-纵表'!$G:$G,$G89,'周排班-纵表'!$H:$H,R$1)</f>
        <v/>
      </c>
      <c r="S89" s="2">
        <f>SUMIFS('周排班-纵表'!$I:$I,'周排班-纵表'!$C:$C,$C89,'周排班-纵表'!$G:$G,$G89,'周排班-纵表'!$H:$H,S$1)</f>
        <v/>
      </c>
      <c r="T89" s="2">
        <f>SUMIFS('周排班-纵表'!$I:$I,'周排班-纵表'!$C:$C,$C89,'周排班-纵表'!$G:$G,$G89,'周排班-纵表'!$H:$H,T$1)</f>
        <v/>
      </c>
      <c r="U89" s="2">
        <f>SUMIFS('周排班-纵表'!$I:$I,'周排班-纵表'!$C:$C,$C89,'周排班-纵表'!$G:$G,$G89,'周排班-纵表'!$H:$H,U$1)</f>
        <v/>
      </c>
      <c r="V89" s="2">
        <f>SUMIFS('周排班-纵表'!$I:$I,'周排班-纵表'!$C:$C,$C89,'周排班-纵表'!$G:$G,$G89,'周排班-纵表'!$H:$H,V$1)</f>
        <v/>
      </c>
      <c r="W89" s="2">
        <f>SUMIFS('周排班-纵表'!$I:$I,'周排班-纵表'!$C:$C,$C89,'周排班-纵表'!$G:$G,$G89,'周排班-纵表'!$H:$H,W$1)</f>
        <v/>
      </c>
      <c r="X89" s="2">
        <f>SUMIFS('周排班-纵表'!$I:$I,'周排班-纵表'!$C:$C,$C89,'周排班-纵表'!$G:$G,$G89,'周排班-纵表'!$H:$H,X$1)</f>
        <v/>
      </c>
      <c r="Y89" s="2">
        <f>SUMIFS('周排班-纵表'!$I:$I,'周排班-纵表'!$C:$C,$C89,'周排班-纵表'!$G:$G,$G89,'周排班-纵表'!$H:$H,Y$1)</f>
        <v/>
      </c>
      <c r="Z89" s="2">
        <f>SUMIFS('周排班-纵表'!$I:$I,'周排班-纵表'!$C:$C,$C89,'周排班-纵表'!$G:$G,$G89,'周排班-纵表'!$H:$H,Z$1)</f>
        <v/>
      </c>
      <c r="AA89" s="2">
        <f>SUMIFS('周排班-纵表'!$I:$I,'周排班-纵表'!$C:$C,$C89,'周排班-纵表'!$G:$G,$G89,'周排班-纵表'!$H:$H,AA$1)</f>
        <v/>
      </c>
      <c r="AB89" s="2">
        <f>SUMIFS('周排班-纵表'!$I:$I,'周排班-纵表'!$C:$C,$C89,'周排班-纵表'!$G:$G,$G89,'周排班-纵表'!$H:$H,AB$1)</f>
        <v/>
      </c>
      <c r="AC89" s="2">
        <f>SUMIFS('周排班-纵表'!$I:$I,'周排班-纵表'!$C:$C,$C89,'周排班-纵表'!$G:$G,$G89,'周排班-纵表'!$H:$H,AC$1)</f>
        <v/>
      </c>
      <c r="AD89" s="2">
        <f>SUMIFS('周排班-纵表'!$I:$I,'周排班-纵表'!$C:$C,$C89,'周排班-纵表'!$G:$G,$G89,'周排班-纵表'!$H:$H,AD$1)</f>
        <v/>
      </c>
      <c r="AE89" s="2">
        <f>SUMIFS('周排班-纵表'!$I:$I,'周排班-纵表'!$C:$C,$C89,'周排班-纵表'!$G:$G,$G89,'周排班-纵表'!$H:$H,AE$1)</f>
        <v/>
      </c>
      <c r="AF89" s="2">
        <f>SUMIFS('周排班-纵表'!$I:$I,'周排班-纵表'!$C:$C,$C89,'周排班-纵表'!$G:$G,$G89,'周排班-纵表'!$H:$H,AF$1)</f>
        <v/>
      </c>
      <c r="AG89" s="2">
        <f>SUMIFS('周排班-纵表'!$I:$I,'周排班-纵表'!$C:$C,$C89,'周排班-纵表'!$G:$G,$G89,'周排班-纵表'!$H:$H,AG$1)</f>
        <v/>
      </c>
      <c r="AH89" s="2">
        <f>SUMIFS('周排班-纵表'!$I:$I,'周排班-纵表'!$C:$C,$C89,'周排班-纵表'!$G:$G,$G89,'周排班-纵表'!$H:$H,AH$1)</f>
        <v/>
      </c>
      <c r="AI89" s="2">
        <f>SUMIFS('周排班-纵表'!$I:$I,'周排班-纵表'!$C:$C,$C89,'周排班-纵表'!$G:$G,$G89,'周排班-纵表'!$H:$H,AI$1)</f>
        <v/>
      </c>
      <c r="AJ89" s="2">
        <f>SUMIFS('周排班-纵表'!$I:$I,'周排班-纵表'!$C:$C,$C89,'周排班-纵表'!$G:$G,$G89,'周排班-纵表'!$H:$H,AJ$1)</f>
        <v/>
      </c>
      <c r="AK89" s="2">
        <f>SUMIFS('周排班-纵表'!$I:$I,'周排班-纵表'!$C:$C,$C89,'周排班-纵表'!$G:$G,$G89,'周排班-纵表'!$H:$H,AK$1)</f>
        <v/>
      </c>
      <c r="AL89" s="2">
        <f>SUMIFS('周排班-纵表'!$I:$I,'周排班-纵表'!$C:$C,$C89,'周排班-纵表'!$G:$G,$G89,'周排班-纵表'!$H:$H,AL$1)</f>
        <v/>
      </c>
    </row>
    <row r="90">
      <c r="A90" s="2" t="inlineStr">
        <is>
          <t>公募</t>
        </is>
      </c>
      <c r="B90" s="2" t="inlineStr">
        <is>
          <t>Hang Seng Qianhai Fund Management Company Limited</t>
        </is>
      </c>
      <c r="C90" s="2" t="inlineStr">
        <is>
          <t>47128633</t>
        </is>
      </c>
      <c r="D90" s="2" t="inlineStr">
        <is>
          <t>AUD2026-12 HSQH Funds</t>
        </is>
      </c>
      <c r="E90" s="2" t="inlineStr">
        <is>
          <t>Order47128633- 260501004</t>
        </is>
      </c>
      <c r="F90" s="2" t="inlineStr">
        <is>
          <t>47128633- EDC260501001</t>
        </is>
      </c>
      <c r="G90" s="2" t="inlineStr">
        <is>
          <t>InternA</t>
        </is>
      </c>
      <c r="H90" s="2">
        <f>SUMIFS('周排班-纵表'!$I:$I,'周排班-纵表'!$C:$C,$C90,'周排班-纵表'!$G:$G,$G90,'周排班-纵表'!$H:$H,H$1)</f>
        <v/>
      </c>
      <c r="I90" s="2">
        <f>SUMIFS('周排班-纵表'!$I:$I,'周排班-纵表'!$C:$C,$C90,'周排班-纵表'!$G:$G,$G90,'周排班-纵表'!$H:$H,I$1)</f>
        <v/>
      </c>
      <c r="J90" s="2">
        <f>SUMIFS('周排班-纵表'!$I:$I,'周排班-纵表'!$C:$C,$C90,'周排班-纵表'!$G:$G,$G90,'周排班-纵表'!$H:$H,J$1)</f>
        <v/>
      </c>
      <c r="K90" s="2">
        <f>SUMIFS('周排班-纵表'!$I:$I,'周排班-纵表'!$C:$C,$C90,'周排班-纵表'!$G:$G,$G90,'周排班-纵表'!$H:$H,K$1)</f>
        <v/>
      </c>
      <c r="L90" s="2">
        <f>SUMIFS('周排班-纵表'!$I:$I,'周排班-纵表'!$C:$C,$C90,'周排班-纵表'!$G:$G,$G90,'周排班-纵表'!$H:$H,L$1)</f>
        <v/>
      </c>
      <c r="M90" s="2">
        <f>SUMIFS('周排班-纵表'!$I:$I,'周排班-纵表'!$C:$C,$C90,'周排班-纵表'!$G:$G,$G90,'周排班-纵表'!$H:$H,M$1)</f>
        <v/>
      </c>
      <c r="N90" s="2">
        <f>SUMIFS('周排班-纵表'!$I:$I,'周排班-纵表'!$C:$C,$C90,'周排班-纵表'!$G:$G,$G90,'周排班-纵表'!$H:$H,N$1)</f>
        <v/>
      </c>
      <c r="O90" s="2">
        <f>SUMIFS('周排班-纵表'!$I:$I,'周排班-纵表'!$C:$C,$C90,'周排班-纵表'!$G:$G,$G90,'周排班-纵表'!$H:$H,O$1)</f>
        <v/>
      </c>
      <c r="P90" s="2">
        <f>SUMIFS('周排班-纵表'!$I:$I,'周排班-纵表'!$C:$C,$C90,'周排班-纵表'!$G:$G,$G90,'周排班-纵表'!$H:$H,P$1)</f>
        <v/>
      </c>
      <c r="Q90" s="2">
        <f>SUMIFS('周排班-纵表'!$I:$I,'周排班-纵表'!$C:$C,$C90,'周排班-纵表'!$G:$G,$G90,'周排班-纵表'!$H:$H,Q$1)</f>
        <v/>
      </c>
      <c r="R90" s="2">
        <f>SUMIFS('周排班-纵表'!$I:$I,'周排班-纵表'!$C:$C,$C90,'周排班-纵表'!$G:$G,$G90,'周排班-纵表'!$H:$H,R$1)</f>
        <v/>
      </c>
      <c r="S90" s="2">
        <f>SUMIFS('周排班-纵表'!$I:$I,'周排班-纵表'!$C:$C,$C90,'周排班-纵表'!$G:$G,$G90,'周排班-纵表'!$H:$H,S$1)</f>
        <v/>
      </c>
      <c r="T90" s="2">
        <f>SUMIFS('周排班-纵表'!$I:$I,'周排班-纵表'!$C:$C,$C90,'周排班-纵表'!$G:$G,$G90,'周排班-纵表'!$H:$H,T$1)</f>
        <v/>
      </c>
      <c r="U90" s="2">
        <f>SUMIFS('周排班-纵表'!$I:$I,'周排班-纵表'!$C:$C,$C90,'周排班-纵表'!$G:$G,$G90,'周排班-纵表'!$H:$H,U$1)</f>
        <v/>
      </c>
      <c r="V90" s="2">
        <f>SUMIFS('周排班-纵表'!$I:$I,'周排班-纵表'!$C:$C,$C90,'周排班-纵表'!$G:$G,$G90,'周排班-纵表'!$H:$H,V$1)</f>
        <v/>
      </c>
      <c r="W90" s="2">
        <f>SUMIFS('周排班-纵表'!$I:$I,'周排班-纵表'!$C:$C,$C90,'周排班-纵表'!$G:$G,$G90,'周排班-纵表'!$H:$H,W$1)</f>
        <v/>
      </c>
      <c r="X90" s="2">
        <f>SUMIFS('周排班-纵表'!$I:$I,'周排班-纵表'!$C:$C,$C90,'周排班-纵表'!$G:$G,$G90,'周排班-纵表'!$H:$H,X$1)</f>
        <v/>
      </c>
      <c r="Y90" s="2">
        <f>SUMIFS('周排班-纵表'!$I:$I,'周排班-纵表'!$C:$C,$C90,'周排班-纵表'!$G:$G,$G90,'周排班-纵表'!$H:$H,Y$1)</f>
        <v/>
      </c>
      <c r="Z90" s="2">
        <f>SUMIFS('周排班-纵表'!$I:$I,'周排班-纵表'!$C:$C,$C90,'周排班-纵表'!$G:$G,$G90,'周排班-纵表'!$H:$H,Z$1)</f>
        <v/>
      </c>
      <c r="AA90" s="2">
        <f>SUMIFS('周排班-纵表'!$I:$I,'周排班-纵表'!$C:$C,$C90,'周排班-纵表'!$G:$G,$G90,'周排班-纵表'!$H:$H,AA$1)</f>
        <v/>
      </c>
      <c r="AB90" s="2">
        <f>SUMIFS('周排班-纵表'!$I:$I,'周排班-纵表'!$C:$C,$C90,'周排班-纵表'!$G:$G,$G90,'周排班-纵表'!$H:$H,AB$1)</f>
        <v/>
      </c>
      <c r="AC90" s="2">
        <f>SUMIFS('周排班-纵表'!$I:$I,'周排班-纵表'!$C:$C,$C90,'周排班-纵表'!$G:$G,$G90,'周排班-纵表'!$H:$H,AC$1)</f>
        <v/>
      </c>
      <c r="AD90" s="2">
        <f>SUMIFS('周排班-纵表'!$I:$I,'周排班-纵表'!$C:$C,$C90,'周排班-纵表'!$G:$G,$G90,'周排班-纵表'!$H:$H,AD$1)</f>
        <v/>
      </c>
      <c r="AE90" s="2">
        <f>SUMIFS('周排班-纵表'!$I:$I,'周排班-纵表'!$C:$C,$C90,'周排班-纵表'!$G:$G,$G90,'周排班-纵表'!$H:$H,AE$1)</f>
        <v/>
      </c>
      <c r="AF90" s="2">
        <f>SUMIFS('周排班-纵表'!$I:$I,'周排班-纵表'!$C:$C,$C90,'周排班-纵表'!$G:$G,$G90,'周排班-纵表'!$H:$H,AF$1)</f>
        <v/>
      </c>
      <c r="AG90" s="2">
        <f>SUMIFS('周排班-纵表'!$I:$I,'周排班-纵表'!$C:$C,$C90,'周排班-纵表'!$G:$G,$G90,'周排班-纵表'!$H:$H,AG$1)</f>
        <v/>
      </c>
      <c r="AH90" s="2">
        <f>SUMIFS('周排班-纵表'!$I:$I,'周排班-纵表'!$C:$C,$C90,'周排班-纵表'!$G:$G,$G90,'周排班-纵表'!$H:$H,AH$1)</f>
        <v/>
      </c>
      <c r="AI90" s="2">
        <f>SUMIFS('周排班-纵表'!$I:$I,'周排班-纵表'!$C:$C,$C90,'周排班-纵表'!$G:$G,$G90,'周排班-纵表'!$H:$H,AI$1)</f>
        <v/>
      </c>
      <c r="AJ90" s="2">
        <f>SUMIFS('周排班-纵表'!$I:$I,'周排班-纵表'!$C:$C,$C90,'周排班-纵表'!$G:$G,$G90,'周排班-纵表'!$H:$H,AJ$1)</f>
        <v/>
      </c>
      <c r="AK90" s="2">
        <f>SUMIFS('周排班-纵表'!$I:$I,'周排班-纵表'!$C:$C,$C90,'周排班-纵表'!$G:$G,$G90,'周排班-纵表'!$H:$H,AK$1)</f>
        <v/>
      </c>
      <c r="AL90" s="2">
        <f>SUMIFS('周排班-纵表'!$I:$I,'周排班-纵表'!$C:$C,$C90,'周排班-纵表'!$G:$G,$G90,'周排班-纵表'!$H:$H,AL$1)</f>
        <v/>
      </c>
    </row>
    <row r="91">
      <c r="A91" s="2" t="inlineStr">
        <is>
          <t>公募</t>
        </is>
      </c>
      <c r="B91" s="2" t="inlineStr">
        <is>
          <t>Hang Seng Qianhai Fund Management Company Limited</t>
        </is>
      </c>
      <c r="C91" s="2" t="inlineStr">
        <is>
          <t>47128633</t>
        </is>
      </c>
      <c r="D91" s="2" t="inlineStr">
        <is>
          <t>AUD2026-12 HSQH Funds</t>
        </is>
      </c>
      <c r="E91" s="2" t="inlineStr">
        <is>
          <t>Order47128633- 260501004</t>
        </is>
      </c>
      <c r="F91" s="2" t="inlineStr">
        <is>
          <t>47128633- EDC260501001</t>
        </is>
      </c>
      <c r="G91" s="2" t="inlineStr">
        <is>
          <t>InternB</t>
        </is>
      </c>
      <c r="H91" s="2">
        <f>SUMIFS('周排班-纵表'!$I:$I,'周排班-纵表'!$C:$C,$C91,'周排班-纵表'!$G:$G,$G91,'周排班-纵表'!$H:$H,H$1)</f>
        <v/>
      </c>
      <c r="I91" s="2">
        <f>SUMIFS('周排班-纵表'!$I:$I,'周排班-纵表'!$C:$C,$C91,'周排班-纵表'!$G:$G,$G91,'周排班-纵表'!$H:$H,I$1)</f>
        <v/>
      </c>
      <c r="J91" s="2">
        <f>SUMIFS('周排班-纵表'!$I:$I,'周排班-纵表'!$C:$C,$C91,'周排班-纵表'!$G:$G,$G91,'周排班-纵表'!$H:$H,J$1)</f>
        <v/>
      </c>
      <c r="K91" s="2">
        <f>SUMIFS('周排班-纵表'!$I:$I,'周排班-纵表'!$C:$C,$C91,'周排班-纵表'!$G:$G,$G91,'周排班-纵表'!$H:$H,K$1)</f>
        <v/>
      </c>
      <c r="L91" s="2">
        <f>SUMIFS('周排班-纵表'!$I:$I,'周排班-纵表'!$C:$C,$C91,'周排班-纵表'!$G:$G,$G91,'周排班-纵表'!$H:$H,L$1)</f>
        <v/>
      </c>
      <c r="M91" s="2">
        <f>SUMIFS('周排班-纵表'!$I:$I,'周排班-纵表'!$C:$C,$C91,'周排班-纵表'!$G:$G,$G91,'周排班-纵表'!$H:$H,M$1)</f>
        <v/>
      </c>
      <c r="N91" s="2">
        <f>SUMIFS('周排班-纵表'!$I:$I,'周排班-纵表'!$C:$C,$C91,'周排班-纵表'!$G:$G,$G91,'周排班-纵表'!$H:$H,N$1)</f>
        <v/>
      </c>
      <c r="O91" s="2">
        <f>SUMIFS('周排班-纵表'!$I:$I,'周排班-纵表'!$C:$C,$C91,'周排班-纵表'!$G:$G,$G91,'周排班-纵表'!$H:$H,O$1)</f>
        <v/>
      </c>
      <c r="P91" s="2">
        <f>SUMIFS('周排班-纵表'!$I:$I,'周排班-纵表'!$C:$C,$C91,'周排班-纵表'!$G:$G,$G91,'周排班-纵表'!$H:$H,P$1)</f>
        <v/>
      </c>
      <c r="Q91" s="2">
        <f>SUMIFS('周排班-纵表'!$I:$I,'周排班-纵表'!$C:$C,$C91,'周排班-纵表'!$G:$G,$G91,'周排班-纵表'!$H:$H,Q$1)</f>
        <v/>
      </c>
      <c r="R91" s="2">
        <f>SUMIFS('周排班-纵表'!$I:$I,'周排班-纵表'!$C:$C,$C91,'周排班-纵表'!$G:$G,$G91,'周排班-纵表'!$H:$H,R$1)</f>
        <v/>
      </c>
      <c r="S91" s="2">
        <f>SUMIFS('周排班-纵表'!$I:$I,'周排班-纵表'!$C:$C,$C91,'周排班-纵表'!$G:$G,$G91,'周排班-纵表'!$H:$H,S$1)</f>
        <v/>
      </c>
      <c r="T91" s="2">
        <f>SUMIFS('周排班-纵表'!$I:$I,'周排班-纵表'!$C:$C,$C91,'周排班-纵表'!$G:$G,$G91,'周排班-纵表'!$H:$H,T$1)</f>
        <v/>
      </c>
      <c r="U91" s="2">
        <f>SUMIFS('周排班-纵表'!$I:$I,'周排班-纵表'!$C:$C,$C91,'周排班-纵表'!$G:$G,$G91,'周排班-纵表'!$H:$H,U$1)</f>
        <v/>
      </c>
      <c r="V91" s="2">
        <f>SUMIFS('周排班-纵表'!$I:$I,'周排班-纵表'!$C:$C,$C91,'周排班-纵表'!$G:$G,$G91,'周排班-纵表'!$H:$H,V$1)</f>
        <v/>
      </c>
      <c r="W91" s="2">
        <f>SUMIFS('周排班-纵表'!$I:$I,'周排班-纵表'!$C:$C,$C91,'周排班-纵表'!$G:$G,$G91,'周排班-纵表'!$H:$H,W$1)</f>
        <v/>
      </c>
      <c r="X91" s="2">
        <f>SUMIFS('周排班-纵表'!$I:$I,'周排班-纵表'!$C:$C,$C91,'周排班-纵表'!$G:$G,$G91,'周排班-纵表'!$H:$H,X$1)</f>
        <v/>
      </c>
      <c r="Y91" s="2">
        <f>SUMIFS('周排班-纵表'!$I:$I,'周排班-纵表'!$C:$C,$C91,'周排班-纵表'!$G:$G,$G91,'周排班-纵表'!$H:$H,Y$1)</f>
        <v/>
      </c>
      <c r="Z91" s="2">
        <f>SUMIFS('周排班-纵表'!$I:$I,'周排班-纵表'!$C:$C,$C91,'周排班-纵表'!$G:$G,$G91,'周排班-纵表'!$H:$H,Z$1)</f>
        <v/>
      </c>
      <c r="AA91" s="2">
        <f>SUMIFS('周排班-纵表'!$I:$I,'周排班-纵表'!$C:$C,$C91,'周排班-纵表'!$G:$G,$G91,'周排班-纵表'!$H:$H,AA$1)</f>
        <v/>
      </c>
      <c r="AB91" s="2">
        <f>SUMIFS('周排班-纵表'!$I:$I,'周排班-纵表'!$C:$C,$C91,'周排班-纵表'!$G:$G,$G91,'周排班-纵表'!$H:$H,AB$1)</f>
        <v/>
      </c>
      <c r="AC91" s="2">
        <f>SUMIFS('周排班-纵表'!$I:$I,'周排班-纵表'!$C:$C,$C91,'周排班-纵表'!$G:$G,$G91,'周排班-纵表'!$H:$H,AC$1)</f>
        <v/>
      </c>
      <c r="AD91" s="2">
        <f>SUMIFS('周排班-纵表'!$I:$I,'周排班-纵表'!$C:$C,$C91,'周排班-纵表'!$G:$G,$G91,'周排班-纵表'!$H:$H,AD$1)</f>
        <v/>
      </c>
      <c r="AE91" s="2">
        <f>SUMIFS('周排班-纵表'!$I:$I,'周排班-纵表'!$C:$C,$C91,'周排班-纵表'!$G:$G,$G91,'周排班-纵表'!$H:$H,AE$1)</f>
        <v/>
      </c>
      <c r="AF91" s="2">
        <f>SUMIFS('周排班-纵表'!$I:$I,'周排班-纵表'!$C:$C,$C91,'周排班-纵表'!$G:$G,$G91,'周排班-纵表'!$H:$H,AF$1)</f>
        <v/>
      </c>
      <c r="AG91" s="2">
        <f>SUMIFS('周排班-纵表'!$I:$I,'周排班-纵表'!$C:$C,$C91,'周排班-纵表'!$G:$G,$G91,'周排班-纵表'!$H:$H,AG$1)</f>
        <v/>
      </c>
      <c r="AH91" s="2">
        <f>SUMIFS('周排班-纵表'!$I:$I,'周排班-纵表'!$C:$C,$C91,'周排班-纵表'!$G:$G,$G91,'周排班-纵表'!$H:$H,AH$1)</f>
        <v/>
      </c>
      <c r="AI91" s="2">
        <f>SUMIFS('周排班-纵表'!$I:$I,'周排班-纵表'!$C:$C,$C91,'周排班-纵表'!$G:$G,$G91,'周排班-纵表'!$H:$H,AI$1)</f>
        <v/>
      </c>
      <c r="AJ91" s="2">
        <f>SUMIFS('周排班-纵表'!$I:$I,'周排班-纵表'!$C:$C,$C91,'周排班-纵表'!$G:$G,$G91,'周排班-纵表'!$H:$H,AJ$1)</f>
        <v/>
      </c>
      <c r="AK91" s="2">
        <f>SUMIFS('周排班-纵表'!$I:$I,'周排班-纵表'!$C:$C,$C91,'周排班-纵表'!$G:$G,$G91,'周排班-纵表'!$H:$H,AK$1)</f>
        <v/>
      </c>
      <c r="AL91" s="2">
        <f>SUMIFS('周排班-纵表'!$I:$I,'周排班-纵表'!$C:$C,$C91,'周排班-纵表'!$G:$G,$G91,'周排班-纵表'!$H:$H,AL$1)</f>
        <v/>
      </c>
    </row>
    <row r="92">
      <c r="A92" s="2" t="inlineStr">
        <is>
          <t>公募</t>
        </is>
      </c>
      <c r="B92" s="2" t="inlineStr">
        <is>
          <t>Hang Seng Qianhai Fund Management Company Limited</t>
        </is>
      </c>
      <c r="C92" s="2" t="inlineStr">
        <is>
          <t>47128633</t>
        </is>
      </c>
      <c r="D92" s="2" t="inlineStr">
        <is>
          <t>AUD2026-12 HSQH Funds</t>
        </is>
      </c>
      <c r="E92" s="2" t="inlineStr">
        <is>
          <t>Order47128633- 260501004</t>
        </is>
      </c>
      <c r="F92" s="2" t="inlineStr">
        <is>
          <t>47128633- EDC260501001</t>
        </is>
      </c>
      <c r="G92" s="2" t="inlineStr">
        <is>
          <t>Marsh.Ma@cn.ey.com</t>
        </is>
      </c>
      <c r="H92" s="2">
        <f>SUMIFS('周排班-纵表'!$I:$I,'周排班-纵表'!$C:$C,$C92,'周排班-纵表'!$G:$G,$G92,'周排班-纵表'!$H:$H,H$1)</f>
        <v/>
      </c>
      <c r="I92" s="2">
        <f>SUMIFS('周排班-纵表'!$I:$I,'周排班-纵表'!$C:$C,$C92,'周排班-纵表'!$G:$G,$G92,'周排班-纵表'!$H:$H,I$1)</f>
        <v/>
      </c>
      <c r="J92" s="2">
        <f>SUMIFS('周排班-纵表'!$I:$I,'周排班-纵表'!$C:$C,$C92,'周排班-纵表'!$G:$G,$G92,'周排班-纵表'!$H:$H,J$1)</f>
        <v/>
      </c>
      <c r="K92" s="2">
        <f>SUMIFS('周排班-纵表'!$I:$I,'周排班-纵表'!$C:$C,$C92,'周排班-纵表'!$G:$G,$G92,'周排班-纵表'!$H:$H,K$1)</f>
        <v/>
      </c>
      <c r="L92" s="2">
        <f>SUMIFS('周排班-纵表'!$I:$I,'周排班-纵表'!$C:$C,$C92,'周排班-纵表'!$G:$G,$G92,'周排班-纵表'!$H:$H,L$1)</f>
        <v/>
      </c>
      <c r="M92" s="2">
        <f>SUMIFS('周排班-纵表'!$I:$I,'周排班-纵表'!$C:$C,$C92,'周排班-纵表'!$G:$G,$G92,'周排班-纵表'!$H:$H,M$1)</f>
        <v/>
      </c>
      <c r="N92" s="2">
        <f>SUMIFS('周排班-纵表'!$I:$I,'周排班-纵表'!$C:$C,$C92,'周排班-纵表'!$G:$G,$G92,'周排班-纵表'!$H:$H,N$1)</f>
        <v/>
      </c>
      <c r="O92" s="2">
        <f>SUMIFS('周排班-纵表'!$I:$I,'周排班-纵表'!$C:$C,$C92,'周排班-纵表'!$G:$G,$G92,'周排班-纵表'!$H:$H,O$1)</f>
        <v/>
      </c>
      <c r="P92" s="2">
        <f>SUMIFS('周排班-纵表'!$I:$I,'周排班-纵表'!$C:$C,$C92,'周排班-纵表'!$G:$G,$G92,'周排班-纵表'!$H:$H,P$1)</f>
        <v/>
      </c>
      <c r="Q92" s="2">
        <f>SUMIFS('周排班-纵表'!$I:$I,'周排班-纵表'!$C:$C,$C92,'周排班-纵表'!$G:$G,$G92,'周排班-纵表'!$H:$H,Q$1)</f>
        <v/>
      </c>
      <c r="R92" s="2">
        <f>SUMIFS('周排班-纵表'!$I:$I,'周排班-纵表'!$C:$C,$C92,'周排班-纵表'!$G:$G,$G92,'周排班-纵表'!$H:$H,R$1)</f>
        <v/>
      </c>
      <c r="S92" s="2">
        <f>SUMIFS('周排班-纵表'!$I:$I,'周排班-纵表'!$C:$C,$C92,'周排班-纵表'!$G:$G,$G92,'周排班-纵表'!$H:$H,S$1)</f>
        <v/>
      </c>
      <c r="T92" s="2">
        <f>SUMIFS('周排班-纵表'!$I:$I,'周排班-纵表'!$C:$C,$C92,'周排班-纵表'!$G:$G,$G92,'周排班-纵表'!$H:$H,T$1)</f>
        <v/>
      </c>
      <c r="U92" s="2">
        <f>SUMIFS('周排班-纵表'!$I:$I,'周排班-纵表'!$C:$C,$C92,'周排班-纵表'!$G:$G,$G92,'周排班-纵表'!$H:$H,U$1)</f>
        <v/>
      </c>
      <c r="V92" s="2">
        <f>SUMIFS('周排班-纵表'!$I:$I,'周排班-纵表'!$C:$C,$C92,'周排班-纵表'!$G:$G,$G92,'周排班-纵表'!$H:$H,V$1)</f>
        <v/>
      </c>
      <c r="W92" s="2">
        <f>SUMIFS('周排班-纵表'!$I:$I,'周排班-纵表'!$C:$C,$C92,'周排班-纵表'!$G:$G,$G92,'周排班-纵表'!$H:$H,W$1)</f>
        <v/>
      </c>
      <c r="X92" s="2">
        <f>SUMIFS('周排班-纵表'!$I:$I,'周排班-纵表'!$C:$C,$C92,'周排班-纵表'!$G:$G,$G92,'周排班-纵表'!$H:$H,X$1)</f>
        <v/>
      </c>
      <c r="Y92" s="2">
        <f>SUMIFS('周排班-纵表'!$I:$I,'周排班-纵表'!$C:$C,$C92,'周排班-纵表'!$G:$G,$G92,'周排班-纵表'!$H:$H,Y$1)</f>
        <v/>
      </c>
      <c r="Z92" s="2">
        <f>SUMIFS('周排班-纵表'!$I:$I,'周排班-纵表'!$C:$C,$C92,'周排班-纵表'!$G:$G,$G92,'周排班-纵表'!$H:$H,Z$1)</f>
        <v/>
      </c>
      <c r="AA92" s="2">
        <f>SUMIFS('周排班-纵表'!$I:$I,'周排班-纵表'!$C:$C,$C92,'周排班-纵表'!$G:$G,$G92,'周排班-纵表'!$H:$H,AA$1)</f>
        <v/>
      </c>
      <c r="AB92" s="2">
        <f>SUMIFS('周排班-纵表'!$I:$I,'周排班-纵表'!$C:$C,$C92,'周排班-纵表'!$G:$G,$G92,'周排班-纵表'!$H:$H,AB$1)</f>
        <v/>
      </c>
      <c r="AC92" s="2">
        <f>SUMIFS('周排班-纵表'!$I:$I,'周排班-纵表'!$C:$C,$C92,'周排班-纵表'!$G:$G,$G92,'周排班-纵表'!$H:$H,AC$1)</f>
        <v/>
      </c>
      <c r="AD92" s="2">
        <f>SUMIFS('周排班-纵表'!$I:$I,'周排班-纵表'!$C:$C,$C92,'周排班-纵表'!$G:$G,$G92,'周排班-纵表'!$H:$H,AD$1)</f>
        <v/>
      </c>
      <c r="AE92" s="2">
        <f>SUMIFS('周排班-纵表'!$I:$I,'周排班-纵表'!$C:$C,$C92,'周排班-纵表'!$G:$G,$G92,'周排班-纵表'!$H:$H,AE$1)</f>
        <v/>
      </c>
      <c r="AF92" s="2">
        <f>SUMIFS('周排班-纵表'!$I:$I,'周排班-纵表'!$C:$C,$C92,'周排班-纵表'!$G:$G,$G92,'周排班-纵表'!$H:$H,AF$1)</f>
        <v/>
      </c>
      <c r="AG92" s="2">
        <f>SUMIFS('周排班-纵表'!$I:$I,'周排班-纵表'!$C:$C,$C92,'周排班-纵表'!$G:$G,$G92,'周排班-纵表'!$H:$H,AG$1)</f>
        <v/>
      </c>
      <c r="AH92" s="2">
        <f>SUMIFS('周排班-纵表'!$I:$I,'周排班-纵表'!$C:$C,$C92,'周排班-纵表'!$G:$G,$G92,'周排班-纵表'!$H:$H,AH$1)</f>
        <v/>
      </c>
      <c r="AI92" s="2">
        <f>SUMIFS('周排班-纵表'!$I:$I,'周排班-纵表'!$C:$C,$C92,'周排班-纵表'!$G:$G,$G92,'周排班-纵表'!$H:$H,AI$1)</f>
        <v/>
      </c>
      <c r="AJ92" s="2">
        <f>SUMIFS('周排班-纵表'!$I:$I,'周排班-纵表'!$C:$C,$C92,'周排班-纵表'!$G:$G,$G92,'周排班-纵表'!$H:$H,AJ$1)</f>
        <v/>
      </c>
      <c r="AK92" s="2">
        <f>SUMIFS('周排班-纵表'!$I:$I,'周排班-纵表'!$C:$C,$C92,'周排班-纵表'!$G:$G,$G92,'周排班-纵表'!$H:$H,AK$1)</f>
        <v/>
      </c>
      <c r="AL92" s="2">
        <f>SUMIFS('周排班-纵表'!$I:$I,'周排班-纵表'!$C:$C,$C92,'周排班-纵表'!$G:$G,$G92,'周排班-纵表'!$H:$H,AL$1)</f>
        <v/>
      </c>
    </row>
    <row r="93">
      <c r="A93" s="2" t="inlineStr">
        <is>
          <t>公募</t>
        </is>
      </c>
      <c r="B93" s="2" t="inlineStr">
        <is>
          <t>Hang Seng Qianhai Fund Management Company Limited</t>
        </is>
      </c>
      <c r="C93" s="2" t="inlineStr">
        <is>
          <t>47128633</t>
        </is>
      </c>
      <c r="D93" s="2" t="inlineStr">
        <is>
          <t>AUD2026-12 HSQH Funds</t>
        </is>
      </c>
      <c r="E93" s="2" t="inlineStr">
        <is>
          <t>Order47128633- 260501004</t>
        </is>
      </c>
      <c r="F93" s="2" t="inlineStr">
        <is>
          <t>47128633- EDC260501001</t>
        </is>
      </c>
      <c r="G93" s="2" t="inlineStr">
        <is>
          <t>Rainbow.MG.Xiao@cn.ey.com</t>
        </is>
      </c>
      <c r="H93" s="2">
        <f>SUMIFS('周排班-纵表'!$I:$I,'周排班-纵表'!$C:$C,$C93,'周排班-纵表'!$G:$G,$G93,'周排班-纵表'!$H:$H,H$1)</f>
        <v/>
      </c>
      <c r="I93" s="2">
        <f>SUMIFS('周排班-纵表'!$I:$I,'周排班-纵表'!$C:$C,$C93,'周排班-纵表'!$G:$G,$G93,'周排班-纵表'!$H:$H,I$1)</f>
        <v/>
      </c>
      <c r="J93" s="2">
        <f>SUMIFS('周排班-纵表'!$I:$I,'周排班-纵表'!$C:$C,$C93,'周排班-纵表'!$G:$G,$G93,'周排班-纵表'!$H:$H,J$1)</f>
        <v/>
      </c>
      <c r="K93" s="2">
        <f>SUMIFS('周排班-纵表'!$I:$I,'周排班-纵表'!$C:$C,$C93,'周排班-纵表'!$G:$G,$G93,'周排班-纵表'!$H:$H,K$1)</f>
        <v/>
      </c>
      <c r="L93" s="2">
        <f>SUMIFS('周排班-纵表'!$I:$I,'周排班-纵表'!$C:$C,$C93,'周排班-纵表'!$G:$G,$G93,'周排班-纵表'!$H:$H,L$1)</f>
        <v/>
      </c>
      <c r="M93" s="2">
        <f>SUMIFS('周排班-纵表'!$I:$I,'周排班-纵表'!$C:$C,$C93,'周排班-纵表'!$G:$G,$G93,'周排班-纵表'!$H:$H,M$1)</f>
        <v/>
      </c>
      <c r="N93" s="2">
        <f>SUMIFS('周排班-纵表'!$I:$I,'周排班-纵表'!$C:$C,$C93,'周排班-纵表'!$G:$G,$G93,'周排班-纵表'!$H:$H,N$1)</f>
        <v/>
      </c>
      <c r="O93" s="2">
        <f>SUMIFS('周排班-纵表'!$I:$I,'周排班-纵表'!$C:$C,$C93,'周排班-纵表'!$G:$G,$G93,'周排班-纵表'!$H:$H,O$1)</f>
        <v/>
      </c>
      <c r="P93" s="2">
        <f>SUMIFS('周排班-纵表'!$I:$I,'周排班-纵表'!$C:$C,$C93,'周排班-纵表'!$G:$G,$G93,'周排班-纵表'!$H:$H,P$1)</f>
        <v/>
      </c>
      <c r="Q93" s="2">
        <f>SUMIFS('周排班-纵表'!$I:$I,'周排班-纵表'!$C:$C,$C93,'周排班-纵表'!$G:$G,$G93,'周排班-纵表'!$H:$H,Q$1)</f>
        <v/>
      </c>
      <c r="R93" s="2">
        <f>SUMIFS('周排班-纵表'!$I:$I,'周排班-纵表'!$C:$C,$C93,'周排班-纵表'!$G:$G,$G93,'周排班-纵表'!$H:$H,R$1)</f>
        <v/>
      </c>
      <c r="S93" s="2">
        <f>SUMIFS('周排班-纵表'!$I:$I,'周排班-纵表'!$C:$C,$C93,'周排班-纵表'!$G:$G,$G93,'周排班-纵表'!$H:$H,S$1)</f>
        <v/>
      </c>
      <c r="T93" s="2">
        <f>SUMIFS('周排班-纵表'!$I:$I,'周排班-纵表'!$C:$C,$C93,'周排班-纵表'!$G:$G,$G93,'周排班-纵表'!$H:$H,T$1)</f>
        <v/>
      </c>
      <c r="U93" s="2">
        <f>SUMIFS('周排班-纵表'!$I:$I,'周排班-纵表'!$C:$C,$C93,'周排班-纵表'!$G:$G,$G93,'周排班-纵表'!$H:$H,U$1)</f>
        <v/>
      </c>
      <c r="V93" s="2">
        <f>SUMIFS('周排班-纵表'!$I:$I,'周排班-纵表'!$C:$C,$C93,'周排班-纵表'!$G:$G,$G93,'周排班-纵表'!$H:$H,V$1)</f>
        <v/>
      </c>
      <c r="W93" s="2">
        <f>SUMIFS('周排班-纵表'!$I:$I,'周排班-纵表'!$C:$C,$C93,'周排班-纵表'!$G:$G,$G93,'周排班-纵表'!$H:$H,W$1)</f>
        <v/>
      </c>
      <c r="X93" s="2">
        <f>SUMIFS('周排班-纵表'!$I:$I,'周排班-纵表'!$C:$C,$C93,'周排班-纵表'!$G:$G,$G93,'周排班-纵表'!$H:$H,X$1)</f>
        <v/>
      </c>
      <c r="Y93" s="2">
        <f>SUMIFS('周排班-纵表'!$I:$I,'周排班-纵表'!$C:$C,$C93,'周排班-纵表'!$G:$G,$G93,'周排班-纵表'!$H:$H,Y$1)</f>
        <v/>
      </c>
      <c r="Z93" s="2">
        <f>SUMIFS('周排班-纵表'!$I:$I,'周排班-纵表'!$C:$C,$C93,'周排班-纵表'!$G:$G,$G93,'周排班-纵表'!$H:$H,Z$1)</f>
        <v/>
      </c>
      <c r="AA93" s="2">
        <f>SUMIFS('周排班-纵表'!$I:$I,'周排班-纵表'!$C:$C,$C93,'周排班-纵表'!$G:$G,$G93,'周排班-纵表'!$H:$H,AA$1)</f>
        <v/>
      </c>
      <c r="AB93" s="2">
        <f>SUMIFS('周排班-纵表'!$I:$I,'周排班-纵表'!$C:$C,$C93,'周排班-纵表'!$G:$G,$G93,'周排班-纵表'!$H:$H,AB$1)</f>
        <v/>
      </c>
      <c r="AC93" s="2">
        <f>SUMIFS('周排班-纵表'!$I:$I,'周排班-纵表'!$C:$C,$C93,'周排班-纵表'!$G:$G,$G93,'周排班-纵表'!$H:$H,AC$1)</f>
        <v/>
      </c>
      <c r="AD93" s="2">
        <f>SUMIFS('周排班-纵表'!$I:$I,'周排班-纵表'!$C:$C,$C93,'周排班-纵表'!$G:$G,$G93,'周排班-纵表'!$H:$H,AD$1)</f>
        <v/>
      </c>
      <c r="AE93" s="2">
        <f>SUMIFS('周排班-纵表'!$I:$I,'周排班-纵表'!$C:$C,$C93,'周排班-纵表'!$G:$G,$G93,'周排班-纵表'!$H:$H,AE$1)</f>
        <v/>
      </c>
      <c r="AF93" s="2">
        <f>SUMIFS('周排班-纵表'!$I:$I,'周排班-纵表'!$C:$C,$C93,'周排班-纵表'!$G:$G,$G93,'周排班-纵表'!$H:$H,AF$1)</f>
        <v/>
      </c>
      <c r="AG93" s="2">
        <f>SUMIFS('周排班-纵表'!$I:$I,'周排班-纵表'!$C:$C,$C93,'周排班-纵表'!$G:$G,$G93,'周排班-纵表'!$H:$H,AG$1)</f>
        <v/>
      </c>
      <c r="AH93" s="2">
        <f>SUMIFS('周排班-纵表'!$I:$I,'周排班-纵表'!$C:$C,$C93,'周排班-纵表'!$G:$G,$G93,'周排班-纵表'!$H:$H,AH$1)</f>
        <v/>
      </c>
      <c r="AI93" s="2">
        <f>SUMIFS('周排班-纵表'!$I:$I,'周排班-纵表'!$C:$C,$C93,'周排班-纵表'!$G:$G,$G93,'周排班-纵表'!$H:$H,AI$1)</f>
        <v/>
      </c>
      <c r="AJ93" s="2">
        <f>SUMIFS('周排班-纵表'!$I:$I,'周排班-纵表'!$C:$C,$C93,'周排班-纵表'!$G:$G,$G93,'周排班-纵表'!$H:$H,AJ$1)</f>
        <v/>
      </c>
      <c r="AK93" s="2">
        <f>SUMIFS('周排班-纵表'!$I:$I,'周排班-纵表'!$C:$C,$C93,'周排班-纵表'!$G:$G,$G93,'周排班-纵表'!$H:$H,AK$1)</f>
        <v/>
      </c>
      <c r="AL93" s="2">
        <f>SUMIFS('周排班-纵表'!$I:$I,'周排班-纵表'!$C:$C,$C93,'周排班-纵表'!$G:$G,$G93,'周排班-纵表'!$H:$H,AL$1)</f>
        <v/>
      </c>
    </row>
    <row r="94">
      <c r="A94" s="2" t="inlineStr">
        <is>
          <t>公募</t>
        </is>
      </c>
      <c r="B94" s="2" t="inlineStr">
        <is>
          <t>Hang Seng Qianhai Fund Management Company Limited</t>
        </is>
      </c>
      <c r="C94" s="2" t="inlineStr">
        <is>
          <t>47128633</t>
        </is>
      </c>
      <c r="D94" s="2" t="inlineStr">
        <is>
          <t>AUD2026-12 HSQH Funds</t>
        </is>
      </c>
      <c r="E94" s="2" t="inlineStr">
        <is>
          <t>Order47128633- 260501004</t>
        </is>
      </c>
      <c r="F94" s="2" t="inlineStr">
        <is>
          <t>47128633- EDC260501001</t>
        </is>
      </c>
      <c r="G94" s="2" t="inlineStr">
        <is>
          <t>Yuan.Yuan.YY.Chen@cn.ey.com</t>
        </is>
      </c>
      <c r="H94" s="2">
        <f>SUMIFS('周排班-纵表'!$I:$I,'周排班-纵表'!$C:$C,$C94,'周排班-纵表'!$G:$G,$G94,'周排班-纵表'!$H:$H,H$1)</f>
        <v/>
      </c>
      <c r="I94" s="2">
        <f>SUMIFS('周排班-纵表'!$I:$I,'周排班-纵表'!$C:$C,$C94,'周排班-纵表'!$G:$G,$G94,'周排班-纵表'!$H:$H,I$1)</f>
        <v/>
      </c>
      <c r="J94" s="2">
        <f>SUMIFS('周排班-纵表'!$I:$I,'周排班-纵表'!$C:$C,$C94,'周排班-纵表'!$G:$G,$G94,'周排班-纵表'!$H:$H,J$1)</f>
        <v/>
      </c>
      <c r="K94" s="2">
        <f>SUMIFS('周排班-纵表'!$I:$I,'周排班-纵表'!$C:$C,$C94,'周排班-纵表'!$G:$G,$G94,'周排班-纵表'!$H:$H,K$1)</f>
        <v/>
      </c>
      <c r="L94" s="2">
        <f>SUMIFS('周排班-纵表'!$I:$I,'周排班-纵表'!$C:$C,$C94,'周排班-纵表'!$G:$G,$G94,'周排班-纵表'!$H:$H,L$1)</f>
        <v/>
      </c>
      <c r="M94" s="2">
        <f>SUMIFS('周排班-纵表'!$I:$I,'周排班-纵表'!$C:$C,$C94,'周排班-纵表'!$G:$G,$G94,'周排班-纵表'!$H:$H,M$1)</f>
        <v/>
      </c>
      <c r="N94" s="2">
        <f>SUMIFS('周排班-纵表'!$I:$I,'周排班-纵表'!$C:$C,$C94,'周排班-纵表'!$G:$G,$G94,'周排班-纵表'!$H:$H,N$1)</f>
        <v/>
      </c>
      <c r="O94" s="2">
        <f>SUMIFS('周排班-纵表'!$I:$I,'周排班-纵表'!$C:$C,$C94,'周排班-纵表'!$G:$G,$G94,'周排班-纵表'!$H:$H,O$1)</f>
        <v/>
      </c>
      <c r="P94" s="2">
        <f>SUMIFS('周排班-纵表'!$I:$I,'周排班-纵表'!$C:$C,$C94,'周排班-纵表'!$G:$G,$G94,'周排班-纵表'!$H:$H,P$1)</f>
        <v/>
      </c>
      <c r="Q94" s="2">
        <f>SUMIFS('周排班-纵表'!$I:$I,'周排班-纵表'!$C:$C,$C94,'周排班-纵表'!$G:$G,$G94,'周排班-纵表'!$H:$H,Q$1)</f>
        <v/>
      </c>
      <c r="R94" s="2">
        <f>SUMIFS('周排班-纵表'!$I:$I,'周排班-纵表'!$C:$C,$C94,'周排班-纵表'!$G:$G,$G94,'周排班-纵表'!$H:$H,R$1)</f>
        <v/>
      </c>
      <c r="S94" s="2">
        <f>SUMIFS('周排班-纵表'!$I:$I,'周排班-纵表'!$C:$C,$C94,'周排班-纵表'!$G:$G,$G94,'周排班-纵表'!$H:$H,S$1)</f>
        <v/>
      </c>
      <c r="T94" s="2">
        <f>SUMIFS('周排班-纵表'!$I:$I,'周排班-纵表'!$C:$C,$C94,'周排班-纵表'!$G:$G,$G94,'周排班-纵表'!$H:$H,T$1)</f>
        <v/>
      </c>
      <c r="U94" s="2">
        <f>SUMIFS('周排班-纵表'!$I:$I,'周排班-纵表'!$C:$C,$C94,'周排班-纵表'!$G:$G,$G94,'周排班-纵表'!$H:$H,U$1)</f>
        <v/>
      </c>
      <c r="V94" s="2">
        <f>SUMIFS('周排班-纵表'!$I:$I,'周排班-纵表'!$C:$C,$C94,'周排班-纵表'!$G:$G,$G94,'周排班-纵表'!$H:$H,V$1)</f>
        <v/>
      </c>
      <c r="W94" s="2">
        <f>SUMIFS('周排班-纵表'!$I:$I,'周排班-纵表'!$C:$C,$C94,'周排班-纵表'!$G:$G,$G94,'周排班-纵表'!$H:$H,W$1)</f>
        <v/>
      </c>
      <c r="X94" s="2">
        <f>SUMIFS('周排班-纵表'!$I:$I,'周排班-纵表'!$C:$C,$C94,'周排班-纵表'!$G:$G,$G94,'周排班-纵表'!$H:$H,X$1)</f>
        <v/>
      </c>
      <c r="Y94" s="2">
        <f>SUMIFS('周排班-纵表'!$I:$I,'周排班-纵表'!$C:$C,$C94,'周排班-纵表'!$G:$G,$G94,'周排班-纵表'!$H:$H,Y$1)</f>
        <v/>
      </c>
      <c r="Z94" s="2">
        <f>SUMIFS('周排班-纵表'!$I:$I,'周排班-纵表'!$C:$C,$C94,'周排班-纵表'!$G:$G,$G94,'周排班-纵表'!$H:$H,Z$1)</f>
        <v/>
      </c>
      <c r="AA94" s="2">
        <f>SUMIFS('周排班-纵表'!$I:$I,'周排班-纵表'!$C:$C,$C94,'周排班-纵表'!$G:$G,$G94,'周排班-纵表'!$H:$H,AA$1)</f>
        <v/>
      </c>
      <c r="AB94" s="2">
        <f>SUMIFS('周排班-纵表'!$I:$I,'周排班-纵表'!$C:$C,$C94,'周排班-纵表'!$G:$G,$G94,'周排班-纵表'!$H:$H,AB$1)</f>
        <v/>
      </c>
      <c r="AC94" s="2">
        <f>SUMIFS('周排班-纵表'!$I:$I,'周排班-纵表'!$C:$C,$C94,'周排班-纵表'!$G:$G,$G94,'周排班-纵表'!$H:$H,AC$1)</f>
        <v/>
      </c>
      <c r="AD94" s="2">
        <f>SUMIFS('周排班-纵表'!$I:$I,'周排班-纵表'!$C:$C,$C94,'周排班-纵表'!$G:$G,$G94,'周排班-纵表'!$H:$H,AD$1)</f>
        <v/>
      </c>
      <c r="AE94" s="2">
        <f>SUMIFS('周排班-纵表'!$I:$I,'周排班-纵表'!$C:$C,$C94,'周排班-纵表'!$G:$G,$G94,'周排班-纵表'!$H:$H,AE$1)</f>
        <v/>
      </c>
      <c r="AF94" s="2">
        <f>SUMIFS('周排班-纵表'!$I:$I,'周排班-纵表'!$C:$C,$C94,'周排班-纵表'!$G:$G,$G94,'周排班-纵表'!$H:$H,AF$1)</f>
        <v/>
      </c>
      <c r="AG94" s="2">
        <f>SUMIFS('周排班-纵表'!$I:$I,'周排班-纵表'!$C:$C,$C94,'周排班-纵表'!$G:$G,$G94,'周排班-纵表'!$H:$H,AG$1)</f>
        <v/>
      </c>
      <c r="AH94" s="2">
        <f>SUMIFS('周排班-纵表'!$I:$I,'周排班-纵表'!$C:$C,$C94,'周排班-纵表'!$G:$G,$G94,'周排班-纵表'!$H:$H,AH$1)</f>
        <v/>
      </c>
      <c r="AI94" s="2">
        <f>SUMIFS('周排班-纵表'!$I:$I,'周排班-纵表'!$C:$C,$C94,'周排班-纵表'!$G:$G,$G94,'周排班-纵表'!$H:$H,AI$1)</f>
        <v/>
      </c>
      <c r="AJ94" s="2">
        <f>SUMIFS('周排班-纵表'!$I:$I,'周排班-纵表'!$C:$C,$C94,'周排班-纵表'!$G:$G,$G94,'周排班-纵表'!$H:$H,AJ$1)</f>
        <v/>
      </c>
      <c r="AK94" s="2">
        <f>SUMIFS('周排班-纵表'!$I:$I,'周排班-纵表'!$C:$C,$C94,'周排班-纵表'!$G:$G,$G94,'周排班-纵表'!$H:$H,AK$1)</f>
        <v/>
      </c>
      <c r="AL94" s="2">
        <f>SUMIFS('周排班-纵表'!$I:$I,'周排班-纵表'!$C:$C,$C94,'周排班-纵表'!$G:$G,$G94,'周排班-纵表'!$H:$H,AL$1)</f>
        <v/>
      </c>
    </row>
    <row r="95">
      <c r="A95" s="2" t="inlineStr">
        <is>
          <t>公募</t>
        </is>
      </c>
      <c r="B95" s="2" t="inlineStr">
        <is>
          <t>Invesco Great Wall Fund Management Co.,Ltd.</t>
        </is>
      </c>
      <c r="C95" s="2" t="inlineStr">
        <is>
          <t>47128706</t>
        </is>
      </c>
      <c r="D95" s="2" t="inlineStr">
        <is>
          <t>AUD2026-12 Invesco GW Funds</t>
        </is>
      </c>
      <c r="E95" s="2" t="inlineStr">
        <is>
          <t>Order47128706- 260501003</t>
        </is>
      </c>
      <c r="F95" s="2" t="inlineStr">
        <is>
          <t>47128706- EDC260501001</t>
        </is>
      </c>
      <c r="G95" s="2" t="inlineStr">
        <is>
          <t>InternA</t>
        </is>
      </c>
      <c r="H95" s="2">
        <f>SUMIFS('周排班-纵表'!$I:$I,'周排班-纵表'!$C:$C,$C95,'周排班-纵表'!$G:$G,$G95,'周排班-纵表'!$H:$H,H$1)</f>
        <v/>
      </c>
      <c r="I95" s="2">
        <f>SUMIFS('周排班-纵表'!$I:$I,'周排班-纵表'!$C:$C,$C95,'周排班-纵表'!$G:$G,$G95,'周排班-纵表'!$H:$H,I$1)</f>
        <v/>
      </c>
      <c r="J95" s="2">
        <f>SUMIFS('周排班-纵表'!$I:$I,'周排班-纵表'!$C:$C,$C95,'周排班-纵表'!$G:$G,$G95,'周排班-纵表'!$H:$H,J$1)</f>
        <v/>
      </c>
      <c r="K95" s="2">
        <f>SUMIFS('周排班-纵表'!$I:$I,'周排班-纵表'!$C:$C,$C95,'周排班-纵表'!$G:$G,$G95,'周排班-纵表'!$H:$H,K$1)</f>
        <v/>
      </c>
      <c r="L95" s="2">
        <f>SUMIFS('周排班-纵表'!$I:$I,'周排班-纵表'!$C:$C,$C95,'周排班-纵表'!$G:$G,$G95,'周排班-纵表'!$H:$H,L$1)</f>
        <v/>
      </c>
      <c r="M95" s="2">
        <f>SUMIFS('周排班-纵表'!$I:$I,'周排班-纵表'!$C:$C,$C95,'周排班-纵表'!$G:$G,$G95,'周排班-纵表'!$H:$H,M$1)</f>
        <v/>
      </c>
      <c r="N95" s="2">
        <f>SUMIFS('周排班-纵表'!$I:$I,'周排班-纵表'!$C:$C,$C95,'周排班-纵表'!$G:$G,$G95,'周排班-纵表'!$H:$H,N$1)</f>
        <v/>
      </c>
      <c r="O95" s="2">
        <f>SUMIFS('周排班-纵表'!$I:$I,'周排班-纵表'!$C:$C,$C95,'周排班-纵表'!$G:$G,$G95,'周排班-纵表'!$H:$H,O$1)</f>
        <v/>
      </c>
      <c r="P95" s="2">
        <f>SUMIFS('周排班-纵表'!$I:$I,'周排班-纵表'!$C:$C,$C95,'周排班-纵表'!$G:$G,$G95,'周排班-纵表'!$H:$H,P$1)</f>
        <v/>
      </c>
      <c r="Q95" s="2">
        <f>SUMIFS('周排班-纵表'!$I:$I,'周排班-纵表'!$C:$C,$C95,'周排班-纵表'!$G:$G,$G95,'周排班-纵表'!$H:$H,Q$1)</f>
        <v/>
      </c>
      <c r="R95" s="2">
        <f>SUMIFS('周排班-纵表'!$I:$I,'周排班-纵表'!$C:$C,$C95,'周排班-纵表'!$G:$G,$G95,'周排班-纵表'!$H:$H,R$1)</f>
        <v/>
      </c>
      <c r="S95" s="2">
        <f>SUMIFS('周排班-纵表'!$I:$I,'周排班-纵表'!$C:$C,$C95,'周排班-纵表'!$G:$G,$G95,'周排班-纵表'!$H:$H,S$1)</f>
        <v/>
      </c>
      <c r="T95" s="2">
        <f>SUMIFS('周排班-纵表'!$I:$I,'周排班-纵表'!$C:$C,$C95,'周排班-纵表'!$G:$G,$G95,'周排班-纵表'!$H:$H,T$1)</f>
        <v/>
      </c>
      <c r="U95" s="2">
        <f>SUMIFS('周排班-纵表'!$I:$I,'周排班-纵表'!$C:$C,$C95,'周排班-纵表'!$G:$G,$G95,'周排班-纵表'!$H:$H,U$1)</f>
        <v/>
      </c>
      <c r="V95" s="2">
        <f>SUMIFS('周排班-纵表'!$I:$I,'周排班-纵表'!$C:$C,$C95,'周排班-纵表'!$G:$G,$G95,'周排班-纵表'!$H:$H,V$1)</f>
        <v/>
      </c>
      <c r="W95" s="2">
        <f>SUMIFS('周排班-纵表'!$I:$I,'周排班-纵表'!$C:$C,$C95,'周排班-纵表'!$G:$G,$G95,'周排班-纵表'!$H:$H,W$1)</f>
        <v/>
      </c>
      <c r="X95" s="2">
        <f>SUMIFS('周排班-纵表'!$I:$I,'周排班-纵表'!$C:$C,$C95,'周排班-纵表'!$G:$G,$G95,'周排班-纵表'!$H:$H,X$1)</f>
        <v/>
      </c>
      <c r="Y95" s="2">
        <f>SUMIFS('周排班-纵表'!$I:$I,'周排班-纵表'!$C:$C,$C95,'周排班-纵表'!$G:$G,$G95,'周排班-纵表'!$H:$H,Y$1)</f>
        <v/>
      </c>
      <c r="Z95" s="2">
        <f>SUMIFS('周排班-纵表'!$I:$I,'周排班-纵表'!$C:$C,$C95,'周排班-纵表'!$G:$G,$G95,'周排班-纵表'!$H:$H,Z$1)</f>
        <v/>
      </c>
      <c r="AA95" s="2">
        <f>SUMIFS('周排班-纵表'!$I:$I,'周排班-纵表'!$C:$C,$C95,'周排班-纵表'!$G:$G,$G95,'周排班-纵表'!$H:$H,AA$1)</f>
        <v/>
      </c>
      <c r="AB95" s="2">
        <f>SUMIFS('周排班-纵表'!$I:$I,'周排班-纵表'!$C:$C,$C95,'周排班-纵表'!$G:$G,$G95,'周排班-纵表'!$H:$H,AB$1)</f>
        <v/>
      </c>
      <c r="AC95" s="2">
        <f>SUMIFS('周排班-纵表'!$I:$I,'周排班-纵表'!$C:$C,$C95,'周排班-纵表'!$G:$G,$G95,'周排班-纵表'!$H:$H,AC$1)</f>
        <v/>
      </c>
      <c r="AD95" s="2">
        <f>SUMIFS('周排班-纵表'!$I:$I,'周排班-纵表'!$C:$C,$C95,'周排班-纵表'!$G:$G,$G95,'周排班-纵表'!$H:$H,AD$1)</f>
        <v/>
      </c>
      <c r="AE95" s="2">
        <f>SUMIFS('周排班-纵表'!$I:$I,'周排班-纵表'!$C:$C,$C95,'周排班-纵表'!$G:$G,$G95,'周排班-纵表'!$H:$H,AE$1)</f>
        <v/>
      </c>
      <c r="AF95" s="2">
        <f>SUMIFS('周排班-纵表'!$I:$I,'周排班-纵表'!$C:$C,$C95,'周排班-纵表'!$G:$G,$G95,'周排班-纵表'!$H:$H,AF$1)</f>
        <v/>
      </c>
      <c r="AG95" s="2">
        <f>SUMIFS('周排班-纵表'!$I:$I,'周排班-纵表'!$C:$C,$C95,'周排班-纵表'!$G:$G,$G95,'周排班-纵表'!$H:$H,AG$1)</f>
        <v/>
      </c>
      <c r="AH95" s="2">
        <f>SUMIFS('周排班-纵表'!$I:$I,'周排班-纵表'!$C:$C,$C95,'周排班-纵表'!$G:$G,$G95,'周排班-纵表'!$H:$H,AH$1)</f>
        <v/>
      </c>
      <c r="AI95" s="2">
        <f>SUMIFS('周排班-纵表'!$I:$I,'周排班-纵表'!$C:$C,$C95,'周排班-纵表'!$G:$G,$G95,'周排班-纵表'!$H:$H,AI$1)</f>
        <v/>
      </c>
      <c r="AJ95" s="2">
        <f>SUMIFS('周排班-纵表'!$I:$I,'周排班-纵表'!$C:$C,$C95,'周排班-纵表'!$G:$G,$G95,'周排班-纵表'!$H:$H,AJ$1)</f>
        <v/>
      </c>
      <c r="AK95" s="2">
        <f>SUMIFS('周排班-纵表'!$I:$I,'周排班-纵表'!$C:$C,$C95,'周排班-纵表'!$G:$G,$G95,'周排班-纵表'!$H:$H,AK$1)</f>
        <v/>
      </c>
      <c r="AL95" s="2">
        <f>SUMIFS('周排班-纵表'!$I:$I,'周排班-纵表'!$C:$C,$C95,'周排班-纵表'!$G:$G,$G95,'周排班-纵表'!$H:$H,AL$1)</f>
        <v/>
      </c>
    </row>
    <row r="96">
      <c r="A96" s="2" t="inlineStr">
        <is>
          <t>公募</t>
        </is>
      </c>
      <c r="B96" s="2" t="inlineStr">
        <is>
          <t>Invesco Great Wall Fund Management Co.,Ltd.</t>
        </is>
      </c>
      <c r="C96" s="2" t="inlineStr">
        <is>
          <t>47128706</t>
        </is>
      </c>
      <c r="D96" s="2" t="inlineStr">
        <is>
          <t>AUD2026-12 Invesco GW Funds</t>
        </is>
      </c>
      <c r="E96" s="2" t="inlineStr">
        <is>
          <t>Order47128706- 260501003</t>
        </is>
      </c>
      <c r="F96" s="2" t="inlineStr">
        <is>
          <t>47128706- EDC260501001</t>
        </is>
      </c>
      <c r="G96" s="2" t="inlineStr">
        <is>
          <t>InternB</t>
        </is>
      </c>
      <c r="H96" s="2">
        <f>SUMIFS('周排班-纵表'!$I:$I,'周排班-纵表'!$C:$C,$C96,'周排班-纵表'!$G:$G,$G96,'周排班-纵表'!$H:$H,H$1)</f>
        <v/>
      </c>
      <c r="I96" s="2">
        <f>SUMIFS('周排班-纵表'!$I:$I,'周排班-纵表'!$C:$C,$C96,'周排班-纵表'!$G:$G,$G96,'周排班-纵表'!$H:$H,I$1)</f>
        <v/>
      </c>
      <c r="J96" s="2">
        <f>SUMIFS('周排班-纵表'!$I:$I,'周排班-纵表'!$C:$C,$C96,'周排班-纵表'!$G:$G,$G96,'周排班-纵表'!$H:$H,J$1)</f>
        <v/>
      </c>
      <c r="K96" s="2">
        <f>SUMIFS('周排班-纵表'!$I:$I,'周排班-纵表'!$C:$C,$C96,'周排班-纵表'!$G:$G,$G96,'周排班-纵表'!$H:$H,K$1)</f>
        <v/>
      </c>
      <c r="L96" s="2">
        <f>SUMIFS('周排班-纵表'!$I:$I,'周排班-纵表'!$C:$C,$C96,'周排班-纵表'!$G:$G,$G96,'周排班-纵表'!$H:$H,L$1)</f>
        <v/>
      </c>
      <c r="M96" s="2">
        <f>SUMIFS('周排班-纵表'!$I:$I,'周排班-纵表'!$C:$C,$C96,'周排班-纵表'!$G:$G,$G96,'周排班-纵表'!$H:$H,M$1)</f>
        <v/>
      </c>
      <c r="N96" s="2">
        <f>SUMIFS('周排班-纵表'!$I:$I,'周排班-纵表'!$C:$C,$C96,'周排班-纵表'!$G:$G,$G96,'周排班-纵表'!$H:$H,N$1)</f>
        <v/>
      </c>
      <c r="O96" s="2">
        <f>SUMIFS('周排班-纵表'!$I:$I,'周排班-纵表'!$C:$C,$C96,'周排班-纵表'!$G:$G,$G96,'周排班-纵表'!$H:$H,O$1)</f>
        <v/>
      </c>
      <c r="P96" s="2">
        <f>SUMIFS('周排班-纵表'!$I:$I,'周排班-纵表'!$C:$C,$C96,'周排班-纵表'!$G:$G,$G96,'周排班-纵表'!$H:$H,P$1)</f>
        <v/>
      </c>
      <c r="Q96" s="2">
        <f>SUMIFS('周排班-纵表'!$I:$I,'周排班-纵表'!$C:$C,$C96,'周排班-纵表'!$G:$G,$G96,'周排班-纵表'!$H:$H,Q$1)</f>
        <v/>
      </c>
      <c r="R96" s="2">
        <f>SUMIFS('周排班-纵表'!$I:$I,'周排班-纵表'!$C:$C,$C96,'周排班-纵表'!$G:$G,$G96,'周排班-纵表'!$H:$H,R$1)</f>
        <v/>
      </c>
      <c r="S96" s="2">
        <f>SUMIFS('周排班-纵表'!$I:$I,'周排班-纵表'!$C:$C,$C96,'周排班-纵表'!$G:$G,$G96,'周排班-纵表'!$H:$H,S$1)</f>
        <v/>
      </c>
      <c r="T96" s="2">
        <f>SUMIFS('周排班-纵表'!$I:$I,'周排班-纵表'!$C:$C,$C96,'周排班-纵表'!$G:$G,$G96,'周排班-纵表'!$H:$H,T$1)</f>
        <v/>
      </c>
      <c r="U96" s="2">
        <f>SUMIFS('周排班-纵表'!$I:$I,'周排班-纵表'!$C:$C,$C96,'周排班-纵表'!$G:$G,$G96,'周排班-纵表'!$H:$H,U$1)</f>
        <v/>
      </c>
      <c r="V96" s="2">
        <f>SUMIFS('周排班-纵表'!$I:$I,'周排班-纵表'!$C:$C,$C96,'周排班-纵表'!$G:$G,$G96,'周排班-纵表'!$H:$H,V$1)</f>
        <v/>
      </c>
      <c r="W96" s="2">
        <f>SUMIFS('周排班-纵表'!$I:$I,'周排班-纵表'!$C:$C,$C96,'周排班-纵表'!$G:$G,$G96,'周排班-纵表'!$H:$H,W$1)</f>
        <v/>
      </c>
      <c r="X96" s="2">
        <f>SUMIFS('周排班-纵表'!$I:$I,'周排班-纵表'!$C:$C,$C96,'周排班-纵表'!$G:$G,$G96,'周排班-纵表'!$H:$H,X$1)</f>
        <v/>
      </c>
      <c r="Y96" s="2">
        <f>SUMIFS('周排班-纵表'!$I:$I,'周排班-纵表'!$C:$C,$C96,'周排班-纵表'!$G:$G,$G96,'周排班-纵表'!$H:$H,Y$1)</f>
        <v/>
      </c>
      <c r="Z96" s="2">
        <f>SUMIFS('周排班-纵表'!$I:$I,'周排班-纵表'!$C:$C,$C96,'周排班-纵表'!$G:$G,$G96,'周排班-纵表'!$H:$H,Z$1)</f>
        <v/>
      </c>
      <c r="AA96" s="2">
        <f>SUMIFS('周排班-纵表'!$I:$I,'周排班-纵表'!$C:$C,$C96,'周排班-纵表'!$G:$G,$G96,'周排班-纵表'!$H:$H,AA$1)</f>
        <v/>
      </c>
      <c r="AB96" s="2">
        <f>SUMIFS('周排班-纵表'!$I:$I,'周排班-纵表'!$C:$C,$C96,'周排班-纵表'!$G:$G,$G96,'周排班-纵表'!$H:$H,AB$1)</f>
        <v/>
      </c>
      <c r="AC96" s="2">
        <f>SUMIFS('周排班-纵表'!$I:$I,'周排班-纵表'!$C:$C,$C96,'周排班-纵表'!$G:$G,$G96,'周排班-纵表'!$H:$H,AC$1)</f>
        <v/>
      </c>
      <c r="AD96" s="2">
        <f>SUMIFS('周排班-纵表'!$I:$I,'周排班-纵表'!$C:$C,$C96,'周排班-纵表'!$G:$G,$G96,'周排班-纵表'!$H:$H,AD$1)</f>
        <v/>
      </c>
      <c r="AE96" s="2">
        <f>SUMIFS('周排班-纵表'!$I:$I,'周排班-纵表'!$C:$C,$C96,'周排班-纵表'!$G:$G,$G96,'周排班-纵表'!$H:$H,AE$1)</f>
        <v/>
      </c>
      <c r="AF96" s="2">
        <f>SUMIFS('周排班-纵表'!$I:$I,'周排班-纵表'!$C:$C,$C96,'周排班-纵表'!$G:$G,$G96,'周排班-纵表'!$H:$H,AF$1)</f>
        <v/>
      </c>
      <c r="AG96" s="2">
        <f>SUMIFS('周排班-纵表'!$I:$I,'周排班-纵表'!$C:$C,$C96,'周排班-纵表'!$G:$G,$G96,'周排班-纵表'!$H:$H,AG$1)</f>
        <v/>
      </c>
      <c r="AH96" s="2">
        <f>SUMIFS('周排班-纵表'!$I:$I,'周排班-纵表'!$C:$C,$C96,'周排班-纵表'!$G:$G,$G96,'周排班-纵表'!$H:$H,AH$1)</f>
        <v/>
      </c>
      <c r="AI96" s="2">
        <f>SUMIFS('周排班-纵表'!$I:$I,'周排班-纵表'!$C:$C,$C96,'周排班-纵表'!$G:$G,$G96,'周排班-纵表'!$H:$H,AI$1)</f>
        <v/>
      </c>
      <c r="AJ96" s="2">
        <f>SUMIFS('周排班-纵表'!$I:$I,'周排班-纵表'!$C:$C,$C96,'周排班-纵表'!$G:$G,$G96,'周排班-纵表'!$H:$H,AJ$1)</f>
        <v/>
      </c>
      <c r="AK96" s="2">
        <f>SUMIFS('周排班-纵表'!$I:$I,'周排班-纵表'!$C:$C,$C96,'周排班-纵表'!$G:$G,$G96,'周排班-纵表'!$H:$H,AK$1)</f>
        <v/>
      </c>
      <c r="AL96" s="2">
        <f>SUMIFS('周排班-纵表'!$I:$I,'周排班-纵表'!$C:$C,$C96,'周排班-纵表'!$G:$G,$G96,'周排班-纵表'!$H:$H,AL$1)</f>
        <v/>
      </c>
    </row>
    <row r="97">
      <c r="A97" s="2" t="inlineStr">
        <is>
          <t>公募</t>
        </is>
      </c>
      <c r="B97" s="2" t="inlineStr">
        <is>
          <t>Invesco Great Wall Fund Management Co.,Ltd.</t>
        </is>
      </c>
      <c r="C97" s="2" t="inlineStr">
        <is>
          <t>47128706</t>
        </is>
      </c>
      <c r="D97" s="2" t="inlineStr">
        <is>
          <t>AUD2026-12 Invesco GW Funds</t>
        </is>
      </c>
      <c r="E97" s="2" t="inlineStr">
        <is>
          <t>Order47128706- 260501003</t>
        </is>
      </c>
      <c r="F97" s="2" t="inlineStr">
        <is>
          <t>47128706- EDC260501001</t>
        </is>
      </c>
      <c r="G97" s="2" t="inlineStr">
        <is>
          <t>Marsh.Ma@cn.ey.com</t>
        </is>
      </c>
      <c r="H97" s="2">
        <f>SUMIFS('周排班-纵表'!$I:$I,'周排班-纵表'!$C:$C,$C97,'周排班-纵表'!$G:$G,$G97,'周排班-纵表'!$H:$H,H$1)</f>
        <v/>
      </c>
      <c r="I97" s="2">
        <f>SUMIFS('周排班-纵表'!$I:$I,'周排班-纵表'!$C:$C,$C97,'周排班-纵表'!$G:$G,$G97,'周排班-纵表'!$H:$H,I$1)</f>
        <v/>
      </c>
      <c r="J97" s="2">
        <f>SUMIFS('周排班-纵表'!$I:$I,'周排班-纵表'!$C:$C,$C97,'周排班-纵表'!$G:$G,$G97,'周排班-纵表'!$H:$H,J$1)</f>
        <v/>
      </c>
      <c r="K97" s="2">
        <f>SUMIFS('周排班-纵表'!$I:$I,'周排班-纵表'!$C:$C,$C97,'周排班-纵表'!$G:$G,$G97,'周排班-纵表'!$H:$H,K$1)</f>
        <v/>
      </c>
      <c r="L97" s="2">
        <f>SUMIFS('周排班-纵表'!$I:$I,'周排班-纵表'!$C:$C,$C97,'周排班-纵表'!$G:$G,$G97,'周排班-纵表'!$H:$H,L$1)</f>
        <v/>
      </c>
      <c r="M97" s="2">
        <f>SUMIFS('周排班-纵表'!$I:$I,'周排班-纵表'!$C:$C,$C97,'周排班-纵表'!$G:$G,$G97,'周排班-纵表'!$H:$H,M$1)</f>
        <v/>
      </c>
      <c r="N97" s="2">
        <f>SUMIFS('周排班-纵表'!$I:$I,'周排班-纵表'!$C:$C,$C97,'周排班-纵表'!$G:$G,$G97,'周排班-纵表'!$H:$H,N$1)</f>
        <v/>
      </c>
      <c r="O97" s="2">
        <f>SUMIFS('周排班-纵表'!$I:$I,'周排班-纵表'!$C:$C,$C97,'周排班-纵表'!$G:$G,$G97,'周排班-纵表'!$H:$H,O$1)</f>
        <v/>
      </c>
      <c r="P97" s="2">
        <f>SUMIFS('周排班-纵表'!$I:$I,'周排班-纵表'!$C:$C,$C97,'周排班-纵表'!$G:$G,$G97,'周排班-纵表'!$H:$H,P$1)</f>
        <v/>
      </c>
      <c r="Q97" s="2">
        <f>SUMIFS('周排班-纵表'!$I:$I,'周排班-纵表'!$C:$C,$C97,'周排班-纵表'!$G:$G,$G97,'周排班-纵表'!$H:$H,Q$1)</f>
        <v/>
      </c>
      <c r="R97" s="2">
        <f>SUMIFS('周排班-纵表'!$I:$I,'周排班-纵表'!$C:$C,$C97,'周排班-纵表'!$G:$G,$G97,'周排班-纵表'!$H:$H,R$1)</f>
        <v/>
      </c>
      <c r="S97" s="2">
        <f>SUMIFS('周排班-纵表'!$I:$I,'周排班-纵表'!$C:$C,$C97,'周排班-纵表'!$G:$G,$G97,'周排班-纵表'!$H:$H,S$1)</f>
        <v/>
      </c>
      <c r="T97" s="2">
        <f>SUMIFS('周排班-纵表'!$I:$I,'周排班-纵表'!$C:$C,$C97,'周排班-纵表'!$G:$G,$G97,'周排班-纵表'!$H:$H,T$1)</f>
        <v/>
      </c>
      <c r="U97" s="2">
        <f>SUMIFS('周排班-纵表'!$I:$I,'周排班-纵表'!$C:$C,$C97,'周排班-纵表'!$G:$G,$G97,'周排班-纵表'!$H:$H,U$1)</f>
        <v/>
      </c>
      <c r="V97" s="2">
        <f>SUMIFS('周排班-纵表'!$I:$I,'周排班-纵表'!$C:$C,$C97,'周排班-纵表'!$G:$G,$G97,'周排班-纵表'!$H:$H,V$1)</f>
        <v/>
      </c>
      <c r="W97" s="2">
        <f>SUMIFS('周排班-纵表'!$I:$I,'周排班-纵表'!$C:$C,$C97,'周排班-纵表'!$G:$G,$G97,'周排班-纵表'!$H:$H,W$1)</f>
        <v/>
      </c>
      <c r="X97" s="2">
        <f>SUMIFS('周排班-纵表'!$I:$I,'周排班-纵表'!$C:$C,$C97,'周排班-纵表'!$G:$G,$G97,'周排班-纵表'!$H:$H,X$1)</f>
        <v/>
      </c>
      <c r="Y97" s="2">
        <f>SUMIFS('周排班-纵表'!$I:$I,'周排班-纵表'!$C:$C,$C97,'周排班-纵表'!$G:$G,$G97,'周排班-纵表'!$H:$H,Y$1)</f>
        <v/>
      </c>
      <c r="Z97" s="2">
        <f>SUMIFS('周排班-纵表'!$I:$I,'周排班-纵表'!$C:$C,$C97,'周排班-纵表'!$G:$G,$G97,'周排班-纵表'!$H:$H,Z$1)</f>
        <v/>
      </c>
      <c r="AA97" s="2">
        <f>SUMIFS('周排班-纵表'!$I:$I,'周排班-纵表'!$C:$C,$C97,'周排班-纵表'!$G:$G,$G97,'周排班-纵表'!$H:$H,AA$1)</f>
        <v/>
      </c>
      <c r="AB97" s="2">
        <f>SUMIFS('周排班-纵表'!$I:$I,'周排班-纵表'!$C:$C,$C97,'周排班-纵表'!$G:$G,$G97,'周排班-纵表'!$H:$H,AB$1)</f>
        <v/>
      </c>
      <c r="AC97" s="2">
        <f>SUMIFS('周排班-纵表'!$I:$I,'周排班-纵表'!$C:$C,$C97,'周排班-纵表'!$G:$G,$G97,'周排班-纵表'!$H:$H,AC$1)</f>
        <v/>
      </c>
      <c r="AD97" s="2">
        <f>SUMIFS('周排班-纵表'!$I:$I,'周排班-纵表'!$C:$C,$C97,'周排班-纵表'!$G:$G,$G97,'周排班-纵表'!$H:$H,AD$1)</f>
        <v/>
      </c>
      <c r="AE97" s="2">
        <f>SUMIFS('周排班-纵表'!$I:$I,'周排班-纵表'!$C:$C,$C97,'周排班-纵表'!$G:$G,$G97,'周排班-纵表'!$H:$H,AE$1)</f>
        <v/>
      </c>
      <c r="AF97" s="2">
        <f>SUMIFS('周排班-纵表'!$I:$I,'周排班-纵表'!$C:$C,$C97,'周排班-纵表'!$G:$G,$G97,'周排班-纵表'!$H:$H,AF$1)</f>
        <v/>
      </c>
      <c r="AG97" s="2">
        <f>SUMIFS('周排班-纵表'!$I:$I,'周排班-纵表'!$C:$C,$C97,'周排班-纵表'!$G:$G,$G97,'周排班-纵表'!$H:$H,AG$1)</f>
        <v/>
      </c>
      <c r="AH97" s="2">
        <f>SUMIFS('周排班-纵表'!$I:$I,'周排班-纵表'!$C:$C,$C97,'周排班-纵表'!$G:$G,$G97,'周排班-纵表'!$H:$H,AH$1)</f>
        <v/>
      </c>
      <c r="AI97" s="2">
        <f>SUMIFS('周排班-纵表'!$I:$I,'周排班-纵表'!$C:$C,$C97,'周排班-纵表'!$G:$G,$G97,'周排班-纵表'!$H:$H,AI$1)</f>
        <v/>
      </c>
      <c r="AJ97" s="2">
        <f>SUMIFS('周排班-纵表'!$I:$I,'周排班-纵表'!$C:$C,$C97,'周排班-纵表'!$G:$G,$G97,'周排班-纵表'!$H:$H,AJ$1)</f>
        <v/>
      </c>
      <c r="AK97" s="2">
        <f>SUMIFS('周排班-纵表'!$I:$I,'周排班-纵表'!$C:$C,$C97,'周排班-纵表'!$G:$G,$G97,'周排班-纵表'!$H:$H,AK$1)</f>
        <v/>
      </c>
      <c r="AL97" s="2">
        <f>SUMIFS('周排班-纵表'!$I:$I,'周排班-纵表'!$C:$C,$C97,'周排班-纵表'!$G:$G,$G97,'周排班-纵表'!$H:$H,AL$1)</f>
        <v/>
      </c>
    </row>
    <row r="98">
      <c r="A98" s="2" t="inlineStr">
        <is>
          <t>公募</t>
        </is>
      </c>
      <c r="B98" s="2" t="inlineStr">
        <is>
          <t>Invesco Great Wall Fund Management Co.,Ltd.</t>
        </is>
      </c>
      <c r="C98" s="2" t="inlineStr">
        <is>
          <t>47128706</t>
        </is>
      </c>
      <c r="D98" s="2" t="inlineStr">
        <is>
          <t>AUD2026-12 Invesco GW Funds</t>
        </is>
      </c>
      <c r="E98" s="2" t="inlineStr">
        <is>
          <t>Order47128706- 260501003</t>
        </is>
      </c>
      <c r="F98" s="2" t="inlineStr">
        <is>
          <t>47128706- EDC260501001</t>
        </is>
      </c>
      <c r="G98" s="2" t="inlineStr">
        <is>
          <t>Rainbow.MG.Xiao@cn.ey.com</t>
        </is>
      </c>
      <c r="H98" s="2">
        <f>SUMIFS('周排班-纵表'!$I:$I,'周排班-纵表'!$C:$C,$C98,'周排班-纵表'!$G:$G,$G98,'周排班-纵表'!$H:$H,H$1)</f>
        <v/>
      </c>
      <c r="I98" s="2">
        <f>SUMIFS('周排班-纵表'!$I:$I,'周排班-纵表'!$C:$C,$C98,'周排班-纵表'!$G:$G,$G98,'周排班-纵表'!$H:$H,I$1)</f>
        <v/>
      </c>
      <c r="J98" s="2">
        <f>SUMIFS('周排班-纵表'!$I:$I,'周排班-纵表'!$C:$C,$C98,'周排班-纵表'!$G:$G,$G98,'周排班-纵表'!$H:$H,J$1)</f>
        <v/>
      </c>
      <c r="K98" s="2">
        <f>SUMIFS('周排班-纵表'!$I:$I,'周排班-纵表'!$C:$C,$C98,'周排班-纵表'!$G:$G,$G98,'周排班-纵表'!$H:$H,K$1)</f>
        <v/>
      </c>
      <c r="L98" s="2">
        <f>SUMIFS('周排班-纵表'!$I:$I,'周排班-纵表'!$C:$C,$C98,'周排班-纵表'!$G:$G,$G98,'周排班-纵表'!$H:$H,L$1)</f>
        <v/>
      </c>
      <c r="M98" s="2">
        <f>SUMIFS('周排班-纵表'!$I:$I,'周排班-纵表'!$C:$C,$C98,'周排班-纵表'!$G:$G,$G98,'周排班-纵表'!$H:$H,M$1)</f>
        <v/>
      </c>
      <c r="N98" s="2">
        <f>SUMIFS('周排班-纵表'!$I:$I,'周排班-纵表'!$C:$C,$C98,'周排班-纵表'!$G:$G,$G98,'周排班-纵表'!$H:$H,N$1)</f>
        <v/>
      </c>
      <c r="O98" s="2">
        <f>SUMIFS('周排班-纵表'!$I:$I,'周排班-纵表'!$C:$C,$C98,'周排班-纵表'!$G:$G,$G98,'周排班-纵表'!$H:$H,O$1)</f>
        <v/>
      </c>
      <c r="P98" s="2">
        <f>SUMIFS('周排班-纵表'!$I:$I,'周排班-纵表'!$C:$C,$C98,'周排班-纵表'!$G:$G,$G98,'周排班-纵表'!$H:$H,P$1)</f>
        <v/>
      </c>
      <c r="Q98" s="2">
        <f>SUMIFS('周排班-纵表'!$I:$I,'周排班-纵表'!$C:$C,$C98,'周排班-纵表'!$G:$G,$G98,'周排班-纵表'!$H:$H,Q$1)</f>
        <v/>
      </c>
      <c r="R98" s="2">
        <f>SUMIFS('周排班-纵表'!$I:$I,'周排班-纵表'!$C:$C,$C98,'周排班-纵表'!$G:$G,$G98,'周排班-纵表'!$H:$H,R$1)</f>
        <v/>
      </c>
      <c r="S98" s="2">
        <f>SUMIFS('周排班-纵表'!$I:$I,'周排班-纵表'!$C:$C,$C98,'周排班-纵表'!$G:$G,$G98,'周排班-纵表'!$H:$H,S$1)</f>
        <v/>
      </c>
      <c r="T98" s="2">
        <f>SUMIFS('周排班-纵表'!$I:$I,'周排班-纵表'!$C:$C,$C98,'周排班-纵表'!$G:$G,$G98,'周排班-纵表'!$H:$H,T$1)</f>
        <v/>
      </c>
      <c r="U98" s="2">
        <f>SUMIFS('周排班-纵表'!$I:$I,'周排班-纵表'!$C:$C,$C98,'周排班-纵表'!$G:$G,$G98,'周排班-纵表'!$H:$H,U$1)</f>
        <v/>
      </c>
      <c r="V98" s="2">
        <f>SUMIFS('周排班-纵表'!$I:$I,'周排班-纵表'!$C:$C,$C98,'周排班-纵表'!$G:$G,$G98,'周排班-纵表'!$H:$H,V$1)</f>
        <v/>
      </c>
      <c r="W98" s="2">
        <f>SUMIFS('周排班-纵表'!$I:$I,'周排班-纵表'!$C:$C,$C98,'周排班-纵表'!$G:$G,$G98,'周排班-纵表'!$H:$H,W$1)</f>
        <v/>
      </c>
      <c r="X98" s="2">
        <f>SUMIFS('周排班-纵表'!$I:$I,'周排班-纵表'!$C:$C,$C98,'周排班-纵表'!$G:$G,$G98,'周排班-纵表'!$H:$H,X$1)</f>
        <v/>
      </c>
      <c r="Y98" s="2">
        <f>SUMIFS('周排班-纵表'!$I:$I,'周排班-纵表'!$C:$C,$C98,'周排班-纵表'!$G:$G,$G98,'周排班-纵表'!$H:$H,Y$1)</f>
        <v/>
      </c>
      <c r="Z98" s="2">
        <f>SUMIFS('周排班-纵表'!$I:$I,'周排班-纵表'!$C:$C,$C98,'周排班-纵表'!$G:$G,$G98,'周排班-纵表'!$H:$H,Z$1)</f>
        <v/>
      </c>
      <c r="AA98" s="2">
        <f>SUMIFS('周排班-纵表'!$I:$I,'周排班-纵表'!$C:$C,$C98,'周排班-纵表'!$G:$G,$G98,'周排班-纵表'!$H:$H,AA$1)</f>
        <v/>
      </c>
      <c r="AB98" s="2">
        <f>SUMIFS('周排班-纵表'!$I:$I,'周排班-纵表'!$C:$C,$C98,'周排班-纵表'!$G:$G,$G98,'周排班-纵表'!$H:$H,AB$1)</f>
        <v/>
      </c>
      <c r="AC98" s="2">
        <f>SUMIFS('周排班-纵表'!$I:$I,'周排班-纵表'!$C:$C,$C98,'周排班-纵表'!$G:$G,$G98,'周排班-纵表'!$H:$H,AC$1)</f>
        <v/>
      </c>
      <c r="AD98" s="2">
        <f>SUMIFS('周排班-纵表'!$I:$I,'周排班-纵表'!$C:$C,$C98,'周排班-纵表'!$G:$G,$G98,'周排班-纵表'!$H:$H,AD$1)</f>
        <v/>
      </c>
      <c r="AE98" s="2">
        <f>SUMIFS('周排班-纵表'!$I:$I,'周排班-纵表'!$C:$C,$C98,'周排班-纵表'!$G:$G,$G98,'周排班-纵表'!$H:$H,AE$1)</f>
        <v/>
      </c>
      <c r="AF98" s="2">
        <f>SUMIFS('周排班-纵表'!$I:$I,'周排班-纵表'!$C:$C,$C98,'周排班-纵表'!$G:$G,$G98,'周排班-纵表'!$H:$H,AF$1)</f>
        <v/>
      </c>
      <c r="AG98" s="2">
        <f>SUMIFS('周排班-纵表'!$I:$I,'周排班-纵表'!$C:$C,$C98,'周排班-纵表'!$G:$G,$G98,'周排班-纵表'!$H:$H,AG$1)</f>
        <v/>
      </c>
      <c r="AH98" s="2">
        <f>SUMIFS('周排班-纵表'!$I:$I,'周排班-纵表'!$C:$C,$C98,'周排班-纵表'!$G:$G,$G98,'周排班-纵表'!$H:$H,AH$1)</f>
        <v/>
      </c>
      <c r="AI98" s="2">
        <f>SUMIFS('周排班-纵表'!$I:$I,'周排班-纵表'!$C:$C,$C98,'周排班-纵表'!$G:$G,$G98,'周排班-纵表'!$H:$H,AI$1)</f>
        <v/>
      </c>
      <c r="AJ98" s="2">
        <f>SUMIFS('周排班-纵表'!$I:$I,'周排班-纵表'!$C:$C,$C98,'周排班-纵表'!$G:$G,$G98,'周排班-纵表'!$H:$H,AJ$1)</f>
        <v/>
      </c>
      <c r="AK98" s="2">
        <f>SUMIFS('周排班-纵表'!$I:$I,'周排班-纵表'!$C:$C,$C98,'周排班-纵表'!$G:$G,$G98,'周排班-纵表'!$H:$H,AK$1)</f>
        <v/>
      </c>
      <c r="AL98" s="2">
        <f>SUMIFS('周排班-纵表'!$I:$I,'周排班-纵表'!$C:$C,$C98,'周排班-纵表'!$G:$G,$G98,'周排班-纵表'!$H:$H,AL$1)</f>
        <v/>
      </c>
    </row>
    <row r="99">
      <c r="A99" s="2" t="inlineStr">
        <is>
          <t>公募</t>
        </is>
      </c>
      <c r="B99" s="2" t="inlineStr">
        <is>
          <t>Invesco Great Wall Fund Management Co.,Ltd.</t>
        </is>
      </c>
      <c r="C99" s="2" t="inlineStr">
        <is>
          <t>47128706</t>
        </is>
      </c>
      <c r="D99" s="2" t="inlineStr">
        <is>
          <t>AUD2026-12 Invesco GW Funds</t>
        </is>
      </c>
      <c r="E99" s="2" t="inlineStr">
        <is>
          <t>Order47128706- 260501003</t>
        </is>
      </c>
      <c r="F99" s="2" t="inlineStr">
        <is>
          <t>47128706- EDC260501001</t>
        </is>
      </c>
      <c r="G99" s="2" t="inlineStr">
        <is>
          <t>Yuan.Yuan.YY.Chen@cn.ey.com</t>
        </is>
      </c>
      <c r="H99" s="2">
        <f>SUMIFS('周排班-纵表'!$I:$I,'周排班-纵表'!$C:$C,$C99,'周排班-纵表'!$G:$G,$G99,'周排班-纵表'!$H:$H,H$1)</f>
        <v/>
      </c>
      <c r="I99" s="2">
        <f>SUMIFS('周排班-纵表'!$I:$I,'周排班-纵表'!$C:$C,$C99,'周排班-纵表'!$G:$G,$G99,'周排班-纵表'!$H:$H,I$1)</f>
        <v/>
      </c>
      <c r="J99" s="2">
        <f>SUMIFS('周排班-纵表'!$I:$I,'周排班-纵表'!$C:$C,$C99,'周排班-纵表'!$G:$G,$G99,'周排班-纵表'!$H:$H,J$1)</f>
        <v/>
      </c>
      <c r="K99" s="2">
        <f>SUMIFS('周排班-纵表'!$I:$I,'周排班-纵表'!$C:$C,$C99,'周排班-纵表'!$G:$G,$G99,'周排班-纵表'!$H:$H,K$1)</f>
        <v/>
      </c>
      <c r="L99" s="2">
        <f>SUMIFS('周排班-纵表'!$I:$I,'周排班-纵表'!$C:$C,$C99,'周排班-纵表'!$G:$G,$G99,'周排班-纵表'!$H:$H,L$1)</f>
        <v/>
      </c>
      <c r="M99" s="2">
        <f>SUMIFS('周排班-纵表'!$I:$I,'周排班-纵表'!$C:$C,$C99,'周排班-纵表'!$G:$G,$G99,'周排班-纵表'!$H:$H,M$1)</f>
        <v/>
      </c>
      <c r="N99" s="2">
        <f>SUMIFS('周排班-纵表'!$I:$I,'周排班-纵表'!$C:$C,$C99,'周排班-纵表'!$G:$G,$G99,'周排班-纵表'!$H:$H,N$1)</f>
        <v/>
      </c>
      <c r="O99" s="2">
        <f>SUMIFS('周排班-纵表'!$I:$I,'周排班-纵表'!$C:$C,$C99,'周排班-纵表'!$G:$G,$G99,'周排班-纵表'!$H:$H,O$1)</f>
        <v/>
      </c>
      <c r="P99" s="2">
        <f>SUMIFS('周排班-纵表'!$I:$I,'周排班-纵表'!$C:$C,$C99,'周排班-纵表'!$G:$G,$G99,'周排班-纵表'!$H:$H,P$1)</f>
        <v/>
      </c>
      <c r="Q99" s="2">
        <f>SUMIFS('周排班-纵表'!$I:$I,'周排班-纵表'!$C:$C,$C99,'周排班-纵表'!$G:$G,$G99,'周排班-纵表'!$H:$H,Q$1)</f>
        <v/>
      </c>
      <c r="R99" s="2">
        <f>SUMIFS('周排班-纵表'!$I:$I,'周排班-纵表'!$C:$C,$C99,'周排班-纵表'!$G:$G,$G99,'周排班-纵表'!$H:$H,R$1)</f>
        <v/>
      </c>
      <c r="S99" s="2">
        <f>SUMIFS('周排班-纵表'!$I:$I,'周排班-纵表'!$C:$C,$C99,'周排班-纵表'!$G:$G,$G99,'周排班-纵表'!$H:$H,S$1)</f>
        <v/>
      </c>
      <c r="T99" s="2">
        <f>SUMIFS('周排班-纵表'!$I:$I,'周排班-纵表'!$C:$C,$C99,'周排班-纵表'!$G:$G,$G99,'周排班-纵表'!$H:$H,T$1)</f>
        <v/>
      </c>
      <c r="U99" s="2">
        <f>SUMIFS('周排班-纵表'!$I:$I,'周排班-纵表'!$C:$C,$C99,'周排班-纵表'!$G:$G,$G99,'周排班-纵表'!$H:$H,U$1)</f>
        <v/>
      </c>
      <c r="V99" s="2">
        <f>SUMIFS('周排班-纵表'!$I:$I,'周排班-纵表'!$C:$C,$C99,'周排班-纵表'!$G:$G,$G99,'周排班-纵表'!$H:$H,V$1)</f>
        <v/>
      </c>
      <c r="W99" s="2">
        <f>SUMIFS('周排班-纵表'!$I:$I,'周排班-纵表'!$C:$C,$C99,'周排班-纵表'!$G:$G,$G99,'周排班-纵表'!$H:$H,W$1)</f>
        <v/>
      </c>
      <c r="X99" s="2">
        <f>SUMIFS('周排班-纵表'!$I:$I,'周排班-纵表'!$C:$C,$C99,'周排班-纵表'!$G:$G,$G99,'周排班-纵表'!$H:$H,X$1)</f>
        <v/>
      </c>
      <c r="Y99" s="2">
        <f>SUMIFS('周排班-纵表'!$I:$I,'周排班-纵表'!$C:$C,$C99,'周排班-纵表'!$G:$G,$G99,'周排班-纵表'!$H:$H,Y$1)</f>
        <v/>
      </c>
      <c r="Z99" s="2">
        <f>SUMIFS('周排班-纵表'!$I:$I,'周排班-纵表'!$C:$C,$C99,'周排班-纵表'!$G:$G,$G99,'周排班-纵表'!$H:$H,Z$1)</f>
        <v/>
      </c>
      <c r="AA99" s="2">
        <f>SUMIFS('周排班-纵表'!$I:$I,'周排班-纵表'!$C:$C,$C99,'周排班-纵表'!$G:$G,$G99,'周排班-纵表'!$H:$H,AA$1)</f>
        <v/>
      </c>
      <c r="AB99" s="2">
        <f>SUMIFS('周排班-纵表'!$I:$I,'周排班-纵表'!$C:$C,$C99,'周排班-纵表'!$G:$G,$G99,'周排班-纵表'!$H:$H,AB$1)</f>
        <v/>
      </c>
      <c r="AC99" s="2">
        <f>SUMIFS('周排班-纵表'!$I:$I,'周排班-纵表'!$C:$C,$C99,'周排班-纵表'!$G:$G,$G99,'周排班-纵表'!$H:$H,AC$1)</f>
        <v/>
      </c>
      <c r="AD99" s="2">
        <f>SUMIFS('周排班-纵表'!$I:$I,'周排班-纵表'!$C:$C,$C99,'周排班-纵表'!$G:$G,$G99,'周排班-纵表'!$H:$H,AD$1)</f>
        <v/>
      </c>
      <c r="AE99" s="2">
        <f>SUMIFS('周排班-纵表'!$I:$I,'周排班-纵表'!$C:$C,$C99,'周排班-纵表'!$G:$G,$G99,'周排班-纵表'!$H:$H,AE$1)</f>
        <v/>
      </c>
      <c r="AF99" s="2">
        <f>SUMIFS('周排班-纵表'!$I:$I,'周排班-纵表'!$C:$C,$C99,'周排班-纵表'!$G:$G,$G99,'周排班-纵表'!$H:$H,AF$1)</f>
        <v/>
      </c>
      <c r="AG99" s="2">
        <f>SUMIFS('周排班-纵表'!$I:$I,'周排班-纵表'!$C:$C,$C99,'周排班-纵表'!$G:$G,$G99,'周排班-纵表'!$H:$H,AG$1)</f>
        <v/>
      </c>
      <c r="AH99" s="2">
        <f>SUMIFS('周排班-纵表'!$I:$I,'周排班-纵表'!$C:$C,$C99,'周排班-纵表'!$G:$G,$G99,'周排班-纵表'!$H:$H,AH$1)</f>
        <v/>
      </c>
      <c r="AI99" s="2">
        <f>SUMIFS('周排班-纵表'!$I:$I,'周排班-纵表'!$C:$C,$C99,'周排班-纵表'!$G:$G,$G99,'周排班-纵表'!$H:$H,AI$1)</f>
        <v/>
      </c>
      <c r="AJ99" s="2">
        <f>SUMIFS('周排班-纵表'!$I:$I,'周排班-纵表'!$C:$C,$C99,'周排班-纵表'!$G:$G,$G99,'周排班-纵表'!$H:$H,AJ$1)</f>
        <v/>
      </c>
      <c r="AK99" s="2">
        <f>SUMIFS('周排班-纵表'!$I:$I,'周排班-纵表'!$C:$C,$C99,'周排班-纵表'!$G:$G,$G99,'周排班-纵表'!$H:$H,AK$1)</f>
        <v/>
      </c>
      <c r="AL99" s="2">
        <f>SUMIFS('周排班-纵表'!$I:$I,'周排班-纵表'!$C:$C,$C99,'周排班-纵表'!$G:$G,$G99,'周排班-纵表'!$H:$H,AL$1)</f>
        <v/>
      </c>
    </row>
    <row r="100">
      <c r="A100" s="2" t="inlineStr">
        <is>
          <t>招银</t>
        </is>
      </c>
      <c r="B100" s="2" t="inlineStr">
        <is>
          <t>CMB International Leasing Management Limited</t>
        </is>
      </c>
      <c r="C100" s="2" t="inlineStr">
        <is>
          <t>47133720</t>
        </is>
      </c>
      <c r="D100" s="2" t="inlineStr">
        <is>
          <t>AUD2026-12 CMBILM</t>
        </is>
      </c>
      <c r="E100" s="2" t="inlineStr">
        <is>
          <t>Order47133720- 260504003</t>
        </is>
      </c>
      <c r="F100" s="2" t="inlineStr">
        <is>
          <t>47133720- EDC260504003</t>
        </is>
      </c>
      <c r="G100" s="2" t="inlineStr">
        <is>
          <t>Marsh.Ma@cn.ey.com</t>
        </is>
      </c>
      <c r="H100" s="2">
        <f>SUMIFS('周排班-纵表'!$I:$I,'周排班-纵表'!$C:$C,$C100,'周排班-纵表'!$G:$G,$G100,'周排班-纵表'!$H:$H,H$1)</f>
        <v/>
      </c>
      <c r="I100" s="2">
        <f>SUMIFS('周排班-纵表'!$I:$I,'周排班-纵表'!$C:$C,$C100,'周排班-纵表'!$G:$G,$G100,'周排班-纵表'!$H:$H,I$1)</f>
        <v/>
      </c>
      <c r="J100" s="2">
        <f>SUMIFS('周排班-纵表'!$I:$I,'周排班-纵表'!$C:$C,$C100,'周排班-纵表'!$G:$G,$G100,'周排班-纵表'!$H:$H,J$1)</f>
        <v/>
      </c>
      <c r="K100" s="2">
        <f>SUMIFS('周排班-纵表'!$I:$I,'周排班-纵表'!$C:$C,$C100,'周排班-纵表'!$G:$G,$G100,'周排班-纵表'!$H:$H,K$1)</f>
        <v/>
      </c>
      <c r="L100" s="2">
        <f>SUMIFS('周排班-纵表'!$I:$I,'周排班-纵表'!$C:$C,$C100,'周排班-纵表'!$G:$G,$G100,'周排班-纵表'!$H:$H,L$1)</f>
        <v/>
      </c>
      <c r="M100" s="2">
        <f>SUMIFS('周排班-纵表'!$I:$I,'周排班-纵表'!$C:$C,$C100,'周排班-纵表'!$G:$G,$G100,'周排班-纵表'!$H:$H,M$1)</f>
        <v/>
      </c>
      <c r="N100" s="2">
        <f>SUMIFS('周排班-纵表'!$I:$I,'周排班-纵表'!$C:$C,$C100,'周排班-纵表'!$G:$G,$G100,'周排班-纵表'!$H:$H,N$1)</f>
        <v/>
      </c>
      <c r="O100" s="2">
        <f>SUMIFS('周排班-纵表'!$I:$I,'周排班-纵表'!$C:$C,$C100,'周排班-纵表'!$G:$G,$G100,'周排班-纵表'!$H:$H,O$1)</f>
        <v/>
      </c>
      <c r="P100" s="2">
        <f>SUMIFS('周排班-纵表'!$I:$I,'周排班-纵表'!$C:$C,$C100,'周排班-纵表'!$G:$G,$G100,'周排班-纵表'!$H:$H,P$1)</f>
        <v/>
      </c>
      <c r="Q100" s="2">
        <f>SUMIFS('周排班-纵表'!$I:$I,'周排班-纵表'!$C:$C,$C100,'周排班-纵表'!$G:$G,$G100,'周排班-纵表'!$H:$H,Q$1)</f>
        <v/>
      </c>
      <c r="R100" s="2">
        <f>SUMIFS('周排班-纵表'!$I:$I,'周排班-纵表'!$C:$C,$C100,'周排班-纵表'!$G:$G,$G100,'周排班-纵表'!$H:$H,R$1)</f>
        <v/>
      </c>
      <c r="S100" s="2">
        <f>SUMIFS('周排班-纵表'!$I:$I,'周排班-纵表'!$C:$C,$C100,'周排班-纵表'!$G:$G,$G100,'周排班-纵表'!$H:$H,S$1)</f>
        <v/>
      </c>
      <c r="T100" s="2">
        <f>SUMIFS('周排班-纵表'!$I:$I,'周排班-纵表'!$C:$C,$C100,'周排班-纵表'!$G:$G,$G100,'周排班-纵表'!$H:$H,T$1)</f>
        <v/>
      </c>
      <c r="U100" s="2">
        <f>SUMIFS('周排班-纵表'!$I:$I,'周排班-纵表'!$C:$C,$C100,'周排班-纵表'!$G:$G,$G100,'周排班-纵表'!$H:$H,U$1)</f>
        <v/>
      </c>
      <c r="V100" s="2">
        <f>SUMIFS('周排班-纵表'!$I:$I,'周排班-纵表'!$C:$C,$C100,'周排班-纵表'!$G:$G,$G100,'周排班-纵表'!$H:$H,V$1)</f>
        <v/>
      </c>
      <c r="W100" s="2">
        <f>SUMIFS('周排班-纵表'!$I:$I,'周排班-纵表'!$C:$C,$C100,'周排班-纵表'!$G:$G,$G100,'周排班-纵表'!$H:$H,W$1)</f>
        <v/>
      </c>
      <c r="X100" s="2">
        <f>SUMIFS('周排班-纵表'!$I:$I,'周排班-纵表'!$C:$C,$C100,'周排班-纵表'!$G:$G,$G100,'周排班-纵表'!$H:$H,X$1)</f>
        <v/>
      </c>
      <c r="Y100" s="2">
        <f>SUMIFS('周排班-纵表'!$I:$I,'周排班-纵表'!$C:$C,$C100,'周排班-纵表'!$G:$G,$G100,'周排班-纵表'!$H:$H,Y$1)</f>
        <v/>
      </c>
      <c r="Z100" s="2">
        <f>SUMIFS('周排班-纵表'!$I:$I,'周排班-纵表'!$C:$C,$C100,'周排班-纵表'!$G:$G,$G100,'周排班-纵表'!$H:$H,Z$1)</f>
        <v/>
      </c>
      <c r="AA100" s="2">
        <f>SUMIFS('周排班-纵表'!$I:$I,'周排班-纵表'!$C:$C,$C100,'周排班-纵表'!$G:$G,$G100,'周排班-纵表'!$H:$H,AA$1)</f>
        <v/>
      </c>
      <c r="AB100" s="2">
        <f>SUMIFS('周排班-纵表'!$I:$I,'周排班-纵表'!$C:$C,$C100,'周排班-纵表'!$G:$G,$G100,'周排班-纵表'!$H:$H,AB$1)</f>
        <v/>
      </c>
      <c r="AC100" s="2">
        <f>SUMIFS('周排班-纵表'!$I:$I,'周排班-纵表'!$C:$C,$C100,'周排班-纵表'!$G:$G,$G100,'周排班-纵表'!$H:$H,AC$1)</f>
        <v/>
      </c>
      <c r="AD100" s="2">
        <f>SUMIFS('周排班-纵表'!$I:$I,'周排班-纵表'!$C:$C,$C100,'周排班-纵表'!$G:$G,$G100,'周排班-纵表'!$H:$H,AD$1)</f>
        <v/>
      </c>
      <c r="AE100" s="2">
        <f>SUMIFS('周排班-纵表'!$I:$I,'周排班-纵表'!$C:$C,$C100,'周排班-纵表'!$G:$G,$G100,'周排班-纵表'!$H:$H,AE$1)</f>
        <v/>
      </c>
      <c r="AF100" s="2">
        <f>SUMIFS('周排班-纵表'!$I:$I,'周排班-纵表'!$C:$C,$C100,'周排班-纵表'!$G:$G,$G100,'周排班-纵表'!$H:$H,AF$1)</f>
        <v/>
      </c>
      <c r="AG100" s="2">
        <f>SUMIFS('周排班-纵表'!$I:$I,'周排班-纵表'!$C:$C,$C100,'周排班-纵表'!$G:$G,$G100,'周排班-纵表'!$H:$H,AG$1)</f>
        <v/>
      </c>
      <c r="AH100" s="2">
        <f>SUMIFS('周排班-纵表'!$I:$I,'周排班-纵表'!$C:$C,$C100,'周排班-纵表'!$G:$G,$G100,'周排班-纵表'!$H:$H,AH$1)</f>
        <v/>
      </c>
      <c r="AI100" s="2">
        <f>SUMIFS('周排班-纵表'!$I:$I,'周排班-纵表'!$C:$C,$C100,'周排班-纵表'!$G:$G,$G100,'周排班-纵表'!$H:$H,AI$1)</f>
        <v/>
      </c>
      <c r="AJ100" s="2">
        <f>SUMIFS('周排班-纵表'!$I:$I,'周排班-纵表'!$C:$C,$C100,'周排班-纵表'!$G:$G,$G100,'周排班-纵表'!$H:$H,AJ$1)</f>
        <v/>
      </c>
      <c r="AK100" s="2">
        <f>SUMIFS('周排班-纵表'!$I:$I,'周排班-纵表'!$C:$C,$C100,'周排班-纵表'!$G:$G,$G100,'周排班-纵表'!$H:$H,AK$1)</f>
        <v/>
      </c>
      <c r="AL100" s="2">
        <f>SUMIFS('周排班-纵表'!$I:$I,'周排班-纵表'!$C:$C,$C100,'周排班-纵表'!$G:$G,$G100,'周排班-纵表'!$H:$H,AL$1)</f>
        <v/>
      </c>
    </row>
    <row r="101">
      <c r="A101" s="2" t="inlineStr">
        <is>
          <t>招银</t>
        </is>
      </c>
      <c r="B101" s="2" t="inlineStr">
        <is>
          <t>CMB International Leasing Management Limited</t>
        </is>
      </c>
      <c r="C101" s="2" t="inlineStr">
        <is>
          <t>47133720</t>
        </is>
      </c>
      <c r="D101" s="2" t="inlineStr">
        <is>
          <t>AUD2026-12 CMBILM</t>
        </is>
      </c>
      <c r="E101" s="2" t="inlineStr">
        <is>
          <t>Order47133720- 260504003</t>
        </is>
      </c>
      <c r="F101" s="2" t="inlineStr">
        <is>
          <t>47133720- EDC260504003</t>
        </is>
      </c>
      <c r="G101" s="2" t="inlineStr">
        <is>
          <t>Rainbow.MG.Xiao@cn.ey.com</t>
        </is>
      </c>
      <c r="H101" s="2">
        <f>SUMIFS('周排班-纵表'!$I:$I,'周排班-纵表'!$C:$C,$C101,'周排班-纵表'!$G:$G,$G101,'周排班-纵表'!$H:$H,H$1)</f>
        <v/>
      </c>
      <c r="I101" s="2">
        <f>SUMIFS('周排班-纵表'!$I:$I,'周排班-纵表'!$C:$C,$C101,'周排班-纵表'!$G:$G,$G101,'周排班-纵表'!$H:$H,I$1)</f>
        <v/>
      </c>
      <c r="J101" s="2">
        <f>SUMIFS('周排班-纵表'!$I:$I,'周排班-纵表'!$C:$C,$C101,'周排班-纵表'!$G:$G,$G101,'周排班-纵表'!$H:$H,J$1)</f>
        <v/>
      </c>
      <c r="K101" s="2">
        <f>SUMIFS('周排班-纵表'!$I:$I,'周排班-纵表'!$C:$C,$C101,'周排班-纵表'!$G:$G,$G101,'周排班-纵表'!$H:$H,K$1)</f>
        <v/>
      </c>
      <c r="L101" s="2">
        <f>SUMIFS('周排班-纵表'!$I:$I,'周排班-纵表'!$C:$C,$C101,'周排班-纵表'!$G:$G,$G101,'周排班-纵表'!$H:$H,L$1)</f>
        <v/>
      </c>
      <c r="M101" s="2">
        <f>SUMIFS('周排班-纵表'!$I:$I,'周排班-纵表'!$C:$C,$C101,'周排班-纵表'!$G:$G,$G101,'周排班-纵表'!$H:$H,M$1)</f>
        <v/>
      </c>
      <c r="N101" s="2">
        <f>SUMIFS('周排班-纵表'!$I:$I,'周排班-纵表'!$C:$C,$C101,'周排班-纵表'!$G:$G,$G101,'周排班-纵表'!$H:$H,N$1)</f>
        <v/>
      </c>
      <c r="O101" s="2">
        <f>SUMIFS('周排班-纵表'!$I:$I,'周排班-纵表'!$C:$C,$C101,'周排班-纵表'!$G:$G,$G101,'周排班-纵表'!$H:$H,O$1)</f>
        <v/>
      </c>
      <c r="P101" s="2">
        <f>SUMIFS('周排班-纵表'!$I:$I,'周排班-纵表'!$C:$C,$C101,'周排班-纵表'!$G:$G,$G101,'周排班-纵表'!$H:$H,P$1)</f>
        <v/>
      </c>
      <c r="Q101" s="2">
        <f>SUMIFS('周排班-纵表'!$I:$I,'周排班-纵表'!$C:$C,$C101,'周排班-纵表'!$G:$G,$G101,'周排班-纵表'!$H:$H,Q$1)</f>
        <v/>
      </c>
      <c r="R101" s="2">
        <f>SUMIFS('周排班-纵表'!$I:$I,'周排班-纵表'!$C:$C,$C101,'周排班-纵表'!$G:$G,$G101,'周排班-纵表'!$H:$H,R$1)</f>
        <v/>
      </c>
      <c r="S101" s="2">
        <f>SUMIFS('周排班-纵表'!$I:$I,'周排班-纵表'!$C:$C,$C101,'周排班-纵表'!$G:$G,$G101,'周排班-纵表'!$H:$H,S$1)</f>
        <v/>
      </c>
      <c r="T101" s="2">
        <f>SUMIFS('周排班-纵表'!$I:$I,'周排班-纵表'!$C:$C,$C101,'周排班-纵表'!$G:$G,$G101,'周排班-纵表'!$H:$H,T$1)</f>
        <v/>
      </c>
      <c r="U101" s="2">
        <f>SUMIFS('周排班-纵表'!$I:$I,'周排班-纵表'!$C:$C,$C101,'周排班-纵表'!$G:$G,$G101,'周排班-纵表'!$H:$H,U$1)</f>
        <v/>
      </c>
      <c r="V101" s="2">
        <f>SUMIFS('周排班-纵表'!$I:$I,'周排班-纵表'!$C:$C,$C101,'周排班-纵表'!$G:$G,$G101,'周排班-纵表'!$H:$H,V$1)</f>
        <v/>
      </c>
      <c r="W101" s="2">
        <f>SUMIFS('周排班-纵表'!$I:$I,'周排班-纵表'!$C:$C,$C101,'周排班-纵表'!$G:$G,$G101,'周排班-纵表'!$H:$H,W$1)</f>
        <v/>
      </c>
      <c r="X101" s="2">
        <f>SUMIFS('周排班-纵表'!$I:$I,'周排班-纵表'!$C:$C,$C101,'周排班-纵表'!$G:$G,$G101,'周排班-纵表'!$H:$H,X$1)</f>
        <v/>
      </c>
      <c r="Y101" s="2">
        <f>SUMIFS('周排班-纵表'!$I:$I,'周排班-纵表'!$C:$C,$C101,'周排班-纵表'!$G:$G,$G101,'周排班-纵表'!$H:$H,Y$1)</f>
        <v/>
      </c>
      <c r="Z101" s="2">
        <f>SUMIFS('周排班-纵表'!$I:$I,'周排班-纵表'!$C:$C,$C101,'周排班-纵表'!$G:$G,$G101,'周排班-纵表'!$H:$H,Z$1)</f>
        <v/>
      </c>
      <c r="AA101" s="2">
        <f>SUMIFS('周排班-纵表'!$I:$I,'周排班-纵表'!$C:$C,$C101,'周排班-纵表'!$G:$G,$G101,'周排班-纵表'!$H:$H,AA$1)</f>
        <v/>
      </c>
      <c r="AB101" s="2">
        <f>SUMIFS('周排班-纵表'!$I:$I,'周排班-纵表'!$C:$C,$C101,'周排班-纵表'!$G:$G,$G101,'周排班-纵表'!$H:$H,AB$1)</f>
        <v/>
      </c>
      <c r="AC101" s="2">
        <f>SUMIFS('周排班-纵表'!$I:$I,'周排班-纵表'!$C:$C,$C101,'周排班-纵表'!$G:$G,$G101,'周排班-纵表'!$H:$H,AC$1)</f>
        <v/>
      </c>
      <c r="AD101" s="2">
        <f>SUMIFS('周排班-纵表'!$I:$I,'周排班-纵表'!$C:$C,$C101,'周排班-纵表'!$G:$G,$G101,'周排班-纵表'!$H:$H,AD$1)</f>
        <v/>
      </c>
      <c r="AE101" s="2">
        <f>SUMIFS('周排班-纵表'!$I:$I,'周排班-纵表'!$C:$C,$C101,'周排班-纵表'!$G:$G,$G101,'周排班-纵表'!$H:$H,AE$1)</f>
        <v/>
      </c>
      <c r="AF101" s="2">
        <f>SUMIFS('周排班-纵表'!$I:$I,'周排班-纵表'!$C:$C,$C101,'周排班-纵表'!$G:$G,$G101,'周排班-纵表'!$H:$H,AF$1)</f>
        <v/>
      </c>
      <c r="AG101" s="2">
        <f>SUMIFS('周排班-纵表'!$I:$I,'周排班-纵表'!$C:$C,$C101,'周排班-纵表'!$G:$G,$G101,'周排班-纵表'!$H:$H,AG$1)</f>
        <v/>
      </c>
      <c r="AH101" s="2">
        <f>SUMIFS('周排班-纵表'!$I:$I,'周排班-纵表'!$C:$C,$C101,'周排班-纵表'!$G:$G,$G101,'周排班-纵表'!$H:$H,AH$1)</f>
        <v/>
      </c>
      <c r="AI101" s="2">
        <f>SUMIFS('周排班-纵表'!$I:$I,'周排班-纵表'!$C:$C,$C101,'周排班-纵表'!$G:$G,$G101,'周排班-纵表'!$H:$H,AI$1)</f>
        <v/>
      </c>
      <c r="AJ101" s="2">
        <f>SUMIFS('周排班-纵表'!$I:$I,'周排班-纵表'!$C:$C,$C101,'周排班-纵表'!$G:$G,$G101,'周排班-纵表'!$H:$H,AJ$1)</f>
        <v/>
      </c>
      <c r="AK101" s="2">
        <f>SUMIFS('周排班-纵表'!$I:$I,'周排班-纵表'!$C:$C,$C101,'周排班-纵表'!$G:$G,$G101,'周排班-纵表'!$H:$H,AK$1)</f>
        <v/>
      </c>
      <c r="AL101" s="2">
        <f>SUMIFS('周排班-纵表'!$I:$I,'周排班-纵表'!$C:$C,$C101,'周排班-纵表'!$G:$G,$G101,'周排班-纵表'!$H:$H,AL$1)</f>
        <v/>
      </c>
    </row>
    <row r="102">
      <c r="A102" s="2" t="inlineStr">
        <is>
          <t>招银</t>
        </is>
      </c>
      <c r="B102" s="2" t="inlineStr">
        <is>
          <t>CMB International Leasing Management Limited</t>
        </is>
      </c>
      <c r="C102" s="2" t="inlineStr">
        <is>
          <t>47133720</t>
        </is>
      </c>
      <c r="D102" s="2" t="inlineStr">
        <is>
          <t>AUD2026-12 CMBILM</t>
        </is>
      </c>
      <c r="E102" s="2" t="inlineStr">
        <is>
          <t>Order47133720- 260504003</t>
        </is>
      </c>
      <c r="F102" s="2" t="inlineStr">
        <is>
          <t>47133720- EDC260504003</t>
        </is>
      </c>
      <c r="G102" s="2" t="inlineStr">
        <is>
          <t>Vivi.W.Yang@cn.ey.com</t>
        </is>
      </c>
      <c r="H102" s="2">
        <f>SUMIFS('周排班-纵表'!$I:$I,'周排班-纵表'!$C:$C,$C102,'周排班-纵表'!$G:$G,$G102,'周排班-纵表'!$H:$H,H$1)</f>
        <v/>
      </c>
      <c r="I102" s="2">
        <f>SUMIFS('周排班-纵表'!$I:$I,'周排班-纵表'!$C:$C,$C102,'周排班-纵表'!$G:$G,$G102,'周排班-纵表'!$H:$H,I$1)</f>
        <v/>
      </c>
      <c r="J102" s="2">
        <f>SUMIFS('周排班-纵表'!$I:$I,'周排班-纵表'!$C:$C,$C102,'周排班-纵表'!$G:$G,$G102,'周排班-纵表'!$H:$H,J$1)</f>
        <v/>
      </c>
      <c r="K102" s="2">
        <f>SUMIFS('周排班-纵表'!$I:$I,'周排班-纵表'!$C:$C,$C102,'周排班-纵表'!$G:$G,$G102,'周排班-纵表'!$H:$H,K$1)</f>
        <v/>
      </c>
      <c r="L102" s="2">
        <f>SUMIFS('周排班-纵表'!$I:$I,'周排班-纵表'!$C:$C,$C102,'周排班-纵表'!$G:$G,$G102,'周排班-纵表'!$H:$H,L$1)</f>
        <v/>
      </c>
      <c r="M102" s="2">
        <f>SUMIFS('周排班-纵表'!$I:$I,'周排班-纵表'!$C:$C,$C102,'周排班-纵表'!$G:$G,$G102,'周排班-纵表'!$H:$H,M$1)</f>
        <v/>
      </c>
      <c r="N102" s="2">
        <f>SUMIFS('周排班-纵表'!$I:$I,'周排班-纵表'!$C:$C,$C102,'周排班-纵表'!$G:$G,$G102,'周排班-纵表'!$H:$H,N$1)</f>
        <v/>
      </c>
      <c r="O102" s="2">
        <f>SUMIFS('周排班-纵表'!$I:$I,'周排班-纵表'!$C:$C,$C102,'周排班-纵表'!$G:$G,$G102,'周排班-纵表'!$H:$H,O$1)</f>
        <v/>
      </c>
      <c r="P102" s="2">
        <f>SUMIFS('周排班-纵表'!$I:$I,'周排班-纵表'!$C:$C,$C102,'周排班-纵表'!$G:$G,$G102,'周排班-纵表'!$H:$H,P$1)</f>
        <v/>
      </c>
      <c r="Q102" s="2">
        <f>SUMIFS('周排班-纵表'!$I:$I,'周排班-纵表'!$C:$C,$C102,'周排班-纵表'!$G:$G,$G102,'周排班-纵表'!$H:$H,Q$1)</f>
        <v/>
      </c>
      <c r="R102" s="2">
        <f>SUMIFS('周排班-纵表'!$I:$I,'周排班-纵表'!$C:$C,$C102,'周排班-纵表'!$G:$G,$G102,'周排班-纵表'!$H:$H,R$1)</f>
        <v/>
      </c>
      <c r="S102" s="2">
        <f>SUMIFS('周排班-纵表'!$I:$I,'周排班-纵表'!$C:$C,$C102,'周排班-纵表'!$G:$G,$G102,'周排班-纵表'!$H:$H,S$1)</f>
        <v/>
      </c>
      <c r="T102" s="2">
        <f>SUMIFS('周排班-纵表'!$I:$I,'周排班-纵表'!$C:$C,$C102,'周排班-纵表'!$G:$G,$G102,'周排班-纵表'!$H:$H,T$1)</f>
        <v/>
      </c>
      <c r="U102" s="2">
        <f>SUMIFS('周排班-纵表'!$I:$I,'周排班-纵表'!$C:$C,$C102,'周排班-纵表'!$G:$G,$G102,'周排班-纵表'!$H:$H,U$1)</f>
        <v/>
      </c>
      <c r="V102" s="2">
        <f>SUMIFS('周排班-纵表'!$I:$I,'周排班-纵表'!$C:$C,$C102,'周排班-纵表'!$G:$G,$G102,'周排班-纵表'!$H:$H,V$1)</f>
        <v/>
      </c>
      <c r="W102" s="2">
        <f>SUMIFS('周排班-纵表'!$I:$I,'周排班-纵表'!$C:$C,$C102,'周排班-纵表'!$G:$G,$G102,'周排班-纵表'!$H:$H,W$1)</f>
        <v/>
      </c>
      <c r="X102" s="2">
        <f>SUMIFS('周排班-纵表'!$I:$I,'周排班-纵表'!$C:$C,$C102,'周排班-纵表'!$G:$G,$G102,'周排班-纵表'!$H:$H,X$1)</f>
        <v/>
      </c>
      <c r="Y102" s="2">
        <f>SUMIFS('周排班-纵表'!$I:$I,'周排班-纵表'!$C:$C,$C102,'周排班-纵表'!$G:$G,$G102,'周排班-纵表'!$H:$H,Y$1)</f>
        <v/>
      </c>
      <c r="Z102" s="2">
        <f>SUMIFS('周排班-纵表'!$I:$I,'周排班-纵表'!$C:$C,$C102,'周排班-纵表'!$G:$G,$G102,'周排班-纵表'!$H:$H,Z$1)</f>
        <v/>
      </c>
      <c r="AA102" s="2">
        <f>SUMIFS('周排班-纵表'!$I:$I,'周排班-纵表'!$C:$C,$C102,'周排班-纵表'!$G:$G,$G102,'周排班-纵表'!$H:$H,AA$1)</f>
        <v/>
      </c>
      <c r="AB102" s="2">
        <f>SUMIFS('周排班-纵表'!$I:$I,'周排班-纵表'!$C:$C,$C102,'周排班-纵表'!$G:$G,$G102,'周排班-纵表'!$H:$H,AB$1)</f>
        <v/>
      </c>
      <c r="AC102" s="2">
        <f>SUMIFS('周排班-纵表'!$I:$I,'周排班-纵表'!$C:$C,$C102,'周排班-纵表'!$G:$G,$G102,'周排班-纵表'!$H:$H,AC$1)</f>
        <v/>
      </c>
      <c r="AD102" s="2">
        <f>SUMIFS('周排班-纵表'!$I:$I,'周排班-纵表'!$C:$C,$C102,'周排班-纵表'!$G:$G,$G102,'周排班-纵表'!$H:$H,AD$1)</f>
        <v/>
      </c>
      <c r="AE102" s="2">
        <f>SUMIFS('周排班-纵表'!$I:$I,'周排班-纵表'!$C:$C,$C102,'周排班-纵表'!$G:$G,$G102,'周排班-纵表'!$H:$H,AE$1)</f>
        <v/>
      </c>
      <c r="AF102" s="2">
        <f>SUMIFS('周排班-纵表'!$I:$I,'周排班-纵表'!$C:$C,$C102,'周排班-纵表'!$G:$G,$G102,'周排班-纵表'!$H:$H,AF$1)</f>
        <v/>
      </c>
      <c r="AG102" s="2">
        <f>SUMIFS('周排班-纵表'!$I:$I,'周排班-纵表'!$C:$C,$C102,'周排班-纵表'!$G:$G,$G102,'周排班-纵表'!$H:$H,AG$1)</f>
        <v/>
      </c>
      <c r="AH102" s="2">
        <f>SUMIFS('周排班-纵表'!$I:$I,'周排班-纵表'!$C:$C,$C102,'周排班-纵表'!$G:$G,$G102,'周排班-纵表'!$H:$H,AH$1)</f>
        <v/>
      </c>
      <c r="AI102" s="2">
        <f>SUMIFS('周排班-纵表'!$I:$I,'周排班-纵表'!$C:$C,$C102,'周排班-纵表'!$G:$G,$G102,'周排班-纵表'!$H:$H,AI$1)</f>
        <v/>
      </c>
      <c r="AJ102" s="2">
        <f>SUMIFS('周排班-纵表'!$I:$I,'周排班-纵表'!$C:$C,$C102,'周排班-纵表'!$G:$G,$G102,'周排班-纵表'!$H:$H,AJ$1)</f>
        <v/>
      </c>
      <c r="AK102" s="2">
        <f>SUMIFS('周排班-纵表'!$I:$I,'周排班-纵表'!$C:$C,$C102,'周排班-纵表'!$G:$G,$G102,'周排班-纵表'!$H:$H,AK$1)</f>
        <v/>
      </c>
      <c r="AL102" s="2">
        <f>SUMIFS('周排班-纵表'!$I:$I,'周排班-纵表'!$C:$C,$C102,'周排班-纵表'!$G:$G,$G102,'周排班-纵表'!$H:$H,AL$1)</f>
        <v/>
      </c>
    </row>
    <row r="103">
      <c r="A103" s="2" t="inlineStr">
        <is>
          <t>招银</t>
        </is>
      </c>
      <c r="B103" s="2" t="inlineStr">
        <is>
          <t>CMB International Leasing Management Limited</t>
        </is>
      </c>
      <c r="C103" s="2" t="inlineStr">
        <is>
          <t>47133720</t>
        </is>
      </c>
      <c r="D103" s="2" t="inlineStr">
        <is>
          <t>AUD2026-12 CMBILM</t>
        </is>
      </c>
      <c r="E103" s="2" t="inlineStr">
        <is>
          <t>Order47133720- 260504003</t>
        </is>
      </c>
      <c r="F103" s="2" t="inlineStr">
        <is>
          <t>47133720- EDC260504003</t>
        </is>
      </c>
      <c r="G103" s="2" t="inlineStr">
        <is>
          <t>Yuan.Yuan.YY.Chen@cn.ey.com</t>
        </is>
      </c>
      <c r="H103" s="2">
        <f>SUMIFS('周排班-纵表'!$I:$I,'周排班-纵表'!$C:$C,$C103,'周排班-纵表'!$G:$G,$G103,'周排班-纵表'!$H:$H,H$1)</f>
        <v/>
      </c>
      <c r="I103" s="2">
        <f>SUMIFS('周排班-纵表'!$I:$I,'周排班-纵表'!$C:$C,$C103,'周排班-纵表'!$G:$G,$G103,'周排班-纵表'!$H:$H,I$1)</f>
        <v/>
      </c>
      <c r="J103" s="2">
        <f>SUMIFS('周排班-纵表'!$I:$I,'周排班-纵表'!$C:$C,$C103,'周排班-纵表'!$G:$G,$G103,'周排班-纵表'!$H:$H,J$1)</f>
        <v/>
      </c>
      <c r="K103" s="2">
        <f>SUMIFS('周排班-纵表'!$I:$I,'周排班-纵表'!$C:$C,$C103,'周排班-纵表'!$G:$G,$G103,'周排班-纵表'!$H:$H,K$1)</f>
        <v/>
      </c>
      <c r="L103" s="2">
        <f>SUMIFS('周排班-纵表'!$I:$I,'周排班-纵表'!$C:$C,$C103,'周排班-纵表'!$G:$G,$G103,'周排班-纵表'!$H:$H,L$1)</f>
        <v/>
      </c>
      <c r="M103" s="2">
        <f>SUMIFS('周排班-纵表'!$I:$I,'周排班-纵表'!$C:$C,$C103,'周排班-纵表'!$G:$G,$G103,'周排班-纵表'!$H:$H,M$1)</f>
        <v/>
      </c>
      <c r="N103" s="2">
        <f>SUMIFS('周排班-纵表'!$I:$I,'周排班-纵表'!$C:$C,$C103,'周排班-纵表'!$G:$G,$G103,'周排班-纵表'!$H:$H,N$1)</f>
        <v/>
      </c>
      <c r="O103" s="2">
        <f>SUMIFS('周排班-纵表'!$I:$I,'周排班-纵表'!$C:$C,$C103,'周排班-纵表'!$G:$G,$G103,'周排班-纵表'!$H:$H,O$1)</f>
        <v/>
      </c>
      <c r="P103" s="2">
        <f>SUMIFS('周排班-纵表'!$I:$I,'周排班-纵表'!$C:$C,$C103,'周排班-纵表'!$G:$G,$G103,'周排班-纵表'!$H:$H,P$1)</f>
        <v/>
      </c>
      <c r="Q103" s="2">
        <f>SUMIFS('周排班-纵表'!$I:$I,'周排班-纵表'!$C:$C,$C103,'周排班-纵表'!$G:$G,$G103,'周排班-纵表'!$H:$H,Q$1)</f>
        <v/>
      </c>
      <c r="R103" s="2">
        <f>SUMIFS('周排班-纵表'!$I:$I,'周排班-纵表'!$C:$C,$C103,'周排班-纵表'!$G:$G,$G103,'周排班-纵表'!$H:$H,R$1)</f>
        <v/>
      </c>
      <c r="S103" s="2">
        <f>SUMIFS('周排班-纵表'!$I:$I,'周排班-纵表'!$C:$C,$C103,'周排班-纵表'!$G:$G,$G103,'周排班-纵表'!$H:$H,S$1)</f>
        <v/>
      </c>
      <c r="T103" s="2">
        <f>SUMIFS('周排班-纵表'!$I:$I,'周排班-纵表'!$C:$C,$C103,'周排班-纵表'!$G:$G,$G103,'周排班-纵表'!$H:$H,T$1)</f>
        <v/>
      </c>
      <c r="U103" s="2">
        <f>SUMIFS('周排班-纵表'!$I:$I,'周排班-纵表'!$C:$C,$C103,'周排班-纵表'!$G:$G,$G103,'周排班-纵表'!$H:$H,U$1)</f>
        <v/>
      </c>
      <c r="V103" s="2">
        <f>SUMIFS('周排班-纵表'!$I:$I,'周排班-纵表'!$C:$C,$C103,'周排班-纵表'!$G:$G,$G103,'周排班-纵表'!$H:$H,V$1)</f>
        <v/>
      </c>
      <c r="W103" s="2">
        <f>SUMIFS('周排班-纵表'!$I:$I,'周排班-纵表'!$C:$C,$C103,'周排班-纵表'!$G:$G,$G103,'周排班-纵表'!$H:$H,W$1)</f>
        <v/>
      </c>
      <c r="X103" s="2">
        <f>SUMIFS('周排班-纵表'!$I:$I,'周排班-纵表'!$C:$C,$C103,'周排班-纵表'!$G:$G,$G103,'周排班-纵表'!$H:$H,X$1)</f>
        <v/>
      </c>
      <c r="Y103" s="2">
        <f>SUMIFS('周排班-纵表'!$I:$I,'周排班-纵表'!$C:$C,$C103,'周排班-纵表'!$G:$G,$G103,'周排班-纵表'!$H:$H,Y$1)</f>
        <v/>
      </c>
      <c r="Z103" s="2">
        <f>SUMIFS('周排班-纵表'!$I:$I,'周排班-纵表'!$C:$C,$C103,'周排班-纵表'!$G:$G,$G103,'周排班-纵表'!$H:$H,Z$1)</f>
        <v/>
      </c>
      <c r="AA103" s="2">
        <f>SUMIFS('周排班-纵表'!$I:$I,'周排班-纵表'!$C:$C,$C103,'周排班-纵表'!$G:$G,$G103,'周排班-纵表'!$H:$H,AA$1)</f>
        <v/>
      </c>
      <c r="AB103" s="2">
        <f>SUMIFS('周排班-纵表'!$I:$I,'周排班-纵表'!$C:$C,$C103,'周排班-纵表'!$G:$G,$G103,'周排班-纵表'!$H:$H,AB$1)</f>
        <v/>
      </c>
      <c r="AC103" s="2">
        <f>SUMIFS('周排班-纵表'!$I:$I,'周排班-纵表'!$C:$C,$C103,'周排班-纵表'!$G:$G,$G103,'周排班-纵表'!$H:$H,AC$1)</f>
        <v/>
      </c>
      <c r="AD103" s="2">
        <f>SUMIFS('周排班-纵表'!$I:$I,'周排班-纵表'!$C:$C,$C103,'周排班-纵表'!$G:$G,$G103,'周排班-纵表'!$H:$H,AD$1)</f>
        <v/>
      </c>
      <c r="AE103" s="2">
        <f>SUMIFS('周排班-纵表'!$I:$I,'周排班-纵表'!$C:$C,$C103,'周排班-纵表'!$G:$G,$G103,'周排班-纵表'!$H:$H,AE$1)</f>
        <v/>
      </c>
      <c r="AF103" s="2">
        <f>SUMIFS('周排班-纵表'!$I:$I,'周排班-纵表'!$C:$C,$C103,'周排班-纵表'!$G:$G,$G103,'周排班-纵表'!$H:$H,AF$1)</f>
        <v/>
      </c>
      <c r="AG103" s="2">
        <f>SUMIFS('周排班-纵表'!$I:$I,'周排班-纵表'!$C:$C,$C103,'周排班-纵表'!$G:$G,$G103,'周排班-纵表'!$H:$H,AG$1)</f>
        <v/>
      </c>
      <c r="AH103" s="2">
        <f>SUMIFS('周排班-纵表'!$I:$I,'周排班-纵表'!$C:$C,$C103,'周排班-纵表'!$G:$G,$G103,'周排班-纵表'!$H:$H,AH$1)</f>
        <v/>
      </c>
      <c r="AI103" s="2">
        <f>SUMIFS('周排班-纵表'!$I:$I,'周排班-纵表'!$C:$C,$C103,'周排班-纵表'!$G:$G,$G103,'周排班-纵表'!$H:$H,AI$1)</f>
        <v/>
      </c>
      <c r="AJ103" s="2">
        <f>SUMIFS('周排班-纵表'!$I:$I,'周排班-纵表'!$C:$C,$C103,'周排班-纵表'!$G:$G,$G103,'周排班-纵表'!$H:$H,AJ$1)</f>
        <v/>
      </c>
      <c r="AK103" s="2">
        <f>SUMIFS('周排班-纵表'!$I:$I,'周排班-纵表'!$C:$C,$C103,'周排班-纵表'!$G:$G,$G103,'周排班-纵表'!$H:$H,AK$1)</f>
        <v/>
      </c>
      <c r="AL103" s="2">
        <f>SUMIFS('周排班-纵表'!$I:$I,'周排班-纵表'!$C:$C,$C103,'周排班-纵表'!$G:$G,$G103,'周排班-纵表'!$H:$H,AL$1)</f>
        <v/>
      </c>
    </row>
    <row r="104">
      <c r="A104" s="2" t="inlineStr">
        <is>
          <t>海信</t>
        </is>
      </c>
      <c r="B104" s="2" t="inlineStr">
        <is>
          <t>Hisense Group Holdings Co., Ltd.</t>
        </is>
      </c>
      <c r="C104" s="2" t="inlineStr">
        <is>
          <t>47115559</t>
        </is>
      </c>
      <c r="D104" s="2" t="inlineStr">
        <is>
          <t>IPO2026-03 Project Voyage_CN</t>
        </is>
      </c>
      <c r="E104" s="2" t="inlineStr">
        <is>
          <t>Order47115559- 260729002</t>
        </is>
      </c>
      <c r="F104" s="2" t="inlineStr">
        <is>
          <t>47115559- EDC260729001</t>
        </is>
      </c>
      <c r="G104" s="2" t="inlineStr">
        <is>
          <t>Luna.CD.Zhang@cn.ey.com</t>
        </is>
      </c>
      <c r="H104" s="2">
        <f>SUMIFS('周排班-纵表'!$I:$I,'周排班-纵表'!$C:$C,$C104,'周排班-纵表'!$G:$G,$G104,'周排班-纵表'!$H:$H,H$1)</f>
        <v/>
      </c>
      <c r="I104" s="2">
        <f>SUMIFS('周排班-纵表'!$I:$I,'周排班-纵表'!$C:$C,$C104,'周排班-纵表'!$G:$G,$G104,'周排班-纵表'!$H:$H,I$1)</f>
        <v/>
      </c>
      <c r="J104" s="2">
        <f>SUMIFS('周排班-纵表'!$I:$I,'周排班-纵表'!$C:$C,$C104,'周排班-纵表'!$G:$G,$G104,'周排班-纵表'!$H:$H,J$1)</f>
        <v/>
      </c>
      <c r="K104" s="2">
        <f>SUMIFS('周排班-纵表'!$I:$I,'周排班-纵表'!$C:$C,$C104,'周排班-纵表'!$G:$G,$G104,'周排班-纵表'!$H:$H,K$1)</f>
        <v/>
      </c>
      <c r="L104" s="2">
        <f>SUMIFS('周排班-纵表'!$I:$I,'周排班-纵表'!$C:$C,$C104,'周排班-纵表'!$G:$G,$G104,'周排班-纵表'!$H:$H,L$1)</f>
        <v/>
      </c>
      <c r="M104" s="2">
        <f>SUMIFS('周排班-纵表'!$I:$I,'周排班-纵表'!$C:$C,$C104,'周排班-纵表'!$G:$G,$G104,'周排班-纵表'!$H:$H,M$1)</f>
        <v/>
      </c>
      <c r="N104" s="2">
        <f>SUMIFS('周排班-纵表'!$I:$I,'周排班-纵表'!$C:$C,$C104,'周排班-纵表'!$G:$G,$G104,'周排班-纵表'!$H:$H,N$1)</f>
        <v/>
      </c>
      <c r="O104" s="2">
        <f>SUMIFS('周排班-纵表'!$I:$I,'周排班-纵表'!$C:$C,$C104,'周排班-纵表'!$G:$G,$G104,'周排班-纵表'!$H:$H,O$1)</f>
        <v/>
      </c>
      <c r="P104" s="2">
        <f>SUMIFS('周排班-纵表'!$I:$I,'周排班-纵表'!$C:$C,$C104,'周排班-纵表'!$G:$G,$G104,'周排班-纵表'!$H:$H,P$1)</f>
        <v/>
      </c>
      <c r="Q104" s="2">
        <f>SUMIFS('周排班-纵表'!$I:$I,'周排班-纵表'!$C:$C,$C104,'周排班-纵表'!$G:$G,$G104,'周排班-纵表'!$H:$H,Q$1)</f>
        <v/>
      </c>
      <c r="R104" s="2">
        <f>SUMIFS('周排班-纵表'!$I:$I,'周排班-纵表'!$C:$C,$C104,'周排班-纵表'!$G:$G,$G104,'周排班-纵表'!$H:$H,R$1)</f>
        <v/>
      </c>
      <c r="S104" s="2">
        <f>SUMIFS('周排班-纵表'!$I:$I,'周排班-纵表'!$C:$C,$C104,'周排班-纵表'!$G:$G,$G104,'周排班-纵表'!$H:$H,S$1)</f>
        <v/>
      </c>
      <c r="T104" s="2">
        <f>SUMIFS('周排班-纵表'!$I:$I,'周排班-纵表'!$C:$C,$C104,'周排班-纵表'!$G:$G,$G104,'周排班-纵表'!$H:$H,T$1)</f>
        <v/>
      </c>
      <c r="U104" s="2">
        <f>SUMIFS('周排班-纵表'!$I:$I,'周排班-纵表'!$C:$C,$C104,'周排班-纵表'!$G:$G,$G104,'周排班-纵表'!$H:$H,U$1)</f>
        <v/>
      </c>
      <c r="V104" s="2">
        <f>SUMIFS('周排班-纵表'!$I:$I,'周排班-纵表'!$C:$C,$C104,'周排班-纵表'!$G:$G,$G104,'周排班-纵表'!$H:$H,V$1)</f>
        <v/>
      </c>
      <c r="W104" s="2">
        <f>SUMIFS('周排班-纵表'!$I:$I,'周排班-纵表'!$C:$C,$C104,'周排班-纵表'!$G:$G,$G104,'周排班-纵表'!$H:$H,W$1)</f>
        <v/>
      </c>
      <c r="X104" s="2">
        <f>SUMIFS('周排班-纵表'!$I:$I,'周排班-纵表'!$C:$C,$C104,'周排班-纵表'!$G:$G,$G104,'周排班-纵表'!$H:$H,X$1)</f>
        <v/>
      </c>
      <c r="Y104" s="2">
        <f>SUMIFS('周排班-纵表'!$I:$I,'周排班-纵表'!$C:$C,$C104,'周排班-纵表'!$G:$G,$G104,'周排班-纵表'!$H:$H,Y$1)</f>
        <v/>
      </c>
      <c r="Z104" s="2">
        <f>SUMIFS('周排班-纵表'!$I:$I,'周排班-纵表'!$C:$C,$C104,'周排班-纵表'!$G:$G,$G104,'周排班-纵表'!$H:$H,Z$1)</f>
        <v/>
      </c>
      <c r="AA104" s="2">
        <f>SUMIFS('周排班-纵表'!$I:$I,'周排班-纵表'!$C:$C,$C104,'周排班-纵表'!$G:$G,$G104,'周排班-纵表'!$H:$H,AA$1)</f>
        <v/>
      </c>
      <c r="AB104" s="2">
        <f>SUMIFS('周排班-纵表'!$I:$I,'周排班-纵表'!$C:$C,$C104,'周排班-纵表'!$G:$G,$G104,'周排班-纵表'!$H:$H,AB$1)</f>
        <v/>
      </c>
      <c r="AC104" s="2">
        <f>SUMIFS('周排班-纵表'!$I:$I,'周排班-纵表'!$C:$C,$C104,'周排班-纵表'!$G:$G,$G104,'周排班-纵表'!$H:$H,AC$1)</f>
        <v/>
      </c>
      <c r="AD104" s="2">
        <f>SUMIFS('周排班-纵表'!$I:$I,'周排班-纵表'!$C:$C,$C104,'周排班-纵表'!$G:$G,$G104,'周排班-纵表'!$H:$H,AD$1)</f>
        <v/>
      </c>
      <c r="AE104" s="2">
        <f>SUMIFS('周排班-纵表'!$I:$I,'周排班-纵表'!$C:$C,$C104,'周排班-纵表'!$G:$G,$G104,'周排班-纵表'!$H:$H,AE$1)</f>
        <v/>
      </c>
      <c r="AF104" s="2">
        <f>SUMIFS('周排班-纵表'!$I:$I,'周排班-纵表'!$C:$C,$C104,'周排班-纵表'!$G:$G,$G104,'周排班-纵表'!$H:$H,AF$1)</f>
        <v/>
      </c>
      <c r="AG104" s="2">
        <f>SUMIFS('周排班-纵表'!$I:$I,'周排班-纵表'!$C:$C,$C104,'周排班-纵表'!$G:$G,$G104,'周排班-纵表'!$H:$H,AG$1)</f>
        <v/>
      </c>
      <c r="AH104" s="2">
        <f>SUMIFS('周排班-纵表'!$I:$I,'周排班-纵表'!$C:$C,$C104,'周排班-纵表'!$G:$G,$G104,'周排班-纵表'!$H:$H,AH$1)</f>
        <v/>
      </c>
      <c r="AI104" s="2">
        <f>SUMIFS('周排班-纵表'!$I:$I,'周排班-纵表'!$C:$C,$C104,'周排班-纵表'!$G:$G,$G104,'周排班-纵表'!$H:$H,AI$1)</f>
        <v/>
      </c>
      <c r="AJ104" s="2">
        <f>SUMIFS('周排班-纵表'!$I:$I,'周排班-纵表'!$C:$C,$C104,'周排班-纵表'!$G:$G,$G104,'周排班-纵表'!$H:$H,AJ$1)</f>
        <v/>
      </c>
      <c r="AK104" s="2">
        <f>SUMIFS('周排班-纵表'!$I:$I,'周排班-纵表'!$C:$C,$C104,'周排班-纵表'!$G:$G,$G104,'周排班-纵表'!$H:$H,AK$1)</f>
        <v/>
      </c>
      <c r="AL104" s="2">
        <f>SUMIFS('周排班-纵表'!$I:$I,'周排班-纵表'!$C:$C,$C104,'周排班-纵表'!$G:$G,$G104,'周排班-纵表'!$H:$H,AL$1)</f>
        <v/>
      </c>
    </row>
    <row r="105">
      <c r="A105" s="2" t="inlineStr">
        <is>
          <t>海信</t>
        </is>
      </c>
      <c r="B105" s="2" t="inlineStr">
        <is>
          <t>Hisense Group Holdings Co., Ltd.</t>
        </is>
      </c>
      <c r="C105" s="2" t="inlineStr">
        <is>
          <t>47115559</t>
        </is>
      </c>
      <c r="D105" s="2" t="inlineStr">
        <is>
          <t>IPO2026-03 Project Voyage_CN</t>
        </is>
      </c>
      <c r="E105" s="2" t="inlineStr">
        <is>
          <t>Order47115559- 260729002</t>
        </is>
      </c>
      <c r="F105" s="2" t="inlineStr">
        <is>
          <t>47115559- EDC260729001</t>
        </is>
      </c>
      <c r="G105" s="2" t="inlineStr">
        <is>
          <t>Marsh.Ma@cn.ey.com</t>
        </is>
      </c>
      <c r="H105" s="2">
        <f>SUMIFS('周排班-纵表'!$I:$I,'周排班-纵表'!$C:$C,$C105,'周排班-纵表'!$G:$G,$G105,'周排班-纵表'!$H:$H,H$1)</f>
        <v/>
      </c>
      <c r="I105" s="2">
        <f>SUMIFS('周排班-纵表'!$I:$I,'周排班-纵表'!$C:$C,$C105,'周排班-纵表'!$G:$G,$G105,'周排班-纵表'!$H:$H,I$1)</f>
        <v/>
      </c>
      <c r="J105" s="2">
        <f>SUMIFS('周排班-纵表'!$I:$I,'周排班-纵表'!$C:$C,$C105,'周排班-纵表'!$G:$G,$G105,'周排班-纵表'!$H:$H,J$1)</f>
        <v/>
      </c>
      <c r="K105" s="2">
        <f>SUMIFS('周排班-纵表'!$I:$I,'周排班-纵表'!$C:$C,$C105,'周排班-纵表'!$G:$G,$G105,'周排班-纵表'!$H:$H,K$1)</f>
        <v/>
      </c>
      <c r="L105" s="2">
        <f>SUMIFS('周排班-纵表'!$I:$I,'周排班-纵表'!$C:$C,$C105,'周排班-纵表'!$G:$G,$G105,'周排班-纵表'!$H:$H,L$1)</f>
        <v/>
      </c>
      <c r="M105" s="2">
        <f>SUMIFS('周排班-纵表'!$I:$I,'周排班-纵表'!$C:$C,$C105,'周排班-纵表'!$G:$G,$G105,'周排班-纵表'!$H:$H,M$1)</f>
        <v/>
      </c>
      <c r="N105" s="2">
        <f>SUMIFS('周排班-纵表'!$I:$I,'周排班-纵表'!$C:$C,$C105,'周排班-纵表'!$G:$G,$G105,'周排班-纵表'!$H:$H,N$1)</f>
        <v/>
      </c>
      <c r="O105" s="2">
        <f>SUMIFS('周排班-纵表'!$I:$I,'周排班-纵表'!$C:$C,$C105,'周排班-纵表'!$G:$G,$G105,'周排班-纵表'!$H:$H,O$1)</f>
        <v/>
      </c>
      <c r="P105" s="2">
        <f>SUMIFS('周排班-纵表'!$I:$I,'周排班-纵表'!$C:$C,$C105,'周排班-纵表'!$G:$G,$G105,'周排班-纵表'!$H:$H,P$1)</f>
        <v/>
      </c>
      <c r="Q105" s="2">
        <f>SUMIFS('周排班-纵表'!$I:$I,'周排班-纵表'!$C:$C,$C105,'周排班-纵表'!$G:$G,$G105,'周排班-纵表'!$H:$H,Q$1)</f>
        <v/>
      </c>
      <c r="R105" s="2">
        <f>SUMIFS('周排班-纵表'!$I:$I,'周排班-纵表'!$C:$C,$C105,'周排班-纵表'!$G:$G,$G105,'周排班-纵表'!$H:$H,R$1)</f>
        <v/>
      </c>
      <c r="S105" s="2">
        <f>SUMIFS('周排班-纵表'!$I:$I,'周排班-纵表'!$C:$C,$C105,'周排班-纵表'!$G:$G,$G105,'周排班-纵表'!$H:$H,S$1)</f>
        <v/>
      </c>
      <c r="T105" s="2">
        <f>SUMIFS('周排班-纵表'!$I:$I,'周排班-纵表'!$C:$C,$C105,'周排班-纵表'!$G:$G,$G105,'周排班-纵表'!$H:$H,T$1)</f>
        <v/>
      </c>
      <c r="U105" s="2">
        <f>SUMIFS('周排班-纵表'!$I:$I,'周排班-纵表'!$C:$C,$C105,'周排班-纵表'!$G:$G,$G105,'周排班-纵表'!$H:$H,U$1)</f>
        <v/>
      </c>
      <c r="V105" s="2">
        <f>SUMIFS('周排班-纵表'!$I:$I,'周排班-纵表'!$C:$C,$C105,'周排班-纵表'!$G:$G,$G105,'周排班-纵表'!$H:$H,V$1)</f>
        <v/>
      </c>
      <c r="W105" s="2">
        <f>SUMIFS('周排班-纵表'!$I:$I,'周排班-纵表'!$C:$C,$C105,'周排班-纵表'!$G:$G,$G105,'周排班-纵表'!$H:$H,W$1)</f>
        <v/>
      </c>
      <c r="X105" s="2">
        <f>SUMIFS('周排班-纵表'!$I:$I,'周排班-纵表'!$C:$C,$C105,'周排班-纵表'!$G:$G,$G105,'周排班-纵表'!$H:$H,X$1)</f>
        <v/>
      </c>
      <c r="Y105" s="2">
        <f>SUMIFS('周排班-纵表'!$I:$I,'周排班-纵表'!$C:$C,$C105,'周排班-纵表'!$G:$G,$G105,'周排班-纵表'!$H:$H,Y$1)</f>
        <v/>
      </c>
      <c r="Z105" s="2">
        <f>SUMIFS('周排班-纵表'!$I:$I,'周排班-纵表'!$C:$C,$C105,'周排班-纵表'!$G:$G,$G105,'周排班-纵表'!$H:$H,Z$1)</f>
        <v/>
      </c>
      <c r="AA105" s="2">
        <f>SUMIFS('周排班-纵表'!$I:$I,'周排班-纵表'!$C:$C,$C105,'周排班-纵表'!$G:$G,$G105,'周排班-纵表'!$H:$H,AA$1)</f>
        <v/>
      </c>
      <c r="AB105" s="2">
        <f>SUMIFS('周排班-纵表'!$I:$I,'周排班-纵表'!$C:$C,$C105,'周排班-纵表'!$G:$G,$G105,'周排班-纵表'!$H:$H,AB$1)</f>
        <v/>
      </c>
      <c r="AC105" s="2">
        <f>SUMIFS('周排班-纵表'!$I:$I,'周排班-纵表'!$C:$C,$C105,'周排班-纵表'!$G:$G,$G105,'周排班-纵表'!$H:$H,AC$1)</f>
        <v/>
      </c>
      <c r="AD105" s="2">
        <f>SUMIFS('周排班-纵表'!$I:$I,'周排班-纵表'!$C:$C,$C105,'周排班-纵表'!$G:$G,$G105,'周排班-纵表'!$H:$H,AD$1)</f>
        <v/>
      </c>
      <c r="AE105" s="2">
        <f>SUMIFS('周排班-纵表'!$I:$I,'周排班-纵表'!$C:$C,$C105,'周排班-纵表'!$G:$G,$G105,'周排班-纵表'!$H:$H,AE$1)</f>
        <v/>
      </c>
      <c r="AF105" s="2">
        <f>SUMIFS('周排班-纵表'!$I:$I,'周排班-纵表'!$C:$C,$C105,'周排班-纵表'!$G:$G,$G105,'周排班-纵表'!$H:$H,AF$1)</f>
        <v/>
      </c>
      <c r="AG105" s="2">
        <f>SUMIFS('周排班-纵表'!$I:$I,'周排班-纵表'!$C:$C,$C105,'周排班-纵表'!$G:$G,$G105,'周排班-纵表'!$H:$H,AG$1)</f>
        <v/>
      </c>
      <c r="AH105" s="2">
        <f>SUMIFS('周排班-纵表'!$I:$I,'周排班-纵表'!$C:$C,$C105,'周排班-纵表'!$G:$G,$G105,'周排班-纵表'!$H:$H,AH$1)</f>
        <v/>
      </c>
      <c r="AI105" s="2">
        <f>SUMIFS('周排班-纵表'!$I:$I,'周排班-纵表'!$C:$C,$C105,'周排班-纵表'!$G:$G,$G105,'周排班-纵表'!$H:$H,AI$1)</f>
        <v/>
      </c>
      <c r="AJ105" s="2">
        <f>SUMIFS('周排班-纵表'!$I:$I,'周排班-纵表'!$C:$C,$C105,'周排班-纵表'!$G:$G,$G105,'周排班-纵表'!$H:$H,AJ$1)</f>
        <v/>
      </c>
      <c r="AK105" s="2">
        <f>SUMIFS('周排班-纵表'!$I:$I,'周排班-纵表'!$C:$C,$C105,'周排班-纵表'!$G:$G,$G105,'周排班-纵表'!$H:$H,AK$1)</f>
        <v/>
      </c>
      <c r="AL105" s="2">
        <f>SUMIFS('周排班-纵表'!$I:$I,'周排班-纵表'!$C:$C,$C105,'周排班-纵表'!$G:$G,$G105,'周排班-纵表'!$H:$H,AL$1)</f>
        <v/>
      </c>
    </row>
    <row r="106">
      <c r="A106" s="2" t="inlineStr">
        <is>
          <t>海信</t>
        </is>
      </c>
      <c r="B106" s="2" t="inlineStr">
        <is>
          <t>Hisense Group Holdings Co., Ltd.</t>
        </is>
      </c>
      <c r="C106" s="2" t="inlineStr">
        <is>
          <t>47115559</t>
        </is>
      </c>
      <c r="D106" s="2" t="inlineStr">
        <is>
          <t>IPO2026-03 Project Voyage_CN</t>
        </is>
      </c>
      <c r="E106" s="2" t="inlineStr">
        <is>
          <t>Order47115559- 260729002</t>
        </is>
      </c>
      <c r="F106" s="2" t="inlineStr">
        <is>
          <t>47115559- EDC260729001</t>
        </is>
      </c>
      <c r="G106" s="2" t="inlineStr">
        <is>
          <t>Rainbow.MG.Xiao@cn.ey.com</t>
        </is>
      </c>
      <c r="H106" s="2">
        <f>SUMIFS('周排班-纵表'!$I:$I,'周排班-纵表'!$C:$C,$C106,'周排班-纵表'!$G:$G,$G106,'周排班-纵表'!$H:$H,H$1)</f>
        <v/>
      </c>
      <c r="I106" s="2">
        <f>SUMIFS('周排班-纵表'!$I:$I,'周排班-纵表'!$C:$C,$C106,'周排班-纵表'!$G:$G,$G106,'周排班-纵表'!$H:$H,I$1)</f>
        <v/>
      </c>
      <c r="J106" s="2">
        <f>SUMIFS('周排班-纵表'!$I:$I,'周排班-纵表'!$C:$C,$C106,'周排班-纵表'!$G:$G,$G106,'周排班-纵表'!$H:$H,J$1)</f>
        <v/>
      </c>
      <c r="K106" s="2">
        <f>SUMIFS('周排班-纵表'!$I:$I,'周排班-纵表'!$C:$C,$C106,'周排班-纵表'!$G:$G,$G106,'周排班-纵表'!$H:$H,K$1)</f>
        <v/>
      </c>
      <c r="L106" s="2">
        <f>SUMIFS('周排班-纵表'!$I:$I,'周排班-纵表'!$C:$C,$C106,'周排班-纵表'!$G:$G,$G106,'周排班-纵表'!$H:$H,L$1)</f>
        <v/>
      </c>
      <c r="M106" s="2">
        <f>SUMIFS('周排班-纵表'!$I:$I,'周排班-纵表'!$C:$C,$C106,'周排班-纵表'!$G:$G,$G106,'周排班-纵表'!$H:$H,M$1)</f>
        <v/>
      </c>
      <c r="N106" s="2">
        <f>SUMIFS('周排班-纵表'!$I:$I,'周排班-纵表'!$C:$C,$C106,'周排班-纵表'!$G:$G,$G106,'周排班-纵表'!$H:$H,N$1)</f>
        <v/>
      </c>
      <c r="O106" s="2">
        <f>SUMIFS('周排班-纵表'!$I:$I,'周排班-纵表'!$C:$C,$C106,'周排班-纵表'!$G:$G,$G106,'周排班-纵表'!$H:$H,O$1)</f>
        <v/>
      </c>
      <c r="P106" s="2">
        <f>SUMIFS('周排班-纵表'!$I:$I,'周排班-纵表'!$C:$C,$C106,'周排班-纵表'!$G:$G,$G106,'周排班-纵表'!$H:$H,P$1)</f>
        <v/>
      </c>
      <c r="Q106" s="2">
        <f>SUMIFS('周排班-纵表'!$I:$I,'周排班-纵表'!$C:$C,$C106,'周排班-纵表'!$G:$G,$G106,'周排班-纵表'!$H:$H,Q$1)</f>
        <v/>
      </c>
      <c r="R106" s="2">
        <f>SUMIFS('周排班-纵表'!$I:$I,'周排班-纵表'!$C:$C,$C106,'周排班-纵表'!$G:$G,$G106,'周排班-纵表'!$H:$H,R$1)</f>
        <v/>
      </c>
      <c r="S106" s="2">
        <f>SUMIFS('周排班-纵表'!$I:$I,'周排班-纵表'!$C:$C,$C106,'周排班-纵表'!$G:$G,$G106,'周排班-纵表'!$H:$H,S$1)</f>
        <v/>
      </c>
      <c r="T106" s="2">
        <f>SUMIFS('周排班-纵表'!$I:$I,'周排班-纵表'!$C:$C,$C106,'周排班-纵表'!$G:$G,$G106,'周排班-纵表'!$H:$H,T$1)</f>
        <v/>
      </c>
      <c r="U106" s="2">
        <f>SUMIFS('周排班-纵表'!$I:$I,'周排班-纵表'!$C:$C,$C106,'周排班-纵表'!$G:$G,$G106,'周排班-纵表'!$H:$H,U$1)</f>
        <v/>
      </c>
      <c r="V106" s="2">
        <f>SUMIFS('周排班-纵表'!$I:$I,'周排班-纵表'!$C:$C,$C106,'周排班-纵表'!$G:$G,$G106,'周排班-纵表'!$H:$H,V$1)</f>
        <v/>
      </c>
      <c r="W106" s="2">
        <f>SUMIFS('周排班-纵表'!$I:$I,'周排班-纵表'!$C:$C,$C106,'周排班-纵表'!$G:$G,$G106,'周排班-纵表'!$H:$H,W$1)</f>
        <v/>
      </c>
      <c r="X106" s="2">
        <f>SUMIFS('周排班-纵表'!$I:$I,'周排班-纵表'!$C:$C,$C106,'周排班-纵表'!$G:$G,$G106,'周排班-纵表'!$H:$H,X$1)</f>
        <v/>
      </c>
      <c r="Y106" s="2">
        <f>SUMIFS('周排班-纵表'!$I:$I,'周排班-纵表'!$C:$C,$C106,'周排班-纵表'!$G:$G,$G106,'周排班-纵表'!$H:$H,Y$1)</f>
        <v/>
      </c>
      <c r="Z106" s="2">
        <f>SUMIFS('周排班-纵表'!$I:$I,'周排班-纵表'!$C:$C,$C106,'周排班-纵表'!$G:$G,$G106,'周排班-纵表'!$H:$H,Z$1)</f>
        <v/>
      </c>
      <c r="AA106" s="2">
        <f>SUMIFS('周排班-纵表'!$I:$I,'周排班-纵表'!$C:$C,$C106,'周排班-纵表'!$G:$G,$G106,'周排班-纵表'!$H:$H,AA$1)</f>
        <v/>
      </c>
      <c r="AB106" s="2">
        <f>SUMIFS('周排班-纵表'!$I:$I,'周排班-纵表'!$C:$C,$C106,'周排班-纵表'!$G:$G,$G106,'周排班-纵表'!$H:$H,AB$1)</f>
        <v/>
      </c>
      <c r="AC106" s="2">
        <f>SUMIFS('周排班-纵表'!$I:$I,'周排班-纵表'!$C:$C,$C106,'周排班-纵表'!$G:$G,$G106,'周排班-纵表'!$H:$H,AC$1)</f>
        <v/>
      </c>
      <c r="AD106" s="2">
        <f>SUMIFS('周排班-纵表'!$I:$I,'周排班-纵表'!$C:$C,$C106,'周排班-纵表'!$G:$G,$G106,'周排班-纵表'!$H:$H,AD$1)</f>
        <v/>
      </c>
      <c r="AE106" s="2">
        <f>SUMIFS('周排班-纵表'!$I:$I,'周排班-纵表'!$C:$C,$C106,'周排班-纵表'!$G:$G,$G106,'周排班-纵表'!$H:$H,AE$1)</f>
        <v/>
      </c>
      <c r="AF106" s="2">
        <f>SUMIFS('周排班-纵表'!$I:$I,'周排班-纵表'!$C:$C,$C106,'周排班-纵表'!$G:$G,$G106,'周排班-纵表'!$H:$H,AF$1)</f>
        <v/>
      </c>
      <c r="AG106" s="2">
        <f>SUMIFS('周排班-纵表'!$I:$I,'周排班-纵表'!$C:$C,$C106,'周排班-纵表'!$G:$G,$G106,'周排班-纵表'!$H:$H,AG$1)</f>
        <v/>
      </c>
      <c r="AH106" s="2">
        <f>SUMIFS('周排班-纵表'!$I:$I,'周排班-纵表'!$C:$C,$C106,'周排班-纵表'!$G:$G,$G106,'周排班-纵表'!$H:$H,AH$1)</f>
        <v/>
      </c>
      <c r="AI106" s="2">
        <f>SUMIFS('周排班-纵表'!$I:$I,'周排班-纵表'!$C:$C,$C106,'周排班-纵表'!$G:$G,$G106,'周排班-纵表'!$H:$H,AI$1)</f>
        <v/>
      </c>
      <c r="AJ106" s="2">
        <f>SUMIFS('周排班-纵表'!$I:$I,'周排班-纵表'!$C:$C,$C106,'周排班-纵表'!$G:$G,$G106,'周排班-纵表'!$H:$H,AJ$1)</f>
        <v/>
      </c>
      <c r="AK106" s="2">
        <f>SUMIFS('周排班-纵表'!$I:$I,'周排班-纵表'!$C:$C,$C106,'周排班-纵表'!$G:$G,$G106,'周排班-纵表'!$H:$H,AK$1)</f>
        <v/>
      </c>
      <c r="AL106" s="2">
        <f>SUMIFS('周排班-纵表'!$I:$I,'周排班-纵表'!$C:$C,$C106,'周排班-纵表'!$G:$G,$G106,'周排班-纵表'!$H:$H,AL$1)</f>
        <v/>
      </c>
    </row>
    <row r="107">
      <c r="A107" s="2" t="inlineStr">
        <is>
          <t>海信</t>
        </is>
      </c>
      <c r="B107" s="2" t="inlineStr">
        <is>
          <t>Hisense Group Holdings Co., Ltd.</t>
        </is>
      </c>
      <c r="C107" s="2" t="inlineStr">
        <is>
          <t>47115559</t>
        </is>
      </c>
      <c r="D107" s="2" t="inlineStr">
        <is>
          <t>IPO2026-03 Project Voyage_CN</t>
        </is>
      </c>
      <c r="E107" s="2" t="inlineStr">
        <is>
          <t>Order47115559- 260729002</t>
        </is>
      </c>
      <c r="F107" s="2" t="inlineStr">
        <is>
          <t>47115559- EDC260729001</t>
        </is>
      </c>
      <c r="G107" s="2" t="inlineStr">
        <is>
          <t>Vivi.W.Yang@cn.ey.com</t>
        </is>
      </c>
      <c r="H107" s="2">
        <f>SUMIFS('周排班-纵表'!$I:$I,'周排班-纵表'!$C:$C,$C107,'周排班-纵表'!$G:$G,$G107,'周排班-纵表'!$H:$H,H$1)</f>
        <v/>
      </c>
      <c r="I107" s="2">
        <f>SUMIFS('周排班-纵表'!$I:$I,'周排班-纵表'!$C:$C,$C107,'周排班-纵表'!$G:$G,$G107,'周排班-纵表'!$H:$H,I$1)</f>
        <v/>
      </c>
      <c r="J107" s="2">
        <f>SUMIFS('周排班-纵表'!$I:$I,'周排班-纵表'!$C:$C,$C107,'周排班-纵表'!$G:$G,$G107,'周排班-纵表'!$H:$H,J$1)</f>
        <v/>
      </c>
      <c r="K107" s="2">
        <f>SUMIFS('周排班-纵表'!$I:$I,'周排班-纵表'!$C:$C,$C107,'周排班-纵表'!$G:$G,$G107,'周排班-纵表'!$H:$H,K$1)</f>
        <v/>
      </c>
      <c r="L107" s="2">
        <f>SUMIFS('周排班-纵表'!$I:$I,'周排班-纵表'!$C:$C,$C107,'周排班-纵表'!$G:$G,$G107,'周排班-纵表'!$H:$H,L$1)</f>
        <v/>
      </c>
      <c r="M107" s="2">
        <f>SUMIFS('周排班-纵表'!$I:$I,'周排班-纵表'!$C:$C,$C107,'周排班-纵表'!$G:$G,$G107,'周排班-纵表'!$H:$H,M$1)</f>
        <v/>
      </c>
      <c r="N107" s="2">
        <f>SUMIFS('周排班-纵表'!$I:$I,'周排班-纵表'!$C:$C,$C107,'周排班-纵表'!$G:$G,$G107,'周排班-纵表'!$H:$H,N$1)</f>
        <v/>
      </c>
      <c r="O107" s="2">
        <f>SUMIFS('周排班-纵表'!$I:$I,'周排班-纵表'!$C:$C,$C107,'周排班-纵表'!$G:$G,$G107,'周排班-纵表'!$H:$H,O$1)</f>
        <v/>
      </c>
      <c r="P107" s="2">
        <f>SUMIFS('周排班-纵表'!$I:$I,'周排班-纵表'!$C:$C,$C107,'周排班-纵表'!$G:$G,$G107,'周排班-纵表'!$H:$H,P$1)</f>
        <v/>
      </c>
      <c r="Q107" s="2">
        <f>SUMIFS('周排班-纵表'!$I:$I,'周排班-纵表'!$C:$C,$C107,'周排班-纵表'!$G:$G,$G107,'周排班-纵表'!$H:$H,Q$1)</f>
        <v/>
      </c>
      <c r="R107" s="2">
        <f>SUMIFS('周排班-纵表'!$I:$I,'周排班-纵表'!$C:$C,$C107,'周排班-纵表'!$G:$G,$G107,'周排班-纵表'!$H:$H,R$1)</f>
        <v/>
      </c>
      <c r="S107" s="2">
        <f>SUMIFS('周排班-纵表'!$I:$I,'周排班-纵表'!$C:$C,$C107,'周排班-纵表'!$G:$G,$G107,'周排班-纵表'!$H:$H,S$1)</f>
        <v/>
      </c>
      <c r="T107" s="2">
        <f>SUMIFS('周排班-纵表'!$I:$I,'周排班-纵表'!$C:$C,$C107,'周排班-纵表'!$G:$G,$G107,'周排班-纵表'!$H:$H,T$1)</f>
        <v/>
      </c>
      <c r="U107" s="2">
        <f>SUMIFS('周排班-纵表'!$I:$I,'周排班-纵表'!$C:$C,$C107,'周排班-纵表'!$G:$G,$G107,'周排班-纵表'!$H:$H,U$1)</f>
        <v/>
      </c>
      <c r="V107" s="2">
        <f>SUMIFS('周排班-纵表'!$I:$I,'周排班-纵表'!$C:$C,$C107,'周排班-纵表'!$G:$G,$G107,'周排班-纵表'!$H:$H,V$1)</f>
        <v/>
      </c>
      <c r="W107" s="2">
        <f>SUMIFS('周排班-纵表'!$I:$I,'周排班-纵表'!$C:$C,$C107,'周排班-纵表'!$G:$G,$G107,'周排班-纵表'!$H:$H,W$1)</f>
        <v/>
      </c>
      <c r="X107" s="2">
        <f>SUMIFS('周排班-纵表'!$I:$I,'周排班-纵表'!$C:$C,$C107,'周排班-纵表'!$G:$G,$G107,'周排班-纵表'!$H:$H,X$1)</f>
        <v/>
      </c>
      <c r="Y107" s="2">
        <f>SUMIFS('周排班-纵表'!$I:$I,'周排班-纵表'!$C:$C,$C107,'周排班-纵表'!$G:$G,$G107,'周排班-纵表'!$H:$H,Y$1)</f>
        <v/>
      </c>
      <c r="Z107" s="2">
        <f>SUMIFS('周排班-纵表'!$I:$I,'周排班-纵表'!$C:$C,$C107,'周排班-纵表'!$G:$G,$G107,'周排班-纵表'!$H:$H,Z$1)</f>
        <v/>
      </c>
      <c r="AA107" s="2">
        <f>SUMIFS('周排班-纵表'!$I:$I,'周排班-纵表'!$C:$C,$C107,'周排班-纵表'!$G:$G,$G107,'周排班-纵表'!$H:$H,AA$1)</f>
        <v/>
      </c>
      <c r="AB107" s="2">
        <f>SUMIFS('周排班-纵表'!$I:$I,'周排班-纵表'!$C:$C,$C107,'周排班-纵表'!$G:$G,$G107,'周排班-纵表'!$H:$H,AB$1)</f>
        <v/>
      </c>
      <c r="AC107" s="2">
        <f>SUMIFS('周排班-纵表'!$I:$I,'周排班-纵表'!$C:$C,$C107,'周排班-纵表'!$G:$G,$G107,'周排班-纵表'!$H:$H,AC$1)</f>
        <v/>
      </c>
      <c r="AD107" s="2">
        <f>SUMIFS('周排班-纵表'!$I:$I,'周排班-纵表'!$C:$C,$C107,'周排班-纵表'!$G:$G,$G107,'周排班-纵表'!$H:$H,AD$1)</f>
        <v/>
      </c>
      <c r="AE107" s="2">
        <f>SUMIFS('周排班-纵表'!$I:$I,'周排班-纵表'!$C:$C,$C107,'周排班-纵表'!$G:$G,$G107,'周排班-纵表'!$H:$H,AE$1)</f>
        <v/>
      </c>
      <c r="AF107" s="2">
        <f>SUMIFS('周排班-纵表'!$I:$I,'周排班-纵表'!$C:$C,$C107,'周排班-纵表'!$G:$G,$G107,'周排班-纵表'!$H:$H,AF$1)</f>
        <v/>
      </c>
      <c r="AG107" s="2">
        <f>SUMIFS('周排班-纵表'!$I:$I,'周排班-纵表'!$C:$C,$C107,'周排班-纵表'!$G:$G,$G107,'周排班-纵表'!$H:$H,AG$1)</f>
        <v/>
      </c>
      <c r="AH107" s="2">
        <f>SUMIFS('周排班-纵表'!$I:$I,'周排班-纵表'!$C:$C,$C107,'周排班-纵表'!$G:$G,$G107,'周排班-纵表'!$H:$H,AH$1)</f>
        <v/>
      </c>
      <c r="AI107" s="2">
        <f>SUMIFS('周排班-纵表'!$I:$I,'周排班-纵表'!$C:$C,$C107,'周排班-纵表'!$G:$G,$G107,'周排班-纵表'!$H:$H,AI$1)</f>
        <v/>
      </c>
      <c r="AJ107" s="2">
        <f>SUMIFS('周排班-纵表'!$I:$I,'周排班-纵表'!$C:$C,$C107,'周排班-纵表'!$G:$G,$G107,'周排班-纵表'!$H:$H,AJ$1)</f>
        <v/>
      </c>
      <c r="AK107" s="2">
        <f>SUMIFS('周排班-纵表'!$I:$I,'周排班-纵表'!$C:$C,$C107,'周排班-纵表'!$G:$G,$G107,'周排班-纵表'!$H:$H,AK$1)</f>
        <v/>
      </c>
      <c r="AL107" s="2">
        <f>SUMIFS('周排班-纵表'!$I:$I,'周排班-纵表'!$C:$C,$C107,'周排班-纵表'!$G:$G,$G107,'周排班-纵表'!$H:$H,AL$1)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33" customHeight="1">
      <c r="A1" s="1" t="inlineStr">
        <is>
          <t>Staff Name</t>
        </is>
      </c>
      <c r="B1" s="1" t="inlineStr">
        <is>
          <t>周期</t>
        </is>
      </c>
      <c r="C1" s="1" t="inlineStr">
        <is>
          <t>该周合计 hours</t>
        </is>
      </c>
      <c r="D1" s="1" t="inlineStr">
        <is>
          <t>是否忙季</t>
        </is>
      </c>
      <c r="E1" s="1" t="inlineStr">
        <is>
          <t>周标准工时</t>
        </is>
      </c>
      <c r="F1" s="1" t="inlineStr">
        <is>
          <t>UT比例</t>
        </is>
      </c>
      <c r="G1" s="1" t="inlineStr">
        <is>
          <t>是否超硬上限</t>
        </is>
      </c>
    </row>
    <row r="2">
      <c r="A2" s="2" t="inlineStr">
        <is>
          <t>Luna.CD.Zhang@cn.ey.com</t>
        </is>
      </c>
      <c r="B2" s="2" t="inlineStr">
        <is>
          <t>Week15 (2026.10.10)</t>
        </is>
      </c>
      <c r="C2" s="2">
        <f>SUMIFS('周排班-纵表'!$I:$I,'周排班-纵表'!$G:$G,$A2,'周排班-纵表'!$H:$H,$B2)</f>
        <v/>
      </c>
      <c r="D2" s="2">
        <f>IF(OR(MID($B2,FIND("(",$B2)+6,2)="01",MID($B2,FIND("(",$B2)+6,2)="02",MID($B2,FIND("(",$B2)+6,2)="03"),"是","否")</f>
        <v/>
      </c>
      <c r="E2" s="2">
        <f>IF(IFERROR(VLOOKUP($A2,'人员清单'!$A:$B,2,FALSE),"")="intern",40,IF($D2="是",60,40))</f>
        <v/>
      </c>
      <c r="F2" s="3">
        <f>ROUND($C2/40,4)</f>
        <v/>
      </c>
      <c r="G2" s="2">
        <f>IF(IFERROR(VLOOKUP($A2,'人员清单'!$A:$B,2,FALSE),"")="intern",IF($C2&gt;40,"是","否"),IF($D2="是",IF($C2&gt;78,"是","否"),IF($C2&gt;48,"是","否")))</f>
        <v/>
      </c>
    </row>
    <row r="3">
      <c r="A3" s="2" t="inlineStr">
        <is>
          <t>Marsh.Ma@cn.ey.com</t>
        </is>
      </c>
      <c r="B3" s="2" t="inlineStr">
        <is>
          <t>Week15 (2026.10.10)</t>
        </is>
      </c>
      <c r="C3" s="2">
        <f>SUMIFS('周排班-纵表'!$I:$I,'周排班-纵表'!$G:$G,$A3,'周排班-纵表'!$H:$H,$B3)</f>
        <v/>
      </c>
      <c r="D3" s="2">
        <f>IF(OR(MID($B3,FIND("(",$B3)+6,2)="01",MID($B3,FIND("(",$B3)+6,2)="02",MID($B3,FIND("(",$B3)+6,2)="03"),"是","否")</f>
        <v/>
      </c>
      <c r="E3" s="2">
        <f>IF(IFERROR(VLOOKUP($A3,'人员清单'!$A:$B,2,FALSE),"")="intern",40,IF($D3="是",60,40))</f>
        <v/>
      </c>
      <c r="F3" s="3">
        <f>ROUND($C3/40,4)</f>
        <v/>
      </c>
      <c r="G3" s="2">
        <f>IF(IFERROR(VLOOKUP($A3,'人员清单'!$A:$B,2,FALSE),"")="intern",IF($C3&gt;40,"是","否"),IF($D3="是",IF($C3&gt;78,"是","否"),IF($C3&gt;48,"是","否")))</f>
        <v/>
      </c>
    </row>
    <row r="4">
      <c r="A4" s="2" t="inlineStr">
        <is>
          <t>Rainbow.MG.Xiao@cn.ey.com</t>
        </is>
      </c>
      <c r="B4" s="2" t="inlineStr">
        <is>
          <t>Week15 (2026.10.10)</t>
        </is>
      </c>
      <c r="C4" s="2">
        <f>SUMIFS('周排班-纵表'!$I:$I,'周排班-纵表'!$G:$G,$A4,'周排班-纵表'!$H:$H,$B4)</f>
        <v/>
      </c>
      <c r="D4" s="2">
        <f>IF(OR(MID($B4,FIND("(",$B4)+6,2)="01",MID($B4,FIND("(",$B4)+6,2)="02",MID($B4,FIND("(",$B4)+6,2)="03"),"是","否")</f>
        <v/>
      </c>
      <c r="E4" s="2">
        <f>IF(IFERROR(VLOOKUP($A4,'人员清单'!$A:$B,2,FALSE),"")="intern",40,IF($D4="是",60,40))</f>
        <v/>
      </c>
      <c r="F4" s="3">
        <f>ROUND($C4/40,4)</f>
        <v/>
      </c>
      <c r="G4" s="2">
        <f>IF(IFERROR(VLOOKUP($A4,'人员清单'!$A:$B,2,FALSE),"")="intern",IF($C4&gt;40,"是","否"),IF($D4="是",IF($C4&gt;78,"是","否"),IF($C4&gt;48,"是","否")))</f>
        <v/>
      </c>
    </row>
    <row r="5">
      <c r="A5" s="2" t="inlineStr">
        <is>
          <t>Vivi.W.Yang@cn.ey.com</t>
        </is>
      </c>
      <c r="B5" s="2" t="inlineStr">
        <is>
          <t>Week15 (2026.10.10)</t>
        </is>
      </c>
      <c r="C5" s="2">
        <f>SUMIFS('周排班-纵表'!$I:$I,'周排班-纵表'!$G:$G,$A5,'周排班-纵表'!$H:$H,$B5)</f>
        <v/>
      </c>
      <c r="D5" s="2">
        <f>IF(OR(MID($B5,FIND("(",$B5)+6,2)="01",MID($B5,FIND("(",$B5)+6,2)="02",MID($B5,FIND("(",$B5)+6,2)="03"),"是","否")</f>
        <v/>
      </c>
      <c r="E5" s="2">
        <f>IF(IFERROR(VLOOKUP($A5,'人员清单'!$A:$B,2,FALSE),"")="intern",40,IF($D5="是",60,40))</f>
        <v/>
      </c>
      <c r="F5" s="3">
        <f>ROUND($C5/40,4)</f>
        <v/>
      </c>
      <c r="G5" s="2">
        <f>IF(IFERROR(VLOOKUP($A5,'人员清单'!$A:$B,2,FALSE),"")="intern",IF($C5&gt;40,"是","否"),IF($D5="是",IF($C5&gt;78,"是","否"),IF($C5&gt;48,"是","否")))</f>
        <v/>
      </c>
    </row>
    <row r="6">
      <c r="A6" s="2" t="inlineStr">
        <is>
          <t>Yuan.Yuan.YY.Chen@cn.ey.com</t>
        </is>
      </c>
      <c r="B6" s="2" t="inlineStr">
        <is>
          <t>Week15 (2026.10.10)</t>
        </is>
      </c>
      <c r="C6" s="2">
        <f>SUMIFS('周排班-纵表'!$I:$I,'周排班-纵表'!$G:$G,$A6,'周排班-纵表'!$H:$H,$B6)</f>
        <v/>
      </c>
      <c r="D6" s="2">
        <f>IF(OR(MID($B6,FIND("(",$B6)+6,2)="01",MID($B6,FIND("(",$B6)+6,2)="02",MID($B6,FIND("(",$B6)+6,2)="03"),"是","否")</f>
        <v/>
      </c>
      <c r="E6" s="2">
        <f>IF(IFERROR(VLOOKUP($A6,'人员清单'!$A:$B,2,FALSE),"")="intern",40,IF($D6="是",60,40))</f>
        <v/>
      </c>
      <c r="F6" s="3">
        <f>ROUND($C6/40,4)</f>
        <v/>
      </c>
      <c r="G6" s="2">
        <f>IF(IFERROR(VLOOKUP($A6,'人员清单'!$A:$B,2,FALSE),"")="intern",IF($C6&gt;40,"是","否"),IF($D6="是",IF($C6&gt;78,"是","否"),IF($C6&gt;48,"是","否")))</f>
        <v/>
      </c>
    </row>
    <row r="7">
      <c r="A7" s="2" t="inlineStr">
        <is>
          <t>Luna.CD.Zhang@cn.ey.com</t>
        </is>
      </c>
      <c r="B7" s="2" t="inlineStr">
        <is>
          <t>Week16 (2026.10.17)</t>
        </is>
      </c>
      <c r="C7" s="2">
        <f>SUMIFS('周排班-纵表'!$I:$I,'周排班-纵表'!$G:$G,$A7,'周排班-纵表'!$H:$H,$B7)</f>
        <v/>
      </c>
      <c r="D7" s="2">
        <f>IF(OR(MID($B7,FIND("(",$B7)+6,2)="01",MID($B7,FIND("(",$B7)+6,2)="02",MID($B7,FIND("(",$B7)+6,2)="03"),"是","否")</f>
        <v/>
      </c>
      <c r="E7" s="2">
        <f>IF(IFERROR(VLOOKUP($A7,'人员清单'!$A:$B,2,FALSE),"")="intern",40,IF($D7="是",60,40))</f>
        <v/>
      </c>
      <c r="F7" s="3">
        <f>ROUND($C7/40,4)</f>
        <v/>
      </c>
      <c r="G7" s="2">
        <f>IF(IFERROR(VLOOKUP($A7,'人员清单'!$A:$B,2,FALSE),"")="intern",IF($C7&gt;40,"是","否"),IF($D7="是",IF($C7&gt;78,"是","否"),IF($C7&gt;48,"是","否")))</f>
        <v/>
      </c>
    </row>
    <row r="8">
      <c r="A8" s="2" t="inlineStr">
        <is>
          <t>Marsh.Ma@cn.ey.com</t>
        </is>
      </c>
      <c r="B8" s="2" t="inlineStr">
        <is>
          <t>Week16 (2026.10.17)</t>
        </is>
      </c>
      <c r="C8" s="2">
        <f>SUMIFS('周排班-纵表'!$I:$I,'周排班-纵表'!$G:$G,$A8,'周排班-纵表'!$H:$H,$B8)</f>
        <v/>
      </c>
      <c r="D8" s="2">
        <f>IF(OR(MID($B8,FIND("(",$B8)+6,2)="01",MID($B8,FIND("(",$B8)+6,2)="02",MID($B8,FIND("(",$B8)+6,2)="03"),"是","否")</f>
        <v/>
      </c>
      <c r="E8" s="2">
        <f>IF(IFERROR(VLOOKUP($A8,'人员清单'!$A:$B,2,FALSE),"")="intern",40,IF($D8="是",60,40))</f>
        <v/>
      </c>
      <c r="F8" s="3">
        <f>ROUND($C8/40,4)</f>
        <v/>
      </c>
      <c r="G8" s="2">
        <f>IF(IFERROR(VLOOKUP($A8,'人员清单'!$A:$B,2,FALSE),"")="intern",IF($C8&gt;40,"是","否"),IF($D8="是",IF($C8&gt;78,"是","否"),IF($C8&gt;48,"是","否")))</f>
        <v/>
      </c>
    </row>
    <row r="9">
      <c r="A9" s="2" t="inlineStr">
        <is>
          <t>Rainbow.MG.Xiao@cn.ey.com</t>
        </is>
      </c>
      <c r="B9" s="2" t="inlineStr">
        <is>
          <t>Week16 (2026.10.17)</t>
        </is>
      </c>
      <c r="C9" s="2">
        <f>SUMIFS('周排班-纵表'!$I:$I,'周排班-纵表'!$G:$G,$A9,'周排班-纵表'!$H:$H,$B9)</f>
        <v/>
      </c>
      <c r="D9" s="2">
        <f>IF(OR(MID($B9,FIND("(",$B9)+6,2)="01",MID($B9,FIND("(",$B9)+6,2)="02",MID($B9,FIND("(",$B9)+6,2)="03"),"是","否")</f>
        <v/>
      </c>
      <c r="E9" s="2">
        <f>IF(IFERROR(VLOOKUP($A9,'人员清单'!$A:$B,2,FALSE),"")="intern",40,IF($D9="是",60,40))</f>
        <v/>
      </c>
      <c r="F9" s="3">
        <f>ROUND($C9/40,4)</f>
        <v/>
      </c>
      <c r="G9" s="2">
        <f>IF(IFERROR(VLOOKUP($A9,'人员清单'!$A:$B,2,FALSE),"")="intern",IF($C9&gt;40,"是","否"),IF($D9="是",IF($C9&gt;78,"是","否"),IF($C9&gt;48,"是","否")))</f>
        <v/>
      </c>
    </row>
    <row r="10">
      <c r="A10" s="2" t="inlineStr">
        <is>
          <t>Vivi.W.Yang@cn.ey.com</t>
        </is>
      </c>
      <c r="B10" s="2" t="inlineStr">
        <is>
          <t>Week16 (2026.10.17)</t>
        </is>
      </c>
      <c r="C10" s="2">
        <f>SUMIFS('周排班-纵表'!$I:$I,'周排班-纵表'!$G:$G,$A10,'周排班-纵表'!$H:$H,$B10)</f>
        <v/>
      </c>
      <c r="D10" s="2">
        <f>IF(OR(MID($B10,FIND("(",$B10)+6,2)="01",MID($B10,FIND("(",$B10)+6,2)="02",MID($B10,FIND("(",$B10)+6,2)="03"),"是","否")</f>
        <v/>
      </c>
      <c r="E10" s="2">
        <f>IF(IFERROR(VLOOKUP($A10,'人员清单'!$A:$B,2,FALSE),"")="intern",40,IF($D10="是",60,40))</f>
        <v/>
      </c>
      <c r="F10" s="3">
        <f>ROUND($C10/40,4)</f>
        <v/>
      </c>
      <c r="G10" s="2">
        <f>IF(IFERROR(VLOOKUP($A10,'人员清单'!$A:$B,2,FALSE),"")="intern",IF($C10&gt;40,"是","否"),IF($D10="是",IF($C10&gt;78,"是","否"),IF($C10&gt;48,"是","否")))</f>
        <v/>
      </c>
    </row>
    <row r="11">
      <c r="A11" s="2" t="inlineStr">
        <is>
          <t>Yuan.Yuan.YY.Chen@cn.ey.com</t>
        </is>
      </c>
      <c r="B11" s="2" t="inlineStr">
        <is>
          <t>Week16 (2026.10.17)</t>
        </is>
      </c>
      <c r="C11" s="2">
        <f>SUMIFS('周排班-纵表'!$I:$I,'周排班-纵表'!$G:$G,$A11,'周排班-纵表'!$H:$H,$B11)</f>
        <v/>
      </c>
      <c r="D11" s="2">
        <f>IF(OR(MID($B11,FIND("(",$B11)+6,2)="01",MID($B11,FIND("(",$B11)+6,2)="02",MID($B11,FIND("(",$B11)+6,2)="03"),"是","否")</f>
        <v/>
      </c>
      <c r="E11" s="2">
        <f>IF(IFERROR(VLOOKUP($A11,'人员清单'!$A:$B,2,FALSE),"")="intern",40,IF($D11="是",60,40))</f>
        <v/>
      </c>
      <c r="F11" s="3">
        <f>ROUND($C11/40,4)</f>
        <v/>
      </c>
      <c r="G11" s="2">
        <f>IF(IFERROR(VLOOKUP($A11,'人员清单'!$A:$B,2,FALSE),"")="intern",IF($C11&gt;40,"是","否"),IF($D11="是",IF($C11&gt;78,"是","否"),IF($C11&gt;48,"是","否")))</f>
        <v/>
      </c>
    </row>
    <row r="12">
      <c r="A12" s="2" t="inlineStr">
        <is>
          <t>Luna.CD.Zhang@cn.ey.com</t>
        </is>
      </c>
      <c r="B12" s="2" t="inlineStr">
        <is>
          <t>Week17 (2026.10.24)</t>
        </is>
      </c>
      <c r="C12" s="2">
        <f>SUMIFS('周排班-纵表'!$I:$I,'周排班-纵表'!$G:$G,$A12,'周排班-纵表'!$H:$H,$B12)</f>
        <v/>
      </c>
      <c r="D12" s="2">
        <f>IF(OR(MID($B12,FIND("(",$B12)+6,2)="01",MID($B12,FIND("(",$B12)+6,2)="02",MID($B12,FIND("(",$B12)+6,2)="03"),"是","否")</f>
        <v/>
      </c>
      <c r="E12" s="2">
        <f>IF(IFERROR(VLOOKUP($A12,'人员清单'!$A:$B,2,FALSE),"")="intern",40,IF($D12="是",60,40))</f>
        <v/>
      </c>
      <c r="F12" s="3">
        <f>ROUND($C12/40,4)</f>
        <v/>
      </c>
      <c r="G12" s="2">
        <f>IF(IFERROR(VLOOKUP($A12,'人员清单'!$A:$B,2,FALSE),"")="intern",IF($C12&gt;40,"是","否"),IF($D12="是",IF($C12&gt;78,"是","否"),IF($C12&gt;48,"是","否")))</f>
        <v/>
      </c>
    </row>
    <row r="13">
      <c r="A13" s="2" t="inlineStr">
        <is>
          <t>Marsh.Ma@cn.ey.com</t>
        </is>
      </c>
      <c r="B13" s="2" t="inlineStr">
        <is>
          <t>Week17 (2026.10.24)</t>
        </is>
      </c>
      <c r="C13" s="2">
        <f>SUMIFS('周排班-纵表'!$I:$I,'周排班-纵表'!$G:$G,$A13,'周排班-纵表'!$H:$H,$B13)</f>
        <v/>
      </c>
      <c r="D13" s="2">
        <f>IF(OR(MID($B13,FIND("(",$B13)+6,2)="01",MID($B13,FIND("(",$B13)+6,2)="02",MID($B13,FIND("(",$B13)+6,2)="03"),"是","否")</f>
        <v/>
      </c>
      <c r="E13" s="2">
        <f>IF(IFERROR(VLOOKUP($A13,'人员清单'!$A:$B,2,FALSE),"")="intern",40,IF($D13="是",60,40))</f>
        <v/>
      </c>
      <c r="F13" s="3">
        <f>ROUND($C13/40,4)</f>
        <v/>
      </c>
      <c r="G13" s="2">
        <f>IF(IFERROR(VLOOKUP($A13,'人员清单'!$A:$B,2,FALSE),"")="intern",IF($C13&gt;40,"是","否"),IF($D13="是",IF($C13&gt;78,"是","否"),IF($C13&gt;48,"是","否")))</f>
        <v/>
      </c>
    </row>
    <row r="14">
      <c r="A14" s="2" t="inlineStr">
        <is>
          <t>Vivi.W.Yang@cn.ey.com</t>
        </is>
      </c>
      <c r="B14" s="2" t="inlineStr">
        <is>
          <t>Week17 (2026.10.24)</t>
        </is>
      </c>
      <c r="C14" s="2">
        <f>SUMIFS('周排班-纵表'!$I:$I,'周排班-纵表'!$G:$G,$A14,'周排班-纵表'!$H:$H,$B14)</f>
        <v/>
      </c>
      <c r="D14" s="2">
        <f>IF(OR(MID($B14,FIND("(",$B14)+6,2)="01",MID($B14,FIND("(",$B14)+6,2)="02",MID($B14,FIND("(",$B14)+6,2)="03"),"是","否")</f>
        <v/>
      </c>
      <c r="E14" s="2">
        <f>IF(IFERROR(VLOOKUP($A14,'人员清单'!$A:$B,2,FALSE),"")="intern",40,IF($D14="是",60,40))</f>
        <v/>
      </c>
      <c r="F14" s="3">
        <f>ROUND($C14/40,4)</f>
        <v/>
      </c>
      <c r="G14" s="2">
        <f>IF(IFERROR(VLOOKUP($A14,'人员清单'!$A:$B,2,FALSE),"")="intern",IF($C14&gt;40,"是","否"),IF($D14="是",IF($C14&gt;78,"是","否"),IF($C14&gt;48,"是","否")))</f>
        <v/>
      </c>
    </row>
    <row r="15">
      <c r="A15" s="2" t="inlineStr">
        <is>
          <t>Yuan.Yuan.YY.Chen@cn.ey.com</t>
        </is>
      </c>
      <c r="B15" s="2" t="inlineStr">
        <is>
          <t>Week17 (2026.10.24)</t>
        </is>
      </c>
      <c r="C15" s="2">
        <f>SUMIFS('周排班-纵表'!$I:$I,'周排班-纵表'!$G:$G,$A15,'周排班-纵表'!$H:$H,$B15)</f>
        <v/>
      </c>
      <c r="D15" s="2">
        <f>IF(OR(MID($B15,FIND("(",$B15)+6,2)="01",MID($B15,FIND("(",$B15)+6,2)="02",MID($B15,FIND("(",$B15)+6,2)="03"),"是","否")</f>
        <v/>
      </c>
      <c r="E15" s="2">
        <f>IF(IFERROR(VLOOKUP($A15,'人员清单'!$A:$B,2,FALSE),"")="intern",40,IF($D15="是",60,40))</f>
        <v/>
      </c>
      <c r="F15" s="3">
        <f>ROUND($C15/40,4)</f>
        <v/>
      </c>
      <c r="G15" s="2">
        <f>IF(IFERROR(VLOOKUP($A15,'人员清单'!$A:$B,2,FALSE),"")="intern",IF($C15&gt;40,"是","否"),IF($D15="是",IF($C15&gt;78,"是","否"),IF($C15&gt;48,"是","否")))</f>
        <v/>
      </c>
    </row>
    <row r="16">
      <c r="A16" s="2" t="inlineStr">
        <is>
          <t>Luna.CD.Zhang@cn.ey.com</t>
        </is>
      </c>
      <c r="B16" s="2" t="inlineStr">
        <is>
          <t>Week18 (2026.10.31)</t>
        </is>
      </c>
      <c r="C16" s="2">
        <f>SUMIFS('周排班-纵表'!$I:$I,'周排班-纵表'!$G:$G,$A16,'周排班-纵表'!$H:$H,$B16)</f>
        <v/>
      </c>
      <c r="D16" s="2">
        <f>IF(OR(MID($B16,FIND("(",$B16)+6,2)="01",MID($B16,FIND("(",$B16)+6,2)="02",MID($B16,FIND("(",$B16)+6,2)="03"),"是","否")</f>
        <v/>
      </c>
      <c r="E16" s="2">
        <f>IF(IFERROR(VLOOKUP($A16,'人员清单'!$A:$B,2,FALSE),"")="intern",40,IF($D16="是",60,40))</f>
        <v/>
      </c>
      <c r="F16" s="3">
        <f>ROUND($C16/40,4)</f>
        <v/>
      </c>
      <c r="G16" s="2">
        <f>IF(IFERROR(VLOOKUP($A16,'人员清单'!$A:$B,2,FALSE),"")="intern",IF($C16&gt;40,"是","否"),IF($D16="是",IF($C16&gt;78,"是","否"),IF($C16&gt;48,"是","否")))</f>
        <v/>
      </c>
    </row>
    <row r="17">
      <c r="A17" s="2" t="inlineStr">
        <is>
          <t>Marsh.Ma@cn.ey.com</t>
        </is>
      </c>
      <c r="B17" s="2" t="inlineStr">
        <is>
          <t>Week18 (2026.10.31)</t>
        </is>
      </c>
      <c r="C17" s="2">
        <f>SUMIFS('周排班-纵表'!$I:$I,'周排班-纵表'!$G:$G,$A17,'周排班-纵表'!$H:$H,$B17)</f>
        <v/>
      </c>
      <c r="D17" s="2">
        <f>IF(OR(MID($B17,FIND("(",$B17)+6,2)="01",MID($B17,FIND("(",$B17)+6,2)="02",MID($B17,FIND("(",$B17)+6,2)="03"),"是","否")</f>
        <v/>
      </c>
      <c r="E17" s="2">
        <f>IF(IFERROR(VLOOKUP($A17,'人员清单'!$A:$B,2,FALSE),"")="intern",40,IF($D17="是",60,40))</f>
        <v/>
      </c>
      <c r="F17" s="3">
        <f>ROUND($C17/40,4)</f>
        <v/>
      </c>
      <c r="G17" s="2">
        <f>IF(IFERROR(VLOOKUP($A17,'人员清单'!$A:$B,2,FALSE),"")="intern",IF($C17&gt;40,"是","否"),IF($D17="是",IF($C17&gt;78,"是","否"),IF($C17&gt;48,"是","否")))</f>
        <v/>
      </c>
    </row>
    <row r="18">
      <c r="A18" s="2" t="inlineStr">
        <is>
          <t>Vivi.W.Yang@cn.ey.com</t>
        </is>
      </c>
      <c r="B18" s="2" t="inlineStr">
        <is>
          <t>Week18 (2026.10.31)</t>
        </is>
      </c>
      <c r="C18" s="2">
        <f>SUMIFS('周排班-纵表'!$I:$I,'周排班-纵表'!$G:$G,$A18,'周排班-纵表'!$H:$H,$B18)</f>
        <v/>
      </c>
      <c r="D18" s="2">
        <f>IF(OR(MID($B18,FIND("(",$B18)+6,2)="01",MID($B18,FIND("(",$B18)+6,2)="02",MID($B18,FIND("(",$B18)+6,2)="03"),"是","否")</f>
        <v/>
      </c>
      <c r="E18" s="2">
        <f>IF(IFERROR(VLOOKUP($A18,'人员清单'!$A:$B,2,FALSE),"")="intern",40,IF($D18="是",60,40))</f>
        <v/>
      </c>
      <c r="F18" s="3">
        <f>ROUND($C18/40,4)</f>
        <v/>
      </c>
      <c r="G18" s="2">
        <f>IF(IFERROR(VLOOKUP($A18,'人员清单'!$A:$B,2,FALSE),"")="intern",IF($C18&gt;40,"是","否"),IF($D18="是",IF($C18&gt;78,"是","否"),IF($C18&gt;48,"是","否")))</f>
        <v/>
      </c>
    </row>
    <row r="19">
      <c r="A19" s="2" t="inlineStr">
        <is>
          <t>Yuan.Yuan.YY.Chen@cn.ey.com</t>
        </is>
      </c>
      <c r="B19" s="2" t="inlineStr">
        <is>
          <t>Week18 (2026.10.31)</t>
        </is>
      </c>
      <c r="C19" s="2">
        <f>SUMIFS('周排班-纵表'!$I:$I,'周排班-纵表'!$G:$G,$A19,'周排班-纵表'!$H:$H,$B19)</f>
        <v/>
      </c>
      <c r="D19" s="2">
        <f>IF(OR(MID($B19,FIND("(",$B19)+6,2)="01",MID($B19,FIND("(",$B19)+6,2)="02",MID($B19,FIND("(",$B19)+6,2)="03"),"是","否")</f>
        <v/>
      </c>
      <c r="E19" s="2">
        <f>IF(IFERROR(VLOOKUP($A19,'人员清单'!$A:$B,2,FALSE),"")="intern",40,IF($D19="是",60,40))</f>
        <v/>
      </c>
      <c r="F19" s="3">
        <f>ROUND($C19/40,4)</f>
        <v/>
      </c>
      <c r="G19" s="2">
        <f>IF(IFERROR(VLOOKUP($A19,'人员清单'!$A:$B,2,FALSE),"")="intern",IF($C19&gt;40,"是","否"),IF($D19="是",IF($C19&gt;78,"是","否"),IF($C19&gt;48,"是","否")))</f>
        <v/>
      </c>
    </row>
    <row r="20">
      <c r="A20" s="2" t="inlineStr">
        <is>
          <t>Luna.CD.Zhang@cn.ey.com</t>
        </is>
      </c>
      <c r="B20" s="2" t="inlineStr">
        <is>
          <t>Week19 (2026.11.07)</t>
        </is>
      </c>
      <c r="C20" s="2">
        <f>SUMIFS('周排班-纵表'!$I:$I,'周排班-纵表'!$G:$G,$A20,'周排班-纵表'!$H:$H,$B20)</f>
        <v/>
      </c>
      <c r="D20" s="2">
        <f>IF(OR(MID($B20,FIND("(",$B20)+6,2)="01",MID($B20,FIND("(",$B20)+6,2)="02",MID($B20,FIND("(",$B20)+6,2)="03"),"是","否")</f>
        <v/>
      </c>
      <c r="E20" s="2">
        <f>IF(IFERROR(VLOOKUP($A20,'人员清单'!$A:$B,2,FALSE),"")="intern",40,IF($D20="是",60,40))</f>
        <v/>
      </c>
      <c r="F20" s="3">
        <f>ROUND($C20/40,4)</f>
        <v/>
      </c>
      <c r="G20" s="2">
        <f>IF(IFERROR(VLOOKUP($A20,'人员清单'!$A:$B,2,FALSE),"")="intern",IF($C20&gt;40,"是","否"),IF($D20="是",IF($C20&gt;78,"是","否"),IF($C20&gt;48,"是","否")))</f>
        <v/>
      </c>
    </row>
    <row r="21">
      <c r="A21" s="2" t="inlineStr">
        <is>
          <t>Marsh.Ma@cn.ey.com</t>
        </is>
      </c>
      <c r="B21" s="2" t="inlineStr">
        <is>
          <t>Week19 (2026.11.07)</t>
        </is>
      </c>
      <c r="C21" s="2">
        <f>SUMIFS('周排班-纵表'!$I:$I,'周排班-纵表'!$G:$G,$A21,'周排班-纵表'!$H:$H,$B21)</f>
        <v/>
      </c>
      <c r="D21" s="2">
        <f>IF(OR(MID($B21,FIND("(",$B21)+6,2)="01",MID($B21,FIND("(",$B21)+6,2)="02",MID($B21,FIND("(",$B21)+6,2)="03"),"是","否")</f>
        <v/>
      </c>
      <c r="E21" s="2">
        <f>IF(IFERROR(VLOOKUP($A21,'人员清单'!$A:$B,2,FALSE),"")="intern",40,IF($D21="是",60,40))</f>
        <v/>
      </c>
      <c r="F21" s="3">
        <f>ROUND($C21/40,4)</f>
        <v/>
      </c>
      <c r="G21" s="2">
        <f>IF(IFERROR(VLOOKUP($A21,'人员清单'!$A:$B,2,FALSE),"")="intern",IF($C21&gt;40,"是","否"),IF($D21="是",IF($C21&gt;78,"是","否"),IF($C21&gt;48,"是","否")))</f>
        <v/>
      </c>
    </row>
    <row r="22">
      <c r="A22" s="2" t="inlineStr">
        <is>
          <t>Vivi.W.Yang@cn.ey.com</t>
        </is>
      </c>
      <c r="B22" s="2" t="inlineStr">
        <is>
          <t>Week19 (2026.11.07)</t>
        </is>
      </c>
      <c r="C22" s="2">
        <f>SUMIFS('周排班-纵表'!$I:$I,'周排班-纵表'!$G:$G,$A22,'周排班-纵表'!$H:$H,$B22)</f>
        <v/>
      </c>
      <c r="D22" s="2">
        <f>IF(OR(MID($B22,FIND("(",$B22)+6,2)="01",MID($B22,FIND("(",$B22)+6,2)="02",MID($B22,FIND("(",$B22)+6,2)="03"),"是","否")</f>
        <v/>
      </c>
      <c r="E22" s="2">
        <f>IF(IFERROR(VLOOKUP($A22,'人员清单'!$A:$B,2,FALSE),"")="intern",40,IF($D22="是",60,40))</f>
        <v/>
      </c>
      <c r="F22" s="3">
        <f>ROUND($C22/40,4)</f>
        <v/>
      </c>
      <c r="G22" s="2">
        <f>IF(IFERROR(VLOOKUP($A22,'人员清单'!$A:$B,2,FALSE),"")="intern",IF($C22&gt;40,"是","否"),IF($D22="是",IF($C22&gt;78,"是","否"),IF($C22&gt;48,"是","否")))</f>
        <v/>
      </c>
    </row>
    <row r="23">
      <c r="A23" s="2" t="inlineStr">
        <is>
          <t>Yuan.Yuan.YY.Chen@cn.ey.com</t>
        </is>
      </c>
      <c r="B23" s="2" t="inlineStr">
        <is>
          <t>Week19 (2026.11.07)</t>
        </is>
      </c>
      <c r="C23" s="2">
        <f>SUMIFS('周排班-纵表'!$I:$I,'周排班-纵表'!$G:$G,$A23,'周排班-纵表'!$H:$H,$B23)</f>
        <v/>
      </c>
      <c r="D23" s="2">
        <f>IF(OR(MID($B23,FIND("(",$B23)+6,2)="01",MID($B23,FIND("(",$B23)+6,2)="02",MID($B23,FIND("(",$B23)+6,2)="03"),"是","否")</f>
        <v/>
      </c>
      <c r="E23" s="2">
        <f>IF(IFERROR(VLOOKUP($A23,'人员清单'!$A:$B,2,FALSE),"")="intern",40,IF($D23="是",60,40))</f>
        <v/>
      </c>
      <c r="F23" s="3">
        <f>ROUND($C23/40,4)</f>
        <v/>
      </c>
      <c r="G23" s="2">
        <f>IF(IFERROR(VLOOKUP($A23,'人员清单'!$A:$B,2,FALSE),"")="intern",IF($C23&gt;40,"是","否"),IF($D23="是",IF($C23&gt;78,"是","否"),IF($C23&gt;48,"是","否")))</f>
        <v/>
      </c>
    </row>
    <row r="24">
      <c r="A24" s="2" t="inlineStr">
        <is>
          <t>Luna.CD.Zhang@cn.ey.com</t>
        </is>
      </c>
      <c r="B24" s="2" t="inlineStr">
        <is>
          <t>Week20 (2026.11.14)</t>
        </is>
      </c>
      <c r="C24" s="2">
        <f>SUMIFS('周排班-纵表'!$I:$I,'周排班-纵表'!$G:$G,$A24,'周排班-纵表'!$H:$H,$B24)</f>
        <v/>
      </c>
      <c r="D24" s="2">
        <f>IF(OR(MID($B24,FIND("(",$B24)+6,2)="01",MID($B24,FIND("(",$B24)+6,2)="02",MID($B24,FIND("(",$B24)+6,2)="03"),"是","否")</f>
        <v/>
      </c>
      <c r="E24" s="2">
        <f>IF(IFERROR(VLOOKUP($A24,'人员清单'!$A:$B,2,FALSE),"")="intern",40,IF($D24="是",60,40))</f>
        <v/>
      </c>
      <c r="F24" s="3">
        <f>ROUND($C24/40,4)</f>
        <v/>
      </c>
      <c r="G24" s="2">
        <f>IF(IFERROR(VLOOKUP($A24,'人员清单'!$A:$B,2,FALSE),"")="intern",IF($C24&gt;40,"是","否"),IF($D24="是",IF($C24&gt;78,"是","否"),IF($C24&gt;48,"是","否")))</f>
        <v/>
      </c>
    </row>
    <row r="25">
      <c r="A25" s="2" t="inlineStr">
        <is>
          <t>Marsh.Ma@cn.ey.com</t>
        </is>
      </c>
      <c r="B25" s="2" t="inlineStr">
        <is>
          <t>Week20 (2026.11.14)</t>
        </is>
      </c>
      <c r="C25" s="2">
        <f>SUMIFS('周排班-纵表'!$I:$I,'周排班-纵表'!$G:$G,$A25,'周排班-纵表'!$H:$H,$B25)</f>
        <v/>
      </c>
      <c r="D25" s="2">
        <f>IF(OR(MID($B25,FIND("(",$B25)+6,2)="01",MID($B25,FIND("(",$B25)+6,2)="02",MID($B25,FIND("(",$B25)+6,2)="03"),"是","否")</f>
        <v/>
      </c>
      <c r="E25" s="2">
        <f>IF(IFERROR(VLOOKUP($A25,'人员清单'!$A:$B,2,FALSE),"")="intern",40,IF($D25="是",60,40))</f>
        <v/>
      </c>
      <c r="F25" s="3">
        <f>ROUND($C25/40,4)</f>
        <v/>
      </c>
      <c r="G25" s="2">
        <f>IF(IFERROR(VLOOKUP($A25,'人员清单'!$A:$B,2,FALSE),"")="intern",IF($C25&gt;40,"是","否"),IF($D25="是",IF($C25&gt;78,"是","否"),IF($C25&gt;48,"是","否")))</f>
        <v/>
      </c>
    </row>
    <row r="26">
      <c r="A26" s="2" t="inlineStr">
        <is>
          <t>Vivi.W.Yang@cn.ey.com</t>
        </is>
      </c>
      <c r="B26" s="2" t="inlineStr">
        <is>
          <t>Week20 (2026.11.14)</t>
        </is>
      </c>
      <c r="C26" s="2">
        <f>SUMIFS('周排班-纵表'!$I:$I,'周排班-纵表'!$G:$G,$A26,'周排班-纵表'!$H:$H,$B26)</f>
        <v/>
      </c>
      <c r="D26" s="2">
        <f>IF(OR(MID($B26,FIND("(",$B26)+6,2)="01",MID($B26,FIND("(",$B26)+6,2)="02",MID($B26,FIND("(",$B26)+6,2)="03"),"是","否")</f>
        <v/>
      </c>
      <c r="E26" s="2">
        <f>IF(IFERROR(VLOOKUP($A26,'人员清单'!$A:$B,2,FALSE),"")="intern",40,IF($D26="是",60,40))</f>
        <v/>
      </c>
      <c r="F26" s="3">
        <f>ROUND($C26/40,4)</f>
        <v/>
      </c>
      <c r="G26" s="2">
        <f>IF(IFERROR(VLOOKUP($A26,'人员清单'!$A:$B,2,FALSE),"")="intern",IF($C26&gt;40,"是","否"),IF($D26="是",IF($C26&gt;78,"是","否"),IF($C26&gt;48,"是","否")))</f>
        <v/>
      </c>
    </row>
    <row r="27">
      <c r="A27" s="2" t="inlineStr">
        <is>
          <t>Yuan.Yuan.YY.Chen@cn.ey.com</t>
        </is>
      </c>
      <c r="B27" s="2" t="inlineStr">
        <is>
          <t>Week20 (2026.11.14)</t>
        </is>
      </c>
      <c r="C27" s="2">
        <f>SUMIFS('周排班-纵表'!$I:$I,'周排班-纵表'!$G:$G,$A27,'周排班-纵表'!$H:$H,$B27)</f>
        <v/>
      </c>
      <c r="D27" s="2">
        <f>IF(OR(MID($B27,FIND("(",$B27)+6,2)="01",MID($B27,FIND("(",$B27)+6,2)="02",MID($B27,FIND("(",$B27)+6,2)="03"),"是","否")</f>
        <v/>
      </c>
      <c r="E27" s="2">
        <f>IF(IFERROR(VLOOKUP($A27,'人员清单'!$A:$B,2,FALSE),"")="intern",40,IF($D27="是",60,40))</f>
        <v/>
      </c>
      <c r="F27" s="3">
        <f>ROUND($C27/40,4)</f>
        <v/>
      </c>
      <c r="G27" s="2">
        <f>IF(IFERROR(VLOOKUP($A27,'人员清单'!$A:$B,2,FALSE),"")="intern",IF($C27&gt;40,"是","否"),IF($D27="是",IF($C27&gt;78,"是","否"),IF($C27&gt;48,"是","否")))</f>
        <v/>
      </c>
    </row>
    <row r="28">
      <c r="A28" s="2" t="inlineStr">
        <is>
          <t>Luna.CD.Zhang@cn.ey.com</t>
        </is>
      </c>
      <c r="B28" s="2" t="inlineStr">
        <is>
          <t>Week21 (2026.11.21)</t>
        </is>
      </c>
      <c r="C28" s="2">
        <f>SUMIFS('周排班-纵表'!$I:$I,'周排班-纵表'!$G:$G,$A28,'周排班-纵表'!$H:$H,$B28)</f>
        <v/>
      </c>
      <c r="D28" s="2">
        <f>IF(OR(MID($B28,FIND("(",$B28)+6,2)="01",MID($B28,FIND("(",$B28)+6,2)="02",MID($B28,FIND("(",$B28)+6,2)="03"),"是","否")</f>
        <v/>
      </c>
      <c r="E28" s="2">
        <f>IF(IFERROR(VLOOKUP($A28,'人员清单'!$A:$B,2,FALSE),"")="intern",40,IF($D28="是",60,40))</f>
        <v/>
      </c>
      <c r="F28" s="3">
        <f>ROUND($C28/40,4)</f>
        <v/>
      </c>
      <c r="G28" s="2">
        <f>IF(IFERROR(VLOOKUP($A28,'人员清单'!$A:$B,2,FALSE),"")="intern",IF($C28&gt;40,"是","否"),IF($D28="是",IF($C28&gt;78,"是","否"),IF($C28&gt;48,"是","否")))</f>
        <v/>
      </c>
    </row>
    <row r="29">
      <c r="A29" s="2" t="inlineStr">
        <is>
          <t>Marsh.Ma@cn.ey.com</t>
        </is>
      </c>
      <c r="B29" s="2" t="inlineStr">
        <is>
          <t>Week21 (2026.11.21)</t>
        </is>
      </c>
      <c r="C29" s="2">
        <f>SUMIFS('周排班-纵表'!$I:$I,'周排班-纵表'!$G:$G,$A29,'周排班-纵表'!$H:$H,$B29)</f>
        <v/>
      </c>
      <c r="D29" s="2">
        <f>IF(OR(MID($B29,FIND("(",$B29)+6,2)="01",MID($B29,FIND("(",$B29)+6,2)="02",MID($B29,FIND("(",$B29)+6,2)="03"),"是","否")</f>
        <v/>
      </c>
      <c r="E29" s="2">
        <f>IF(IFERROR(VLOOKUP($A29,'人员清单'!$A:$B,2,FALSE),"")="intern",40,IF($D29="是",60,40))</f>
        <v/>
      </c>
      <c r="F29" s="3">
        <f>ROUND($C29/40,4)</f>
        <v/>
      </c>
      <c r="G29" s="2">
        <f>IF(IFERROR(VLOOKUP($A29,'人员清单'!$A:$B,2,FALSE),"")="intern",IF($C29&gt;40,"是","否"),IF($D29="是",IF($C29&gt;78,"是","否"),IF($C29&gt;48,"是","否")))</f>
        <v/>
      </c>
    </row>
    <row r="30">
      <c r="A30" s="2" t="inlineStr">
        <is>
          <t>Vivi.W.Yang@cn.ey.com</t>
        </is>
      </c>
      <c r="B30" s="2" t="inlineStr">
        <is>
          <t>Week21 (2026.11.21)</t>
        </is>
      </c>
      <c r="C30" s="2">
        <f>SUMIFS('周排班-纵表'!$I:$I,'周排班-纵表'!$G:$G,$A30,'周排班-纵表'!$H:$H,$B30)</f>
        <v/>
      </c>
      <c r="D30" s="2">
        <f>IF(OR(MID($B30,FIND("(",$B30)+6,2)="01",MID($B30,FIND("(",$B30)+6,2)="02",MID($B30,FIND("(",$B30)+6,2)="03"),"是","否")</f>
        <v/>
      </c>
      <c r="E30" s="2">
        <f>IF(IFERROR(VLOOKUP($A30,'人员清单'!$A:$B,2,FALSE),"")="intern",40,IF($D30="是",60,40))</f>
        <v/>
      </c>
      <c r="F30" s="3">
        <f>ROUND($C30/40,4)</f>
        <v/>
      </c>
      <c r="G30" s="2">
        <f>IF(IFERROR(VLOOKUP($A30,'人员清单'!$A:$B,2,FALSE),"")="intern",IF($C30&gt;40,"是","否"),IF($D30="是",IF($C30&gt;78,"是","否"),IF($C30&gt;48,"是","否")))</f>
        <v/>
      </c>
    </row>
    <row r="31">
      <c r="A31" s="2" t="inlineStr">
        <is>
          <t>Luna.CD.Zhang@cn.ey.com</t>
        </is>
      </c>
      <c r="B31" s="2" t="inlineStr">
        <is>
          <t>Week22 (2026.11.28)</t>
        </is>
      </c>
      <c r="C31" s="2">
        <f>SUMIFS('周排班-纵表'!$I:$I,'周排班-纵表'!$G:$G,$A31,'周排班-纵表'!$H:$H,$B31)</f>
        <v/>
      </c>
      <c r="D31" s="2">
        <f>IF(OR(MID($B31,FIND("(",$B31)+6,2)="01",MID($B31,FIND("(",$B31)+6,2)="02",MID($B31,FIND("(",$B31)+6,2)="03"),"是","否")</f>
        <v/>
      </c>
      <c r="E31" s="2">
        <f>IF(IFERROR(VLOOKUP($A31,'人员清单'!$A:$B,2,FALSE),"")="intern",40,IF($D31="是",60,40))</f>
        <v/>
      </c>
      <c r="F31" s="3">
        <f>ROUND($C31/40,4)</f>
        <v/>
      </c>
      <c r="G31" s="2">
        <f>IF(IFERROR(VLOOKUP($A31,'人员清单'!$A:$B,2,FALSE),"")="intern",IF($C31&gt;40,"是","否"),IF($D31="是",IF($C31&gt;78,"是","否"),IF($C31&gt;48,"是","否")))</f>
        <v/>
      </c>
    </row>
    <row r="32">
      <c r="A32" s="2" t="inlineStr">
        <is>
          <t>Marsh.Ma@cn.ey.com</t>
        </is>
      </c>
      <c r="B32" s="2" t="inlineStr">
        <is>
          <t>Week22 (2026.11.28)</t>
        </is>
      </c>
      <c r="C32" s="2">
        <f>SUMIFS('周排班-纵表'!$I:$I,'周排班-纵表'!$G:$G,$A32,'周排班-纵表'!$H:$H,$B32)</f>
        <v/>
      </c>
      <c r="D32" s="2">
        <f>IF(OR(MID($B32,FIND("(",$B32)+6,2)="01",MID($B32,FIND("(",$B32)+6,2)="02",MID($B32,FIND("(",$B32)+6,2)="03"),"是","否")</f>
        <v/>
      </c>
      <c r="E32" s="2">
        <f>IF(IFERROR(VLOOKUP($A32,'人员清单'!$A:$B,2,FALSE),"")="intern",40,IF($D32="是",60,40))</f>
        <v/>
      </c>
      <c r="F32" s="3">
        <f>ROUND($C32/40,4)</f>
        <v/>
      </c>
      <c r="G32" s="2">
        <f>IF(IFERROR(VLOOKUP($A32,'人员清单'!$A:$B,2,FALSE),"")="intern",IF($C32&gt;40,"是","否"),IF($D32="是",IF($C32&gt;78,"是","否"),IF($C32&gt;48,"是","否")))</f>
        <v/>
      </c>
    </row>
    <row r="33">
      <c r="A33" s="2" t="inlineStr">
        <is>
          <t>Vivi.W.Yang@cn.ey.com</t>
        </is>
      </c>
      <c r="B33" s="2" t="inlineStr">
        <is>
          <t>Week22 (2026.11.28)</t>
        </is>
      </c>
      <c r="C33" s="2">
        <f>SUMIFS('周排班-纵表'!$I:$I,'周排班-纵表'!$G:$G,$A33,'周排班-纵表'!$H:$H,$B33)</f>
        <v/>
      </c>
      <c r="D33" s="2">
        <f>IF(OR(MID($B33,FIND("(",$B33)+6,2)="01",MID($B33,FIND("(",$B33)+6,2)="02",MID($B33,FIND("(",$B33)+6,2)="03"),"是","否")</f>
        <v/>
      </c>
      <c r="E33" s="2">
        <f>IF(IFERROR(VLOOKUP($A33,'人员清单'!$A:$B,2,FALSE),"")="intern",40,IF($D33="是",60,40))</f>
        <v/>
      </c>
      <c r="F33" s="3">
        <f>ROUND($C33/40,4)</f>
        <v/>
      </c>
      <c r="G33" s="2">
        <f>IF(IFERROR(VLOOKUP($A33,'人员清单'!$A:$B,2,FALSE),"")="intern",IF($C33&gt;40,"是","否"),IF($D33="是",IF($C33&gt;78,"是","否"),IF($C33&gt;48,"是","否")))</f>
        <v/>
      </c>
    </row>
    <row r="34">
      <c r="A34" s="2" t="inlineStr">
        <is>
          <t>Luna.CD.Zhang@cn.ey.com</t>
        </is>
      </c>
      <c r="B34" s="2" t="inlineStr">
        <is>
          <t>Week23 (2026.12.05)</t>
        </is>
      </c>
      <c r="C34" s="2">
        <f>SUMIFS('周排班-纵表'!$I:$I,'周排班-纵表'!$G:$G,$A34,'周排班-纵表'!$H:$H,$B34)</f>
        <v/>
      </c>
      <c r="D34" s="2">
        <f>IF(OR(MID($B34,FIND("(",$B34)+6,2)="01",MID($B34,FIND("(",$B34)+6,2)="02",MID($B34,FIND("(",$B34)+6,2)="03"),"是","否")</f>
        <v/>
      </c>
      <c r="E34" s="2">
        <f>IF(IFERROR(VLOOKUP($A34,'人员清单'!$A:$B,2,FALSE),"")="intern",40,IF($D34="是",60,40))</f>
        <v/>
      </c>
      <c r="F34" s="3">
        <f>ROUND($C34/40,4)</f>
        <v/>
      </c>
      <c r="G34" s="2">
        <f>IF(IFERROR(VLOOKUP($A34,'人员清单'!$A:$B,2,FALSE),"")="intern",IF($C34&gt;40,"是","否"),IF($D34="是",IF($C34&gt;78,"是","否"),IF($C34&gt;48,"是","否")))</f>
        <v/>
      </c>
    </row>
    <row r="35">
      <c r="A35" s="2" t="inlineStr">
        <is>
          <t>Marsh.Ma@cn.ey.com</t>
        </is>
      </c>
      <c r="B35" s="2" t="inlineStr">
        <is>
          <t>Week23 (2026.12.05)</t>
        </is>
      </c>
      <c r="C35" s="2">
        <f>SUMIFS('周排班-纵表'!$I:$I,'周排班-纵表'!$G:$G,$A35,'周排班-纵表'!$H:$H,$B35)</f>
        <v/>
      </c>
      <c r="D35" s="2">
        <f>IF(OR(MID($B35,FIND("(",$B35)+6,2)="01",MID($B35,FIND("(",$B35)+6,2)="02",MID($B35,FIND("(",$B35)+6,2)="03"),"是","否")</f>
        <v/>
      </c>
      <c r="E35" s="2">
        <f>IF(IFERROR(VLOOKUP($A35,'人员清单'!$A:$B,2,FALSE),"")="intern",40,IF($D35="是",60,40))</f>
        <v/>
      </c>
      <c r="F35" s="3">
        <f>ROUND($C35/40,4)</f>
        <v/>
      </c>
      <c r="G35" s="2">
        <f>IF(IFERROR(VLOOKUP($A35,'人员清单'!$A:$B,2,FALSE),"")="intern",IF($C35&gt;40,"是","否"),IF($D35="是",IF($C35&gt;78,"是","否"),IF($C35&gt;48,"是","否")))</f>
        <v/>
      </c>
    </row>
    <row r="36">
      <c r="A36" s="2" t="inlineStr">
        <is>
          <t>Vivi.W.Yang@cn.ey.com</t>
        </is>
      </c>
      <c r="B36" s="2" t="inlineStr">
        <is>
          <t>Week23 (2026.12.05)</t>
        </is>
      </c>
      <c r="C36" s="2">
        <f>SUMIFS('周排班-纵表'!$I:$I,'周排班-纵表'!$G:$G,$A36,'周排班-纵表'!$H:$H,$B36)</f>
        <v/>
      </c>
      <c r="D36" s="2">
        <f>IF(OR(MID($B36,FIND("(",$B36)+6,2)="01",MID($B36,FIND("(",$B36)+6,2)="02",MID($B36,FIND("(",$B36)+6,2)="03"),"是","否")</f>
        <v/>
      </c>
      <c r="E36" s="2">
        <f>IF(IFERROR(VLOOKUP($A36,'人员清单'!$A:$B,2,FALSE),"")="intern",40,IF($D36="是",60,40))</f>
        <v/>
      </c>
      <c r="F36" s="3">
        <f>ROUND($C36/40,4)</f>
        <v/>
      </c>
      <c r="G36" s="2">
        <f>IF(IFERROR(VLOOKUP($A36,'人员清单'!$A:$B,2,FALSE),"")="intern",IF($C36&gt;40,"是","否"),IF($D36="是",IF($C36&gt;78,"是","否"),IF($C36&gt;48,"是","否")))</f>
        <v/>
      </c>
    </row>
    <row r="37">
      <c r="A37" s="2" t="inlineStr">
        <is>
          <t>Luna.CD.Zhang@cn.ey.com</t>
        </is>
      </c>
      <c r="B37" s="2" t="inlineStr">
        <is>
          <t>Week24 (2026.12.12)</t>
        </is>
      </c>
      <c r="C37" s="2">
        <f>SUMIFS('周排班-纵表'!$I:$I,'周排班-纵表'!$G:$G,$A37,'周排班-纵表'!$H:$H,$B37)</f>
        <v/>
      </c>
      <c r="D37" s="2">
        <f>IF(OR(MID($B37,FIND("(",$B37)+6,2)="01",MID($B37,FIND("(",$B37)+6,2)="02",MID($B37,FIND("(",$B37)+6,2)="03"),"是","否")</f>
        <v/>
      </c>
      <c r="E37" s="2">
        <f>IF(IFERROR(VLOOKUP($A37,'人员清单'!$A:$B,2,FALSE),"")="intern",40,IF($D37="是",60,40))</f>
        <v/>
      </c>
      <c r="F37" s="3">
        <f>ROUND($C37/40,4)</f>
        <v/>
      </c>
      <c r="G37" s="2">
        <f>IF(IFERROR(VLOOKUP($A37,'人员清单'!$A:$B,2,FALSE),"")="intern",IF($C37&gt;40,"是","否"),IF($D37="是",IF($C37&gt;78,"是","否"),IF($C37&gt;48,"是","否")))</f>
        <v/>
      </c>
    </row>
    <row r="38">
      <c r="A38" s="2" t="inlineStr">
        <is>
          <t>Marsh.Ma@cn.ey.com</t>
        </is>
      </c>
      <c r="B38" s="2" t="inlineStr">
        <is>
          <t>Week24 (2026.12.12)</t>
        </is>
      </c>
      <c r="C38" s="2">
        <f>SUMIFS('周排班-纵表'!$I:$I,'周排班-纵表'!$G:$G,$A38,'周排班-纵表'!$H:$H,$B38)</f>
        <v/>
      </c>
      <c r="D38" s="2">
        <f>IF(OR(MID($B38,FIND("(",$B38)+6,2)="01",MID($B38,FIND("(",$B38)+6,2)="02",MID($B38,FIND("(",$B38)+6,2)="03"),"是","否")</f>
        <v/>
      </c>
      <c r="E38" s="2">
        <f>IF(IFERROR(VLOOKUP($A38,'人员清单'!$A:$B,2,FALSE),"")="intern",40,IF($D38="是",60,40))</f>
        <v/>
      </c>
      <c r="F38" s="3">
        <f>ROUND($C38/40,4)</f>
        <v/>
      </c>
      <c r="G38" s="2">
        <f>IF(IFERROR(VLOOKUP($A38,'人员清单'!$A:$B,2,FALSE),"")="intern",IF($C38&gt;40,"是","否"),IF($D38="是",IF($C38&gt;78,"是","否"),IF($C38&gt;48,"是","否")))</f>
        <v/>
      </c>
    </row>
    <row r="39">
      <c r="A39" s="2" t="inlineStr">
        <is>
          <t>Vivi.W.Yang@cn.ey.com</t>
        </is>
      </c>
      <c r="B39" s="2" t="inlineStr">
        <is>
          <t>Week24 (2026.12.12)</t>
        </is>
      </c>
      <c r="C39" s="2">
        <f>SUMIFS('周排班-纵表'!$I:$I,'周排班-纵表'!$G:$G,$A39,'周排班-纵表'!$H:$H,$B39)</f>
        <v/>
      </c>
      <c r="D39" s="2">
        <f>IF(OR(MID($B39,FIND("(",$B39)+6,2)="01",MID($B39,FIND("(",$B39)+6,2)="02",MID($B39,FIND("(",$B39)+6,2)="03"),"是","否")</f>
        <v/>
      </c>
      <c r="E39" s="2">
        <f>IF(IFERROR(VLOOKUP($A39,'人员清单'!$A:$B,2,FALSE),"")="intern",40,IF($D39="是",60,40))</f>
        <v/>
      </c>
      <c r="F39" s="3">
        <f>ROUND($C39/40,4)</f>
        <v/>
      </c>
      <c r="G39" s="2">
        <f>IF(IFERROR(VLOOKUP($A39,'人员清单'!$A:$B,2,FALSE),"")="intern",IF($C39&gt;40,"是","否"),IF($D39="是",IF($C39&gt;78,"是","否"),IF($C39&gt;48,"是","否")))</f>
        <v/>
      </c>
    </row>
    <row r="40">
      <c r="A40" s="2" t="inlineStr">
        <is>
          <t>Yuan.Yuan.YY.Chen@cn.ey.com</t>
        </is>
      </c>
      <c r="B40" s="2" t="inlineStr">
        <is>
          <t>Week24 (2026.12.12)</t>
        </is>
      </c>
      <c r="C40" s="2">
        <f>SUMIFS('周排班-纵表'!$I:$I,'周排班-纵表'!$G:$G,$A40,'周排班-纵表'!$H:$H,$B40)</f>
        <v/>
      </c>
      <c r="D40" s="2">
        <f>IF(OR(MID($B40,FIND("(",$B40)+6,2)="01",MID($B40,FIND("(",$B40)+6,2)="02",MID($B40,FIND("(",$B40)+6,2)="03"),"是","否")</f>
        <v/>
      </c>
      <c r="E40" s="2">
        <f>IF(IFERROR(VLOOKUP($A40,'人员清单'!$A:$B,2,FALSE),"")="intern",40,IF($D40="是",60,40))</f>
        <v/>
      </c>
      <c r="F40" s="3">
        <f>ROUND($C40/40,4)</f>
        <v/>
      </c>
      <c r="G40" s="2">
        <f>IF(IFERROR(VLOOKUP($A40,'人员清单'!$A:$B,2,FALSE),"")="intern",IF($C40&gt;40,"是","否"),IF($D40="是",IF($C40&gt;78,"是","否"),IF($C40&gt;48,"是","否")))</f>
        <v/>
      </c>
    </row>
    <row r="41">
      <c r="A41" s="2" t="inlineStr">
        <is>
          <t>Luna.CD.Zhang@cn.ey.com</t>
        </is>
      </c>
      <c r="B41" s="2" t="inlineStr">
        <is>
          <t>Week25 (2026.12.19)</t>
        </is>
      </c>
      <c r="C41" s="2">
        <f>SUMIFS('周排班-纵表'!$I:$I,'周排班-纵表'!$G:$G,$A41,'周排班-纵表'!$H:$H,$B41)</f>
        <v/>
      </c>
      <c r="D41" s="2">
        <f>IF(OR(MID($B41,FIND("(",$B41)+6,2)="01",MID($B41,FIND("(",$B41)+6,2)="02",MID($B41,FIND("(",$B41)+6,2)="03"),"是","否")</f>
        <v/>
      </c>
      <c r="E41" s="2">
        <f>IF(IFERROR(VLOOKUP($A41,'人员清单'!$A:$B,2,FALSE),"")="intern",40,IF($D41="是",60,40))</f>
        <v/>
      </c>
      <c r="F41" s="3">
        <f>ROUND($C41/40,4)</f>
        <v/>
      </c>
      <c r="G41" s="2">
        <f>IF(IFERROR(VLOOKUP($A41,'人员清单'!$A:$B,2,FALSE),"")="intern",IF($C41&gt;40,"是","否"),IF($D41="是",IF($C41&gt;78,"是","否"),IF($C41&gt;48,"是","否")))</f>
        <v/>
      </c>
    </row>
    <row r="42">
      <c r="A42" s="2" t="inlineStr">
        <is>
          <t>Marsh.Ma@cn.ey.com</t>
        </is>
      </c>
      <c r="B42" s="2" t="inlineStr">
        <is>
          <t>Week25 (2026.12.19)</t>
        </is>
      </c>
      <c r="C42" s="2">
        <f>SUMIFS('周排班-纵表'!$I:$I,'周排班-纵表'!$G:$G,$A42,'周排班-纵表'!$H:$H,$B42)</f>
        <v/>
      </c>
      <c r="D42" s="2">
        <f>IF(OR(MID($B42,FIND("(",$B42)+6,2)="01",MID($B42,FIND("(",$B42)+6,2)="02",MID($B42,FIND("(",$B42)+6,2)="03"),"是","否")</f>
        <v/>
      </c>
      <c r="E42" s="2">
        <f>IF(IFERROR(VLOOKUP($A42,'人员清单'!$A:$B,2,FALSE),"")="intern",40,IF($D42="是",60,40))</f>
        <v/>
      </c>
      <c r="F42" s="3">
        <f>ROUND($C42/40,4)</f>
        <v/>
      </c>
      <c r="G42" s="2">
        <f>IF(IFERROR(VLOOKUP($A42,'人员清单'!$A:$B,2,FALSE),"")="intern",IF($C42&gt;40,"是","否"),IF($D42="是",IF($C42&gt;78,"是","否"),IF($C42&gt;48,"是","否")))</f>
        <v/>
      </c>
    </row>
    <row r="43">
      <c r="A43" s="2" t="inlineStr">
        <is>
          <t>Rainbow.MG.Xiao@cn.ey.com</t>
        </is>
      </c>
      <c r="B43" s="2" t="inlineStr">
        <is>
          <t>Week25 (2026.12.19)</t>
        </is>
      </c>
      <c r="C43" s="2">
        <f>SUMIFS('周排班-纵表'!$I:$I,'周排班-纵表'!$G:$G,$A43,'周排班-纵表'!$H:$H,$B43)</f>
        <v/>
      </c>
      <c r="D43" s="2">
        <f>IF(OR(MID($B43,FIND("(",$B43)+6,2)="01",MID($B43,FIND("(",$B43)+6,2)="02",MID($B43,FIND("(",$B43)+6,2)="03"),"是","否")</f>
        <v/>
      </c>
      <c r="E43" s="2">
        <f>IF(IFERROR(VLOOKUP($A43,'人员清单'!$A:$B,2,FALSE),"")="intern",40,IF($D43="是",60,40))</f>
        <v/>
      </c>
      <c r="F43" s="3">
        <f>ROUND($C43/40,4)</f>
        <v/>
      </c>
      <c r="G43" s="2">
        <f>IF(IFERROR(VLOOKUP($A43,'人员清单'!$A:$B,2,FALSE),"")="intern",IF($C43&gt;40,"是","否"),IF($D43="是",IF($C43&gt;78,"是","否"),IF($C43&gt;48,"是","否")))</f>
        <v/>
      </c>
    </row>
    <row r="44">
      <c r="A44" s="2" t="inlineStr">
        <is>
          <t>Vivi.W.Yang@cn.ey.com</t>
        </is>
      </c>
      <c r="B44" s="2" t="inlineStr">
        <is>
          <t>Week25 (2026.12.19)</t>
        </is>
      </c>
      <c r="C44" s="2">
        <f>SUMIFS('周排班-纵表'!$I:$I,'周排班-纵表'!$G:$G,$A44,'周排班-纵表'!$H:$H,$B44)</f>
        <v/>
      </c>
      <c r="D44" s="2">
        <f>IF(OR(MID($B44,FIND("(",$B44)+6,2)="01",MID($B44,FIND("(",$B44)+6,2)="02",MID($B44,FIND("(",$B44)+6,2)="03"),"是","否")</f>
        <v/>
      </c>
      <c r="E44" s="2">
        <f>IF(IFERROR(VLOOKUP($A44,'人员清单'!$A:$B,2,FALSE),"")="intern",40,IF($D44="是",60,40))</f>
        <v/>
      </c>
      <c r="F44" s="3">
        <f>ROUND($C44/40,4)</f>
        <v/>
      </c>
      <c r="G44" s="2">
        <f>IF(IFERROR(VLOOKUP($A44,'人员清单'!$A:$B,2,FALSE),"")="intern",IF($C44&gt;40,"是","否"),IF($D44="是",IF($C44&gt;78,"是","否"),IF($C44&gt;48,"是","否")))</f>
        <v/>
      </c>
    </row>
    <row r="45">
      <c r="A45" s="2" t="inlineStr">
        <is>
          <t>Yuan.Yuan.YY.Chen@cn.ey.com</t>
        </is>
      </c>
      <c r="B45" s="2" t="inlineStr">
        <is>
          <t>Week25 (2026.12.19)</t>
        </is>
      </c>
      <c r="C45" s="2">
        <f>SUMIFS('周排班-纵表'!$I:$I,'周排班-纵表'!$G:$G,$A45,'周排班-纵表'!$H:$H,$B45)</f>
        <v/>
      </c>
      <c r="D45" s="2">
        <f>IF(OR(MID($B45,FIND("(",$B45)+6,2)="01",MID($B45,FIND("(",$B45)+6,2)="02",MID($B45,FIND("(",$B45)+6,2)="03"),"是","否")</f>
        <v/>
      </c>
      <c r="E45" s="2">
        <f>IF(IFERROR(VLOOKUP($A45,'人员清单'!$A:$B,2,FALSE),"")="intern",40,IF($D45="是",60,40))</f>
        <v/>
      </c>
      <c r="F45" s="3">
        <f>ROUND($C45/40,4)</f>
        <v/>
      </c>
      <c r="G45" s="2">
        <f>IF(IFERROR(VLOOKUP($A45,'人员清单'!$A:$B,2,FALSE),"")="intern",IF($C45&gt;40,"是","否"),IF($D45="是",IF($C45&gt;78,"是","否"),IF($C45&gt;48,"是","否")))</f>
        <v/>
      </c>
    </row>
    <row r="46">
      <c r="A46" s="2" t="inlineStr">
        <is>
          <t>Luna.CD.Zhang@cn.ey.com</t>
        </is>
      </c>
      <c r="B46" s="2" t="inlineStr">
        <is>
          <t>Week26 (2026.12.26)</t>
        </is>
      </c>
      <c r="C46" s="2">
        <f>SUMIFS('周排班-纵表'!$I:$I,'周排班-纵表'!$G:$G,$A46,'周排班-纵表'!$H:$H,$B46)</f>
        <v/>
      </c>
      <c r="D46" s="2">
        <f>IF(OR(MID($B46,FIND("(",$B46)+6,2)="01",MID($B46,FIND("(",$B46)+6,2)="02",MID($B46,FIND("(",$B46)+6,2)="03"),"是","否")</f>
        <v/>
      </c>
      <c r="E46" s="2">
        <f>IF(IFERROR(VLOOKUP($A46,'人员清单'!$A:$B,2,FALSE),"")="intern",40,IF($D46="是",60,40))</f>
        <v/>
      </c>
      <c r="F46" s="3">
        <f>ROUND($C46/40,4)</f>
        <v/>
      </c>
      <c r="G46" s="2">
        <f>IF(IFERROR(VLOOKUP($A46,'人员清单'!$A:$B,2,FALSE),"")="intern",IF($C46&gt;40,"是","否"),IF($D46="是",IF($C46&gt;78,"是","否"),IF($C46&gt;48,"是","否")))</f>
        <v/>
      </c>
    </row>
    <row r="47">
      <c r="A47" s="2" t="inlineStr">
        <is>
          <t>Marsh.Ma@cn.ey.com</t>
        </is>
      </c>
      <c r="B47" s="2" t="inlineStr">
        <is>
          <t>Week26 (2026.12.26)</t>
        </is>
      </c>
      <c r="C47" s="2">
        <f>SUMIFS('周排班-纵表'!$I:$I,'周排班-纵表'!$G:$G,$A47,'周排班-纵表'!$H:$H,$B47)</f>
        <v/>
      </c>
      <c r="D47" s="2">
        <f>IF(OR(MID($B47,FIND("(",$B47)+6,2)="01",MID($B47,FIND("(",$B47)+6,2)="02",MID($B47,FIND("(",$B47)+6,2)="03"),"是","否")</f>
        <v/>
      </c>
      <c r="E47" s="2">
        <f>IF(IFERROR(VLOOKUP($A47,'人员清单'!$A:$B,2,FALSE),"")="intern",40,IF($D47="是",60,40))</f>
        <v/>
      </c>
      <c r="F47" s="3">
        <f>ROUND($C47/40,4)</f>
        <v/>
      </c>
      <c r="G47" s="2">
        <f>IF(IFERROR(VLOOKUP($A47,'人员清单'!$A:$B,2,FALSE),"")="intern",IF($C47&gt;40,"是","否"),IF($D47="是",IF($C47&gt;78,"是","否"),IF($C47&gt;48,"是","否")))</f>
        <v/>
      </c>
    </row>
    <row r="48">
      <c r="A48" s="2" t="inlineStr">
        <is>
          <t>Rainbow.MG.Xiao@cn.ey.com</t>
        </is>
      </c>
      <c r="B48" s="2" t="inlineStr">
        <is>
          <t>Week26 (2026.12.26)</t>
        </is>
      </c>
      <c r="C48" s="2">
        <f>SUMIFS('周排班-纵表'!$I:$I,'周排班-纵表'!$G:$G,$A48,'周排班-纵表'!$H:$H,$B48)</f>
        <v/>
      </c>
      <c r="D48" s="2">
        <f>IF(OR(MID($B48,FIND("(",$B48)+6,2)="01",MID($B48,FIND("(",$B48)+6,2)="02",MID($B48,FIND("(",$B48)+6,2)="03"),"是","否")</f>
        <v/>
      </c>
      <c r="E48" s="2">
        <f>IF(IFERROR(VLOOKUP($A48,'人员清单'!$A:$B,2,FALSE),"")="intern",40,IF($D48="是",60,40))</f>
        <v/>
      </c>
      <c r="F48" s="3">
        <f>ROUND($C48/40,4)</f>
        <v/>
      </c>
      <c r="G48" s="2">
        <f>IF(IFERROR(VLOOKUP($A48,'人员清单'!$A:$B,2,FALSE),"")="intern",IF($C48&gt;40,"是","否"),IF($D48="是",IF($C48&gt;78,"是","否"),IF($C48&gt;48,"是","否")))</f>
        <v/>
      </c>
    </row>
    <row r="49">
      <c r="A49" s="2" t="inlineStr">
        <is>
          <t>Vivi.W.Yang@cn.ey.com</t>
        </is>
      </c>
      <c r="B49" s="2" t="inlineStr">
        <is>
          <t>Week26 (2026.12.26)</t>
        </is>
      </c>
      <c r="C49" s="2">
        <f>SUMIFS('周排班-纵表'!$I:$I,'周排班-纵表'!$G:$G,$A49,'周排班-纵表'!$H:$H,$B49)</f>
        <v/>
      </c>
      <c r="D49" s="2">
        <f>IF(OR(MID($B49,FIND("(",$B49)+6,2)="01",MID($B49,FIND("(",$B49)+6,2)="02",MID($B49,FIND("(",$B49)+6,2)="03"),"是","否")</f>
        <v/>
      </c>
      <c r="E49" s="2">
        <f>IF(IFERROR(VLOOKUP($A49,'人员清单'!$A:$B,2,FALSE),"")="intern",40,IF($D49="是",60,40))</f>
        <v/>
      </c>
      <c r="F49" s="3">
        <f>ROUND($C49/40,4)</f>
        <v/>
      </c>
      <c r="G49" s="2">
        <f>IF(IFERROR(VLOOKUP($A49,'人员清单'!$A:$B,2,FALSE),"")="intern",IF($C49&gt;40,"是","否"),IF($D49="是",IF($C49&gt;78,"是","否"),IF($C49&gt;48,"是","否")))</f>
        <v/>
      </c>
    </row>
    <row r="50">
      <c r="A50" s="2" t="inlineStr">
        <is>
          <t>Yuan.Yuan.YY.Chen@cn.ey.com</t>
        </is>
      </c>
      <c r="B50" s="2" t="inlineStr">
        <is>
          <t>Week26 (2026.12.26)</t>
        </is>
      </c>
      <c r="C50" s="2">
        <f>SUMIFS('周排班-纵表'!$I:$I,'周排班-纵表'!$G:$G,$A50,'周排班-纵表'!$H:$H,$B50)</f>
        <v/>
      </c>
      <c r="D50" s="2">
        <f>IF(OR(MID($B50,FIND("(",$B50)+6,2)="01",MID($B50,FIND("(",$B50)+6,2)="02",MID($B50,FIND("(",$B50)+6,2)="03"),"是","否")</f>
        <v/>
      </c>
      <c r="E50" s="2">
        <f>IF(IFERROR(VLOOKUP($A50,'人员清单'!$A:$B,2,FALSE),"")="intern",40,IF($D50="是",60,40))</f>
        <v/>
      </c>
      <c r="F50" s="3">
        <f>ROUND($C50/40,4)</f>
        <v/>
      </c>
      <c r="G50" s="2">
        <f>IF(IFERROR(VLOOKUP($A50,'人员清单'!$A:$B,2,FALSE),"")="intern",IF($C50&gt;40,"是","否"),IF($D50="是",IF($C50&gt;78,"是","否"),IF($C50&gt;48,"是","否")))</f>
        <v/>
      </c>
    </row>
    <row r="51">
      <c r="A51" s="2" t="inlineStr">
        <is>
          <t>InternA</t>
        </is>
      </c>
      <c r="B51" s="2" t="inlineStr">
        <is>
          <t>Week27 (2027.01.02)</t>
        </is>
      </c>
      <c r="C51" s="2">
        <f>SUMIFS('周排班-纵表'!$I:$I,'周排班-纵表'!$G:$G,$A51,'周排班-纵表'!$H:$H,$B51)</f>
        <v/>
      </c>
      <c r="D51" s="2">
        <f>IF(OR(MID($B51,FIND("(",$B51)+6,2)="01",MID($B51,FIND("(",$B51)+6,2)="02",MID($B51,FIND("(",$B51)+6,2)="03"),"是","否")</f>
        <v/>
      </c>
      <c r="E51" s="2">
        <f>IF(IFERROR(VLOOKUP($A51,'人员清单'!$A:$B,2,FALSE),"")="intern",40,IF($D51="是",60,40))</f>
        <v/>
      </c>
      <c r="F51" s="3">
        <f>ROUND($C51/40,4)</f>
        <v/>
      </c>
      <c r="G51" s="2">
        <f>IF(IFERROR(VLOOKUP($A51,'人员清单'!$A:$B,2,FALSE),"")="intern",IF($C51&gt;40,"是","否"),IF($D51="是",IF($C51&gt;78,"是","否"),IF($C51&gt;48,"是","否")))</f>
        <v/>
      </c>
    </row>
    <row r="52">
      <c r="A52" s="2" t="inlineStr">
        <is>
          <t>InternB</t>
        </is>
      </c>
      <c r="B52" s="2" t="inlineStr">
        <is>
          <t>Week27 (2027.01.02)</t>
        </is>
      </c>
      <c r="C52" s="2">
        <f>SUMIFS('周排班-纵表'!$I:$I,'周排班-纵表'!$G:$G,$A52,'周排班-纵表'!$H:$H,$B52)</f>
        <v/>
      </c>
      <c r="D52" s="2">
        <f>IF(OR(MID($B52,FIND("(",$B52)+6,2)="01",MID($B52,FIND("(",$B52)+6,2)="02",MID($B52,FIND("(",$B52)+6,2)="03"),"是","否")</f>
        <v/>
      </c>
      <c r="E52" s="2">
        <f>IF(IFERROR(VLOOKUP($A52,'人员清单'!$A:$B,2,FALSE),"")="intern",40,IF($D52="是",60,40))</f>
        <v/>
      </c>
      <c r="F52" s="3">
        <f>ROUND($C52/40,4)</f>
        <v/>
      </c>
      <c r="G52" s="2">
        <f>IF(IFERROR(VLOOKUP($A52,'人员清单'!$A:$B,2,FALSE),"")="intern",IF($C52&gt;40,"是","否"),IF($D52="是",IF($C52&gt;78,"是","否"),IF($C52&gt;48,"是","否")))</f>
        <v/>
      </c>
    </row>
    <row r="53">
      <c r="A53" s="2" t="inlineStr">
        <is>
          <t>Luna.CD.Zhang@cn.ey.com</t>
        </is>
      </c>
      <c r="B53" s="2" t="inlineStr">
        <is>
          <t>Week27 (2027.01.02)</t>
        </is>
      </c>
      <c r="C53" s="2">
        <f>SUMIFS('周排班-纵表'!$I:$I,'周排班-纵表'!$G:$G,$A53,'周排班-纵表'!$H:$H,$B53)</f>
        <v/>
      </c>
      <c r="D53" s="2">
        <f>IF(OR(MID($B53,FIND("(",$B53)+6,2)="01",MID($B53,FIND("(",$B53)+6,2)="02",MID($B53,FIND("(",$B53)+6,2)="03"),"是","否")</f>
        <v/>
      </c>
      <c r="E53" s="2">
        <f>IF(IFERROR(VLOOKUP($A53,'人员清单'!$A:$B,2,FALSE),"")="intern",40,IF($D53="是",60,40))</f>
        <v/>
      </c>
      <c r="F53" s="3">
        <f>ROUND($C53/40,4)</f>
        <v/>
      </c>
      <c r="G53" s="2">
        <f>IF(IFERROR(VLOOKUP($A53,'人员清单'!$A:$B,2,FALSE),"")="intern",IF($C53&gt;40,"是","否"),IF($D53="是",IF($C53&gt;78,"是","否"),IF($C53&gt;48,"是","否")))</f>
        <v/>
      </c>
    </row>
    <row r="54">
      <c r="A54" s="2" t="inlineStr">
        <is>
          <t>Marsh.Ma@cn.ey.com</t>
        </is>
      </c>
      <c r="B54" s="2" t="inlineStr">
        <is>
          <t>Week27 (2027.01.02)</t>
        </is>
      </c>
      <c r="C54" s="2">
        <f>SUMIFS('周排班-纵表'!$I:$I,'周排班-纵表'!$G:$G,$A54,'周排班-纵表'!$H:$H,$B54)</f>
        <v/>
      </c>
      <c r="D54" s="2">
        <f>IF(OR(MID($B54,FIND("(",$B54)+6,2)="01",MID($B54,FIND("(",$B54)+6,2)="02",MID($B54,FIND("(",$B54)+6,2)="03"),"是","否")</f>
        <v/>
      </c>
      <c r="E54" s="2">
        <f>IF(IFERROR(VLOOKUP($A54,'人员清单'!$A:$B,2,FALSE),"")="intern",40,IF($D54="是",60,40))</f>
        <v/>
      </c>
      <c r="F54" s="3">
        <f>ROUND($C54/40,4)</f>
        <v/>
      </c>
      <c r="G54" s="2">
        <f>IF(IFERROR(VLOOKUP($A54,'人员清单'!$A:$B,2,FALSE),"")="intern",IF($C54&gt;40,"是","否"),IF($D54="是",IF($C54&gt;78,"是","否"),IF($C54&gt;48,"是","否")))</f>
        <v/>
      </c>
    </row>
    <row r="55">
      <c r="A55" s="2" t="inlineStr">
        <is>
          <t>Rainbow.MG.Xiao@cn.ey.com</t>
        </is>
      </c>
      <c r="B55" s="2" t="inlineStr">
        <is>
          <t>Week27 (2027.01.02)</t>
        </is>
      </c>
      <c r="C55" s="2">
        <f>SUMIFS('周排班-纵表'!$I:$I,'周排班-纵表'!$G:$G,$A55,'周排班-纵表'!$H:$H,$B55)</f>
        <v/>
      </c>
      <c r="D55" s="2">
        <f>IF(OR(MID($B55,FIND("(",$B55)+6,2)="01",MID($B55,FIND("(",$B55)+6,2)="02",MID($B55,FIND("(",$B55)+6,2)="03"),"是","否")</f>
        <v/>
      </c>
      <c r="E55" s="2">
        <f>IF(IFERROR(VLOOKUP($A55,'人员清单'!$A:$B,2,FALSE),"")="intern",40,IF($D55="是",60,40))</f>
        <v/>
      </c>
      <c r="F55" s="3">
        <f>ROUND($C55/40,4)</f>
        <v/>
      </c>
      <c r="G55" s="2">
        <f>IF(IFERROR(VLOOKUP($A55,'人员清单'!$A:$B,2,FALSE),"")="intern",IF($C55&gt;40,"是","否"),IF($D55="是",IF($C55&gt;78,"是","否"),IF($C55&gt;48,"是","否")))</f>
        <v/>
      </c>
    </row>
    <row r="56">
      <c r="A56" s="2" t="inlineStr">
        <is>
          <t>Vivi.W.Yang@cn.ey.com</t>
        </is>
      </c>
      <c r="B56" s="2" t="inlineStr">
        <is>
          <t>Week27 (2027.01.02)</t>
        </is>
      </c>
      <c r="C56" s="2">
        <f>SUMIFS('周排班-纵表'!$I:$I,'周排班-纵表'!$G:$G,$A56,'周排班-纵表'!$H:$H,$B56)</f>
        <v/>
      </c>
      <c r="D56" s="2">
        <f>IF(OR(MID($B56,FIND("(",$B56)+6,2)="01",MID($B56,FIND("(",$B56)+6,2)="02",MID($B56,FIND("(",$B56)+6,2)="03"),"是","否")</f>
        <v/>
      </c>
      <c r="E56" s="2">
        <f>IF(IFERROR(VLOOKUP($A56,'人员清单'!$A:$B,2,FALSE),"")="intern",40,IF($D56="是",60,40))</f>
        <v/>
      </c>
      <c r="F56" s="3">
        <f>ROUND($C56/40,4)</f>
        <v/>
      </c>
      <c r="G56" s="2">
        <f>IF(IFERROR(VLOOKUP($A56,'人员清单'!$A:$B,2,FALSE),"")="intern",IF($C56&gt;40,"是","否"),IF($D56="是",IF($C56&gt;78,"是","否"),IF($C56&gt;48,"是","否")))</f>
        <v/>
      </c>
    </row>
    <row r="57">
      <c r="A57" s="2" t="inlineStr">
        <is>
          <t>Yuan.Yuan.YY.Chen@cn.ey.com</t>
        </is>
      </c>
      <c r="B57" s="2" t="inlineStr">
        <is>
          <t>Week27 (2027.01.02)</t>
        </is>
      </c>
      <c r="C57" s="2">
        <f>SUMIFS('周排班-纵表'!$I:$I,'周排班-纵表'!$G:$G,$A57,'周排班-纵表'!$H:$H,$B57)</f>
        <v/>
      </c>
      <c r="D57" s="2">
        <f>IF(OR(MID($B57,FIND("(",$B57)+6,2)="01",MID($B57,FIND("(",$B57)+6,2)="02",MID($B57,FIND("(",$B57)+6,2)="03"),"是","否")</f>
        <v/>
      </c>
      <c r="E57" s="2">
        <f>IF(IFERROR(VLOOKUP($A57,'人员清单'!$A:$B,2,FALSE),"")="intern",40,IF($D57="是",60,40))</f>
        <v/>
      </c>
      <c r="F57" s="3">
        <f>ROUND($C57/40,4)</f>
        <v/>
      </c>
      <c r="G57" s="2">
        <f>IF(IFERROR(VLOOKUP($A57,'人员清单'!$A:$B,2,FALSE),"")="intern",IF($C57&gt;40,"是","否"),IF($D57="是",IF($C57&gt;78,"是","否"),IF($C57&gt;48,"是","否")))</f>
        <v/>
      </c>
    </row>
    <row r="58">
      <c r="A58" s="2" t="inlineStr">
        <is>
          <t>InternA</t>
        </is>
      </c>
      <c r="B58" s="2" t="inlineStr">
        <is>
          <t>Week28 (2027.01.09)</t>
        </is>
      </c>
      <c r="C58" s="2">
        <f>SUMIFS('周排班-纵表'!$I:$I,'周排班-纵表'!$G:$G,$A58,'周排班-纵表'!$H:$H,$B58)</f>
        <v/>
      </c>
      <c r="D58" s="2">
        <f>IF(OR(MID($B58,FIND("(",$B58)+6,2)="01",MID($B58,FIND("(",$B58)+6,2)="02",MID($B58,FIND("(",$B58)+6,2)="03"),"是","否")</f>
        <v/>
      </c>
      <c r="E58" s="2">
        <f>IF(IFERROR(VLOOKUP($A58,'人员清单'!$A:$B,2,FALSE),"")="intern",40,IF($D58="是",60,40))</f>
        <v/>
      </c>
      <c r="F58" s="3">
        <f>ROUND($C58/40,4)</f>
        <v/>
      </c>
      <c r="G58" s="2">
        <f>IF(IFERROR(VLOOKUP($A58,'人员清单'!$A:$B,2,FALSE),"")="intern",IF($C58&gt;40,"是","否"),IF($D58="是",IF($C58&gt;78,"是","否"),IF($C58&gt;48,"是","否")))</f>
        <v/>
      </c>
    </row>
    <row r="59">
      <c r="A59" s="2" t="inlineStr">
        <is>
          <t>InternB</t>
        </is>
      </c>
      <c r="B59" s="2" t="inlineStr">
        <is>
          <t>Week28 (2027.01.09)</t>
        </is>
      </c>
      <c r="C59" s="2">
        <f>SUMIFS('周排班-纵表'!$I:$I,'周排班-纵表'!$G:$G,$A59,'周排班-纵表'!$H:$H,$B59)</f>
        <v/>
      </c>
      <c r="D59" s="2">
        <f>IF(OR(MID($B59,FIND("(",$B59)+6,2)="01",MID($B59,FIND("(",$B59)+6,2)="02",MID($B59,FIND("(",$B59)+6,2)="03"),"是","否")</f>
        <v/>
      </c>
      <c r="E59" s="2">
        <f>IF(IFERROR(VLOOKUP($A59,'人员清单'!$A:$B,2,FALSE),"")="intern",40,IF($D59="是",60,40))</f>
        <v/>
      </c>
      <c r="F59" s="3">
        <f>ROUND($C59/40,4)</f>
        <v/>
      </c>
      <c r="G59" s="2">
        <f>IF(IFERROR(VLOOKUP($A59,'人员清单'!$A:$B,2,FALSE),"")="intern",IF($C59&gt;40,"是","否"),IF($D59="是",IF($C59&gt;78,"是","否"),IF($C59&gt;48,"是","否")))</f>
        <v/>
      </c>
    </row>
    <row r="60">
      <c r="A60" s="2" t="inlineStr">
        <is>
          <t>Luna.CD.Zhang@cn.ey.com</t>
        </is>
      </c>
      <c r="B60" s="2" t="inlineStr">
        <is>
          <t>Week28 (2027.01.09)</t>
        </is>
      </c>
      <c r="C60" s="2">
        <f>SUMIFS('周排班-纵表'!$I:$I,'周排班-纵表'!$G:$G,$A60,'周排班-纵表'!$H:$H,$B60)</f>
        <v/>
      </c>
      <c r="D60" s="2">
        <f>IF(OR(MID($B60,FIND("(",$B60)+6,2)="01",MID($B60,FIND("(",$B60)+6,2)="02",MID($B60,FIND("(",$B60)+6,2)="03"),"是","否")</f>
        <v/>
      </c>
      <c r="E60" s="2">
        <f>IF(IFERROR(VLOOKUP($A60,'人员清单'!$A:$B,2,FALSE),"")="intern",40,IF($D60="是",60,40))</f>
        <v/>
      </c>
      <c r="F60" s="3">
        <f>ROUND($C60/40,4)</f>
        <v/>
      </c>
      <c r="G60" s="2">
        <f>IF(IFERROR(VLOOKUP($A60,'人员清单'!$A:$B,2,FALSE),"")="intern",IF($C60&gt;40,"是","否"),IF($D60="是",IF($C60&gt;78,"是","否"),IF($C60&gt;48,"是","否")))</f>
        <v/>
      </c>
    </row>
    <row r="61">
      <c r="A61" s="2" t="inlineStr">
        <is>
          <t>Marsh.Ma@cn.ey.com</t>
        </is>
      </c>
      <c r="B61" s="2" t="inlineStr">
        <is>
          <t>Week28 (2027.01.09)</t>
        </is>
      </c>
      <c r="C61" s="2">
        <f>SUMIFS('周排班-纵表'!$I:$I,'周排班-纵表'!$G:$G,$A61,'周排班-纵表'!$H:$H,$B61)</f>
        <v/>
      </c>
      <c r="D61" s="2">
        <f>IF(OR(MID($B61,FIND("(",$B61)+6,2)="01",MID($B61,FIND("(",$B61)+6,2)="02",MID($B61,FIND("(",$B61)+6,2)="03"),"是","否")</f>
        <v/>
      </c>
      <c r="E61" s="2">
        <f>IF(IFERROR(VLOOKUP($A61,'人员清单'!$A:$B,2,FALSE),"")="intern",40,IF($D61="是",60,40))</f>
        <v/>
      </c>
      <c r="F61" s="3">
        <f>ROUND($C61/40,4)</f>
        <v/>
      </c>
      <c r="G61" s="2">
        <f>IF(IFERROR(VLOOKUP($A61,'人员清单'!$A:$B,2,FALSE),"")="intern",IF($C61&gt;40,"是","否"),IF($D61="是",IF($C61&gt;78,"是","否"),IF($C61&gt;48,"是","否")))</f>
        <v/>
      </c>
    </row>
    <row r="62">
      <c r="A62" s="2" t="inlineStr">
        <is>
          <t>Rainbow.MG.Xiao@cn.ey.com</t>
        </is>
      </c>
      <c r="B62" s="2" t="inlineStr">
        <is>
          <t>Week28 (2027.01.09)</t>
        </is>
      </c>
      <c r="C62" s="2">
        <f>SUMIFS('周排班-纵表'!$I:$I,'周排班-纵表'!$G:$G,$A62,'周排班-纵表'!$H:$H,$B62)</f>
        <v/>
      </c>
      <c r="D62" s="2">
        <f>IF(OR(MID($B62,FIND("(",$B62)+6,2)="01",MID($B62,FIND("(",$B62)+6,2)="02",MID($B62,FIND("(",$B62)+6,2)="03"),"是","否")</f>
        <v/>
      </c>
      <c r="E62" s="2">
        <f>IF(IFERROR(VLOOKUP($A62,'人员清单'!$A:$B,2,FALSE),"")="intern",40,IF($D62="是",60,40))</f>
        <v/>
      </c>
      <c r="F62" s="3">
        <f>ROUND($C62/40,4)</f>
        <v/>
      </c>
      <c r="G62" s="2">
        <f>IF(IFERROR(VLOOKUP($A62,'人员清单'!$A:$B,2,FALSE),"")="intern",IF($C62&gt;40,"是","否"),IF($D62="是",IF($C62&gt;78,"是","否"),IF($C62&gt;48,"是","否")))</f>
        <v/>
      </c>
    </row>
    <row r="63">
      <c r="A63" s="2" t="inlineStr">
        <is>
          <t>Vivi.W.Yang@cn.ey.com</t>
        </is>
      </c>
      <c r="B63" s="2" t="inlineStr">
        <is>
          <t>Week28 (2027.01.09)</t>
        </is>
      </c>
      <c r="C63" s="2">
        <f>SUMIFS('周排班-纵表'!$I:$I,'周排班-纵表'!$G:$G,$A63,'周排班-纵表'!$H:$H,$B63)</f>
        <v/>
      </c>
      <c r="D63" s="2">
        <f>IF(OR(MID($B63,FIND("(",$B63)+6,2)="01",MID($B63,FIND("(",$B63)+6,2)="02",MID($B63,FIND("(",$B63)+6,2)="03"),"是","否")</f>
        <v/>
      </c>
      <c r="E63" s="2">
        <f>IF(IFERROR(VLOOKUP($A63,'人员清单'!$A:$B,2,FALSE),"")="intern",40,IF($D63="是",60,40))</f>
        <v/>
      </c>
      <c r="F63" s="3">
        <f>ROUND($C63/40,4)</f>
        <v/>
      </c>
      <c r="G63" s="2">
        <f>IF(IFERROR(VLOOKUP($A63,'人员清单'!$A:$B,2,FALSE),"")="intern",IF($C63&gt;40,"是","否"),IF($D63="是",IF($C63&gt;78,"是","否"),IF($C63&gt;48,"是","否")))</f>
        <v/>
      </c>
    </row>
    <row r="64">
      <c r="A64" s="2" t="inlineStr">
        <is>
          <t>Yuan.Yuan.YY.Chen@cn.ey.com</t>
        </is>
      </c>
      <c r="B64" s="2" t="inlineStr">
        <is>
          <t>Week28 (2027.01.09)</t>
        </is>
      </c>
      <c r="C64" s="2">
        <f>SUMIFS('周排班-纵表'!$I:$I,'周排班-纵表'!$G:$G,$A64,'周排班-纵表'!$H:$H,$B64)</f>
        <v/>
      </c>
      <c r="D64" s="2">
        <f>IF(OR(MID($B64,FIND("(",$B64)+6,2)="01",MID($B64,FIND("(",$B64)+6,2)="02",MID($B64,FIND("(",$B64)+6,2)="03"),"是","否")</f>
        <v/>
      </c>
      <c r="E64" s="2">
        <f>IF(IFERROR(VLOOKUP($A64,'人员清单'!$A:$B,2,FALSE),"")="intern",40,IF($D64="是",60,40))</f>
        <v/>
      </c>
      <c r="F64" s="3">
        <f>ROUND($C64/40,4)</f>
        <v/>
      </c>
      <c r="G64" s="2">
        <f>IF(IFERROR(VLOOKUP($A64,'人员清单'!$A:$B,2,FALSE),"")="intern",IF($C64&gt;40,"是","否"),IF($D64="是",IF($C64&gt;78,"是","否"),IF($C64&gt;48,"是","否")))</f>
        <v/>
      </c>
    </row>
    <row r="65">
      <c r="A65" s="2" t="inlineStr">
        <is>
          <t>InternA</t>
        </is>
      </c>
      <c r="B65" s="2" t="inlineStr">
        <is>
          <t>Week29 (2027.01.16)</t>
        </is>
      </c>
      <c r="C65" s="2">
        <f>SUMIFS('周排班-纵表'!$I:$I,'周排班-纵表'!$G:$G,$A65,'周排班-纵表'!$H:$H,$B65)</f>
        <v/>
      </c>
      <c r="D65" s="2">
        <f>IF(OR(MID($B65,FIND("(",$B65)+6,2)="01",MID($B65,FIND("(",$B65)+6,2)="02",MID($B65,FIND("(",$B65)+6,2)="03"),"是","否")</f>
        <v/>
      </c>
      <c r="E65" s="2">
        <f>IF(IFERROR(VLOOKUP($A65,'人员清单'!$A:$B,2,FALSE),"")="intern",40,IF($D65="是",60,40))</f>
        <v/>
      </c>
      <c r="F65" s="3">
        <f>ROUND($C65/40,4)</f>
        <v/>
      </c>
      <c r="G65" s="2">
        <f>IF(IFERROR(VLOOKUP($A65,'人员清单'!$A:$B,2,FALSE),"")="intern",IF($C65&gt;40,"是","否"),IF($D65="是",IF($C65&gt;78,"是","否"),IF($C65&gt;48,"是","否")))</f>
        <v/>
      </c>
    </row>
    <row r="66">
      <c r="A66" s="2" t="inlineStr">
        <is>
          <t>InternB</t>
        </is>
      </c>
      <c r="B66" s="2" t="inlineStr">
        <is>
          <t>Week29 (2027.01.16)</t>
        </is>
      </c>
      <c r="C66" s="2">
        <f>SUMIFS('周排班-纵表'!$I:$I,'周排班-纵表'!$G:$G,$A66,'周排班-纵表'!$H:$H,$B66)</f>
        <v/>
      </c>
      <c r="D66" s="2">
        <f>IF(OR(MID($B66,FIND("(",$B66)+6,2)="01",MID($B66,FIND("(",$B66)+6,2)="02",MID($B66,FIND("(",$B66)+6,2)="03"),"是","否")</f>
        <v/>
      </c>
      <c r="E66" s="2">
        <f>IF(IFERROR(VLOOKUP($A66,'人员清单'!$A:$B,2,FALSE),"")="intern",40,IF($D66="是",60,40))</f>
        <v/>
      </c>
      <c r="F66" s="3">
        <f>ROUND($C66/40,4)</f>
        <v/>
      </c>
      <c r="G66" s="2">
        <f>IF(IFERROR(VLOOKUP($A66,'人员清单'!$A:$B,2,FALSE),"")="intern",IF($C66&gt;40,"是","否"),IF($D66="是",IF($C66&gt;78,"是","否"),IF($C66&gt;48,"是","否")))</f>
        <v/>
      </c>
    </row>
    <row r="67">
      <c r="A67" s="2" t="inlineStr">
        <is>
          <t>Luna.CD.Zhang@cn.ey.com</t>
        </is>
      </c>
      <c r="B67" s="2" t="inlineStr">
        <is>
          <t>Week29 (2027.01.16)</t>
        </is>
      </c>
      <c r="C67" s="2">
        <f>SUMIFS('周排班-纵表'!$I:$I,'周排班-纵表'!$G:$G,$A67,'周排班-纵表'!$H:$H,$B67)</f>
        <v/>
      </c>
      <c r="D67" s="2">
        <f>IF(OR(MID($B67,FIND("(",$B67)+6,2)="01",MID($B67,FIND("(",$B67)+6,2)="02",MID($B67,FIND("(",$B67)+6,2)="03"),"是","否")</f>
        <v/>
      </c>
      <c r="E67" s="2">
        <f>IF(IFERROR(VLOOKUP($A67,'人员清单'!$A:$B,2,FALSE),"")="intern",40,IF($D67="是",60,40))</f>
        <v/>
      </c>
      <c r="F67" s="3">
        <f>ROUND($C67/40,4)</f>
        <v/>
      </c>
      <c r="G67" s="2">
        <f>IF(IFERROR(VLOOKUP($A67,'人员清单'!$A:$B,2,FALSE),"")="intern",IF($C67&gt;40,"是","否"),IF($D67="是",IF($C67&gt;78,"是","否"),IF($C67&gt;48,"是","否")))</f>
        <v/>
      </c>
    </row>
    <row r="68">
      <c r="A68" s="2" t="inlineStr">
        <is>
          <t>Marsh.Ma@cn.ey.com</t>
        </is>
      </c>
      <c r="B68" s="2" t="inlineStr">
        <is>
          <t>Week29 (2027.01.16)</t>
        </is>
      </c>
      <c r="C68" s="2">
        <f>SUMIFS('周排班-纵表'!$I:$I,'周排班-纵表'!$G:$G,$A68,'周排班-纵表'!$H:$H,$B68)</f>
        <v/>
      </c>
      <c r="D68" s="2">
        <f>IF(OR(MID($B68,FIND("(",$B68)+6,2)="01",MID($B68,FIND("(",$B68)+6,2)="02",MID($B68,FIND("(",$B68)+6,2)="03"),"是","否")</f>
        <v/>
      </c>
      <c r="E68" s="2">
        <f>IF(IFERROR(VLOOKUP($A68,'人员清单'!$A:$B,2,FALSE),"")="intern",40,IF($D68="是",60,40))</f>
        <v/>
      </c>
      <c r="F68" s="3">
        <f>ROUND($C68/40,4)</f>
        <v/>
      </c>
      <c r="G68" s="2">
        <f>IF(IFERROR(VLOOKUP($A68,'人员清单'!$A:$B,2,FALSE),"")="intern",IF($C68&gt;40,"是","否"),IF($D68="是",IF($C68&gt;78,"是","否"),IF($C68&gt;48,"是","否")))</f>
        <v/>
      </c>
    </row>
    <row r="69">
      <c r="A69" s="2" t="inlineStr">
        <is>
          <t>Rainbow.MG.Xiao@cn.ey.com</t>
        </is>
      </c>
      <c r="B69" s="2" t="inlineStr">
        <is>
          <t>Week29 (2027.01.16)</t>
        </is>
      </c>
      <c r="C69" s="2">
        <f>SUMIFS('周排班-纵表'!$I:$I,'周排班-纵表'!$G:$G,$A69,'周排班-纵表'!$H:$H,$B69)</f>
        <v/>
      </c>
      <c r="D69" s="2">
        <f>IF(OR(MID($B69,FIND("(",$B69)+6,2)="01",MID($B69,FIND("(",$B69)+6,2)="02",MID($B69,FIND("(",$B69)+6,2)="03"),"是","否")</f>
        <v/>
      </c>
      <c r="E69" s="2">
        <f>IF(IFERROR(VLOOKUP($A69,'人员清单'!$A:$B,2,FALSE),"")="intern",40,IF($D69="是",60,40))</f>
        <v/>
      </c>
      <c r="F69" s="3">
        <f>ROUND($C69/40,4)</f>
        <v/>
      </c>
      <c r="G69" s="2">
        <f>IF(IFERROR(VLOOKUP($A69,'人员清单'!$A:$B,2,FALSE),"")="intern",IF($C69&gt;40,"是","否"),IF($D69="是",IF($C69&gt;78,"是","否"),IF($C69&gt;48,"是","否")))</f>
        <v/>
      </c>
    </row>
    <row r="70">
      <c r="A70" s="2" t="inlineStr">
        <is>
          <t>Vivi.W.Yang@cn.ey.com</t>
        </is>
      </c>
      <c r="B70" s="2" t="inlineStr">
        <is>
          <t>Week29 (2027.01.16)</t>
        </is>
      </c>
      <c r="C70" s="2">
        <f>SUMIFS('周排班-纵表'!$I:$I,'周排班-纵表'!$G:$G,$A70,'周排班-纵表'!$H:$H,$B70)</f>
        <v/>
      </c>
      <c r="D70" s="2">
        <f>IF(OR(MID($B70,FIND("(",$B70)+6,2)="01",MID($B70,FIND("(",$B70)+6,2)="02",MID($B70,FIND("(",$B70)+6,2)="03"),"是","否")</f>
        <v/>
      </c>
      <c r="E70" s="2">
        <f>IF(IFERROR(VLOOKUP($A70,'人员清单'!$A:$B,2,FALSE),"")="intern",40,IF($D70="是",60,40))</f>
        <v/>
      </c>
      <c r="F70" s="3">
        <f>ROUND($C70/40,4)</f>
        <v/>
      </c>
      <c r="G70" s="2">
        <f>IF(IFERROR(VLOOKUP($A70,'人员清单'!$A:$B,2,FALSE),"")="intern",IF($C70&gt;40,"是","否"),IF($D70="是",IF($C70&gt;78,"是","否"),IF($C70&gt;48,"是","否")))</f>
        <v/>
      </c>
    </row>
    <row r="71">
      <c r="A71" s="2" t="inlineStr">
        <is>
          <t>Yuan.Yuan.YY.Chen@cn.ey.com</t>
        </is>
      </c>
      <c r="B71" s="2" t="inlineStr">
        <is>
          <t>Week29 (2027.01.16)</t>
        </is>
      </c>
      <c r="C71" s="2">
        <f>SUMIFS('周排班-纵表'!$I:$I,'周排班-纵表'!$G:$G,$A71,'周排班-纵表'!$H:$H,$B71)</f>
        <v/>
      </c>
      <c r="D71" s="2">
        <f>IF(OR(MID($B71,FIND("(",$B71)+6,2)="01",MID($B71,FIND("(",$B71)+6,2)="02",MID($B71,FIND("(",$B71)+6,2)="03"),"是","否")</f>
        <v/>
      </c>
      <c r="E71" s="2">
        <f>IF(IFERROR(VLOOKUP($A71,'人员清单'!$A:$B,2,FALSE),"")="intern",40,IF($D71="是",60,40))</f>
        <v/>
      </c>
      <c r="F71" s="3">
        <f>ROUND($C71/40,4)</f>
        <v/>
      </c>
      <c r="G71" s="2">
        <f>IF(IFERROR(VLOOKUP($A71,'人员清单'!$A:$B,2,FALSE),"")="intern",IF($C71&gt;40,"是","否"),IF($D71="是",IF($C71&gt;78,"是","否"),IF($C71&gt;48,"是","否")))</f>
        <v/>
      </c>
    </row>
    <row r="72">
      <c r="A72" s="2" t="inlineStr">
        <is>
          <t>InternA</t>
        </is>
      </c>
      <c r="B72" s="2" t="inlineStr">
        <is>
          <t>Week30 (2027.01.23)</t>
        </is>
      </c>
      <c r="C72" s="2">
        <f>SUMIFS('周排班-纵表'!$I:$I,'周排班-纵表'!$G:$G,$A72,'周排班-纵表'!$H:$H,$B72)</f>
        <v/>
      </c>
      <c r="D72" s="2">
        <f>IF(OR(MID($B72,FIND("(",$B72)+6,2)="01",MID($B72,FIND("(",$B72)+6,2)="02",MID($B72,FIND("(",$B72)+6,2)="03"),"是","否")</f>
        <v/>
      </c>
      <c r="E72" s="2">
        <f>IF(IFERROR(VLOOKUP($A72,'人员清单'!$A:$B,2,FALSE),"")="intern",40,IF($D72="是",60,40))</f>
        <v/>
      </c>
      <c r="F72" s="3">
        <f>ROUND($C72/40,4)</f>
        <v/>
      </c>
      <c r="G72" s="2">
        <f>IF(IFERROR(VLOOKUP($A72,'人员清单'!$A:$B,2,FALSE),"")="intern",IF($C72&gt;40,"是","否"),IF($D72="是",IF($C72&gt;78,"是","否"),IF($C72&gt;48,"是","否")))</f>
        <v/>
      </c>
    </row>
    <row r="73">
      <c r="A73" s="2" t="inlineStr">
        <is>
          <t>InternB</t>
        </is>
      </c>
      <c r="B73" s="2" t="inlineStr">
        <is>
          <t>Week30 (2027.01.23)</t>
        </is>
      </c>
      <c r="C73" s="2">
        <f>SUMIFS('周排班-纵表'!$I:$I,'周排班-纵表'!$G:$G,$A73,'周排班-纵表'!$H:$H,$B73)</f>
        <v/>
      </c>
      <c r="D73" s="2">
        <f>IF(OR(MID($B73,FIND("(",$B73)+6,2)="01",MID($B73,FIND("(",$B73)+6,2)="02",MID($B73,FIND("(",$B73)+6,2)="03"),"是","否")</f>
        <v/>
      </c>
      <c r="E73" s="2">
        <f>IF(IFERROR(VLOOKUP($A73,'人员清单'!$A:$B,2,FALSE),"")="intern",40,IF($D73="是",60,40))</f>
        <v/>
      </c>
      <c r="F73" s="3">
        <f>ROUND($C73/40,4)</f>
        <v/>
      </c>
      <c r="G73" s="2">
        <f>IF(IFERROR(VLOOKUP($A73,'人员清单'!$A:$B,2,FALSE),"")="intern",IF($C73&gt;40,"是","否"),IF($D73="是",IF($C73&gt;78,"是","否"),IF($C73&gt;48,"是","否")))</f>
        <v/>
      </c>
    </row>
    <row r="74">
      <c r="A74" s="2" t="inlineStr">
        <is>
          <t>Luna.CD.Zhang@cn.ey.com</t>
        </is>
      </c>
      <c r="B74" s="2" t="inlineStr">
        <is>
          <t>Week30 (2027.01.23)</t>
        </is>
      </c>
      <c r="C74" s="2">
        <f>SUMIFS('周排班-纵表'!$I:$I,'周排班-纵表'!$G:$G,$A74,'周排班-纵表'!$H:$H,$B74)</f>
        <v/>
      </c>
      <c r="D74" s="2">
        <f>IF(OR(MID($B74,FIND("(",$B74)+6,2)="01",MID($B74,FIND("(",$B74)+6,2)="02",MID($B74,FIND("(",$B74)+6,2)="03"),"是","否")</f>
        <v/>
      </c>
      <c r="E74" s="2">
        <f>IF(IFERROR(VLOOKUP($A74,'人员清单'!$A:$B,2,FALSE),"")="intern",40,IF($D74="是",60,40))</f>
        <v/>
      </c>
      <c r="F74" s="3">
        <f>ROUND($C74/40,4)</f>
        <v/>
      </c>
      <c r="G74" s="2">
        <f>IF(IFERROR(VLOOKUP($A74,'人员清单'!$A:$B,2,FALSE),"")="intern",IF($C74&gt;40,"是","否"),IF($D74="是",IF($C74&gt;78,"是","否"),IF($C74&gt;48,"是","否")))</f>
        <v/>
      </c>
    </row>
    <row r="75">
      <c r="A75" s="2" t="inlineStr">
        <is>
          <t>Marsh.Ma@cn.ey.com</t>
        </is>
      </c>
      <c r="B75" s="2" t="inlineStr">
        <is>
          <t>Week30 (2027.01.23)</t>
        </is>
      </c>
      <c r="C75" s="2">
        <f>SUMIFS('周排班-纵表'!$I:$I,'周排班-纵表'!$G:$G,$A75,'周排班-纵表'!$H:$H,$B75)</f>
        <v/>
      </c>
      <c r="D75" s="2">
        <f>IF(OR(MID($B75,FIND("(",$B75)+6,2)="01",MID($B75,FIND("(",$B75)+6,2)="02",MID($B75,FIND("(",$B75)+6,2)="03"),"是","否")</f>
        <v/>
      </c>
      <c r="E75" s="2">
        <f>IF(IFERROR(VLOOKUP($A75,'人员清单'!$A:$B,2,FALSE),"")="intern",40,IF($D75="是",60,40))</f>
        <v/>
      </c>
      <c r="F75" s="3">
        <f>ROUND($C75/40,4)</f>
        <v/>
      </c>
      <c r="G75" s="2">
        <f>IF(IFERROR(VLOOKUP($A75,'人员清单'!$A:$B,2,FALSE),"")="intern",IF($C75&gt;40,"是","否"),IF($D75="是",IF($C75&gt;78,"是","否"),IF($C75&gt;48,"是","否")))</f>
        <v/>
      </c>
    </row>
    <row r="76">
      <c r="A76" s="2" t="inlineStr">
        <is>
          <t>Rainbow.MG.Xiao@cn.ey.com</t>
        </is>
      </c>
      <c r="B76" s="2" t="inlineStr">
        <is>
          <t>Week30 (2027.01.23)</t>
        </is>
      </c>
      <c r="C76" s="2">
        <f>SUMIFS('周排班-纵表'!$I:$I,'周排班-纵表'!$G:$G,$A76,'周排班-纵表'!$H:$H,$B76)</f>
        <v/>
      </c>
      <c r="D76" s="2">
        <f>IF(OR(MID($B76,FIND("(",$B76)+6,2)="01",MID($B76,FIND("(",$B76)+6,2)="02",MID($B76,FIND("(",$B76)+6,2)="03"),"是","否")</f>
        <v/>
      </c>
      <c r="E76" s="2">
        <f>IF(IFERROR(VLOOKUP($A76,'人员清单'!$A:$B,2,FALSE),"")="intern",40,IF($D76="是",60,40))</f>
        <v/>
      </c>
      <c r="F76" s="3">
        <f>ROUND($C76/40,4)</f>
        <v/>
      </c>
      <c r="G76" s="2">
        <f>IF(IFERROR(VLOOKUP($A76,'人员清单'!$A:$B,2,FALSE),"")="intern",IF($C76&gt;40,"是","否"),IF($D76="是",IF($C76&gt;78,"是","否"),IF($C76&gt;48,"是","否")))</f>
        <v/>
      </c>
    </row>
    <row r="77">
      <c r="A77" s="2" t="inlineStr">
        <is>
          <t>Vivi.W.Yang@cn.ey.com</t>
        </is>
      </c>
      <c r="B77" s="2" t="inlineStr">
        <is>
          <t>Week30 (2027.01.23)</t>
        </is>
      </c>
      <c r="C77" s="2">
        <f>SUMIFS('周排班-纵表'!$I:$I,'周排班-纵表'!$G:$G,$A77,'周排班-纵表'!$H:$H,$B77)</f>
        <v/>
      </c>
      <c r="D77" s="2">
        <f>IF(OR(MID($B77,FIND("(",$B77)+6,2)="01",MID($B77,FIND("(",$B77)+6,2)="02",MID($B77,FIND("(",$B77)+6,2)="03"),"是","否")</f>
        <v/>
      </c>
      <c r="E77" s="2">
        <f>IF(IFERROR(VLOOKUP($A77,'人员清单'!$A:$B,2,FALSE),"")="intern",40,IF($D77="是",60,40))</f>
        <v/>
      </c>
      <c r="F77" s="3">
        <f>ROUND($C77/40,4)</f>
        <v/>
      </c>
      <c r="G77" s="2">
        <f>IF(IFERROR(VLOOKUP($A77,'人员清单'!$A:$B,2,FALSE),"")="intern",IF($C77&gt;40,"是","否"),IF($D77="是",IF($C77&gt;78,"是","否"),IF($C77&gt;48,"是","否")))</f>
        <v/>
      </c>
    </row>
    <row r="78">
      <c r="A78" s="2" t="inlineStr">
        <is>
          <t>Yuan.Yuan.YY.Chen@cn.ey.com</t>
        </is>
      </c>
      <c r="B78" s="2" t="inlineStr">
        <is>
          <t>Week30 (2027.01.23)</t>
        </is>
      </c>
      <c r="C78" s="2">
        <f>SUMIFS('周排班-纵表'!$I:$I,'周排班-纵表'!$G:$G,$A78,'周排班-纵表'!$H:$H,$B78)</f>
        <v/>
      </c>
      <c r="D78" s="2">
        <f>IF(OR(MID($B78,FIND("(",$B78)+6,2)="01",MID($B78,FIND("(",$B78)+6,2)="02",MID($B78,FIND("(",$B78)+6,2)="03"),"是","否")</f>
        <v/>
      </c>
      <c r="E78" s="2">
        <f>IF(IFERROR(VLOOKUP($A78,'人员清单'!$A:$B,2,FALSE),"")="intern",40,IF($D78="是",60,40))</f>
        <v/>
      </c>
      <c r="F78" s="3">
        <f>ROUND($C78/40,4)</f>
        <v/>
      </c>
      <c r="G78" s="2">
        <f>IF(IFERROR(VLOOKUP($A78,'人员清单'!$A:$B,2,FALSE),"")="intern",IF($C78&gt;40,"是","否"),IF($D78="是",IF($C78&gt;78,"是","否"),IF($C78&gt;48,"是","否")))</f>
        <v/>
      </c>
    </row>
    <row r="79">
      <c r="A79" s="2" t="inlineStr">
        <is>
          <t>InternA</t>
        </is>
      </c>
      <c r="B79" s="2" t="inlineStr">
        <is>
          <t>Week31 (2027.01.30)</t>
        </is>
      </c>
      <c r="C79" s="2">
        <f>SUMIFS('周排班-纵表'!$I:$I,'周排班-纵表'!$G:$G,$A79,'周排班-纵表'!$H:$H,$B79)</f>
        <v/>
      </c>
      <c r="D79" s="2">
        <f>IF(OR(MID($B79,FIND("(",$B79)+6,2)="01",MID($B79,FIND("(",$B79)+6,2)="02",MID($B79,FIND("(",$B79)+6,2)="03"),"是","否")</f>
        <v/>
      </c>
      <c r="E79" s="2">
        <f>IF(IFERROR(VLOOKUP($A79,'人员清单'!$A:$B,2,FALSE),"")="intern",40,IF($D79="是",60,40))</f>
        <v/>
      </c>
      <c r="F79" s="3">
        <f>ROUND($C79/40,4)</f>
        <v/>
      </c>
      <c r="G79" s="2">
        <f>IF(IFERROR(VLOOKUP($A79,'人员清单'!$A:$B,2,FALSE),"")="intern",IF($C79&gt;40,"是","否"),IF($D79="是",IF($C79&gt;78,"是","否"),IF($C79&gt;48,"是","否")))</f>
        <v/>
      </c>
    </row>
    <row r="80">
      <c r="A80" s="2" t="inlineStr">
        <is>
          <t>InternB</t>
        </is>
      </c>
      <c r="B80" s="2" t="inlineStr">
        <is>
          <t>Week31 (2027.01.30)</t>
        </is>
      </c>
      <c r="C80" s="2">
        <f>SUMIFS('周排班-纵表'!$I:$I,'周排班-纵表'!$G:$G,$A80,'周排班-纵表'!$H:$H,$B80)</f>
        <v/>
      </c>
      <c r="D80" s="2">
        <f>IF(OR(MID($B80,FIND("(",$B80)+6,2)="01",MID($B80,FIND("(",$B80)+6,2)="02",MID($B80,FIND("(",$B80)+6,2)="03"),"是","否")</f>
        <v/>
      </c>
      <c r="E80" s="2">
        <f>IF(IFERROR(VLOOKUP($A80,'人员清单'!$A:$B,2,FALSE),"")="intern",40,IF($D80="是",60,40))</f>
        <v/>
      </c>
      <c r="F80" s="3">
        <f>ROUND($C80/40,4)</f>
        <v/>
      </c>
      <c r="G80" s="2">
        <f>IF(IFERROR(VLOOKUP($A80,'人员清单'!$A:$B,2,FALSE),"")="intern",IF($C80&gt;40,"是","否"),IF($D80="是",IF($C80&gt;78,"是","否"),IF($C80&gt;48,"是","否")))</f>
        <v/>
      </c>
    </row>
    <row r="81">
      <c r="A81" s="2" t="inlineStr">
        <is>
          <t>Luna.CD.Zhang@cn.ey.com</t>
        </is>
      </c>
      <c r="B81" s="2" t="inlineStr">
        <is>
          <t>Week31 (2027.01.30)</t>
        </is>
      </c>
      <c r="C81" s="2">
        <f>SUMIFS('周排班-纵表'!$I:$I,'周排班-纵表'!$G:$G,$A81,'周排班-纵表'!$H:$H,$B81)</f>
        <v/>
      </c>
      <c r="D81" s="2">
        <f>IF(OR(MID($B81,FIND("(",$B81)+6,2)="01",MID($B81,FIND("(",$B81)+6,2)="02",MID($B81,FIND("(",$B81)+6,2)="03"),"是","否")</f>
        <v/>
      </c>
      <c r="E81" s="2">
        <f>IF(IFERROR(VLOOKUP($A81,'人员清单'!$A:$B,2,FALSE),"")="intern",40,IF($D81="是",60,40))</f>
        <v/>
      </c>
      <c r="F81" s="3">
        <f>ROUND($C81/40,4)</f>
        <v/>
      </c>
      <c r="G81" s="2">
        <f>IF(IFERROR(VLOOKUP($A81,'人员清单'!$A:$B,2,FALSE),"")="intern",IF($C81&gt;40,"是","否"),IF($D81="是",IF($C81&gt;78,"是","否"),IF($C81&gt;48,"是","否")))</f>
        <v/>
      </c>
    </row>
    <row r="82">
      <c r="A82" s="2" t="inlineStr">
        <is>
          <t>Marsh.Ma@cn.ey.com</t>
        </is>
      </c>
      <c r="B82" s="2" t="inlineStr">
        <is>
          <t>Week31 (2027.01.30)</t>
        </is>
      </c>
      <c r="C82" s="2">
        <f>SUMIFS('周排班-纵表'!$I:$I,'周排班-纵表'!$G:$G,$A82,'周排班-纵表'!$H:$H,$B82)</f>
        <v/>
      </c>
      <c r="D82" s="2">
        <f>IF(OR(MID($B82,FIND("(",$B82)+6,2)="01",MID($B82,FIND("(",$B82)+6,2)="02",MID($B82,FIND("(",$B82)+6,2)="03"),"是","否")</f>
        <v/>
      </c>
      <c r="E82" s="2">
        <f>IF(IFERROR(VLOOKUP($A82,'人员清单'!$A:$B,2,FALSE),"")="intern",40,IF($D82="是",60,40))</f>
        <v/>
      </c>
      <c r="F82" s="3">
        <f>ROUND($C82/40,4)</f>
        <v/>
      </c>
      <c r="G82" s="2">
        <f>IF(IFERROR(VLOOKUP($A82,'人员清单'!$A:$B,2,FALSE),"")="intern",IF($C82&gt;40,"是","否"),IF($D82="是",IF($C82&gt;78,"是","否"),IF($C82&gt;48,"是","否")))</f>
        <v/>
      </c>
    </row>
    <row r="83">
      <c r="A83" s="2" t="inlineStr">
        <is>
          <t>Rainbow.MG.Xiao@cn.ey.com</t>
        </is>
      </c>
      <c r="B83" s="2" t="inlineStr">
        <is>
          <t>Week31 (2027.01.30)</t>
        </is>
      </c>
      <c r="C83" s="2">
        <f>SUMIFS('周排班-纵表'!$I:$I,'周排班-纵表'!$G:$G,$A83,'周排班-纵表'!$H:$H,$B83)</f>
        <v/>
      </c>
      <c r="D83" s="2">
        <f>IF(OR(MID($B83,FIND("(",$B83)+6,2)="01",MID($B83,FIND("(",$B83)+6,2)="02",MID($B83,FIND("(",$B83)+6,2)="03"),"是","否")</f>
        <v/>
      </c>
      <c r="E83" s="2">
        <f>IF(IFERROR(VLOOKUP($A83,'人员清单'!$A:$B,2,FALSE),"")="intern",40,IF($D83="是",60,40))</f>
        <v/>
      </c>
      <c r="F83" s="3">
        <f>ROUND($C83/40,4)</f>
        <v/>
      </c>
      <c r="G83" s="2">
        <f>IF(IFERROR(VLOOKUP($A83,'人员清单'!$A:$B,2,FALSE),"")="intern",IF($C83&gt;40,"是","否"),IF($D83="是",IF($C83&gt;78,"是","否"),IF($C83&gt;48,"是","否")))</f>
        <v/>
      </c>
    </row>
    <row r="84">
      <c r="A84" s="2" t="inlineStr">
        <is>
          <t>Vivi.W.Yang@cn.ey.com</t>
        </is>
      </c>
      <c r="B84" s="2" t="inlineStr">
        <is>
          <t>Week31 (2027.01.30)</t>
        </is>
      </c>
      <c r="C84" s="2">
        <f>SUMIFS('周排班-纵表'!$I:$I,'周排班-纵表'!$G:$G,$A84,'周排班-纵表'!$H:$H,$B84)</f>
        <v/>
      </c>
      <c r="D84" s="2">
        <f>IF(OR(MID($B84,FIND("(",$B84)+6,2)="01",MID($B84,FIND("(",$B84)+6,2)="02",MID($B84,FIND("(",$B84)+6,2)="03"),"是","否")</f>
        <v/>
      </c>
      <c r="E84" s="2">
        <f>IF(IFERROR(VLOOKUP($A84,'人员清单'!$A:$B,2,FALSE),"")="intern",40,IF($D84="是",60,40))</f>
        <v/>
      </c>
      <c r="F84" s="3">
        <f>ROUND($C84/40,4)</f>
        <v/>
      </c>
      <c r="G84" s="2">
        <f>IF(IFERROR(VLOOKUP($A84,'人员清单'!$A:$B,2,FALSE),"")="intern",IF($C84&gt;40,"是","否"),IF($D84="是",IF($C84&gt;78,"是","否"),IF($C84&gt;48,"是","否")))</f>
        <v/>
      </c>
    </row>
    <row r="85">
      <c r="A85" s="2" t="inlineStr">
        <is>
          <t>Yuan.Yuan.YY.Chen@cn.ey.com</t>
        </is>
      </c>
      <c r="B85" s="2" t="inlineStr">
        <is>
          <t>Week31 (2027.01.30)</t>
        </is>
      </c>
      <c r="C85" s="2">
        <f>SUMIFS('周排班-纵表'!$I:$I,'周排班-纵表'!$G:$G,$A85,'周排班-纵表'!$H:$H,$B85)</f>
        <v/>
      </c>
      <c r="D85" s="2">
        <f>IF(OR(MID($B85,FIND("(",$B85)+6,2)="01",MID($B85,FIND("(",$B85)+6,2)="02",MID($B85,FIND("(",$B85)+6,2)="03"),"是","否")</f>
        <v/>
      </c>
      <c r="E85" s="2">
        <f>IF(IFERROR(VLOOKUP($A85,'人员清单'!$A:$B,2,FALSE),"")="intern",40,IF($D85="是",60,40))</f>
        <v/>
      </c>
      <c r="F85" s="3">
        <f>ROUND($C85/40,4)</f>
        <v/>
      </c>
      <c r="G85" s="2">
        <f>IF(IFERROR(VLOOKUP($A85,'人员清单'!$A:$B,2,FALSE),"")="intern",IF($C85&gt;40,"是","否"),IF($D85="是",IF($C85&gt;78,"是","否"),IF($C85&gt;48,"是","否")))</f>
        <v/>
      </c>
    </row>
    <row r="86">
      <c r="A86" s="2" t="inlineStr">
        <is>
          <t>InternA</t>
        </is>
      </c>
      <c r="B86" s="2" t="inlineStr">
        <is>
          <t>Week32 (2027.02.06)</t>
        </is>
      </c>
      <c r="C86" s="2">
        <f>SUMIFS('周排班-纵表'!$I:$I,'周排班-纵表'!$G:$G,$A86,'周排班-纵表'!$H:$H,$B86)</f>
        <v/>
      </c>
      <c r="D86" s="2">
        <f>IF(OR(MID($B86,FIND("(",$B86)+6,2)="01",MID($B86,FIND("(",$B86)+6,2)="02",MID($B86,FIND("(",$B86)+6,2)="03"),"是","否")</f>
        <v/>
      </c>
      <c r="E86" s="2">
        <f>IF(IFERROR(VLOOKUP($A86,'人员清单'!$A:$B,2,FALSE),"")="intern",40,IF($D86="是",60,40))</f>
        <v/>
      </c>
      <c r="F86" s="3">
        <f>ROUND($C86/40,4)</f>
        <v/>
      </c>
      <c r="G86" s="2">
        <f>IF(IFERROR(VLOOKUP($A86,'人员清单'!$A:$B,2,FALSE),"")="intern",IF($C86&gt;40,"是","否"),IF($D86="是",IF($C86&gt;78,"是","否"),IF($C86&gt;48,"是","否")))</f>
        <v/>
      </c>
    </row>
    <row r="87">
      <c r="A87" s="2" t="inlineStr">
        <is>
          <t>InternB</t>
        </is>
      </c>
      <c r="B87" s="2" t="inlineStr">
        <is>
          <t>Week32 (2027.02.06)</t>
        </is>
      </c>
      <c r="C87" s="2">
        <f>SUMIFS('周排班-纵表'!$I:$I,'周排班-纵表'!$G:$G,$A87,'周排班-纵表'!$H:$H,$B87)</f>
        <v/>
      </c>
      <c r="D87" s="2">
        <f>IF(OR(MID($B87,FIND("(",$B87)+6,2)="01",MID($B87,FIND("(",$B87)+6,2)="02",MID($B87,FIND("(",$B87)+6,2)="03"),"是","否")</f>
        <v/>
      </c>
      <c r="E87" s="2">
        <f>IF(IFERROR(VLOOKUP($A87,'人员清单'!$A:$B,2,FALSE),"")="intern",40,IF($D87="是",60,40))</f>
        <v/>
      </c>
      <c r="F87" s="3">
        <f>ROUND($C87/40,4)</f>
        <v/>
      </c>
      <c r="G87" s="2">
        <f>IF(IFERROR(VLOOKUP($A87,'人员清单'!$A:$B,2,FALSE),"")="intern",IF($C87&gt;40,"是","否"),IF($D87="是",IF($C87&gt;78,"是","否"),IF($C87&gt;48,"是","否")))</f>
        <v/>
      </c>
    </row>
    <row r="88">
      <c r="A88" s="2" t="inlineStr">
        <is>
          <t>Luna.CD.Zhang@cn.ey.com</t>
        </is>
      </c>
      <c r="B88" s="2" t="inlineStr">
        <is>
          <t>Week32 (2027.02.06)</t>
        </is>
      </c>
      <c r="C88" s="2">
        <f>SUMIFS('周排班-纵表'!$I:$I,'周排班-纵表'!$G:$G,$A88,'周排班-纵表'!$H:$H,$B88)</f>
        <v/>
      </c>
      <c r="D88" s="2">
        <f>IF(OR(MID($B88,FIND("(",$B88)+6,2)="01",MID($B88,FIND("(",$B88)+6,2)="02",MID($B88,FIND("(",$B88)+6,2)="03"),"是","否")</f>
        <v/>
      </c>
      <c r="E88" s="2">
        <f>IF(IFERROR(VLOOKUP($A88,'人员清单'!$A:$B,2,FALSE),"")="intern",40,IF($D88="是",60,40))</f>
        <v/>
      </c>
      <c r="F88" s="3">
        <f>ROUND($C88/40,4)</f>
        <v/>
      </c>
      <c r="G88" s="2">
        <f>IF(IFERROR(VLOOKUP($A88,'人员清单'!$A:$B,2,FALSE),"")="intern",IF($C88&gt;40,"是","否"),IF($D88="是",IF($C88&gt;78,"是","否"),IF($C88&gt;48,"是","否")))</f>
        <v/>
      </c>
    </row>
    <row r="89">
      <c r="A89" s="2" t="inlineStr">
        <is>
          <t>Marsh.Ma@cn.ey.com</t>
        </is>
      </c>
      <c r="B89" s="2" t="inlineStr">
        <is>
          <t>Week32 (2027.02.06)</t>
        </is>
      </c>
      <c r="C89" s="2">
        <f>SUMIFS('周排班-纵表'!$I:$I,'周排班-纵表'!$G:$G,$A89,'周排班-纵表'!$H:$H,$B89)</f>
        <v/>
      </c>
      <c r="D89" s="2">
        <f>IF(OR(MID($B89,FIND("(",$B89)+6,2)="01",MID($B89,FIND("(",$B89)+6,2)="02",MID($B89,FIND("(",$B89)+6,2)="03"),"是","否")</f>
        <v/>
      </c>
      <c r="E89" s="2">
        <f>IF(IFERROR(VLOOKUP($A89,'人员清单'!$A:$B,2,FALSE),"")="intern",40,IF($D89="是",60,40))</f>
        <v/>
      </c>
      <c r="F89" s="3">
        <f>ROUND($C89/40,4)</f>
        <v/>
      </c>
      <c r="G89" s="2">
        <f>IF(IFERROR(VLOOKUP($A89,'人员清单'!$A:$B,2,FALSE),"")="intern",IF($C89&gt;40,"是","否"),IF($D89="是",IF($C89&gt;78,"是","否"),IF($C89&gt;48,"是","否")))</f>
        <v/>
      </c>
    </row>
    <row r="90">
      <c r="A90" s="2" t="inlineStr">
        <is>
          <t>Rainbow.MG.Xiao@cn.ey.com</t>
        </is>
      </c>
      <c r="B90" s="2" t="inlineStr">
        <is>
          <t>Week32 (2027.02.06)</t>
        </is>
      </c>
      <c r="C90" s="2">
        <f>SUMIFS('周排班-纵表'!$I:$I,'周排班-纵表'!$G:$G,$A90,'周排班-纵表'!$H:$H,$B90)</f>
        <v/>
      </c>
      <c r="D90" s="2">
        <f>IF(OR(MID($B90,FIND("(",$B90)+6,2)="01",MID($B90,FIND("(",$B90)+6,2)="02",MID($B90,FIND("(",$B90)+6,2)="03"),"是","否")</f>
        <v/>
      </c>
      <c r="E90" s="2">
        <f>IF(IFERROR(VLOOKUP($A90,'人员清单'!$A:$B,2,FALSE),"")="intern",40,IF($D90="是",60,40))</f>
        <v/>
      </c>
      <c r="F90" s="3">
        <f>ROUND($C90/40,4)</f>
        <v/>
      </c>
      <c r="G90" s="2">
        <f>IF(IFERROR(VLOOKUP($A90,'人员清单'!$A:$B,2,FALSE),"")="intern",IF($C90&gt;40,"是","否"),IF($D90="是",IF($C90&gt;78,"是","否"),IF($C90&gt;48,"是","否")))</f>
        <v/>
      </c>
    </row>
    <row r="91">
      <c r="A91" s="2" t="inlineStr">
        <is>
          <t>Vivi.W.Yang@cn.ey.com</t>
        </is>
      </c>
      <c r="B91" s="2" t="inlineStr">
        <is>
          <t>Week32 (2027.02.06)</t>
        </is>
      </c>
      <c r="C91" s="2">
        <f>SUMIFS('周排班-纵表'!$I:$I,'周排班-纵表'!$G:$G,$A91,'周排班-纵表'!$H:$H,$B91)</f>
        <v/>
      </c>
      <c r="D91" s="2">
        <f>IF(OR(MID($B91,FIND("(",$B91)+6,2)="01",MID($B91,FIND("(",$B91)+6,2)="02",MID($B91,FIND("(",$B91)+6,2)="03"),"是","否")</f>
        <v/>
      </c>
      <c r="E91" s="2">
        <f>IF(IFERROR(VLOOKUP($A91,'人员清单'!$A:$B,2,FALSE),"")="intern",40,IF($D91="是",60,40))</f>
        <v/>
      </c>
      <c r="F91" s="3">
        <f>ROUND($C91/40,4)</f>
        <v/>
      </c>
      <c r="G91" s="2">
        <f>IF(IFERROR(VLOOKUP($A91,'人员清单'!$A:$B,2,FALSE),"")="intern",IF($C91&gt;40,"是","否"),IF($D91="是",IF($C91&gt;78,"是","否"),IF($C91&gt;48,"是","否")))</f>
        <v/>
      </c>
    </row>
    <row r="92">
      <c r="A92" s="2" t="inlineStr">
        <is>
          <t>Yuan.Yuan.YY.Chen@cn.ey.com</t>
        </is>
      </c>
      <c r="B92" s="2" t="inlineStr">
        <is>
          <t>Week32 (2027.02.06)</t>
        </is>
      </c>
      <c r="C92" s="2">
        <f>SUMIFS('周排班-纵表'!$I:$I,'周排班-纵表'!$G:$G,$A92,'周排班-纵表'!$H:$H,$B92)</f>
        <v/>
      </c>
      <c r="D92" s="2">
        <f>IF(OR(MID($B92,FIND("(",$B92)+6,2)="01",MID($B92,FIND("(",$B92)+6,2)="02",MID($B92,FIND("(",$B92)+6,2)="03"),"是","否")</f>
        <v/>
      </c>
      <c r="E92" s="2">
        <f>IF(IFERROR(VLOOKUP($A92,'人员清单'!$A:$B,2,FALSE),"")="intern",40,IF($D92="是",60,40))</f>
        <v/>
      </c>
      <c r="F92" s="3">
        <f>ROUND($C92/40,4)</f>
        <v/>
      </c>
      <c r="G92" s="2">
        <f>IF(IFERROR(VLOOKUP($A92,'人员清单'!$A:$B,2,FALSE),"")="intern",IF($C92&gt;40,"是","否"),IF($D92="是",IF($C92&gt;78,"是","否"),IF($C92&gt;48,"是","否")))</f>
        <v/>
      </c>
    </row>
    <row r="93">
      <c r="A93" s="2" t="inlineStr">
        <is>
          <t>InternA</t>
        </is>
      </c>
      <c r="B93" s="2" t="inlineStr">
        <is>
          <t>Week33 (2027.02.13)</t>
        </is>
      </c>
      <c r="C93" s="2">
        <f>SUMIFS('周排班-纵表'!$I:$I,'周排班-纵表'!$G:$G,$A93,'周排班-纵表'!$H:$H,$B93)</f>
        <v/>
      </c>
      <c r="D93" s="2">
        <f>IF(OR(MID($B93,FIND("(",$B93)+6,2)="01",MID($B93,FIND("(",$B93)+6,2)="02",MID($B93,FIND("(",$B93)+6,2)="03"),"是","否")</f>
        <v/>
      </c>
      <c r="E93" s="2">
        <f>IF(IFERROR(VLOOKUP($A93,'人员清单'!$A:$B,2,FALSE),"")="intern",40,IF($D93="是",60,40))</f>
        <v/>
      </c>
      <c r="F93" s="3">
        <f>ROUND($C93/40,4)</f>
        <v/>
      </c>
      <c r="G93" s="2">
        <f>IF(IFERROR(VLOOKUP($A93,'人员清单'!$A:$B,2,FALSE),"")="intern",IF($C93&gt;40,"是","否"),IF($D93="是",IF($C93&gt;78,"是","否"),IF($C93&gt;48,"是","否")))</f>
        <v/>
      </c>
    </row>
    <row r="94">
      <c r="A94" s="2" t="inlineStr">
        <is>
          <t>InternB</t>
        </is>
      </c>
      <c r="B94" s="2" t="inlineStr">
        <is>
          <t>Week33 (2027.02.13)</t>
        </is>
      </c>
      <c r="C94" s="2">
        <f>SUMIFS('周排班-纵表'!$I:$I,'周排班-纵表'!$G:$G,$A94,'周排班-纵表'!$H:$H,$B94)</f>
        <v/>
      </c>
      <c r="D94" s="2">
        <f>IF(OR(MID($B94,FIND("(",$B94)+6,2)="01",MID($B94,FIND("(",$B94)+6,2)="02",MID($B94,FIND("(",$B94)+6,2)="03"),"是","否")</f>
        <v/>
      </c>
      <c r="E94" s="2">
        <f>IF(IFERROR(VLOOKUP($A94,'人员清单'!$A:$B,2,FALSE),"")="intern",40,IF($D94="是",60,40))</f>
        <v/>
      </c>
      <c r="F94" s="3">
        <f>ROUND($C94/40,4)</f>
        <v/>
      </c>
      <c r="G94" s="2">
        <f>IF(IFERROR(VLOOKUP($A94,'人员清单'!$A:$B,2,FALSE),"")="intern",IF($C94&gt;40,"是","否"),IF($D94="是",IF($C94&gt;78,"是","否"),IF($C94&gt;48,"是","否")))</f>
        <v/>
      </c>
    </row>
    <row r="95">
      <c r="A95" s="2" t="inlineStr">
        <is>
          <t>Luna.CD.Zhang@cn.ey.com</t>
        </is>
      </c>
      <c r="B95" s="2" t="inlineStr">
        <is>
          <t>Week33 (2027.02.13)</t>
        </is>
      </c>
      <c r="C95" s="2">
        <f>SUMIFS('周排班-纵表'!$I:$I,'周排班-纵表'!$G:$G,$A95,'周排班-纵表'!$H:$H,$B95)</f>
        <v/>
      </c>
      <c r="D95" s="2">
        <f>IF(OR(MID($B95,FIND("(",$B95)+6,2)="01",MID($B95,FIND("(",$B95)+6,2)="02",MID($B95,FIND("(",$B95)+6,2)="03"),"是","否")</f>
        <v/>
      </c>
      <c r="E95" s="2">
        <f>IF(IFERROR(VLOOKUP($A95,'人员清单'!$A:$B,2,FALSE),"")="intern",40,IF($D95="是",60,40))</f>
        <v/>
      </c>
      <c r="F95" s="3">
        <f>ROUND($C95/40,4)</f>
        <v/>
      </c>
      <c r="G95" s="2">
        <f>IF(IFERROR(VLOOKUP($A95,'人员清单'!$A:$B,2,FALSE),"")="intern",IF($C95&gt;40,"是","否"),IF($D95="是",IF($C95&gt;78,"是","否"),IF($C95&gt;48,"是","否")))</f>
        <v/>
      </c>
    </row>
    <row r="96">
      <c r="A96" s="2" t="inlineStr">
        <is>
          <t>Marsh.Ma@cn.ey.com</t>
        </is>
      </c>
      <c r="B96" s="2" t="inlineStr">
        <is>
          <t>Week33 (2027.02.13)</t>
        </is>
      </c>
      <c r="C96" s="2">
        <f>SUMIFS('周排班-纵表'!$I:$I,'周排班-纵表'!$G:$G,$A96,'周排班-纵表'!$H:$H,$B96)</f>
        <v/>
      </c>
      <c r="D96" s="2">
        <f>IF(OR(MID($B96,FIND("(",$B96)+6,2)="01",MID($B96,FIND("(",$B96)+6,2)="02",MID($B96,FIND("(",$B96)+6,2)="03"),"是","否")</f>
        <v/>
      </c>
      <c r="E96" s="2">
        <f>IF(IFERROR(VLOOKUP($A96,'人员清单'!$A:$B,2,FALSE),"")="intern",40,IF($D96="是",60,40))</f>
        <v/>
      </c>
      <c r="F96" s="3">
        <f>ROUND($C96/40,4)</f>
        <v/>
      </c>
      <c r="G96" s="2">
        <f>IF(IFERROR(VLOOKUP($A96,'人员清单'!$A:$B,2,FALSE),"")="intern",IF($C96&gt;40,"是","否"),IF($D96="是",IF($C96&gt;78,"是","否"),IF($C96&gt;48,"是","否")))</f>
        <v/>
      </c>
    </row>
    <row r="97">
      <c r="A97" s="2" t="inlineStr">
        <is>
          <t>Rainbow.MG.Xiao@cn.ey.com</t>
        </is>
      </c>
      <c r="B97" s="2" t="inlineStr">
        <is>
          <t>Week33 (2027.02.13)</t>
        </is>
      </c>
      <c r="C97" s="2">
        <f>SUMIFS('周排班-纵表'!$I:$I,'周排班-纵表'!$G:$G,$A97,'周排班-纵表'!$H:$H,$B97)</f>
        <v/>
      </c>
      <c r="D97" s="2">
        <f>IF(OR(MID($B97,FIND("(",$B97)+6,2)="01",MID($B97,FIND("(",$B97)+6,2)="02",MID($B97,FIND("(",$B97)+6,2)="03"),"是","否")</f>
        <v/>
      </c>
      <c r="E97" s="2">
        <f>IF(IFERROR(VLOOKUP($A97,'人员清单'!$A:$B,2,FALSE),"")="intern",40,IF($D97="是",60,40))</f>
        <v/>
      </c>
      <c r="F97" s="3">
        <f>ROUND($C97/40,4)</f>
        <v/>
      </c>
      <c r="G97" s="2">
        <f>IF(IFERROR(VLOOKUP($A97,'人员清单'!$A:$B,2,FALSE),"")="intern",IF($C97&gt;40,"是","否"),IF($D97="是",IF($C97&gt;78,"是","否"),IF($C97&gt;48,"是","否")))</f>
        <v/>
      </c>
    </row>
    <row r="98">
      <c r="A98" s="2" t="inlineStr">
        <is>
          <t>Vivi.W.Yang@cn.ey.com</t>
        </is>
      </c>
      <c r="B98" s="2" t="inlineStr">
        <is>
          <t>Week33 (2027.02.13)</t>
        </is>
      </c>
      <c r="C98" s="2">
        <f>SUMIFS('周排班-纵表'!$I:$I,'周排班-纵表'!$G:$G,$A98,'周排班-纵表'!$H:$H,$B98)</f>
        <v/>
      </c>
      <c r="D98" s="2">
        <f>IF(OR(MID($B98,FIND("(",$B98)+6,2)="01",MID($B98,FIND("(",$B98)+6,2)="02",MID($B98,FIND("(",$B98)+6,2)="03"),"是","否")</f>
        <v/>
      </c>
      <c r="E98" s="2">
        <f>IF(IFERROR(VLOOKUP($A98,'人员清单'!$A:$B,2,FALSE),"")="intern",40,IF($D98="是",60,40))</f>
        <v/>
      </c>
      <c r="F98" s="3">
        <f>ROUND($C98/40,4)</f>
        <v/>
      </c>
      <c r="G98" s="2">
        <f>IF(IFERROR(VLOOKUP($A98,'人员清单'!$A:$B,2,FALSE),"")="intern",IF($C98&gt;40,"是","否"),IF($D98="是",IF($C98&gt;78,"是","否"),IF($C98&gt;48,"是","否")))</f>
        <v/>
      </c>
    </row>
    <row r="99">
      <c r="A99" s="2" t="inlineStr">
        <is>
          <t>Yuan.Yuan.YY.Chen@cn.ey.com</t>
        </is>
      </c>
      <c r="B99" s="2" t="inlineStr">
        <is>
          <t>Week33 (2027.02.13)</t>
        </is>
      </c>
      <c r="C99" s="2">
        <f>SUMIFS('周排班-纵表'!$I:$I,'周排班-纵表'!$G:$G,$A99,'周排班-纵表'!$H:$H,$B99)</f>
        <v/>
      </c>
      <c r="D99" s="2">
        <f>IF(OR(MID($B99,FIND("(",$B99)+6,2)="01",MID($B99,FIND("(",$B99)+6,2)="02",MID($B99,FIND("(",$B99)+6,2)="03"),"是","否")</f>
        <v/>
      </c>
      <c r="E99" s="2">
        <f>IF(IFERROR(VLOOKUP($A99,'人员清单'!$A:$B,2,FALSE),"")="intern",40,IF($D99="是",60,40))</f>
        <v/>
      </c>
      <c r="F99" s="3">
        <f>ROUND($C99/40,4)</f>
        <v/>
      </c>
      <c r="G99" s="2">
        <f>IF(IFERROR(VLOOKUP($A99,'人员清单'!$A:$B,2,FALSE),"")="intern",IF($C99&gt;40,"是","否"),IF($D99="是",IF($C99&gt;78,"是","否"),IF($C99&gt;48,"是","否")))</f>
        <v/>
      </c>
    </row>
    <row r="100">
      <c r="A100" s="2" t="inlineStr">
        <is>
          <t>InternA</t>
        </is>
      </c>
      <c r="B100" s="2" t="inlineStr">
        <is>
          <t>Week34 (2027.02.20)</t>
        </is>
      </c>
      <c r="C100" s="2">
        <f>SUMIFS('周排班-纵表'!$I:$I,'周排班-纵表'!$G:$G,$A100,'周排班-纵表'!$H:$H,$B100)</f>
        <v/>
      </c>
      <c r="D100" s="2">
        <f>IF(OR(MID($B100,FIND("(",$B100)+6,2)="01",MID($B100,FIND("(",$B100)+6,2)="02",MID($B100,FIND("(",$B100)+6,2)="03"),"是","否")</f>
        <v/>
      </c>
      <c r="E100" s="2">
        <f>IF(IFERROR(VLOOKUP($A100,'人员清单'!$A:$B,2,FALSE),"")="intern",40,IF($D100="是",60,40))</f>
        <v/>
      </c>
      <c r="F100" s="3">
        <f>ROUND($C100/40,4)</f>
        <v/>
      </c>
      <c r="G100" s="2">
        <f>IF(IFERROR(VLOOKUP($A100,'人员清单'!$A:$B,2,FALSE),"")="intern",IF($C100&gt;40,"是","否"),IF($D100="是",IF($C100&gt;78,"是","否"),IF($C100&gt;48,"是","否")))</f>
        <v/>
      </c>
    </row>
    <row r="101">
      <c r="A101" s="2" t="inlineStr">
        <is>
          <t>InternB</t>
        </is>
      </c>
      <c r="B101" s="2" t="inlineStr">
        <is>
          <t>Week34 (2027.02.20)</t>
        </is>
      </c>
      <c r="C101" s="2">
        <f>SUMIFS('周排班-纵表'!$I:$I,'周排班-纵表'!$G:$G,$A101,'周排班-纵表'!$H:$H,$B101)</f>
        <v/>
      </c>
      <c r="D101" s="2">
        <f>IF(OR(MID($B101,FIND("(",$B101)+6,2)="01",MID($B101,FIND("(",$B101)+6,2)="02",MID($B101,FIND("(",$B101)+6,2)="03"),"是","否")</f>
        <v/>
      </c>
      <c r="E101" s="2">
        <f>IF(IFERROR(VLOOKUP($A101,'人员清单'!$A:$B,2,FALSE),"")="intern",40,IF($D101="是",60,40))</f>
        <v/>
      </c>
      <c r="F101" s="3">
        <f>ROUND($C101/40,4)</f>
        <v/>
      </c>
      <c r="G101" s="2">
        <f>IF(IFERROR(VLOOKUP($A101,'人员清单'!$A:$B,2,FALSE),"")="intern",IF($C101&gt;40,"是","否"),IF($D101="是",IF($C101&gt;78,"是","否"),IF($C101&gt;48,"是","否")))</f>
        <v/>
      </c>
    </row>
    <row r="102">
      <c r="A102" s="2" t="inlineStr">
        <is>
          <t>Luna.CD.Zhang@cn.ey.com</t>
        </is>
      </c>
      <c r="B102" s="2" t="inlineStr">
        <is>
          <t>Week34 (2027.02.20)</t>
        </is>
      </c>
      <c r="C102" s="2">
        <f>SUMIFS('周排班-纵表'!$I:$I,'周排班-纵表'!$G:$G,$A102,'周排班-纵表'!$H:$H,$B102)</f>
        <v/>
      </c>
      <c r="D102" s="2">
        <f>IF(OR(MID($B102,FIND("(",$B102)+6,2)="01",MID($B102,FIND("(",$B102)+6,2)="02",MID($B102,FIND("(",$B102)+6,2)="03"),"是","否")</f>
        <v/>
      </c>
      <c r="E102" s="2">
        <f>IF(IFERROR(VLOOKUP($A102,'人员清单'!$A:$B,2,FALSE),"")="intern",40,IF($D102="是",60,40))</f>
        <v/>
      </c>
      <c r="F102" s="3">
        <f>ROUND($C102/40,4)</f>
        <v/>
      </c>
      <c r="G102" s="2">
        <f>IF(IFERROR(VLOOKUP($A102,'人员清单'!$A:$B,2,FALSE),"")="intern",IF($C102&gt;40,"是","否"),IF($D102="是",IF($C102&gt;78,"是","否"),IF($C102&gt;48,"是","否")))</f>
        <v/>
      </c>
    </row>
    <row r="103">
      <c r="A103" s="2" t="inlineStr">
        <is>
          <t>Marsh.Ma@cn.ey.com</t>
        </is>
      </c>
      <c r="B103" s="2" t="inlineStr">
        <is>
          <t>Week34 (2027.02.20)</t>
        </is>
      </c>
      <c r="C103" s="2">
        <f>SUMIFS('周排班-纵表'!$I:$I,'周排班-纵表'!$G:$G,$A103,'周排班-纵表'!$H:$H,$B103)</f>
        <v/>
      </c>
      <c r="D103" s="2">
        <f>IF(OR(MID($B103,FIND("(",$B103)+6,2)="01",MID($B103,FIND("(",$B103)+6,2)="02",MID($B103,FIND("(",$B103)+6,2)="03"),"是","否")</f>
        <v/>
      </c>
      <c r="E103" s="2">
        <f>IF(IFERROR(VLOOKUP($A103,'人员清单'!$A:$B,2,FALSE),"")="intern",40,IF($D103="是",60,40))</f>
        <v/>
      </c>
      <c r="F103" s="3">
        <f>ROUND($C103/40,4)</f>
        <v/>
      </c>
      <c r="G103" s="2">
        <f>IF(IFERROR(VLOOKUP($A103,'人员清单'!$A:$B,2,FALSE),"")="intern",IF($C103&gt;40,"是","否"),IF($D103="是",IF($C103&gt;78,"是","否"),IF($C103&gt;48,"是","否")))</f>
        <v/>
      </c>
    </row>
    <row r="104">
      <c r="A104" s="2" t="inlineStr">
        <is>
          <t>Rainbow.MG.Xiao@cn.ey.com</t>
        </is>
      </c>
      <c r="B104" s="2" t="inlineStr">
        <is>
          <t>Week34 (2027.02.20)</t>
        </is>
      </c>
      <c r="C104" s="2">
        <f>SUMIFS('周排班-纵表'!$I:$I,'周排班-纵表'!$G:$G,$A104,'周排班-纵表'!$H:$H,$B104)</f>
        <v/>
      </c>
      <c r="D104" s="2">
        <f>IF(OR(MID($B104,FIND("(",$B104)+6,2)="01",MID($B104,FIND("(",$B104)+6,2)="02",MID($B104,FIND("(",$B104)+6,2)="03"),"是","否")</f>
        <v/>
      </c>
      <c r="E104" s="2">
        <f>IF(IFERROR(VLOOKUP($A104,'人员清单'!$A:$B,2,FALSE),"")="intern",40,IF($D104="是",60,40))</f>
        <v/>
      </c>
      <c r="F104" s="3">
        <f>ROUND($C104/40,4)</f>
        <v/>
      </c>
      <c r="G104" s="2">
        <f>IF(IFERROR(VLOOKUP($A104,'人员清单'!$A:$B,2,FALSE),"")="intern",IF($C104&gt;40,"是","否"),IF($D104="是",IF($C104&gt;78,"是","否"),IF($C104&gt;48,"是","否")))</f>
        <v/>
      </c>
    </row>
    <row r="105">
      <c r="A105" s="2" t="inlineStr">
        <is>
          <t>Vivi.W.Yang@cn.ey.com</t>
        </is>
      </c>
      <c r="B105" s="2" t="inlineStr">
        <is>
          <t>Week34 (2027.02.20)</t>
        </is>
      </c>
      <c r="C105" s="2">
        <f>SUMIFS('周排班-纵表'!$I:$I,'周排班-纵表'!$G:$G,$A105,'周排班-纵表'!$H:$H,$B105)</f>
        <v/>
      </c>
      <c r="D105" s="2">
        <f>IF(OR(MID($B105,FIND("(",$B105)+6,2)="01",MID($B105,FIND("(",$B105)+6,2)="02",MID($B105,FIND("(",$B105)+6,2)="03"),"是","否")</f>
        <v/>
      </c>
      <c r="E105" s="2">
        <f>IF(IFERROR(VLOOKUP($A105,'人员清单'!$A:$B,2,FALSE),"")="intern",40,IF($D105="是",60,40))</f>
        <v/>
      </c>
      <c r="F105" s="3">
        <f>ROUND($C105/40,4)</f>
        <v/>
      </c>
      <c r="G105" s="2">
        <f>IF(IFERROR(VLOOKUP($A105,'人员清单'!$A:$B,2,FALSE),"")="intern",IF($C105&gt;40,"是","否"),IF($D105="是",IF($C105&gt;78,"是","否"),IF($C105&gt;48,"是","否")))</f>
        <v/>
      </c>
    </row>
    <row r="106">
      <c r="A106" s="2" t="inlineStr">
        <is>
          <t>Yuan.Yuan.YY.Chen@cn.ey.com</t>
        </is>
      </c>
      <c r="B106" s="2" t="inlineStr">
        <is>
          <t>Week34 (2027.02.20)</t>
        </is>
      </c>
      <c r="C106" s="2">
        <f>SUMIFS('周排班-纵表'!$I:$I,'周排班-纵表'!$G:$G,$A106,'周排班-纵表'!$H:$H,$B106)</f>
        <v/>
      </c>
      <c r="D106" s="2">
        <f>IF(OR(MID($B106,FIND("(",$B106)+6,2)="01",MID($B106,FIND("(",$B106)+6,2)="02",MID($B106,FIND("(",$B106)+6,2)="03"),"是","否")</f>
        <v/>
      </c>
      <c r="E106" s="2">
        <f>IF(IFERROR(VLOOKUP($A106,'人员清单'!$A:$B,2,FALSE),"")="intern",40,IF($D106="是",60,40))</f>
        <v/>
      </c>
      <c r="F106" s="3">
        <f>ROUND($C106/40,4)</f>
        <v/>
      </c>
      <c r="G106" s="2">
        <f>IF(IFERROR(VLOOKUP($A106,'人员清单'!$A:$B,2,FALSE),"")="intern",IF($C106&gt;40,"是","否"),IF($D106="是",IF($C106&gt;78,"是","否"),IF($C106&gt;48,"是","否")))</f>
        <v/>
      </c>
    </row>
    <row r="107">
      <c r="A107" s="2" t="inlineStr">
        <is>
          <t>InternA</t>
        </is>
      </c>
      <c r="B107" s="2" t="inlineStr">
        <is>
          <t>Week35 (2027.02.27)</t>
        </is>
      </c>
      <c r="C107" s="2">
        <f>SUMIFS('周排班-纵表'!$I:$I,'周排班-纵表'!$G:$G,$A107,'周排班-纵表'!$H:$H,$B107)</f>
        <v/>
      </c>
      <c r="D107" s="2">
        <f>IF(OR(MID($B107,FIND("(",$B107)+6,2)="01",MID($B107,FIND("(",$B107)+6,2)="02",MID($B107,FIND("(",$B107)+6,2)="03"),"是","否")</f>
        <v/>
      </c>
      <c r="E107" s="2">
        <f>IF(IFERROR(VLOOKUP($A107,'人员清单'!$A:$B,2,FALSE),"")="intern",40,IF($D107="是",60,40))</f>
        <v/>
      </c>
      <c r="F107" s="3">
        <f>ROUND($C107/40,4)</f>
        <v/>
      </c>
      <c r="G107" s="2">
        <f>IF(IFERROR(VLOOKUP($A107,'人员清单'!$A:$B,2,FALSE),"")="intern",IF($C107&gt;40,"是","否"),IF($D107="是",IF($C107&gt;78,"是","否"),IF($C107&gt;48,"是","否")))</f>
        <v/>
      </c>
    </row>
    <row r="108">
      <c r="A108" s="2" t="inlineStr">
        <is>
          <t>InternB</t>
        </is>
      </c>
      <c r="B108" s="2" t="inlineStr">
        <is>
          <t>Week35 (2027.02.27)</t>
        </is>
      </c>
      <c r="C108" s="2">
        <f>SUMIFS('周排班-纵表'!$I:$I,'周排班-纵表'!$G:$G,$A108,'周排班-纵表'!$H:$H,$B108)</f>
        <v/>
      </c>
      <c r="D108" s="2">
        <f>IF(OR(MID($B108,FIND("(",$B108)+6,2)="01",MID($B108,FIND("(",$B108)+6,2)="02",MID($B108,FIND("(",$B108)+6,2)="03"),"是","否")</f>
        <v/>
      </c>
      <c r="E108" s="2">
        <f>IF(IFERROR(VLOOKUP($A108,'人员清单'!$A:$B,2,FALSE),"")="intern",40,IF($D108="是",60,40))</f>
        <v/>
      </c>
      <c r="F108" s="3">
        <f>ROUND($C108/40,4)</f>
        <v/>
      </c>
      <c r="G108" s="2">
        <f>IF(IFERROR(VLOOKUP($A108,'人员清单'!$A:$B,2,FALSE),"")="intern",IF($C108&gt;40,"是","否"),IF($D108="是",IF($C108&gt;78,"是","否"),IF($C108&gt;48,"是","否")))</f>
        <v/>
      </c>
    </row>
    <row r="109">
      <c r="A109" s="2" t="inlineStr">
        <is>
          <t>Luna.CD.Zhang@cn.ey.com</t>
        </is>
      </c>
      <c r="B109" s="2" t="inlineStr">
        <is>
          <t>Week35 (2027.02.27)</t>
        </is>
      </c>
      <c r="C109" s="2">
        <f>SUMIFS('周排班-纵表'!$I:$I,'周排班-纵表'!$G:$G,$A109,'周排班-纵表'!$H:$H,$B109)</f>
        <v/>
      </c>
      <c r="D109" s="2">
        <f>IF(OR(MID($B109,FIND("(",$B109)+6,2)="01",MID($B109,FIND("(",$B109)+6,2)="02",MID($B109,FIND("(",$B109)+6,2)="03"),"是","否")</f>
        <v/>
      </c>
      <c r="E109" s="2">
        <f>IF(IFERROR(VLOOKUP($A109,'人员清单'!$A:$B,2,FALSE),"")="intern",40,IF($D109="是",60,40))</f>
        <v/>
      </c>
      <c r="F109" s="3">
        <f>ROUND($C109/40,4)</f>
        <v/>
      </c>
      <c r="G109" s="2">
        <f>IF(IFERROR(VLOOKUP($A109,'人员清单'!$A:$B,2,FALSE),"")="intern",IF($C109&gt;40,"是","否"),IF($D109="是",IF($C109&gt;78,"是","否"),IF($C109&gt;48,"是","否")))</f>
        <v/>
      </c>
    </row>
    <row r="110">
      <c r="A110" s="2" t="inlineStr">
        <is>
          <t>Marsh.Ma@cn.ey.com</t>
        </is>
      </c>
      <c r="B110" s="2" t="inlineStr">
        <is>
          <t>Week35 (2027.02.27)</t>
        </is>
      </c>
      <c r="C110" s="2">
        <f>SUMIFS('周排班-纵表'!$I:$I,'周排班-纵表'!$G:$G,$A110,'周排班-纵表'!$H:$H,$B110)</f>
        <v/>
      </c>
      <c r="D110" s="2">
        <f>IF(OR(MID($B110,FIND("(",$B110)+6,2)="01",MID($B110,FIND("(",$B110)+6,2)="02",MID($B110,FIND("(",$B110)+6,2)="03"),"是","否")</f>
        <v/>
      </c>
      <c r="E110" s="2">
        <f>IF(IFERROR(VLOOKUP($A110,'人员清单'!$A:$B,2,FALSE),"")="intern",40,IF($D110="是",60,40))</f>
        <v/>
      </c>
      <c r="F110" s="3">
        <f>ROUND($C110/40,4)</f>
        <v/>
      </c>
      <c r="G110" s="2">
        <f>IF(IFERROR(VLOOKUP($A110,'人员清单'!$A:$B,2,FALSE),"")="intern",IF($C110&gt;40,"是","否"),IF($D110="是",IF($C110&gt;78,"是","否"),IF($C110&gt;48,"是","否")))</f>
        <v/>
      </c>
    </row>
    <row r="111">
      <c r="A111" s="2" t="inlineStr">
        <is>
          <t>Rainbow.MG.Xiao@cn.ey.com</t>
        </is>
      </c>
      <c r="B111" s="2" t="inlineStr">
        <is>
          <t>Week35 (2027.02.27)</t>
        </is>
      </c>
      <c r="C111" s="2">
        <f>SUMIFS('周排班-纵表'!$I:$I,'周排班-纵表'!$G:$G,$A111,'周排班-纵表'!$H:$H,$B111)</f>
        <v/>
      </c>
      <c r="D111" s="2">
        <f>IF(OR(MID($B111,FIND("(",$B111)+6,2)="01",MID($B111,FIND("(",$B111)+6,2)="02",MID($B111,FIND("(",$B111)+6,2)="03"),"是","否")</f>
        <v/>
      </c>
      <c r="E111" s="2">
        <f>IF(IFERROR(VLOOKUP($A111,'人员清单'!$A:$B,2,FALSE),"")="intern",40,IF($D111="是",60,40))</f>
        <v/>
      </c>
      <c r="F111" s="3">
        <f>ROUND($C111/40,4)</f>
        <v/>
      </c>
      <c r="G111" s="2">
        <f>IF(IFERROR(VLOOKUP($A111,'人员清单'!$A:$B,2,FALSE),"")="intern",IF($C111&gt;40,"是","否"),IF($D111="是",IF($C111&gt;78,"是","否"),IF($C111&gt;48,"是","否")))</f>
        <v/>
      </c>
    </row>
    <row r="112">
      <c r="A112" s="2" t="inlineStr">
        <is>
          <t>Vivi.W.Yang@cn.ey.com</t>
        </is>
      </c>
      <c r="B112" s="2" t="inlineStr">
        <is>
          <t>Week35 (2027.02.27)</t>
        </is>
      </c>
      <c r="C112" s="2">
        <f>SUMIFS('周排班-纵表'!$I:$I,'周排班-纵表'!$G:$G,$A112,'周排班-纵表'!$H:$H,$B112)</f>
        <v/>
      </c>
      <c r="D112" s="2">
        <f>IF(OR(MID($B112,FIND("(",$B112)+6,2)="01",MID($B112,FIND("(",$B112)+6,2)="02",MID($B112,FIND("(",$B112)+6,2)="03"),"是","否")</f>
        <v/>
      </c>
      <c r="E112" s="2">
        <f>IF(IFERROR(VLOOKUP($A112,'人员清单'!$A:$B,2,FALSE),"")="intern",40,IF($D112="是",60,40))</f>
        <v/>
      </c>
      <c r="F112" s="3">
        <f>ROUND($C112/40,4)</f>
        <v/>
      </c>
      <c r="G112" s="2">
        <f>IF(IFERROR(VLOOKUP($A112,'人员清单'!$A:$B,2,FALSE),"")="intern",IF($C112&gt;40,"是","否"),IF($D112="是",IF($C112&gt;78,"是","否"),IF($C112&gt;48,"是","否")))</f>
        <v/>
      </c>
    </row>
    <row r="113">
      <c r="A113" s="2" t="inlineStr">
        <is>
          <t>Yuan.Yuan.YY.Chen@cn.ey.com</t>
        </is>
      </c>
      <c r="B113" s="2" t="inlineStr">
        <is>
          <t>Week35 (2027.02.27)</t>
        </is>
      </c>
      <c r="C113" s="2">
        <f>SUMIFS('周排班-纵表'!$I:$I,'周排班-纵表'!$G:$G,$A113,'周排班-纵表'!$H:$H,$B113)</f>
        <v/>
      </c>
      <c r="D113" s="2">
        <f>IF(OR(MID($B113,FIND("(",$B113)+6,2)="01",MID($B113,FIND("(",$B113)+6,2)="02",MID($B113,FIND("(",$B113)+6,2)="03"),"是","否")</f>
        <v/>
      </c>
      <c r="E113" s="2">
        <f>IF(IFERROR(VLOOKUP($A113,'人员清单'!$A:$B,2,FALSE),"")="intern",40,IF($D113="是",60,40))</f>
        <v/>
      </c>
      <c r="F113" s="3">
        <f>ROUND($C113/40,4)</f>
        <v/>
      </c>
      <c r="G113" s="2">
        <f>IF(IFERROR(VLOOKUP($A113,'人员清单'!$A:$B,2,FALSE),"")="intern",IF($C113&gt;40,"是","否"),IF($D113="是",IF($C113&gt;78,"是","否"),IF($C113&gt;48,"是","否")))</f>
        <v/>
      </c>
    </row>
    <row r="114">
      <c r="A114" s="2" t="inlineStr">
        <is>
          <t>Luna.CD.Zhang@cn.ey.com</t>
        </is>
      </c>
      <c r="B114" s="2" t="inlineStr">
        <is>
          <t>Week36 (2027.03.06)</t>
        </is>
      </c>
      <c r="C114" s="2">
        <f>SUMIFS('周排班-纵表'!$I:$I,'周排班-纵表'!$G:$G,$A114,'周排班-纵表'!$H:$H,$B114)</f>
        <v/>
      </c>
      <c r="D114" s="2">
        <f>IF(OR(MID($B114,FIND("(",$B114)+6,2)="01",MID($B114,FIND("(",$B114)+6,2)="02",MID($B114,FIND("(",$B114)+6,2)="03"),"是","否")</f>
        <v/>
      </c>
      <c r="E114" s="2">
        <f>IF(IFERROR(VLOOKUP($A114,'人员清单'!$A:$B,2,FALSE),"")="intern",40,IF($D114="是",60,40))</f>
        <v/>
      </c>
      <c r="F114" s="3">
        <f>ROUND($C114/40,4)</f>
        <v/>
      </c>
      <c r="G114" s="2">
        <f>IF(IFERROR(VLOOKUP($A114,'人员清单'!$A:$B,2,FALSE),"")="intern",IF($C114&gt;40,"是","否"),IF($D114="是",IF($C114&gt;78,"是","否"),IF($C114&gt;48,"是","否")))</f>
        <v/>
      </c>
    </row>
    <row r="115">
      <c r="A115" s="2" t="inlineStr">
        <is>
          <t>Marsh.Ma@cn.ey.com</t>
        </is>
      </c>
      <c r="B115" s="2" t="inlineStr">
        <is>
          <t>Week36 (2027.03.06)</t>
        </is>
      </c>
      <c r="C115" s="2">
        <f>SUMIFS('周排班-纵表'!$I:$I,'周排班-纵表'!$G:$G,$A115,'周排班-纵表'!$H:$H,$B115)</f>
        <v/>
      </c>
      <c r="D115" s="2">
        <f>IF(OR(MID($B115,FIND("(",$B115)+6,2)="01",MID($B115,FIND("(",$B115)+6,2)="02",MID($B115,FIND("(",$B115)+6,2)="03"),"是","否")</f>
        <v/>
      </c>
      <c r="E115" s="2">
        <f>IF(IFERROR(VLOOKUP($A115,'人员清单'!$A:$B,2,FALSE),"")="intern",40,IF($D115="是",60,40))</f>
        <v/>
      </c>
      <c r="F115" s="3">
        <f>ROUND($C115/40,4)</f>
        <v/>
      </c>
      <c r="G115" s="2">
        <f>IF(IFERROR(VLOOKUP($A115,'人员清单'!$A:$B,2,FALSE),"")="intern",IF($C115&gt;40,"是","否"),IF($D115="是",IF($C115&gt;78,"是","否"),IF($C115&gt;48,"是","否")))</f>
        <v/>
      </c>
    </row>
    <row r="116">
      <c r="A116" s="2" t="inlineStr">
        <is>
          <t>Rainbow.MG.Xiao@cn.ey.com</t>
        </is>
      </c>
      <c r="B116" s="2" t="inlineStr">
        <is>
          <t>Week36 (2027.03.06)</t>
        </is>
      </c>
      <c r="C116" s="2">
        <f>SUMIFS('周排班-纵表'!$I:$I,'周排班-纵表'!$G:$G,$A116,'周排班-纵表'!$H:$H,$B116)</f>
        <v/>
      </c>
      <c r="D116" s="2">
        <f>IF(OR(MID($B116,FIND("(",$B116)+6,2)="01",MID($B116,FIND("(",$B116)+6,2)="02",MID($B116,FIND("(",$B116)+6,2)="03"),"是","否")</f>
        <v/>
      </c>
      <c r="E116" s="2">
        <f>IF(IFERROR(VLOOKUP($A116,'人员清单'!$A:$B,2,FALSE),"")="intern",40,IF($D116="是",60,40))</f>
        <v/>
      </c>
      <c r="F116" s="3">
        <f>ROUND($C116/40,4)</f>
        <v/>
      </c>
      <c r="G116" s="2">
        <f>IF(IFERROR(VLOOKUP($A116,'人员清单'!$A:$B,2,FALSE),"")="intern",IF($C116&gt;40,"是","否"),IF($D116="是",IF($C116&gt;78,"是","否"),IF($C116&gt;48,"是","否")))</f>
        <v/>
      </c>
    </row>
    <row r="117">
      <c r="A117" s="2" t="inlineStr">
        <is>
          <t>Vivi.W.Yang@cn.ey.com</t>
        </is>
      </c>
      <c r="B117" s="2" t="inlineStr">
        <is>
          <t>Week36 (2027.03.06)</t>
        </is>
      </c>
      <c r="C117" s="2">
        <f>SUMIFS('周排班-纵表'!$I:$I,'周排班-纵表'!$G:$G,$A117,'周排班-纵表'!$H:$H,$B117)</f>
        <v/>
      </c>
      <c r="D117" s="2">
        <f>IF(OR(MID($B117,FIND("(",$B117)+6,2)="01",MID($B117,FIND("(",$B117)+6,2)="02",MID($B117,FIND("(",$B117)+6,2)="03"),"是","否")</f>
        <v/>
      </c>
      <c r="E117" s="2">
        <f>IF(IFERROR(VLOOKUP($A117,'人员清单'!$A:$B,2,FALSE),"")="intern",40,IF($D117="是",60,40))</f>
        <v/>
      </c>
      <c r="F117" s="3">
        <f>ROUND($C117/40,4)</f>
        <v/>
      </c>
      <c r="G117" s="2">
        <f>IF(IFERROR(VLOOKUP($A117,'人员清单'!$A:$B,2,FALSE),"")="intern",IF($C117&gt;40,"是","否"),IF($D117="是",IF($C117&gt;78,"是","否"),IF($C117&gt;48,"是","否")))</f>
        <v/>
      </c>
    </row>
    <row r="118">
      <c r="A118" s="2" t="inlineStr">
        <is>
          <t>Yuan.Yuan.YY.Chen@cn.ey.com</t>
        </is>
      </c>
      <c r="B118" s="2" t="inlineStr">
        <is>
          <t>Week36 (2027.03.06)</t>
        </is>
      </c>
      <c r="C118" s="2">
        <f>SUMIFS('周排班-纵表'!$I:$I,'周排班-纵表'!$G:$G,$A118,'周排班-纵表'!$H:$H,$B118)</f>
        <v/>
      </c>
      <c r="D118" s="2">
        <f>IF(OR(MID($B118,FIND("(",$B118)+6,2)="01",MID($B118,FIND("(",$B118)+6,2)="02",MID($B118,FIND("(",$B118)+6,2)="03"),"是","否")</f>
        <v/>
      </c>
      <c r="E118" s="2">
        <f>IF(IFERROR(VLOOKUP($A118,'人员清单'!$A:$B,2,FALSE),"")="intern",40,IF($D118="是",60,40))</f>
        <v/>
      </c>
      <c r="F118" s="3">
        <f>ROUND($C118/40,4)</f>
        <v/>
      </c>
      <c r="G118" s="2">
        <f>IF(IFERROR(VLOOKUP($A118,'人员清单'!$A:$B,2,FALSE),"")="intern",IF($C118&gt;40,"是","否"),IF($D118="是",IF($C118&gt;78,"是","否"),IF($C118&gt;48,"是","否")))</f>
        <v/>
      </c>
    </row>
    <row r="119">
      <c r="A119" s="2" t="inlineStr">
        <is>
          <t>Luna.CD.Zhang@cn.ey.com</t>
        </is>
      </c>
      <c r="B119" s="2" t="inlineStr">
        <is>
          <t>Week37 (2027.03.13)</t>
        </is>
      </c>
      <c r="C119" s="2">
        <f>SUMIFS('周排班-纵表'!$I:$I,'周排班-纵表'!$G:$G,$A119,'周排班-纵表'!$H:$H,$B119)</f>
        <v/>
      </c>
      <c r="D119" s="2">
        <f>IF(OR(MID($B119,FIND("(",$B119)+6,2)="01",MID($B119,FIND("(",$B119)+6,2)="02",MID($B119,FIND("(",$B119)+6,2)="03"),"是","否")</f>
        <v/>
      </c>
      <c r="E119" s="2">
        <f>IF(IFERROR(VLOOKUP($A119,'人员清单'!$A:$B,2,FALSE),"")="intern",40,IF($D119="是",60,40))</f>
        <v/>
      </c>
      <c r="F119" s="3">
        <f>ROUND($C119/40,4)</f>
        <v/>
      </c>
      <c r="G119" s="2">
        <f>IF(IFERROR(VLOOKUP($A119,'人员清单'!$A:$B,2,FALSE),"")="intern",IF($C119&gt;40,"是","否"),IF($D119="是",IF($C119&gt;78,"是","否"),IF($C119&gt;48,"是","否")))</f>
        <v/>
      </c>
    </row>
    <row r="120">
      <c r="A120" s="2" t="inlineStr">
        <is>
          <t>Marsh.Ma@cn.ey.com</t>
        </is>
      </c>
      <c r="B120" s="2" t="inlineStr">
        <is>
          <t>Week37 (2027.03.13)</t>
        </is>
      </c>
      <c r="C120" s="2">
        <f>SUMIFS('周排班-纵表'!$I:$I,'周排班-纵表'!$G:$G,$A120,'周排班-纵表'!$H:$H,$B120)</f>
        <v/>
      </c>
      <c r="D120" s="2">
        <f>IF(OR(MID($B120,FIND("(",$B120)+6,2)="01",MID($B120,FIND("(",$B120)+6,2)="02",MID($B120,FIND("(",$B120)+6,2)="03"),"是","否")</f>
        <v/>
      </c>
      <c r="E120" s="2">
        <f>IF(IFERROR(VLOOKUP($A120,'人员清单'!$A:$B,2,FALSE),"")="intern",40,IF($D120="是",60,40))</f>
        <v/>
      </c>
      <c r="F120" s="3">
        <f>ROUND($C120/40,4)</f>
        <v/>
      </c>
      <c r="G120" s="2">
        <f>IF(IFERROR(VLOOKUP($A120,'人员清单'!$A:$B,2,FALSE),"")="intern",IF($C120&gt;40,"是","否"),IF($D120="是",IF($C120&gt;78,"是","否"),IF($C120&gt;48,"是","否")))</f>
        <v/>
      </c>
    </row>
    <row r="121">
      <c r="A121" s="2" t="inlineStr">
        <is>
          <t>Rainbow.MG.Xiao@cn.ey.com</t>
        </is>
      </c>
      <c r="B121" s="2" t="inlineStr">
        <is>
          <t>Week37 (2027.03.13)</t>
        </is>
      </c>
      <c r="C121" s="2">
        <f>SUMIFS('周排班-纵表'!$I:$I,'周排班-纵表'!$G:$G,$A121,'周排班-纵表'!$H:$H,$B121)</f>
        <v/>
      </c>
      <c r="D121" s="2">
        <f>IF(OR(MID($B121,FIND("(",$B121)+6,2)="01",MID($B121,FIND("(",$B121)+6,2)="02",MID($B121,FIND("(",$B121)+6,2)="03"),"是","否")</f>
        <v/>
      </c>
      <c r="E121" s="2">
        <f>IF(IFERROR(VLOOKUP($A121,'人员清单'!$A:$B,2,FALSE),"")="intern",40,IF($D121="是",60,40))</f>
        <v/>
      </c>
      <c r="F121" s="3">
        <f>ROUND($C121/40,4)</f>
        <v/>
      </c>
      <c r="G121" s="2">
        <f>IF(IFERROR(VLOOKUP($A121,'人员清单'!$A:$B,2,FALSE),"")="intern",IF($C121&gt;40,"是","否"),IF($D121="是",IF($C121&gt;78,"是","否"),IF($C121&gt;48,"是","否")))</f>
        <v/>
      </c>
    </row>
    <row r="122">
      <c r="A122" s="2" t="inlineStr">
        <is>
          <t>Vivi.W.Yang@cn.ey.com</t>
        </is>
      </c>
      <c r="B122" s="2" t="inlineStr">
        <is>
          <t>Week37 (2027.03.13)</t>
        </is>
      </c>
      <c r="C122" s="2">
        <f>SUMIFS('周排班-纵表'!$I:$I,'周排班-纵表'!$G:$G,$A122,'周排班-纵表'!$H:$H,$B122)</f>
        <v/>
      </c>
      <c r="D122" s="2">
        <f>IF(OR(MID($B122,FIND("(",$B122)+6,2)="01",MID($B122,FIND("(",$B122)+6,2)="02",MID($B122,FIND("(",$B122)+6,2)="03"),"是","否")</f>
        <v/>
      </c>
      <c r="E122" s="2">
        <f>IF(IFERROR(VLOOKUP($A122,'人员清单'!$A:$B,2,FALSE),"")="intern",40,IF($D122="是",60,40))</f>
        <v/>
      </c>
      <c r="F122" s="3">
        <f>ROUND($C122/40,4)</f>
        <v/>
      </c>
      <c r="G122" s="2">
        <f>IF(IFERROR(VLOOKUP($A122,'人员清单'!$A:$B,2,FALSE),"")="intern",IF($C122&gt;40,"是","否"),IF($D122="是",IF($C122&gt;78,"是","否"),IF($C122&gt;48,"是","否")))</f>
        <v/>
      </c>
    </row>
    <row r="123">
      <c r="A123" s="2" t="inlineStr">
        <is>
          <t>Yuan.Yuan.YY.Chen@cn.ey.com</t>
        </is>
      </c>
      <c r="B123" s="2" t="inlineStr">
        <is>
          <t>Week37 (2027.03.13)</t>
        </is>
      </c>
      <c r="C123" s="2">
        <f>SUMIFS('周排班-纵表'!$I:$I,'周排班-纵表'!$G:$G,$A123,'周排班-纵表'!$H:$H,$B123)</f>
        <v/>
      </c>
      <c r="D123" s="2">
        <f>IF(OR(MID($B123,FIND("(",$B123)+6,2)="01",MID($B123,FIND("(",$B123)+6,2)="02",MID($B123,FIND("(",$B123)+6,2)="03"),"是","否")</f>
        <v/>
      </c>
      <c r="E123" s="2">
        <f>IF(IFERROR(VLOOKUP($A123,'人员清单'!$A:$B,2,FALSE),"")="intern",40,IF($D123="是",60,40))</f>
        <v/>
      </c>
      <c r="F123" s="3">
        <f>ROUND($C123/40,4)</f>
        <v/>
      </c>
      <c r="G123" s="2">
        <f>IF(IFERROR(VLOOKUP($A123,'人员清单'!$A:$B,2,FALSE),"")="intern",IF($C123&gt;40,"是","否"),IF($D123="是",IF($C123&gt;78,"是","否"),IF($C123&gt;48,"是","否")))</f>
        <v/>
      </c>
    </row>
    <row r="124">
      <c r="A124" s="2" t="inlineStr">
        <is>
          <t>Luna.CD.Zhang@cn.ey.com</t>
        </is>
      </c>
      <c r="B124" s="2" t="inlineStr">
        <is>
          <t>Week38 (2027.03.20)</t>
        </is>
      </c>
      <c r="C124" s="2">
        <f>SUMIFS('周排班-纵表'!$I:$I,'周排班-纵表'!$G:$G,$A124,'周排班-纵表'!$H:$H,$B124)</f>
        <v/>
      </c>
      <c r="D124" s="2">
        <f>IF(OR(MID($B124,FIND("(",$B124)+6,2)="01",MID($B124,FIND("(",$B124)+6,2)="02",MID($B124,FIND("(",$B124)+6,2)="03"),"是","否")</f>
        <v/>
      </c>
      <c r="E124" s="2">
        <f>IF(IFERROR(VLOOKUP($A124,'人员清单'!$A:$B,2,FALSE),"")="intern",40,IF($D124="是",60,40))</f>
        <v/>
      </c>
      <c r="F124" s="3">
        <f>ROUND($C124/40,4)</f>
        <v/>
      </c>
      <c r="G124" s="2">
        <f>IF(IFERROR(VLOOKUP($A124,'人员清单'!$A:$B,2,FALSE),"")="intern",IF($C124&gt;40,"是","否"),IF($D124="是",IF($C124&gt;78,"是","否"),IF($C124&gt;48,"是","否")))</f>
        <v/>
      </c>
    </row>
    <row r="125">
      <c r="A125" s="2" t="inlineStr">
        <is>
          <t>Marsh.Ma@cn.ey.com</t>
        </is>
      </c>
      <c r="B125" s="2" t="inlineStr">
        <is>
          <t>Week38 (2027.03.20)</t>
        </is>
      </c>
      <c r="C125" s="2">
        <f>SUMIFS('周排班-纵表'!$I:$I,'周排班-纵表'!$G:$G,$A125,'周排班-纵表'!$H:$H,$B125)</f>
        <v/>
      </c>
      <c r="D125" s="2">
        <f>IF(OR(MID($B125,FIND("(",$B125)+6,2)="01",MID($B125,FIND("(",$B125)+6,2)="02",MID($B125,FIND("(",$B125)+6,2)="03"),"是","否")</f>
        <v/>
      </c>
      <c r="E125" s="2">
        <f>IF(IFERROR(VLOOKUP($A125,'人员清单'!$A:$B,2,FALSE),"")="intern",40,IF($D125="是",60,40))</f>
        <v/>
      </c>
      <c r="F125" s="3">
        <f>ROUND($C125/40,4)</f>
        <v/>
      </c>
      <c r="G125" s="2">
        <f>IF(IFERROR(VLOOKUP($A125,'人员清单'!$A:$B,2,FALSE),"")="intern",IF($C125&gt;40,"是","否"),IF($D125="是",IF($C125&gt;78,"是","否"),IF($C125&gt;48,"是","否")))</f>
        <v/>
      </c>
    </row>
    <row r="126">
      <c r="A126" s="2" t="inlineStr">
        <is>
          <t>Rainbow.MG.Xiao@cn.ey.com</t>
        </is>
      </c>
      <c r="B126" s="2" t="inlineStr">
        <is>
          <t>Week38 (2027.03.20)</t>
        </is>
      </c>
      <c r="C126" s="2">
        <f>SUMIFS('周排班-纵表'!$I:$I,'周排班-纵表'!$G:$G,$A126,'周排班-纵表'!$H:$H,$B126)</f>
        <v/>
      </c>
      <c r="D126" s="2">
        <f>IF(OR(MID($B126,FIND("(",$B126)+6,2)="01",MID($B126,FIND("(",$B126)+6,2)="02",MID($B126,FIND("(",$B126)+6,2)="03"),"是","否")</f>
        <v/>
      </c>
      <c r="E126" s="2">
        <f>IF(IFERROR(VLOOKUP($A126,'人员清单'!$A:$B,2,FALSE),"")="intern",40,IF($D126="是",60,40))</f>
        <v/>
      </c>
      <c r="F126" s="3">
        <f>ROUND($C126/40,4)</f>
        <v/>
      </c>
      <c r="G126" s="2">
        <f>IF(IFERROR(VLOOKUP($A126,'人员清单'!$A:$B,2,FALSE),"")="intern",IF($C126&gt;40,"是","否"),IF($D126="是",IF($C126&gt;78,"是","否"),IF($C126&gt;48,"是","否")))</f>
        <v/>
      </c>
    </row>
    <row r="127">
      <c r="A127" s="2" t="inlineStr">
        <is>
          <t>Vivi.W.Yang@cn.ey.com</t>
        </is>
      </c>
      <c r="B127" s="2" t="inlineStr">
        <is>
          <t>Week38 (2027.03.20)</t>
        </is>
      </c>
      <c r="C127" s="2">
        <f>SUMIFS('周排班-纵表'!$I:$I,'周排班-纵表'!$G:$G,$A127,'周排班-纵表'!$H:$H,$B127)</f>
        <v/>
      </c>
      <c r="D127" s="2">
        <f>IF(OR(MID($B127,FIND("(",$B127)+6,2)="01",MID($B127,FIND("(",$B127)+6,2)="02",MID($B127,FIND("(",$B127)+6,2)="03"),"是","否")</f>
        <v/>
      </c>
      <c r="E127" s="2">
        <f>IF(IFERROR(VLOOKUP($A127,'人员清单'!$A:$B,2,FALSE),"")="intern",40,IF($D127="是",60,40))</f>
        <v/>
      </c>
      <c r="F127" s="3">
        <f>ROUND($C127/40,4)</f>
        <v/>
      </c>
      <c r="G127" s="2">
        <f>IF(IFERROR(VLOOKUP($A127,'人员清单'!$A:$B,2,FALSE),"")="intern",IF($C127&gt;40,"是","否"),IF($D127="是",IF($C127&gt;78,"是","否"),IF($C127&gt;48,"是","否")))</f>
        <v/>
      </c>
    </row>
    <row r="128">
      <c r="A128" s="2" t="inlineStr">
        <is>
          <t>Yuan.Yuan.YY.Chen@cn.ey.com</t>
        </is>
      </c>
      <c r="B128" s="2" t="inlineStr">
        <is>
          <t>Week38 (2027.03.20)</t>
        </is>
      </c>
      <c r="C128" s="2">
        <f>SUMIFS('周排班-纵表'!$I:$I,'周排班-纵表'!$G:$G,$A128,'周排班-纵表'!$H:$H,$B128)</f>
        <v/>
      </c>
      <c r="D128" s="2">
        <f>IF(OR(MID($B128,FIND("(",$B128)+6,2)="01",MID($B128,FIND("(",$B128)+6,2)="02",MID($B128,FIND("(",$B128)+6,2)="03"),"是","否")</f>
        <v/>
      </c>
      <c r="E128" s="2">
        <f>IF(IFERROR(VLOOKUP($A128,'人员清单'!$A:$B,2,FALSE),"")="intern",40,IF($D128="是",60,40))</f>
        <v/>
      </c>
      <c r="F128" s="3">
        <f>ROUND($C128/40,4)</f>
        <v/>
      </c>
      <c r="G128" s="2">
        <f>IF(IFERROR(VLOOKUP($A128,'人员清单'!$A:$B,2,FALSE),"")="intern",IF($C128&gt;40,"是","否"),IF($D128="是",IF($C128&gt;78,"是","否"),IF($C128&gt;48,"是","否")))</f>
        <v/>
      </c>
    </row>
    <row r="129">
      <c r="A129" s="2" t="inlineStr">
        <is>
          <t>Luna.CD.Zhang@cn.ey.com</t>
        </is>
      </c>
      <c r="B129" s="2" t="inlineStr">
        <is>
          <t>Week39 (2027.03.27)</t>
        </is>
      </c>
      <c r="C129" s="2">
        <f>SUMIFS('周排班-纵表'!$I:$I,'周排班-纵表'!$G:$G,$A129,'周排班-纵表'!$H:$H,$B129)</f>
        <v/>
      </c>
      <c r="D129" s="2">
        <f>IF(OR(MID($B129,FIND("(",$B129)+6,2)="01",MID($B129,FIND("(",$B129)+6,2)="02",MID($B129,FIND("(",$B129)+6,2)="03"),"是","否")</f>
        <v/>
      </c>
      <c r="E129" s="2">
        <f>IF(IFERROR(VLOOKUP($A129,'人员清单'!$A:$B,2,FALSE),"")="intern",40,IF($D129="是",60,40))</f>
        <v/>
      </c>
      <c r="F129" s="3">
        <f>ROUND($C129/40,4)</f>
        <v/>
      </c>
      <c r="G129" s="2">
        <f>IF(IFERROR(VLOOKUP($A129,'人员清单'!$A:$B,2,FALSE),"")="intern",IF($C129&gt;40,"是","否"),IF($D129="是",IF($C129&gt;78,"是","否"),IF($C129&gt;48,"是","否")))</f>
        <v/>
      </c>
    </row>
    <row r="130">
      <c r="A130" s="2" t="inlineStr">
        <is>
          <t>Marsh.Ma@cn.ey.com</t>
        </is>
      </c>
      <c r="B130" s="2" t="inlineStr">
        <is>
          <t>Week39 (2027.03.27)</t>
        </is>
      </c>
      <c r="C130" s="2">
        <f>SUMIFS('周排班-纵表'!$I:$I,'周排班-纵表'!$G:$G,$A130,'周排班-纵表'!$H:$H,$B130)</f>
        <v/>
      </c>
      <c r="D130" s="2">
        <f>IF(OR(MID($B130,FIND("(",$B130)+6,2)="01",MID($B130,FIND("(",$B130)+6,2)="02",MID($B130,FIND("(",$B130)+6,2)="03"),"是","否")</f>
        <v/>
      </c>
      <c r="E130" s="2">
        <f>IF(IFERROR(VLOOKUP($A130,'人员清单'!$A:$B,2,FALSE),"")="intern",40,IF($D130="是",60,40))</f>
        <v/>
      </c>
      <c r="F130" s="3">
        <f>ROUND($C130/40,4)</f>
        <v/>
      </c>
      <c r="G130" s="2">
        <f>IF(IFERROR(VLOOKUP($A130,'人员清单'!$A:$B,2,FALSE),"")="intern",IF($C130&gt;40,"是","否"),IF($D130="是",IF($C130&gt;78,"是","否"),IF($C130&gt;48,"是","否")))</f>
        <v/>
      </c>
    </row>
    <row r="131">
      <c r="A131" s="2" t="inlineStr">
        <is>
          <t>Rainbow.MG.Xiao@cn.ey.com</t>
        </is>
      </c>
      <c r="B131" s="2" t="inlineStr">
        <is>
          <t>Week39 (2027.03.27)</t>
        </is>
      </c>
      <c r="C131" s="2">
        <f>SUMIFS('周排班-纵表'!$I:$I,'周排班-纵表'!$G:$G,$A131,'周排班-纵表'!$H:$H,$B131)</f>
        <v/>
      </c>
      <c r="D131" s="2">
        <f>IF(OR(MID($B131,FIND("(",$B131)+6,2)="01",MID($B131,FIND("(",$B131)+6,2)="02",MID($B131,FIND("(",$B131)+6,2)="03"),"是","否")</f>
        <v/>
      </c>
      <c r="E131" s="2">
        <f>IF(IFERROR(VLOOKUP($A131,'人员清单'!$A:$B,2,FALSE),"")="intern",40,IF($D131="是",60,40))</f>
        <v/>
      </c>
      <c r="F131" s="3">
        <f>ROUND($C131/40,4)</f>
        <v/>
      </c>
      <c r="G131" s="2">
        <f>IF(IFERROR(VLOOKUP($A131,'人员清单'!$A:$B,2,FALSE),"")="intern",IF($C131&gt;40,"是","否"),IF($D131="是",IF($C131&gt;78,"是","否"),IF($C131&gt;48,"是","否")))</f>
        <v/>
      </c>
    </row>
    <row r="132">
      <c r="A132" s="2" t="inlineStr">
        <is>
          <t>Vivi.W.Yang@cn.ey.com</t>
        </is>
      </c>
      <c r="B132" s="2" t="inlineStr">
        <is>
          <t>Week39 (2027.03.27)</t>
        </is>
      </c>
      <c r="C132" s="2">
        <f>SUMIFS('周排班-纵表'!$I:$I,'周排班-纵表'!$G:$G,$A132,'周排班-纵表'!$H:$H,$B132)</f>
        <v/>
      </c>
      <c r="D132" s="2">
        <f>IF(OR(MID($B132,FIND("(",$B132)+6,2)="01",MID($B132,FIND("(",$B132)+6,2)="02",MID($B132,FIND("(",$B132)+6,2)="03"),"是","否")</f>
        <v/>
      </c>
      <c r="E132" s="2">
        <f>IF(IFERROR(VLOOKUP($A132,'人员清单'!$A:$B,2,FALSE),"")="intern",40,IF($D132="是",60,40))</f>
        <v/>
      </c>
      <c r="F132" s="3">
        <f>ROUND($C132/40,4)</f>
        <v/>
      </c>
      <c r="G132" s="2">
        <f>IF(IFERROR(VLOOKUP($A132,'人员清单'!$A:$B,2,FALSE),"")="intern",IF($C132&gt;40,"是","否"),IF($D132="是",IF($C132&gt;78,"是","否"),IF($C132&gt;48,"是","否")))</f>
        <v/>
      </c>
    </row>
    <row r="133">
      <c r="A133" s="2" t="inlineStr">
        <is>
          <t>Yuan.Yuan.YY.Chen@cn.ey.com</t>
        </is>
      </c>
      <c r="B133" s="2" t="inlineStr">
        <is>
          <t>Week39 (2027.03.27)</t>
        </is>
      </c>
      <c r="C133" s="2">
        <f>SUMIFS('周排班-纵表'!$I:$I,'周排班-纵表'!$G:$G,$A133,'周排班-纵表'!$H:$H,$B133)</f>
        <v/>
      </c>
      <c r="D133" s="2">
        <f>IF(OR(MID($B133,FIND("(",$B133)+6,2)="01",MID($B133,FIND("(",$B133)+6,2)="02",MID($B133,FIND("(",$B133)+6,2)="03"),"是","否")</f>
        <v/>
      </c>
      <c r="E133" s="2">
        <f>IF(IFERROR(VLOOKUP($A133,'人员清单'!$A:$B,2,FALSE),"")="intern",40,IF($D133="是",60,40))</f>
        <v/>
      </c>
      <c r="F133" s="3">
        <f>ROUND($C133/40,4)</f>
        <v/>
      </c>
      <c r="G133" s="2">
        <f>IF(IFERROR(VLOOKUP($A133,'人员清单'!$A:$B,2,FALSE),"")="intern",IF($C133&gt;40,"是","否"),IF($D133="是",IF($C133&gt;78,"是","否"),IF($C133&gt;48,"是","否")))</f>
        <v/>
      </c>
    </row>
    <row r="134">
      <c r="A134" s="2" t="inlineStr">
        <is>
          <t>Marsh.Ma@cn.ey.com</t>
        </is>
      </c>
      <c r="B134" s="2" t="inlineStr">
        <is>
          <t>Week40 (2027.04.03)</t>
        </is>
      </c>
      <c r="C134" s="2">
        <f>SUMIFS('周排班-纵表'!$I:$I,'周排班-纵表'!$G:$G,$A134,'周排班-纵表'!$H:$H,$B134)</f>
        <v/>
      </c>
      <c r="D134" s="2">
        <f>IF(OR(MID($B134,FIND("(",$B134)+6,2)="01",MID($B134,FIND("(",$B134)+6,2)="02",MID($B134,FIND("(",$B134)+6,2)="03"),"是","否")</f>
        <v/>
      </c>
      <c r="E134" s="2">
        <f>IF(IFERROR(VLOOKUP($A134,'人员清单'!$A:$B,2,FALSE),"")="intern",40,IF($D134="是",60,40))</f>
        <v/>
      </c>
      <c r="F134" s="3">
        <f>ROUND($C134/40,4)</f>
        <v/>
      </c>
      <c r="G134" s="2">
        <f>IF(IFERROR(VLOOKUP($A134,'人员清单'!$A:$B,2,FALSE),"")="intern",IF($C134&gt;40,"是","否"),IF($D134="是",IF($C134&gt;78,"是","否"),IF($C134&gt;48,"是","否")))</f>
        <v/>
      </c>
    </row>
    <row r="135">
      <c r="A135" s="2" t="inlineStr">
        <is>
          <t>Vivi.W.Yang@cn.ey.com</t>
        </is>
      </c>
      <c r="B135" s="2" t="inlineStr">
        <is>
          <t>Week40 (2027.04.03)</t>
        </is>
      </c>
      <c r="C135" s="2">
        <f>SUMIFS('周排班-纵表'!$I:$I,'周排班-纵表'!$G:$G,$A135,'周排班-纵表'!$H:$H,$B135)</f>
        <v/>
      </c>
      <c r="D135" s="2">
        <f>IF(OR(MID($B135,FIND("(",$B135)+6,2)="01",MID($B135,FIND("(",$B135)+6,2)="02",MID($B135,FIND("(",$B135)+6,2)="03"),"是","否")</f>
        <v/>
      </c>
      <c r="E135" s="2">
        <f>IF(IFERROR(VLOOKUP($A135,'人员清单'!$A:$B,2,FALSE),"")="intern",40,IF($D135="是",60,40))</f>
        <v/>
      </c>
      <c r="F135" s="3">
        <f>ROUND($C135/40,4)</f>
        <v/>
      </c>
      <c r="G135" s="2">
        <f>IF(IFERROR(VLOOKUP($A135,'人员清单'!$A:$B,2,FALSE),"")="intern",IF($C135&gt;40,"是","否"),IF($D135="是",IF($C135&gt;78,"是","否"),IF($C135&gt;48,"是","否")))</f>
        <v/>
      </c>
    </row>
    <row r="136">
      <c r="A136" s="2" t="inlineStr">
        <is>
          <t>Yuan.Yuan.YY.Chen@cn.ey.com</t>
        </is>
      </c>
      <c r="B136" s="2" t="inlineStr">
        <is>
          <t>Week40 (2027.04.03)</t>
        </is>
      </c>
      <c r="C136" s="2">
        <f>SUMIFS('周排班-纵表'!$I:$I,'周排班-纵表'!$G:$G,$A136,'周排班-纵表'!$H:$H,$B136)</f>
        <v/>
      </c>
      <c r="D136" s="2">
        <f>IF(OR(MID($B136,FIND("(",$B136)+6,2)="01",MID($B136,FIND("(",$B136)+6,2)="02",MID($B136,FIND("(",$B136)+6,2)="03"),"是","否")</f>
        <v/>
      </c>
      <c r="E136" s="2">
        <f>IF(IFERROR(VLOOKUP($A136,'人员清单'!$A:$B,2,FALSE),"")="intern",40,IF($D136="是",60,40))</f>
        <v/>
      </c>
      <c r="F136" s="3">
        <f>ROUND($C136/40,4)</f>
        <v/>
      </c>
      <c r="G136" s="2">
        <f>IF(IFERROR(VLOOKUP($A136,'人员清单'!$A:$B,2,FALSE),"")="intern",IF($C136&gt;40,"是","否"),IF($D136="是",IF($C136&gt;78,"是","否"),IF($C136&gt;48,"是","否")))</f>
        <v/>
      </c>
    </row>
    <row r="137">
      <c r="A137" s="2" t="inlineStr">
        <is>
          <t>Marsh.Ma@cn.ey.com</t>
        </is>
      </c>
      <c r="B137" s="2" t="inlineStr">
        <is>
          <t>Week41 (2027.04.10)</t>
        </is>
      </c>
      <c r="C137" s="2">
        <f>SUMIFS('周排班-纵表'!$I:$I,'周排班-纵表'!$G:$G,$A137,'周排班-纵表'!$H:$H,$B137)</f>
        <v/>
      </c>
      <c r="D137" s="2">
        <f>IF(OR(MID($B137,FIND("(",$B137)+6,2)="01",MID($B137,FIND("(",$B137)+6,2)="02",MID($B137,FIND("(",$B137)+6,2)="03"),"是","否")</f>
        <v/>
      </c>
      <c r="E137" s="2">
        <f>IF(IFERROR(VLOOKUP($A137,'人员清单'!$A:$B,2,FALSE),"")="intern",40,IF($D137="是",60,40))</f>
        <v/>
      </c>
      <c r="F137" s="3">
        <f>ROUND($C137/40,4)</f>
        <v/>
      </c>
      <c r="G137" s="2">
        <f>IF(IFERROR(VLOOKUP($A137,'人员清单'!$A:$B,2,FALSE),"")="intern",IF($C137&gt;40,"是","否"),IF($D137="是",IF($C137&gt;78,"是","否"),IF($C137&gt;48,"是","否")))</f>
        <v/>
      </c>
    </row>
    <row r="138">
      <c r="A138" s="2" t="inlineStr">
        <is>
          <t>Vivi.W.Yang@cn.ey.com</t>
        </is>
      </c>
      <c r="B138" s="2" t="inlineStr">
        <is>
          <t>Week41 (2027.04.10)</t>
        </is>
      </c>
      <c r="C138" s="2">
        <f>SUMIFS('周排班-纵表'!$I:$I,'周排班-纵表'!$G:$G,$A138,'周排班-纵表'!$H:$H,$B138)</f>
        <v/>
      </c>
      <c r="D138" s="2">
        <f>IF(OR(MID($B138,FIND("(",$B138)+6,2)="01",MID($B138,FIND("(",$B138)+6,2)="02",MID($B138,FIND("(",$B138)+6,2)="03"),"是","否")</f>
        <v/>
      </c>
      <c r="E138" s="2">
        <f>IF(IFERROR(VLOOKUP($A138,'人员清单'!$A:$B,2,FALSE),"")="intern",40,IF($D138="是",60,40))</f>
        <v/>
      </c>
      <c r="F138" s="3">
        <f>ROUND($C138/40,4)</f>
        <v/>
      </c>
      <c r="G138" s="2">
        <f>IF(IFERROR(VLOOKUP($A138,'人员清单'!$A:$B,2,FALSE),"")="intern",IF($C138&gt;40,"是","否"),IF($D138="是",IF($C138&gt;78,"是","否"),IF($C138&gt;48,"是","否")))</f>
        <v/>
      </c>
    </row>
    <row r="139">
      <c r="A139" s="2" t="inlineStr">
        <is>
          <t>Yuan.Yuan.YY.Chen@cn.ey.com</t>
        </is>
      </c>
      <c r="B139" s="2" t="inlineStr">
        <is>
          <t>Week41 (2027.04.10)</t>
        </is>
      </c>
      <c r="C139" s="2">
        <f>SUMIFS('周排班-纵表'!$I:$I,'周排班-纵表'!$G:$G,$A139,'周排班-纵表'!$H:$H,$B139)</f>
        <v/>
      </c>
      <c r="D139" s="2">
        <f>IF(OR(MID($B139,FIND("(",$B139)+6,2)="01",MID($B139,FIND("(",$B139)+6,2)="02",MID($B139,FIND("(",$B139)+6,2)="03"),"是","否")</f>
        <v/>
      </c>
      <c r="E139" s="2">
        <f>IF(IFERROR(VLOOKUP($A139,'人员清单'!$A:$B,2,FALSE),"")="intern",40,IF($D139="是",60,40))</f>
        <v/>
      </c>
      <c r="F139" s="3">
        <f>ROUND($C139/40,4)</f>
        <v/>
      </c>
      <c r="G139" s="2">
        <f>IF(IFERROR(VLOOKUP($A139,'人员清单'!$A:$B,2,FALSE),"")="intern",IF($C139&gt;40,"是","否"),IF($D139="是",IF($C139&gt;78,"是","否"),IF($C139&gt;48,"是","否")))</f>
        <v/>
      </c>
    </row>
    <row r="140">
      <c r="A140" s="2" t="inlineStr">
        <is>
          <t>Luna.CD.Zhang@cn.ey.com</t>
        </is>
      </c>
      <c r="B140" s="2" t="inlineStr">
        <is>
          <t>Week42 (2027.04.17)</t>
        </is>
      </c>
      <c r="C140" s="2">
        <f>SUMIFS('周排班-纵表'!$I:$I,'周排班-纵表'!$G:$G,$A140,'周排班-纵表'!$H:$H,$B140)</f>
        <v/>
      </c>
      <c r="D140" s="2">
        <f>IF(OR(MID($B140,FIND("(",$B140)+6,2)="01",MID($B140,FIND("(",$B140)+6,2)="02",MID($B140,FIND("(",$B140)+6,2)="03"),"是","否")</f>
        <v/>
      </c>
      <c r="E140" s="2">
        <f>IF(IFERROR(VLOOKUP($A140,'人员清单'!$A:$B,2,FALSE),"")="intern",40,IF($D140="是",60,40))</f>
        <v/>
      </c>
      <c r="F140" s="3">
        <f>ROUND($C140/40,4)</f>
        <v/>
      </c>
      <c r="G140" s="2">
        <f>IF(IFERROR(VLOOKUP($A140,'人员清单'!$A:$B,2,FALSE),"")="intern",IF($C140&gt;40,"是","否"),IF($D140="是",IF($C140&gt;78,"是","否"),IF($C140&gt;48,"是","否")))</f>
        <v/>
      </c>
    </row>
    <row r="141">
      <c r="A141" s="2" t="inlineStr">
        <is>
          <t>Marsh.Ma@cn.ey.com</t>
        </is>
      </c>
      <c r="B141" s="2" t="inlineStr">
        <is>
          <t>Week42 (2027.04.17)</t>
        </is>
      </c>
      <c r="C141" s="2">
        <f>SUMIFS('周排班-纵表'!$I:$I,'周排班-纵表'!$G:$G,$A141,'周排班-纵表'!$H:$H,$B141)</f>
        <v/>
      </c>
      <c r="D141" s="2">
        <f>IF(OR(MID($B141,FIND("(",$B141)+6,2)="01",MID($B141,FIND("(",$B141)+6,2)="02",MID($B141,FIND("(",$B141)+6,2)="03"),"是","否")</f>
        <v/>
      </c>
      <c r="E141" s="2">
        <f>IF(IFERROR(VLOOKUP($A141,'人员清单'!$A:$B,2,FALSE),"")="intern",40,IF($D141="是",60,40))</f>
        <v/>
      </c>
      <c r="F141" s="3">
        <f>ROUND($C141/40,4)</f>
        <v/>
      </c>
      <c r="G141" s="2">
        <f>IF(IFERROR(VLOOKUP($A141,'人员清单'!$A:$B,2,FALSE),"")="intern",IF($C141&gt;40,"是","否"),IF($D141="是",IF($C141&gt;78,"是","否"),IF($C141&gt;48,"是","否")))</f>
        <v/>
      </c>
    </row>
    <row r="142">
      <c r="A142" s="2" t="inlineStr">
        <is>
          <t>Vivi.W.Yang@cn.ey.com</t>
        </is>
      </c>
      <c r="B142" s="2" t="inlineStr">
        <is>
          <t>Week42 (2027.04.17)</t>
        </is>
      </c>
      <c r="C142" s="2">
        <f>SUMIFS('周排班-纵表'!$I:$I,'周排班-纵表'!$G:$G,$A142,'周排班-纵表'!$H:$H,$B142)</f>
        <v/>
      </c>
      <c r="D142" s="2">
        <f>IF(OR(MID($B142,FIND("(",$B142)+6,2)="01",MID($B142,FIND("(",$B142)+6,2)="02",MID($B142,FIND("(",$B142)+6,2)="03"),"是","否")</f>
        <v/>
      </c>
      <c r="E142" s="2">
        <f>IF(IFERROR(VLOOKUP($A142,'人员清单'!$A:$B,2,FALSE),"")="intern",40,IF($D142="是",60,40))</f>
        <v/>
      </c>
      <c r="F142" s="3">
        <f>ROUND($C142/40,4)</f>
        <v/>
      </c>
      <c r="G142" s="2">
        <f>IF(IFERROR(VLOOKUP($A142,'人员清单'!$A:$B,2,FALSE),"")="intern",IF($C142&gt;40,"是","否"),IF($D142="是",IF($C142&gt;78,"是","否"),IF($C142&gt;48,"是","否")))</f>
        <v/>
      </c>
    </row>
    <row r="143">
      <c r="A143" s="2" t="inlineStr">
        <is>
          <t>Yuan.Yuan.YY.Chen@cn.ey.com</t>
        </is>
      </c>
      <c r="B143" s="2" t="inlineStr">
        <is>
          <t>Week42 (2027.04.17)</t>
        </is>
      </c>
      <c r="C143" s="2">
        <f>SUMIFS('周排班-纵表'!$I:$I,'周排班-纵表'!$G:$G,$A143,'周排班-纵表'!$H:$H,$B143)</f>
        <v/>
      </c>
      <c r="D143" s="2">
        <f>IF(OR(MID($B143,FIND("(",$B143)+6,2)="01",MID($B143,FIND("(",$B143)+6,2)="02",MID($B143,FIND("(",$B143)+6,2)="03"),"是","否")</f>
        <v/>
      </c>
      <c r="E143" s="2">
        <f>IF(IFERROR(VLOOKUP($A143,'人员清单'!$A:$B,2,FALSE),"")="intern",40,IF($D143="是",60,40))</f>
        <v/>
      </c>
      <c r="F143" s="3">
        <f>ROUND($C143/40,4)</f>
        <v/>
      </c>
      <c r="G143" s="2">
        <f>IF(IFERROR(VLOOKUP($A143,'人员清单'!$A:$B,2,FALSE),"")="intern",IF($C143&gt;40,"是","否"),IF($D143="是",IF($C143&gt;78,"是","否"),IF($C143&gt;48,"是","否")))</f>
        <v/>
      </c>
    </row>
    <row r="144">
      <c r="A144" s="2" t="inlineStr">
        <is>
          <t>Luna.CD.Zhang@cn.ey.com</t>
        </is>
      </c>
      <c r="B144" s="2" t="inlineStr">
        <is>
          <t>Week43 (2027.04.24)</t>
        </is>
      </c>
      <c r="C144" s="2">
        <f>SUMIFS('周排班-纵表'!$I:$I,'周排班-纵表'!$G:$G,$A144,'周排班-纵表'!$H:$H,$B144)</f>
        <v/>
      </c>
      <c r="D144" s="2">
        <f>IF(OR(MID($B144,FIND("(",$B144)+6,2)="01",MID($B144,FIND("(",$B144)+6,2)="02",MID($B144,FIND("(",$B144)+6,2)="03"),"是","否")</f>
        <v/>
      </c>
      <c r="E144" s="2">
        <f>IF(IFERROR(VLOOKUP($A144,'人员清单'!$A:$B,2,FALSE),"")="intern",40,IF($D144="是",60,40))</f>
        <v/>
      </c>
      <c r="F144" s="3">
        <f>ROUND($C144/40,4)</f>
        <v/>
      </c>
      <c r="G144" s="2">
        <f>IF(IFERROR(VLOOKUP($A144,'人员清单'!$A:$B,2,FALSE),"")="intern",IF($C144&gt;40,"是","否"),IF($D144="是",IF($C144&gt;78,"是","否"),IF($C144&gt;48,"是","否")))</f>
        <v/>
      </c>
    </row>
    <row r="145">
      <c r="A145" s="2" t="inlineStr">
        <is>
          <t>Marsh.Ma@cn.ey.com</t>
        </is>
      </c>
      <c r="B145" s="2" t="inlineStr">
        <is>
          <t>Week43 (2027.04.24)</t>
        </is>
      </c>
      <c r="C145" s="2">
        <f>SUMIFS('周排班-纵表'!$I:$I,'周排班-纵表'!$G:$G,$A145,'周排班-纵表'!$H:$H,$B145)</f>
        <v/>
      </c>
      <c r="D145" s="2">
        <f>IF(OR(MID($B145,FIND("(",$B145)+6,2)="01",MID($B145,FIND("(",$B145)+6,2)="02",MID($B145,FIND("(",$B145)+6,2)="03"),"是","否")</f>
        <v/>
      </c>
      <c r="E145" s="2">
        <f>IF(IFERROR(VLOOKUP($A145,'人员清单'!$A:$B,2,FALSE),"")="intern",40,IF($D145="是",60,40))</f>
        <v/>
      </c>
      <c r="F145" s="3">
        <f>ROUND($C145/40,4)</f>
        <v/>
      </c>
      <c r="G145" s="2">
        <f>IF(IFERROR(VLOOKUP($A145,'人员清单'!$A:$B,2,FALSE),"")="intern",IF($C145&gt;40,"是","否"),IF($D145="是",IF($C145&gt;78,"是","否"),IF($C145&gt;48,"是","否")))</f>
        <v/>
      </c>
    </row>
    <row r="146">
      <c r="A146" s="2" t="inlineStr">
        <is>
          <t>Rainbow.MG.Xiao@cn.ey.com</t>
        </is>
      </c>
      <c r="B146" s="2" t="inlineStr">
        <is>
          <t>Week43 (2027.04.24)</t>
        </is>
      </c>
      <c r="C146" s="2">
        <f>SUMIFS('周排班-纵表'!$I:$I,'周排班-纵表'!$G:$G,$A146,'周排班-纵表'!$H:$H,$B146)</f>
        <v/>
      </c>
      <c r="D146" s="2">
        <f>IF(OR(MID($B146,FIND("(",$B146)+6,2)="01",MID($B146,FIND("(",$B146)+6,2)="02",MID($B146,FIND("(",$B146)+6,2)="03"),"是","否")</f>
        <v/>
      </c>
      <c r="E146" s="2">
        <f>IF(IFERROR(VLOOKUP($A146,'人员清单'!$A:$B,2,FALSE),"")="intern",40,IF($D146="是",60,40))</f>
        <v/>
      </c>
      <c r="F146" s="3">
        <f>ROUND($C146/40,4)</f>
        <v/>
      </c>
      <c r="G146" s="2">
        <f>IF(IFERROR(VLOOKUP($A146,'人员清单'!$A:$B,2,FALSE),"")="intern",IF($C146&gt;40,"是","否"),IF($D146="是",IF($C146&gt;78,"是","否"),IF($C146&gt;48,"是","否")))</f>
        <v/>
      </c>
    </row>
    <row r="147">
      <c r="A147" s="2" t="inlineStr">
        <is>
          <t>Vivi.W.Yang@cn.ey.com</t>
        </is>
      </c>
      <c r="B147" s="2" t="inlineStr">
        <is>
          <t>Week43 (2027.04.24)</t>
        </is>
      </c>
      <c r="C147" s="2">
        <f>SUMIFS('周排班-纵表'!$I:$I,'周排班-纵表'!$G:$G,$A147,'周排班-纵表'!$H:$H,$B147)</f>
        <v/>
      </c>
      <c r="D147" s="2">
        <f>IF(OR(MID($B147,FIND("(",$B147)+6,2)="01",MID($B147,FIND("(",$B147)+6,2)="02",MID($B147,FIND("(",$B147)+6,2)="03"),"是","否")</f>
        <v/>
      </c>
      <c r="E147" s="2">
        <f>IF(IFERROR(VLOOKUP($A147,'人员清单'!$A:$B,2,FALSE),"")="intern",40,IF($D147="是",60,40))</f>
        <v/>
      </c>
      <c r="F147" s="3">
        <f>ROUND($C147/40,4)</f>
        <v/>
      </c>
      <c r="G147" s="2">
        <f>IF(IFERROR(VLOOKUP($A147,'人员清单'!$A:$B,2,FALSE),"")="intern",IF($C147&gt;40,"是","否"),IF($D147="是",IF($C147&gt;78,"是","否"),IF($C147&gt;48,"是","否")))</f>
        <v/>
      </c>
    </row>
    <row r="148">
      <c r="A148" s="2" t="inlineStr">
        <is>
          <t>Yuan.Yuan.YY.Chen@cn.ey.com</t>
        </is>
      </c>
      <c r="B148" s="2" t="inlineStr">
        <is>
          <t>Week43 (2027.04.24)</t>
        </is>
      </c>
      <c r="C148" s="2">
        <f>SUMIFS('周排班-纵表'!$I:$I,'周排班-纵表'!$G:$G,$A148,'周排班-纵表'!$H:$H,$B148)</f>
        <v/>
      </c>
      <c r="D148" s="2">
        <f>IF(OR(MID($B148,FIND("(",$B148)+6,2)="01",MID($B148,FIND("(",$B148)+6,2)="02",MID($B148,FIND("(",$B148)+6,2)="03"),"是","否")</f>
        <v/>
      </c>
      <c r="E148" s="2">
        <f>IF(IFERROR(VLOOKUP($A148,'人员清单'!$A:$B,2,FALSE),"")="intern",40,IF($D148="是",60,40))</f>
        <v/>
      </c>
      <c r="F148" s="3">
        <f>ROUND($C148/40,4)</f>
        <v/>
      </c>
      <c r="G148" s="2">
        <f>IF(IFERROR(VLOOKUP($A148,'人员清单'!$A:$B,2,FALSE),"")="intern",IF($C148&gt;40,"是","否"),IF($D148="是",IF($C148&gt;78,"是","否"),IF($C148&gt;48,"是","否")))</f>
        <v/>
      </c>
    </row>
    <row r="149">
      <c r="A149" s="2" t="inlineStr">
        <is>
          <t>Luna.CD.Zhang@cn.ey.com</t>
        </is>
      </c>
      <c r="B149" s="2" t="inlineStr">
        <is>
          <t>Week44 (2027.05.01)</t>
        </is>
      </c>
      <c r="C149" s="2">
        <f>SUMIFS('周排班-纵表'!$I:$I,'周排班-纵表'!$G:$G,$A149,'周排班-纵表'!$H:$H,$B149)</f>
        <v/>
      </c>
      <c r="D149" s="2">
        <f>IF(OR(MID($B149,FIND("(",$B149)+6,2)="01",MID($B149,FIND("(",$B149)+6,2)="02",MID($B149,FIND("(",$B149)+6,2)="03"),"是","否")</f>
        <v/>
      </c>
      <c r="E149" s="2">
        <f>IF(IFERROR(VLOOKUP($A149,'人员清单'!$A:$B,2,FALSE),"")="intern",40,IF($D149="是",60,40))</f>
        <v/>
      </c>
      <c r="F149" s="3">
        <f>ROUND($C149/40,4)</f>
        <v/>
      </c>
      <c r="G149" s="2">
        <f>IF(IFERROR(VLOOKUP($A149,'人员清单'!$A:$B,2,FALSE),"")="intern",IF($C149&gt;40,"是","否"),IF($D149="是",IF($C149&gt;78,"是","否"),IF($C149&gt;48,"是","否")))</f>
        <v/>
      </c>
    </row>
    <row r="150">
      <c r="A150" s="2" t="inlineStr">
        <is>
          <t>Marsh.Ma@cn.ey.com</t>
        </is>
      </c>
      <c r="B150" s="2" t="inlineStr">
        <is>
          <t>Week44 (2027.05.01)</t>
        </is>
      </c>
      <c r="C150" s="2">
        <f>SUMIFS('周排班-纵表'!$I:$I,'周排班-纵表'!$G:$G,$A150,'周排班-纵表'!$H:$H,$B150)</f>
        <v/>
      </c>
      <c r="D150" s="2">
        <f>IF(OR(MID($B150,FIND("(",$B150)+6,2)="01",MID($B150,FIND("(",$B150)+6,2)="02",MID($B150,FIND("(",$B150)+6,2)="03"),"是","否")</f>
        <v/>
      </c>
      <c r="E150" s="2">
        <f>IF(IFERROR(VLOOKUP($A150,'人员清单'!$A:$B,2,FALSE),"")="intern",40,IF($D150="是",60,40))</f>
        <v/>
      </c>
      <c r="F150" s="3">
        <f>ROUND($C150/40,4)</f>
        <v/>
      </c>
      <c r="G150" s="2">
        <f>IF(IFERROR(VLOOKUP($A150,'人员清单'!$A:$B,2,FALSE),"")="intern",IF($C150&gt;40,"是","否"),IF($D150="是",IF($C150&gt;78,"是","否"),IF($C150&gt;48,"是","否")))</f>
        <v/>
      </c>
    </row>
    <row r="151">
      <c r="A151" s="2" t="inlineStr">
        <is>
          <t>Rainbow.MG.Xiao@cn.ey.com</t>
        </is>
      </c>
      <c r="B151" s="2" t="inlineStr">
        <is>
          <t>Week44 (2027.05.01)</t>
        </is>
      </c>
      <c r="C151" s="2">
        <f>SUMIFS('周排班-纵表'!$I:$I,'周排班-纵表'!$G:$G,$A151,'周排班-纵表'!$H:$H,$B151)</f>
        <v/>
      </c>
      <c r="D151" s="2">
        <f>IF(OR(MID($B151,FIND("(",$B151)+6,2)="01",MID($B151,FIND("(",$B151)+6,2)="02",MID($B151,FIND("(",$B151)+6,2)="03"),"是","否")</f>
        <v/>
      </c>
      <c r="E151" s="2">
        <f>IF(IFERROR(VLOOKUP($A151,'人员清单'!$A:$B,2,FALSE),"")="intern",40,IF($D151="是",60,40))</f>
        <v/>
      </c>
      <c r="F151" s="3">
        <f>ROUND($C151/40,4)</f>
        <v/>
      </c>
      <c r="G151" s="2">
        <f>IF(IFERROR(VLOOKUP($A151,'人员清单'!$A:$B,2,FALSE),"")="intern",IF($C151&gt;40,"是","否"),IF($D151="是",IF($C151&gt;78,"是","否"),IF($C151&gt;48,"是","否")))</f>
        <v/>
      </c>
    </row>
    <row r="152">
      <c r="A152" s="2" t="inlineStr">
        <is>
          <t>Vivi.W.Yang@cn.ey.com</t>
        </is>
      </c>
      <c r="B152" s="2" t="inlineStr">
        <is>
          <t>Week44 (2027.05.01)</t>
        </is>
      </c>
      <c r="C152" s="2">
        <f>SUMIFS('周排班-纵表'!$I:$I,'周排班-纵表'!$G:$G,$A152,'周排班-纵表'!$H:$H,$B152)</f>
        <v/>
      </c>
      <c r="D152" s="2">
        <f>IF(OR(MID($B152,FIND("(",$B152)+6,2)="01",MID($B152,FIND("(",$B152)+6,2)="02",MID($B152,FIND("(",$B152)+6,2)="03"),"是","否")</f>
        <v/>
      </c>
      <c r="E152" s="2">
        <f>IF(IFERROR(VLOOKUP($A152,'人员清单'!$A:$B,2,FALSE),"")="intern",40,IF($D152="是",60,40))</f>
        <v/>
      </c>
      <c r="F152" s="3">
        <f>ROUND($C152/40,4)</f>
        <v/>
      </c>
      <c r="G152" s="2">
        <f>IF(IFERROR(VLOOKUP($A152,'人员清单'!$A:$B,2,FALSE),"")="intern",IF($C152&gt;40,"是","否"),IF($D152="是",IF($C152&gt;78,"是","否"),IF($C152&gt;48,"是","否")))</f>
        <v/>
      </c>
    </row>
    <row r="153">
      <c r="A153" s="2" t="inlineStr">
        <is>
          <t>Luna.CD.Zhang@cn.ey.com</t>
        </is>
      </c>
      <c r="B153" s="2" t="inlineStr">
        <is>
          <t>Week45 (2027.05.08)</t>
        </is>
      </c>
      <c r="C153" s="2">
        <f>SUMIFS('周排班-纵表'!$I:$I,'周排班-纵表'!$G:$G,$A153,'周排班-纵表'!$H:$H,$B153)</f>
        <v/>
      </c>
      <c r="D153" s="2">
        <f>IF(OR(MID($B153,FIND("(",$B153)+6,2)="01",MID($B153,FIND("(",$B153)+6,2)="02",MID($B153,FIND("(",$B153)+6,2)="03"),"是","否")</f>
        <v/>
      </c>
      <c r="E153" s="2">
        <f>IF(IFERROR(VLOOKUP($A153,'人员清单'!$A:$B,2,FALSE),"")="intern",40,IF($D153="是",60,40))</f>
        <v/>
      </c>
      <c r="F153" s="3">
        <f>ROUND($C153/40,4)</f>
        <v/>
      </c>
      <c r="G153" s="2">
        <f>IF(IFERROR(VLOOKUP($A153,'人员清单'!$A:$B,2,FALSE),"")="intern",IF($C153&gt;40,"是","否"),IF($D153="是",IF($C153&gt;78,"是","否"),IF($C153&gt;48,"是","否")))</f>
        <v/>
      </c>
    </row>
  </sheetData>
  <conditionalFormatting sqref="G2:G153">
    <cfRule type="expression" priority="1" dxfId="0">
      <formula>$G2="是"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9" customWidth="1" min="3" max="3"/>
    <col width="12" customWidth="1" min="4" max="4"/>
    <col width="9" customWidth="1" min="5" max="5"/>
    <col width="13" customWidth="1" min="6" max="6"/>
  </cols>
  <sheetData>
    <row r="1" ht="33" customHeight="1">
      <c r="A1" s="1" t="inlineStr">
        <is>
          <t>Engagement Code</t>
        </is>
      </c>
      <c r="B1" s="1" t="inlineStr">
        <is>
          <t>Engagement Name</t>
        </is>
      </c>
      <c r="C1" s="1" t="inlineStr">
        <is>
          <t>剩余hours</t>
        </is>
      </c>
      <c r="D1" s="1" t="inlineStr">
        <is>
          <t>排班合计 hours</t>
        </is>
      </c>
      <c r="E1" s="1" t="inlineStr">
        <is>
          <t>diff</t>
        </is>
      </c>
      <c r="F1" s="1" t="inlineStr">
        <is>
          <t>diff 是否 &lt;5h</t>
        </is>
      </c>
    </row>
    <row r="2">
      <c r="A2" s="2" t="inlineStr">
        <is>
          <t>47115559</t>
        </is>
      </c>
      <c r="B2" s="2" t="inlineStr">
        <is>
          <t>IPO2026-03 Project Voyage_CN</t>
        </is>
      </c>
      <c r="C2" s="2" t="n">
        <v>361.7</v>
      </c>
      <c r="D2" s="2">
        <f>SUMIFS('周排班-纵表'!$I:$I,'周排班-纵表'!$C:$C,$A2)</f>
        <v/>
      </c>
      <c r="E2" s="2">
        <f>$D2-$C2</f>
        <v/>
      </c>
      <c r="F2" s="2">
        <f>IF(ABS($E2)&lt;5,"是","否")</f>
        <v/>
      </c>
    </row>
    <row r="3">
      <c r="A3" s="2" t="inlineStr">
        <is>
          <t>47127971</t>
        </is>
      </c>
      <c r="B3" s="2" t="inlineStr">
        <is>
          <t>AUD2026-12 Xingze Fund</t>
        </is>
      </c>
      <c r="C3" s="2" t="n">
        <v>169.33</v>
      </c>
      <c r="D3" s="2">
        <f>SUMIFS('周排班-纵表'!$I:$I,'周排班-纵表'!$C:$C,$A3)</f>
        <v/>
      </c>
      <c r="E3" s="2">
        <f>$D3-$C3</f>
        <v/>
      </c>
      <c r="F3" s="2">
        <f>IF(ABS($E3)&lt;5,"是","否")</f>
        <v/>
      </c>
    </row>
    <row r="4">
      <c r="A4" s="2" t="inlineStr">
        <is>
          <t>47128046</t>
        </is>
      </c>
      <c r="B4" s="2" t="inlineStr">
        <is>
          <t>AUD2026-12 FR Funds</t>
        </is>
      </c>
      <c r="C4" s="2" t="n">
        <v>154.87</v>
      </c>
      <c r="D4" s="2">
        <f>SUMIFS('周排班-纵表'!$I:$I,'周排班-纵表'!$C:$C,$A4)</f>
        <v/>
      </c>
      <c r="E4" s="2">
        <f>$D4-$C4</f>
        <v/>
      </c>
      <c r="F4" s="2">
        <f>IF(ABS($E4)&lt;5,"是","否")</f>
        <v/>
      </c>
    </row>
    <row r="5">
      <c r="A5" s="2" t="inlineStr">
        <is>
          <t>47128108</t>
        </is>
      </c>
      <c r="B5" s="2" t="inlineStr">
        <is>
          <t>AUD2026-12 EverYi Capital</t>
        </is>
      </c>
      <c r="C5" s="2" t="n">
        <v>106.49</v>
      </c>
      <c r="D5" s="2">
        <f>SUMIFS('周排班-纵表'!$I:$I,'周排班-纵表'!$C:$C,$A5)</f>
        <v/>
      </c>
      <c r="E5" s="2">
        <f>$D5-$C5</f>
        <v/>
      </c>
      <c r="F5" s="2">
        <f>IF(ABS($E5)&lt;5,"是","否")</f>
        <v/>
      </c>
    </row>
    <row r="6">
      <c r="A6" s="2" t="inlineStr">
        <is>
          <t>47128154</t>
        </is>
      </c>
      <c r="B6" s="2" t="inlineStr">
        <is>
          <t>AUD2026-12 Mirae Asset</t>
        </is>
      </c>
      <c r="C6" s="2" t="n">
        <v>144</v>
      </c>
      <c r="D6" s="2">
        <f>SUMIFS('周排班-纵表'!$I:$I,'周排班-纵表'!$C:$C,$A6)</f>
        <v/>
      </c>
      <c r="E6" s="2">
        <f>$D6-$C6</f>
        <v/>
      </c>
      <c r="F6" s="2">
        <f>IF(ABS($E6)&lt;5,"是","否")</f>
        <v/>
      </c>
    </row>
    <row r="7">
      <c r="A7" s="2" t="inlineStr">
        <is>
          <t>47128202</t>
        </is>
      </c>
      <c r="B7" s="2" t="inlineStr">
        <is>
          <t>AUD2026-12 Hangzhou Huaxin</t>
        </is>
      </c>
      <c r="C7" s="2" t="n">
        <v>491.73</v>
      </c>
      <c r="D7" s="2">
        <f>SUMIFS('周排班-纵表'!$I:$I,'周排班-纵表'!$C:$C,$A7)</f>
        <v/>
      </c>
      <c r="E7" s="2">
        <f>$D7-$C7</f>
        <v/>
      </c>
      <c r="F7" s="2">
        <f>IF(ABS($E7)&lt;5,"是","否")</f>
        <v/>
      </c>
    </row>
    <row r="8">
      <c r="A8" s="2" t="inlineStr">
        <is>
          <t>47128359</t>
        </is>
      </c>
      <c r="B8" s="2" t="inlineStr">
        <is>
          <t>AUD2026-12 Arrace Holding</t>
        </is>
      </c>
      <c r="C8" s="2" t="n">
        <v>26.64</v>
      </c>
      <c r="D8" s="2">
        <f>SUMIFS('周排班-纵表'!$I:$I,'周排班-纵表'!$C:$C,$A8)</f>
        <v/>
      </c>
      <c r="E8" s="2">
        <f>$D8-$C8</f>
        <v/>
      </c>
      <c r="F8" s="2">
        <f>IF(ABS($E8)&lt;5,"是","否")</f>
        <v/>
      </c>
    </row>
    <row r="9">
      <c r="A9" s="2" t="inlineStr">
        <is>
          <t>47128364</t>
        </is>
      </c>
      <c r="B9" s="2" t="inlineStr">
        <is>
          <t>AUD2026-12 Great Wall Funds</t>
        </is>
      </c>
      <c r="C9" s="2" t="n">
        <v>880.53</v>
      </c>
      <c r="D9" s="2">
        <f>SUMIFS('周排班-纵表'!$I:$I,'周排班-纵表'!$C:$C,$A9)</f>
        <v/>
      </c>
      <c r="E9" s="2">
        <f>$D9-$C9</f>
        <v/>
      </c>
      <c r="F9" s="2">
        <f>IF(ABS($E9)&lt;5,"是","否")</f>
        <v/>
      </c>
    </row>
    <row r="10">
      <c r="A10" s="2" t="inlineStr">
        <is>
          <t>47128421</t>
        </is>
      </c>
      <c r="B10" s="2" t="inlineStr">
        <is>
          <t>AUD2026-12 PA Funds</t>
        </is>
      </c>
      <c r="C10" s="2" t="n">
        <v>132.49</v>
      </c>
      <c r="D10" s="2">
        <f>SUMIFS('周排班-纵表'!$I:$I,'周排班-纵表'!$C:$C,$A10)</f>
        <v/>
      </c>
      <c r="E10" s="2">
        <f>$D10-$C10</f>
        <v/>
      </c>
      <c r="F10" s="2">
        <f>IF(ABS($E10)&lt;5,"是","否")</f>
        <v/>
      </c>
    </row>
    <row r="11">
      <c r="A11" s="2" t="inlineStr">
        <is>
          <t>47128469</t>
        </is>
      </c>
      <c r="B11" s="2" t="inlineStr">
        <is>
          <t>AUD2026-12 Warburg Pincus US Fund</t>
        </is>
      </c>
      <c r="C11" s="2" t="n">
        <v>33.74</v>
      </c>
      <c r="D11" s="2">
        <f>SUMIFS('周排班-纵表'!$I:$I,'周排班-纵表'!$C:$C,$A11)</f>
        <v/>
      </c>
      <c r="E11" s="2">
        <f>$D11-$C11</f>
        <v/>
      </c>
      <c r="F11" s="2">
        <f>IF(ABS($E11)&lt;5,"是","否")</f>
        <v/>
      </c>
    </row>
    <row r="12">
      <c r="A12" s="2" t="inlineStr">
        <is>
          <t>47128472</t>
        </is>
      </c>
      <c r="B12" s="2" t="inlineStr">
        <is>
          <t>AUD2026-12 Xingze Management</t>
        </is>
      </c>
      <c r="C12" s="2" t="n">
        <v>15.24</v>
      </c>
      <c r="D12" s="2">
        <f>SUMIFS('周排班-纵表'!$I:$I,'周排班-纵表'!$C:$C,$A12)</f>
        <v/>
      </c>
      <c r="E12" s="2">
        <f>$D12-$C12</f>
        <v/>
      </c>
      <c r="F12" s="2">
        <f>IF(ABS($E12)&lt;5,"是","否")</f>
        <v/>
      </c>
    </row>
    <row r="13">
      <c r="A13" s="2" t="inlineStr">
        <is>
          <t>47128515</t>
        </is>
      </c>
      <c r="B13" s="2" t="inlineStr">
        <is>
          <t>AUD2026-12 OFC Fund</t>
        </is>
      </c>
      <c r="C13" s="2" t="n">
        <v>38.74</v>
      </c>
      <c r="D13" s="2">
        <f>SUMIFS('周排班-纵表'!$I:$I,'周排班-纵表'!$C:$C,$A13)</f>
        <v/>
      </c>
      <c r="E13" s="2">
        <f>$D13-$C13</f>
        <v/>
      </c>
      <c r="F13" s="2">
        <f>IF(ABS($E13)&lt;5,"是","否")</f>
        <v/>
      </c>
    </row>
    <row r="14">
      <c r="A14" s="2" t="inlineStr">
        <is>
          <t>47128633</t>
        </is>
      </c>
      <c r="B14" s="2" t="inlineStr">
        <is>
          <t>AUD2026-12 HSQH Funds</t>
        </is>
      </c>
      <c r="C14" s="2" t="n">
        <v>131.17</v>
      </c>
      <c r="D14" s="2">
        <f>SUMIFS('周排班-纵表'!$I:$I,'周排班-纵表'!$C:$C,$A14)</f>
        <v/>
      </c>
      <c r="E14" s="2">
        <f>$D14-$C14</f>
        <v/>
      </c>
      <c r="F14" s="2">
        <f>IF(ABS($E14)&lt;5,"是","否")</f>
        <v/>
      </c>
    </row>
    <row r="15">
      <c r="A15" s="2" t="inlineStr">
        <is>
          <t>47128684</t>
        </is>
      </c>
      <c r="B15" s="2" t="inlineStr">
        <is>
          <t>AUD2026-12 Vivo Capital</t>
        </is>
      </c>
      <c r="C15" s="2" t="n">
        <v>37.47</v>
      </c>
      <c r="D15" s="2">
        <f>SUMIFS('周排班-纵表'!$I:$I,'周排班-纵表'!$C:$C,$A15)</f>
        <v/>
      </c>
      <c r="E15" s="2">
        <f>$D15-$C15</f>
        <v/>
      </c>
      <c r="F15" s="2">
        <f>IF(ABS($E15)&lt;5,"是","否")</f>
        <v/>
      </c>
    </row>
    <row r="16">
      <c r="A16" s="2" t="inlineStr">
        <is>
          <t>47128706</t>
        </is>
      </c>
      <c r="B16" s="2" t="inlineStr">
        <is>
          <t>AUD2026-12 Invesco GW Funds</t>
        </is>
      </c>
      <c r="C16" s="2" t="n">
        <v>200</v>
      </c>
      <c r="D16" s="2">
        <f>SUMIFS('周排班-纵表'!$I:$I,'周排班-纵表'!$C:$C,$A16)</f>
        <v/>
      </c>
      <c r="E16" s="2">
        <f>$D16-$C16</f>
        <v/>
      </c>
      <c r="F16" s="2">
        <f>IF(ABS($E16)&lt;5,"是","否")</f>
        <v/>
      </c>
    </row>
    <row r="17">
      <c r="A17" s="2" t="inlineStr">
        <is>
          <t>47128835</t>
        </is>
      </c>
      <c r="B17" s="2" t="inlineStr">
        <is>
          <t>AUD2026-12 01VC USD Fund</t>
        </is>
      </c>
      <c r="C17" s="2" t="n">
        <v>131.87</v>
      </c>
      <c r="D17" s="2">
        <f>SUMIFS('周排班-纵表'!$I:$I,'周排班-纵表'!$C:$C,$A17)</f>
        <v/>
      </c>
      <c r="E17" s="2">
        <f>$D17-$C17</f>
        <v/>
      </c>
      <c r="F17" s="2">
        <f>IF(ABS($E17)&lt;5,"是","否")</f>
        <v/>
      </c>
    </row>
    <row r="18">
      <c r="A18" s="2" t="inlineStr">
        <is>
          <t>47129069</t>
        </is>
      </c>
      <c r="B18" s="2" t="inlineStr">
        <is>
          <t>AUD2026-12 ICBCM</t>
        </is>
      </c>
      <c r="C18" s="2" t="n">
        <v>88</v>
      </c>
      <c r="D18" s="2">
        <f>SUMIFS('周排班-纵表'!$I:$I,'周排班-纵表'!$C:$C,$A18)</f>
        <v/>
      </c>
      <c r="E18" s="2">
        <f>$D18-$C18</f>
        <v/>
      </c>
      <c r="F18" s="2">
        <f>IF(ABS($E18)&lt;5,"是","否")</f>
        <v/>
      </c>
    </row>
    <row r="19">
      <c r="A19" s="2" t="inlineStr">
        <is>
          <t>47129130</t>
        </is>
      </c>
      <c r="B19" s="2" t="inlineStr">
        <is>
          <t>AUD2026-12 Taikang HK Comps</t>
        </is>
      </c>
      <c r="C19" s="2" t="n">
        <v>17.01</v>
      </c>
      <c r="D19" s="2">
        <f>SUMIFS('周排班-纵表'!$I:$I,'周排班-纵表'!$C:$C,$A19)</f>
        <v/>
      </c>
      <c r="E19" s="2">
        <f>$D19-$C19</f>
        <v/>
      </c>
      <c r="F19" s="2">
        <f>IF(ABS($E19)&lt;5,"是","否")</f>
        <v/>
      </c>
    </row>
    <row r="20">
      <c r="A20" s="2" t="inlineStr">
        <is>
          <t>47129402</t>
        </is>
      </c>
      <c r="B20" s="2" t="inlineStr">
        <is>
          <t>AUD2026-12 Hashkey OFC Funds</t>
        </is>
      </c>
      <c r="C20" s="2" t="n">
        <v>60.06</v>
      </c>
      <c r="D20" s="2">
        <f>SUMIFS('周排班-纵表'!$I:$I,'周排班-纵表'!$C:$C,$A20)</f>
        <v/>
      </c>
      <c r="E20" s="2">
        <f>$D20-$C20</f>
        <v/>
      </c>
      <c r="F20" s="2">
        <f>IF(ABS($E20)&lt;5,"是","否")</f>
        <v/>
      </c>
    </row>
    <row r="21">
      <c r="A21" s="2" t="inlineStr">
        <is>
          <t>47129432</t>
        </is>
      </c>
      <c r="B21" s="2" t="inlineStr">
        <is>
          <t>AUD2026-12 OCML HK</t>
        </is>
      </c>
      <c r="C21" s="2" t="n">
        <v>17.22</v>
      </c>
      <c r="D21" s="2">
        <f>SUMIFS('周排班-纵表'!$I:$I,'周排班-纵表'!$C:$C,$A21)</f>
        <v/>
      </c>
      <c r="E21" s="2">
        <f>$D21-$C21</f>
        <v/>
      </c>
      <c r="F21" s="2">
        <f>IF(ABS($E21)&lt;5,"是","否")</f>
        <v/>
      </c>
    </row>
    <row r="22">
      <c r="A22" s="2" t="inlineStr">
        <is>
          <t>47129459</t>
        </is>
      </c>
      <c r="B22" s="2" t="inlineStr">
        <is>
          <t>AUD2026-12 COS-CAPITAL HK INTL</t>
        </is>
      </c>
      <c r="C22" s="2" t="n">
        <v>18.81</v>
      </c>
      <c r="D22" s="2">
        <f>SUMIFS('周排班-纵表'!$I:$I,'周排班-纵表'!$C:$C,$A22)</f>
        <v/>
      </c>
      <c r="E22" s="2">
        <f>$D22-$C22</f>
        <v/>
      </c>
      <c r="F22" s="2">
        <f>IF(ABS($E22)&lt;5,"是","否")</f>
        <v/>
      </c>
    </row>
    <row r="23">
      <c r="A23" s="2" t="inlineStr">
        <is>
          <t>47129548</t>
        </is>
      </c>
      <c r="B23" s="2" t="inlineStr">
        <is>
          <t>AUD2026-12 ICBCA</t>
        </is>
      </c>
      <c r="C23" s="2" t="n">
        <v>1316.11</v>
      </c>
      <c r="D23" s="2">
        <f>SUMIFS('周排班-纵表'!$I:$I,'周排班-纵表'!$C:$C,$A23)</f>
        <v/>
      </c>
      <c r="E23" s="2">
        <f>$D23-$C23</f>
        <v/>
      </c>
      <c r="F23" s="2">
        <f>IF(ABS($E23)&lt;5,"是","否")</f>
        <v/>
      </c>
    </row>
    <row r="24">
      <c r="A24" s="2" t="inlineStr">
        <is>
          <t>47129679</t>
        </is>
      </c>
      <c r="B24" s="2" t="inlineStr">
        <is>
          <t>AUD2026-12 DST Investment Mgt</t>
        </is>
      </c>
      <c r="C24" s="2" t="n">
        <v>22.01</v>
      </c>
      <c r="D24" s="2">
        <f>SUMIFS('周排班-纵表'!$I:$I,'周排班-纵表'!$C:$C,$A24)</f>
        <v/>
      </c>
      <c r="E24" s="2">
        <f>$D24-$C24</f>
        <v/>
      </c>
      <c r="F24" s="2">
        <f>IF(ABS($E24)&lt;5,"是","否")</f>
        <v/>
      </c>
    </row>
    <row r="25">
      <c r="A25" s="2" t="inlineStr">
        <is>
          <t>47129692</t>
        </is>
      </c>
      <c r="B25" s="2" t="inlineStr">
        <is>
          <t>AUD2026-12 E Fund IM</t>
        </is>
      </c>
      <c r="C25" s="2" t="n">
        <v>5.01</v>
      </c>
      <c r="D25" s="2">
        <f>SUMIFS('周排班-纵表'!$I:$I,'周排班-纵表'!$C:$C,$A25)</f>
        <v/>
      </c>
      <c r="E25" s="2">
        <f>$D25-$C25</f>
        <v/>
      </c>
      <c r="F25" s="2">
        <f>IF(ABS($E25)&lt;5,"是","否")</f>
        <v/>
      </c>
    </row>
    <row r="26">
      <c r="A26" s="2" t="inlineStr">
        <is>
          <t>47129702</t>
        </is>
      </c>
      <c r="B26" s="2" t="inlineStr">
        <is>
          <t>AUD2026-12 Shinka Capital</t>
        </is>
      </c>
      <c r="C26" s="2" t="n">
        <v>17.01</v>
      </c>
      <c r="D26" s="2">
        <f>SUMIFS('周排班-纵表'!$I:$I,'周排班-纵表'!$C:$C,$A26)</f>
        <v/>
      </c>
      <c r="E26" s="2">
        <f>$D26-$C26</f>
        <v/>
      </c>
      <c r="F26" s="2">
        <f>IF(ABS($E26)&lt;5,"是","否")</f>
        <v/>
      </c>
    </row>
    <row r="27">
      <c r="A27" s="2" t="inlineStr">
        <is>
          <t>47129715</t>
        </is>
      </c>
      <c r="B27" s="2" t="inlineStr">
        <is>
          <t>AUD2026-12 BOYU CAPITAL FUND</t>
        </is>
      </c>
      <c r="C27" s="2" t="n">
        <v>13.81</v>
      </c>
      <c r="D27" s="2">
        <f>SUMIFS('周排班-纵表'!$I:$I,'周排班-纵表'!$C:$C,$A27)</f>
        <v/>
      </c>
      <c r="E27" s="2">
        <f>$D27-$C27</f>
        <v/>
      </c>
      <c r="F27" s="2">
        <f>IF(ABS($E27)&lt;5,"是","否")</f>
        <v/>
      </c>
    </row>
    <row r="28">
      <c r="A28" s="2" t="inlineStr">
        <is>
          <t>47133720</t>
        </is>
      </c>
      <c r="B28" s="2" t="inlineStr">
        <is>
          <t>AUD2026-12 CMBILM</t>
        </is>
      </c>
      <c r="C28" s="2" t="n">
        <v>411.05</v>
      </c>
      <c r="D28" s="2">
        <f>SUMIFS('周排班-纵表'!$I:$I,'周排班-纵表'!$C:$C,$A28)</f>
        <v/>
      </c>
      <c r="E28" s="2">
        <f>$D28-$C28</f>
        <v/>
      </c>
      <c r="F28" s="2">
        <f>IF(ABS($E28)&lt;5,"是","否")</f>
        <v/>
      </c>
    </row>
    <row r="29">
      <c r="A29" s="2" t="inlineStr">
        <is>
          <t>47136348</t>
        </is>
      </c>
      <c r="B29" s="2" t="inlineStr">
        <is>
          <t>AUD2026-12 Warburg Pincus HK SPV JZ</t>
        </is>
      </c>
      <c r="C29" s="2" t="n">
        <v>308.61</v>
      </c>
      <c r="D29" s="2">
        <f>SUMIFS('周排班-纵表'!$I:$I,'周排班-纵表'!$C:$C,$A29)</f>
        <v/>
      </c>
      <c r="E29" s="2">
        <f>$D29-$C29</f>
        <v/>
      </c>
      <c r="F29" s="2">
        <f>IF(ABS($E29)&lt;5,"是","否")</f>
        <v/>
      </c>
    </row>
  </sheetData>
  <conditionalFormatting sqref="F2:F29">
    <cfRule type="expression" priority="1" dxfId="1">
      <formula>$F2="否"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9" customWidth="1" min="3" max="3"/>
    <col width="12" customWidth="1" min="4" max="4"/>
    <col width="42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33" customHeight="1">
      <c r="A1" s="1" t="inlineStr">
        <is>
          <t>Engagement Code</t>
        </is>
      </c>
      <c r="B1" s="1" t="inlineStr">
        <is>
          <t>Engagement Name</t>
        </is>
      </c>
      <c r="C1" s="1" t="inlineStr">
        <is>
          <t>节点类型</t>
        </is>
      </c>
      <c r="D1" s="1" t="inlineStr">
        <is>
          <t>日期</t>
        </is>
      </c>
      <c r="E1" s="1" t="inlineStr">
        <is>
          <t>参与人员</t>
        </is>
      </c>
      <c r="F1" s="1" t="inlineStr">
        <is>
          <t>提醒7天前</t>
        </is>
      </c>
      <c r="G1" s="1" t="inlineStr">
        <is>
          <t>提醒5天前</t>
        </is>
      </c>
      <c r="H1" s="1" t="inlineStr">
        <is>
          <t>提醒3天前</t>
        </is>
      </c>
      <c r="I1" s="1" t="inlineStr">
        <is>
          <t>提醒当天</t>
        </is>
      </c>
    </row>
    <row r="2">
      <c r="A2" s="2" t="inlineStr">
        <is>
          <t>47115559</t>
        </is>
      </c>
      <c r="B2" s="2" t="inlineStr">
        <is>
          <t>IPO2026-03 Project Voyage_CN</t>
        </is>
      </c>
      <c r="C2" s="2" t="inlineStr">
        <is>
          <t>预审开始</t>
        </is>
      </c>
      <c r="D2" s="4" t="n">
        <v>46307</v>
      </c>
      <c r="E2" s="2" t="inlineStr">
        <is>
          <t>Marsh.Ma@cn.ey.com、Vivi.W.Yang@cn.ey.com、Luna.CD.Zhang@cn.ey.com、Rainbow.MG.Xiao@cn.ey.com、Yuan.Yuan.YY.Chen@cn.ey.com</t>
        </is>
      </c>
      <c r="F2" s="4">
        <f>$D2-7</f>
        <v/>
      </c>
      <c r="G2" s="4">
        <f>$D2-5</f>
        <v/>
      </c>
      <c r="H2" s="4">
        <f>$D2-3</f>
        <v/>
      </c>
      <c r="I2" s="4">
        <f>$D2-0</f>
        <v/>
      </c>
    </row>
    <row r="3">
      <c r="A3" s="2" t="inlineStr">
        <is>
          <t>47128835</t>
        </is>
      </c>
      <c r="B3" s="2" t="inlineStr">
        <is>
          <t>AUD2026-12 01VC USD Fund</t>
        </is>
      </c>
      <c r="C3" s="2" t="inlineStr">
        <is>
          <t>预审开始</t>
        </is>
      </c>
      <c r="D3" s="4" t="n">
        <v>46307</v>
      </c>
      <c r="E3" s="2" t="inlineStr">
        <is>
          <t>Marsh.Ma@cn.ey.com、Vivi.W.Yang@cn.ey.com、Luna.CD.Zhang@cn.ey.com、Rainbow.MG.Xiao@cn.ey.com、Yuan.Yuan.YY.Chen@cn.ey.com</t>
        </is>
      </c>
      <c r="F3" s="4">
        <f>$D3-7</f>
        <v/>
      </c>
      <c r="G3" s="4">
        <f>$D3-5</f>
        <v/>
      </c>
      <c r="H3" s="4">
        <f>$D3-3</f>
        <v/>
      </c>
      <c r="I3" s="4">
        <f>$D3-0</f>
        <v/>
      </c>
    </row>
    <row r="4">
      <c r="A4" s="2" t="inlineStr">
        <is>
          <t>47129548</t>
        </is>
      </c>
      <c r="B4" s="2" t="inlineStr">
        <is>
          <t>AUD2026-12 ICBCA</t>
        </is>
      </c>
      <c r="C4" s="2" t="inlineStr">
        <is>
          <t>预审开始</t>
        </is>
      </c>
      <c r="D4" s="4" t="n">
        <v>46307</v>
      </c>
      <c r="E4" s="2" t="inlineStr">
        <is>
          <t>Marsh.Ma@cn.ey.com、Vivi.W.Yang@cn.ey.com、Yuan.Yuan.YY.Chen@cn.ey.com、Luna.CD.Zhang@cn.ey.com、Rainbow.MG.Xiao@cn.ey.com、InternB、InternA</t>
        </is>
      </c>
      <c r="F4" s="4">
        <f>$D4-7</f>
        <v/>
      </c>
      <c r="G4" s="4">
        <f>$D4-5</f>
        <v/>
      </c>
      <c r="H4" s="4">
        <f>$D4-3</f>
        <v/>
      </c>
      <c r="I4" s="4">
        <f>$D4-0</f>
        <v/>
      </c>
    </row>
    <row r="5">
      <c r="A5" s="2" t="inlineStr">
        <is>
          <t>47127971</t>
        </is>
      </c>
      <c r="B5" s="2" t="inlineStr">
        <is>
          <t>AUD2026-12 Xingze Fund</t>
        </is>
      </c>
      <c r="C5" s="2" t="inlineStr">
        <is>
          <t>预审开始</t>
        </is>
      </c>
      <c r="D5" s="4" t="n">
        <v>46308</v>
      </c>
      <c r="E5" s="2" t="inlineStr">
        <is>
          <t>Marsh.Ma@cn.ey.com、Vivi.W.Yang@cn.ey.com、Luna.CD.Zhang@cn.ey.com、Rainbow.MG.Xiao@cn.ey.com、Yuan.Yuan.YY.Chen@cn.ey.com</t>
        </is>
      </c>
      <c r="F5" s="4">
        <f>$D5-7</f>
        <v/>
      </c>
      <c r="G5" s="4">
        <f>$D5-5</f>
        <v/>
      </c>
      <c r="H5" s="4">
        <f>$D5-3</f>
        <v/>
      </c>
      <c r="I5" s="4">
        <f>$D5-0</f>
        <v/>
      </c>
    </row>
    <row r="6">
      <c r="A6" s="2" t="inlineStr">
        <is>
          <t>47128472</t>
        </is>
      </c>
      <c r="B6" s="2" t="inlineStr">
        <is>
          <t>AUD2026-12 Xingze Management</t>
        </is>
      </c>
      <c r="C6" s="2" t="inlineStr">
        <is>
          <t>预审开始</t>
        </is>
      </c>
      <c r="D6" s="4" t="n">
        <v>46308</v>
      </c>
      <c r="E6" s="2" t="inlineStr">
        <is>
          <t>Marsh.Ma@cn.ey.com、Vivi.W.Yang@cn.ey.com、Luna.CD.Zhang@cn.ey.com</t>
        </is>
      </c>
      <c r="F6" s="4">
        <f>$D6-7</f>
        <v/>
      </c>
      <c r="G6" s="4">
        <f>$D6-5</f>
        <v/>
      </c>
      <c r="H6" s="4">
        <f>$D6-3</f>
        <v/>
      </c>
      <c r="I6" s="4">
        <f>$D6-0</f>
        <v/>
      </c>
    </row>
    <row r="7">
      <c r="A7" s="2" t="inlineStr">
        <is>
          <t>47127971</t>
        </is>
      </c>
      <c r="B7" s="2" t="inlineStr">
        <is>
          <t>AUD2026-12 Xingze Fund</t>
        </is>
      </c>
      <c r="C7" s="2" t="inlineStr">
        <is>
          <t>预审交付</t>
        </is>
      </c>
      <c r="D7" s="4" t="n">
        <v>46311</v>
      </c>
      <c r="E7" s="2" t="inlineStr">
        <is>
          <t>Marsh.Ma@cn.ey.com、Vivi.W.Yang@cn.ey.com、Luna.CD.Zhang@cn.ey.com、Rainbow.MG.Xiao@cn.ey.com、Yuan.Yuan.YY.Chen@cn.ey.com</t>
        </is>
      </c>
      <c r="F7" s="4">
        <f>$D7-7</f>
        <v/>
      </c>
      <c r="G7" s="4">
        <f>$D7-5</f>
        <v/>
      </c>
      <c r="H7" s="4">
        <f>$D7-3</f>
        <v/>
      </c>
      <c r="I7" s="4">
        <f>$D7-0</f>
        <v/>
      </c>
    </row>
    <row r="8">
      <c r="A8" s="2" t="inlineStr">
        <is>
          <t>47128472</t>
        </is>
      </c>
      <c r="B8" s="2" t="inlineStr">
        <is>
          <t>AUD2026-12 Xingze Management</t>
        </is>
      </c>
      <c r="C8" s="2" t="inlineStr">
        <is>
          <t>预审交付</t>
        </is>
      </c>
      <c r="D8" s="4" t="n">
        <v>46314</v>
      </c>
      <c r="E8" s="2" t="inlineStr">
        <is>
          <t>Marsh.Ma@cn.ey.com、Vivi.W.Yang@cn.ey.com、Luna.CD.Zhang@cn.ey.com</t>
        </is>
      </c>
      <c r="F8" s="4">
        <f>$D8-7</f>
        <v/>
      </c>
      <c r="G8" s="4">
        <f>$D8-5</f>
        <v/>
      </c>
      <c r="H8" s="4">
        <f>$D8-3</f>
        <v/>
      </c>
      <c r="I8" s="4">
        <f>$D8-0</f>
        <v/>
      </c>
    </row>
    <row r="9">
      <c r="A9" s="2" t="inlineStr">
        <is>
          <t>47128835</t>
        </is>
      </c>
      <c r="B9" s="2" t="inlineStr">
        <is>
          <t>AUD2026-12 01VC USD Fund</t>
        </is>
      </c>
      <c r="C9" s="2" t="inlineStr">
        <is>
          <t>预审交付</t>
        </is>
      </c>
      <c r="D9" s="4" t="n">
        <v>46318</v>
      </c>
      <c r="E9" s="2" t="inlineStr">
        <is>
          <t>Marsh.Ma@cn.ey.com、Vivi.W.Yang@cn.ey.com、Luna.CD.Zhang@cn.ey.com、Rainbow.MG.Xiao@cn.ey.com、Yuan.Yuan.YY.Chen@cn.ey.com</t>
        </is>
      </c>
      <c r="F9" s="4">
        <f>$D9-7</f>
        <v/>
      </c>
      <c r="G9" s="4">
        <f>$D9-5</f>
        <v/>
      </c>
      <c r="H9" s="4">
        <f>$D9-3</f>
        <v/>
      </c>
      <c r="I9" s="4">
        <f>$D9-0</f>
        <v/>
      </c>
    </row>
    <row r="10">
      <c r="A10" s="2" t="inlineStr">
        <is>
          <t>47115559</t>
        </is>
      </c>
      <c r="B10" s="2" t="inlineStr">
        <is>
          <t>IPO2026-03 Project Voyage_CN</t>
        </is>
      </c>
      <c r="C10" s="2" t="inlineStr">
        <is>
          <t>预审交付</t>
        </is>
      </c>
      <c r="D10" s="4" t="n">
        <v>46325</v>
      </c>
      <c r="E10" s="2" t="inlineStr">
        <is>
          <t>Marsh.Ma@cn.ey.com、Vivi.W.Yang@cn.ey.com、Luna.CD.Zhang@cn.ey.com、Rainbow.MG.Xiao@cn.ey.com、Yuan.Yuan.YY.Chen@cn.ey.com</t>
        </is>
      </c>
      <c r="F10" s="4">
        <f>$D10-7</f>
        <v/>
      </c>
      <c r="G10" s="4">
        <f>$D10-5</f>
        <v/>
      </c>
      <c r="H10" s="4">
        <f>$D10-3</f>
        <v/>
      </c>
      <c r="I10" s="4">
        <f>$D10-0</f>
        <v/>
      </c>
    </row>
    <row r="11">
      <c r="A11" s="2" t="inlineStr">
        <is>
          <t>47128202</t>
        </is>
      </c>
      <c r="B11" s="2" t="inlineStr">
        <is>
          <t>AUD2026-12 Hangzhou Huaxin</t>
        </is>
      </c>
      <c r="C11" s="2" t="inlineStr">
        <is>
          <t>预审开始</t>
        </is>
      </c>
      <c r="D11" s="4" t="n">
        <v>46331</v>
      </c>
      <c r="E11" s="2" t="inlineStr">
        <is>
          <t>Marsh.Ma@cn.ey.com、Vivi.W.Yang@cn.ey.com、Luna.CD.Zhang@cn.ey.com、Rainbow.MG.Xiao@cn.ey.com、Yuan.Yuan.YY.Chen@cn.ey.com</t>
        </is>
      </c>
      <c r="F11" s="4">
        <f>$D11-7</f>
        <v/>
      </c>
      <c r="G11" s="4">
        <f>$D11-5</f>
        <v/>
      </c>
      <c r="H11" s="4">
        <f>$D11-3</f>
        <v/>
      </c>
      <c r="I11" s="4">
        <f>$D11-0</f>
        <v/>
      </c>
    </row>
    <row r="12">
      <c r="A12" s="2" t="inlineStr">
        <is>
          <t>47129548</t>
        </is>
      </c>
      <c r="B12" s="2" t="inlineStr">
        <is>
          <t>AUD2026-12 ICBCA</t>
        </is>
      </c>
      <c r="C12" s="2" t="inlineStr">
        <is>
          <t>预审交付</t>
        </is>
      </c>
      <c r="D12" s="4" t="n">
        <v>46346</v>
      </c>
      <c r="E12" s="2" t="inlineStr">
        <is>
          <t>Marsh.Ma@cn.ey.com、Vivi.W.Yang@cn.ey.com、Yuan.Yuan.YY.Chen@cn.ey.com、Luna.CD.Zhang@cn.ey.com、Rainbow.MG.Xiao@cn.ey.com、InternB、InternA</t>
        </is>
      </c>
      <c r="F12" s="4">
        <f>$D12-7</f>
        <v/>
      </c>
      <c r="G12" s="4">
        <f>$D12-5</f>
        <v/>
      </c>
      <c r="H12" s="4">
        <f>$D12-3</f>
        <v/>
      </c>
      <c r="I12" s="4">
        <f>$D12-0</f>
        <v/>
      </c>
    </row>
    <row r="13">
      <c r="A13" s="2" t="inlineStr">
        <is>
          <t>47128359</t>
        </is>
      </c>
      <c r="B13" s="2" t="inlineStr">
        <is>
          <t>AUD2026-12 Arrace Holding</t>
        </is>
      </c>
      <c r="C13" s="2" t="inlineStr">
        <is>
          <t>预审开始</t>
        </is>
      </c>
      <c r="D13" s="4" t="n">
        <v>46349</v>
      </c>
      <c r="E13" s="2" t="inlineStr">
        <is>
          <t>Marsh.Ma@cn.ey.com、Vivi.W.Yang@cn.ey.com、Luna.CD.Zhang@cn.ey.com</t>
        </is>
      </c>
      <c r="F13" s="4">
        <f>$D13-7</f>
        <v/>
      </c>
      <c r="G13" s="4">
        <f>$D13-5</f>
        <v/>
      </c>
      <c r="H13" s="4">
        <f>$D13-3</f>
        <v/>
      </c>
      <c r="I13" s="4">
        <f>$D13-0</f>
        <v/>
      </c>
    </row>
    <row r="14">
      <c r="A14" s="2" t="inlineStr">
        <is>
          <t>47128684</t>
        </is>
      </c>
      <c r="B14" s="2" t="inlineStr">
        <is>
          <t>AUD2026-12 Vivo Capital</t>
        </is>
      </c>
      <c r="C14" s="2" t="inlineStr">
        <is>
          <t>预审开始</t>
        </is>
      </c>
      <c r="D14" s="4" t="n">
        <v>46349</v>
      </c>
      <c r="E14" s="2" t="inlineStr">
        <is>
          <t>Marsh.Ma@cn.ey.com、Vivi.W.Yang@cn.ey.com、Luna.CD.Zhang@cn.ey.com</t>
        </is>
      </c>
      <c r="F14" s="4">
        <f>$D14-7</f>
        <v/>
      </c>
      <c r="G14" s="4">
        <f>$D14-5</f>
        <v/>
      </c>
      <c r="H14" s="4">
        <f>$D14-3</f>
        <v/>
      </c>
      <c r="I14" s="4">
        <f>$D14-0</f>
        <v/>
      </c>
    </row>
    <row r="15">
      <c r="A15" s="2" t="inlineStr">
        <is>
          <t>47128359</t>
        </is>
      </c>
      <c r="B15" s="2" t="inlineStr">
        <is>
          <t>AUD2026-12 Arrace Holding</t>
        </is>
      </c>
      <c r="C15" s="2" t="inlineStr">
        <is>
          <t>预审交付</t>
        </is>
      </c>
      <c r="D15" s="4" t="n">
        <v>46352</v>
      </c>
      <c r="E15" s="2" t="inlineStr">
        <is>
          <t>Marsh.Ma@cn.ey.com、Vivi.W.Yang@cn.ey.com、Luna.CD.Zhang@cn.ey.com</t>
        </is>
      </c>
      <c r="F15" s="4">
        <f>$D15-7</f>
        <v/>
      </c>
      <c r="G15" s="4">
        <f>$D15-5</f>
        <v/>
      </c>
      <c r="H15" s="4">
        <f>$D15-3</f>
        <v/>
      </c>
      <c r="I15" s="4">
        <f>$D15-0</f>
        <v/>
      </c>
    </row>
    <row r="16">
      <c r="A16" s="2" t="inlineStr">
        <is>
          <t>47128684</t>
        </is>
      </c>
      <c r="B16" s="2" t="inlineStr">
        <is>
          <t>AUD2026-12 Vivo Capital</t>
        </is>
      </c>
      <c r="C16" s="2" t="inlineStr">
        <is>
          <t>预审交付</t>
        </is>
      </c>
      <c r="D16" s="4" t="n">
        <v>46352</v>
      </c>
      <c r="E16" s="2" t="inlineStr">
        <is>
          <t>Marsh.Ma@cn.ey.com、Vivi.W.Yang@cn.ey.com、Luna.CD.Zhang@cn.ey.com</t>
        </is>
      </c>
      <c r="F16" s="4">
        <f>$D16-7</f>
        <v/>
      </c>
      <c r="G16" s="4">
        <f>$D16-5</f>
        <v/>
      </c>
      <c r="H16" s="4">
        <f>$D16-3</f>
        <v/>
      </c>
      <c r="I16" s="4">
        <f>$D16-0</f>
        <v/>
      </c>
    </row>
    <row r="17">
      <c r="A17" s="2" t="inlineStr">
        <is>
          <t>47128154</t>
        </is>
      </c>
      <c r="B17" s="2" t="inlineStr">
        <is>
          <t>AUD2026-12 Mirae Asset</t>
        </is>
      </c>
      <c r="C17" s="2" t="inlineStr">
        <is>
          <t>预审开始</t>
        </is>
      </c>
      <c r="D17" s="4" t="n">
        <v>46357</v>
      </c>
      <c r="E17" s="2" t="inlineStr">
        <is>
          <t>Marsh.Ma@cn.ey.com、Vivi.W.Yang@cn.ey.com、Luna.CD.Zhang@cn.ey.com、Rainbow.MG.Xiao@cn.ey.com、Yuan.Yuan.YY.Chen@cn.ey.com</t>
        </is>
      </c>
      <c r="F17" s="4">
        <f>$D17-7</f>
        <v/>
      </c>
      <c r="G17" s="4">
        <f>$D17-5</f>
        <v/>
      </c>
      <c r="H17" s="4">
        <f>$D17-3</f>
        <v/>
      </c>
      <c r="I17" s="4">
        <f>$D17-0</f>
        <v/>
      </c>
    </row>
    <row r="18">
      <c r="A18" s="2" t="inlineStr">
        <is>
          <t>47128202</t>
        </is>
      </c>
      <c r="B18" s="2" t="inlineStr">
        <is>
          <t>AUD2026-12 Hangzhou Huaxin</t>
        </is>
      </c>
      <c r="C18" s="2" t="inlineStr">
        <is>
          <t>预审交付</t>
        </is>
      </c>
      <c r="D18" s="4" t="n">
        <v>46361</v>
      </c>
      <c r="E18" s="2" t="inlineStr">
        <is>
          <t>Marsh.Ma@cn.ey.com、Vivi.W.Yang@cn.ey.com、Luna.CD.Zhang@cn.ey.com、Rainbow.MG.Xiao@cn.ey.com、Yuan.Yuan.YY.Chen@cn.ey.com</t>
        </is>
      </c>
      <c r="F18" s="4">
        <f>$D18-7</f>
        <v/>
      </c>
      <c r="G18" s="4">
        <f>$D18-5</f>
        <v/>
      </c>
      <c r="H18" s="4">
        <f>$D18-3</f>
        <v/>
      </c>
      <c r="I18" s="4">
        <f>$D18-0</f>
        <v/>
      </c>
    </row>
    <row r="19">
      <c r="A19" s="2" t="inlineStr">
        <is>
          <t>47128469</t>
        </is>
      </c>
      <c r="B19" s="2" t="inlineStr">
        <is>
          <t>AUD2026-12 Warburg Pincus US Fund</t>
        </is>
      </c>
      <c r="C19" s="2" t="inlineStr">
        <is>
          <t>预审开始</t>
        </is>
      </c>
      <c r="D19" s="4" t="n">
        <v>46371</v>
      </c>
      <c r="E19" s="2" t="inlineStr">
        <is>
          <t>Marsh.Ma@cn.ey.com、Vivi.W.Yang@cn.ey.com、Luna.CD.Zhang@cn.ey.com</t>
        </is>
      </c>
      <c r="F19" s="4">
        <f>$D19-7</f>
        <v/>
      </c>
      <c r="G19" s="4">
        <f>$D19-5</f>
        <v/>
      </c>
      <c r="H19" s="4">
        <f>$D19-3</f>
        <v/>
      </c>
      <c r="I19" s="4">
        <f>$D19-0</f>
        <v/>
      </c>
    </row>
    <row r="20">
      <c r="A20" s="2" t="inlineStr">
        <is>
          <t>47133720</t>
        </is>
      </c>
      <c r="B20" s="2" t="inlineStr">
        <is>
          <t>AUD2026-12 CMBILM</t>
        </is>
      </c>
      <c r="C20" s="2" t="inlineStr">
        <is>
          <t>预审开始</t>
        </is>
      </c>
      <c r="D20" s="4" t="n">
        <v>46371</v>
      </c>
      <c r="E20" s="2" t="inlineStr">
        <is>
          <t>Marsh.Ma@cn.ey.com、Vivi.W.Yang@cn.ey.com、Yuan.Yuan.YY.Chen@cn.ey.com、Rainbow.MG.Xiao@cn.ey.com</t>
        </is>
      </c>
      <c r="F20" s="4">
        <f>$D20-7</f>
        <v/>
      </c>
      <c r="G20" s="4">
        <f>$D20-5</f>
        <v/>
      </c>
      <c r="H20" s="4">
        <f>$D20-3</f>
        <v/>
      </c>
      <c r="I20" s="4">
        <f>$D20-0</f>
        <v/>
      </c>
    </row>
    <row r="21">
      <c r="A21" s="2" t="inlineStr">
        <is>
          <t>47128046</t>
        </is>
      </c>
      <c r="B21" s="2" t="inlineStr">
        <is>
          <t>AUD2026-12 FR Funds</t>
        </is>
      </c>
      <c r="C21" s="2" t="inlineStr">
        <is>
          <t>年审开始</t>
        </is>
      </c>
      <c r="D21" s="4" t="n">
        <v>46377</v>
      </c>
      <c r="E21" s="2" t="inlineStr">
        <is>
          <t>Marsh.Ma@cn.ey.com、Yuan.Yuan.YY.Chen@cn.ey.com、Rainbow.MG.Xiao@cn.ey.com、InternA、InternB</t>
        </is>
      </c>
      <c r="F21" s="4">
        <f>$D21-7</f>
        <v/>
      </c>
      <c r="G21" s="4">
        <f>$D21-5</f>
        <v/>
      </c>
      <c r="H21" s="4">
        <f>$D21-3</f>
        <v/>
      </c>
      <c r="I21" s="4">
        <f>$D21-0</f>
        <v/>
      </c>
    </row>
    <row r="22">
      <c r="A22" s="2" t="inlineStr">
        <is>
          <t>47128364</t>
        </is>
      </c>
      <c r="B22" s="2" t="inlineStr">
        <is>
          <t>AUD2026-12 Great Wall Funds</t>
        </is>
      </c>
      <c r="C22" s="2" t="inlineStr">
        <is>
          <t>年审开始</t>
        </is>
      </c>
      <c r="D22" s="4" t="n">
        <v>46377</v>
      </c>
      <c r="E22" s="2" t="inlineStr">
        <is>
          <t>Marsh.Ma@cn.ey.com、Yuan.Yuan.YY.Chen@cn.ey.com、Rainbow.MG.Xiao@cn.ey.com、InternA、InternB</t>
        </is>
      </c>
      <c r="F22" s="4">
        <f>$D22-7</f>
        <v/>
      </c>
      <c r="G22" s="4">
        <f>$D22-5</f>
        <v/>
      </c>
      <c r="H22" s="4">
        <f>$D22-3</f>
        <v/>
      </c>
      <c r="I22" s="4">
        <f>$D22-0</f>
        <v/>
      </c>
    </row>
    <row r="23">
      <c r="A23" s="2" t="inlineStr">
        <is>
          <t>47128633</t>
        </is>
      </c>
      <c r="B23" s="2" t="inlineStr">
        <is>
          <t>AUD2026-12 HSQH Funds</t>
        </is>
      </c>
      <c r="C23" s="2" t="inlineStr">
        <is>
          <t>年审开始</t>
        </is>
      </c>
      <c r="D23" s="4" t="n">
        <v>46377</v>
      </c>
      <c r="E23" s="2" t="inlineStr">
        <is>
          <t>Marsh.Ma@cn.ey.com、Yuan.Yuan.YY.Chen@cn.ey.com、Rainbow.MG.Xiao@cn.ey.com、InternA、InternB</t>
        </is>
      </c>
      <c r="F23" s="4">
        <f>$D23-7</f>
        <v/>
      </c>
      <c r="G23" s="4">
        <f>$D23-5</f>
        <v/>
      </c>
      <c r="H23" s="4">
        <f>$D23-3</f>
        <v/>
      </c>
      <c r="I23" s="4">
        <f>$D23-0</f>
        <v/>
      </c>
    </row>
    <row r="24">
      <c r="A24" s="2" t="inlineStr">
        <is>
          <t>47128706</t>
        </is>
      </c>
      <c r="B24" s="2" t="inlineStr">
        <is>
          <t>AUD2026-12 Invesco GW Funds</t>
        </is>
      </c>
      <c r="C24" s="2" t="inlineStr">
        <is>
          <t>年审开始</t>
        </is>
      </c>
      <c r="D24" s="4" t="n">
        <v>46377</v>
      </c>
      <c r="E24" s="2" t="inlineStr">
        <is>
          <t>Marsh.Ma@cn.ey.com、Yuan.Yuan.YY.Chen@cn.ey.com、Rainbow.MG.Xiao@cn.ey.com、InternA、InternB</t>
        </is>
      </c>
      <c r="F24" s="4">
        <f>$D24-7</f>
        <v/>
      </c>
      <c r="G24" s="4">
        <f>$D24-5</f>
        <v/>
      </c>
      <c r="H24" s="4">
        <f>$D24-3</f>
        <v/>
      </c>
      <c r="I24" s="4">
        <f>$D24-0</f>
        <v/>
      </c>
    </row>
    <row r="25">
      <c r="A25" s="2" t="inlineStr">
        <is>
          <t>47129069</t>
        </is>
      </c>
      <c r="B25" s="2" t="inlineStr">
        <is>
          <t>AUD2026-12 ICBCM</t>
        </is>
      </c>
      <c r="C25" s="2" t="inlineStr">
        <is>
          <t>年审开始</t>
        </is>
      </c>
      <c r="D25" s="4" t="n">
        <v>46377</v>
      </c>
      <c r="E25" s="2" t="inlineStr">
        <is>
          <t>Marsh.Ma@cn.ey.com、Vivi.W.Yang@cn.ey.com、Rainbow.MG.Xiao@cn.ey.com、Luna.CD.Zhang@cn.ey.com、InternA</t>
        </is>
      </c>
      <c r="F25" s="4">
        <f>$D25-7</f>
        <v/>
      </c>
      <c r="G25" s="4">
        <f>$D25-5</f>
        <v/>
      </c>
      <c r="H25" s="4">
        <f>$D25-3</f>
        <v/>
      </c>
      <c r="I25" s="4">
        <f>$D25-0</f>
        <v/>
      </c>
    </row>
    <row r="26">
      <c r="A26" s="2" t="inlineStr">
        <is>
          <t>47129548</t>
        </is>
      </c>
      <c r="B26" s="2" t="inlineStr">
        <is>
          <t>AUD2026-12 ICBCA</t>
        </is>
      </c>
      <c r="C26" s="2" t="inlineStr">
        <is>
          <t>年审开始</t>
        </is>
      </c>
      <c r="D26" s="4" t="n">
        <v>46377</v>
      </c>
      <c r="E26" s="2" t="inlineStr">
        <is>
          <t>Marsh.Ma@cn.ey.com、Vivi.W.Yang@cn.ey.com、Yuan.Yuan.YY.Chen@cn.ey.com、Luna.CD.Zhang@cn.ey.com、Rainbow.MG.Xiao@cn.ey.com、InternB、InternA</t>
        </is>
      </c>
      <c r="F26" s="4">
        <f>$D26-7</f>
        <v/>
      </c>
      <c r="G26" s="4">
        <f>$D26-5</f>
        <v/>
      </c>
      <c r="H26" s="4">
        <f>$D26-3</f>
        <v/>
      </c>
      <c r="I26" s="4">
        <f>$D26-0</f>
        <v/>
      </c>
    </row>
    <row r="27">
      <c r="A27" s="2" t="inlineStr">
        <is>
          <t>47128469</t>
        </is>
      </c>
      <c r="B27" s="2" t="inlineStr">
        <is>
          <t>AUD2026-12 Warburg Pincus US Fund</t>
        </is>
      </c>
      <c r="C27" s="2" t="inlineStr">
        <is>
          <t>预审交付</t>
        </is>
      </c>
      <c r="D27" s="4" t="n">
        <v>46379</v>
      </c>
      <c r="E27" s="2" t="inlineStr">
        <is>
          <t>Marsh.Ma@cn.ey.com、Vivi.W.Yang@cn.ey.com、Luna.CD.Zhang@cn.ey.com</t>
        </is>
      </c>
      <c r="F27" s="4">
        <f>$D27-7</f>
        <v/>
      </c>
      <c r="G27" s="4">
        <f>$D27-5</f>
        <v/>
      </c>
      <c r="H27" s="4">
        <f>$D27-3</f>
        <v/>
      </c>
      <c r="I27" s="4">
        <f>$D27-0</f>
        <v/>
      </c>
    </row>
    <row r="28">
      <c r="A28" s="2" t="inlineStr">
        <is>
          <t>47133720</t>
        </is>
      </c>
      <c r="B28" s="2" t="inlineStr">
        <is>
          <t>AUD2026-12 CMBILM</t>
        </is>
      </c>
      <c r="C28" s="2" t="inlineStr">
        <is>
          <t>预审交付</t>
        </is>
      </c>
      <c r="D28" s="4" t="n">
        <v>46379</v>
      </c>
      <c r="E28" s="2" t="inlineStr">
        <is>
          <t>Marsh.Ma@cn.ey.com、Vivi.W.Yang@cn.ey.com、Yuan.Yuan.YY.Chen@cn.ey.com、Rainbow.MG.Xiao@cn.ey.com</t>
        </is>
      </c>
      <c r="F28" s="4">
        <f>$D28-7</f>
        <v/>
      </c>
      <c r="G28" s="4">
        <f>$D28-5</f>
        <v/>
      </c>
      <c r="H28" s="4">
        <f>$D28-3</f>
        <v/>
      </c>
      <c r="I28" s="4">
        <f>$D28-0</f>
        <v/>
      </c>
    </row>
    <row r="29">
      <c r="A29" s="2" t="inlineStr">
        <is>
          <t>47128421</t>
        </is>
      </c>
      <c r="B29" s="2" t="inlineStr">
        <is>
          <t>AUD2026-12 PA Funds</t>
        </is>
      </c>
      <c r="C29" s="2" t="inlineStr">
        <is>
          <t>年审开始</t>
        </is>
      </c>
      <c r="D29" s="4" t="n">
        <v>46384</v>
      </c>
      <c r="E29" s="2" t="inlineStr">
        <is>
          <t>Marsh.Ma@cn.ey.com、Yuan.Yuan.YY.Chen@cn.ey.com、Rainbow.MG.Xiao@cn.ey.com、InternA、InternB</t>
        </is>
      </c>
      <c r="F29" s="4">
        <f>$D29-7</f>
        <v/>
      </c>
      <c r="G29" s="4">
        <f>$D29-5</f>
        <v/>
      </c>
      <c r="H29" s="4">
        <f>$D29-3</f>
        <v/>
      </c>
      <c r="I29" s="4">
        <f>$D29-0</f>
        <v/>
      </c>
    </row>
    <row r="30">
      <c r="A30" s="2" t="inlineStr">
        <is>
          <t>47128154</t>
        </is>
      </c>
      <c r="B30" s="2" t="inlineStr">
        <is>
          <t>AUD2026-12 Mirae Asset</t>
        </is>
      </c>
      <c r="C30" s="2" t="inlineStr">
        <is>
          <t>预审交付</t>
        </is>
      </c>
      <c r="D30" s="4" t="n">
        <v>46386</v>
      </c>
      <c r="E30" s="2" t="inlineStr">
        <is>
          <t>Marsh.Ma@cn.ey.com、Vivi.W.Yang@cn.ey.com、Luna.CD.Zhang@cn.ey.com、Rainbow.MG.Xiao@cn.ey.com、Yuan.Yuan.YY.Chen@cn.ey.com</t>
        </is>
      </c>
      <c r="F30" s="4">
        <f>$D30-7</f>
        <v/>
      </c>
      <c r="G30" s="4">
        <f>$D30-5</f>
        <v/>
      </c>
      <c r="H30" s="4">
        <f>$D30-3</f>
        <v/>
      </c>
      <c r="I30" s="4">
        <f>$D30-0</f>
        <v/>
      </c>
    </row>
    <row r="31">
      <c r="A31" s="2" t="inlineStr">
        <is>
          <t>47128108</t>
        </is>
      </c>
      <c r="B31" s="2" t="inlineStr">
        <is>
          <t>AUD2026-12 EverYi Capital</t>
        </is>
      </c>
      <c r="C31" s="2" t="inlineStr">
        <is>
          <t>年审开始</t>
        </is>
      </c>
      <c r="D31" s="4" t="n">
        <v>46388</v>
      </c>
      <c r="E31" s="2" t="inlineStr">
        <is>
          <t>Marsh.Ma@cn.ey.com、Vivi.W.Yang@cn.ey.com、Luna.CD.Zhang@cn.ey.com、Rainbow.MG.Xiao@cn.ey.com、Yuan.Yuan.YY.Chen@cn.ey.com</t>
        </is>
      </c>
      <c r="F31" s="4">
        <f>$D31-7</f>
        <v/>
      </c>
      <c r="G31" s="4">
        <f>$D31-5</f>
        <v/>
      </c>
      <c r="H31" s="4">
        <f>$D31-3</f>
        <v/>
      </c>
      <c r="I31" s="4">
        <f>$D31-0</f>
        <v/>
      </c>
    </row>
    <row r="32">
      <c r="A32" s="2" t="inlineStr">
        <is>
          <t>47128154</t>
        </is>
      </c>
      <c r="B32" s="2" t="inlineStr">
        <is>
          <t>AUD2026-12 Mirae Asset</t>
        </is>
      </c>
      <c r="C32" s="2" t="inlineStr">
        <is>
          <t>年审开始</t>
        </is>
      </c>
      <c r="D32" s="4" t="n">
        <v>46388</v>
      </c>
      <c r="E32" s="2" t="inlineStr">
        <is>
          <t>Marsh.Ma@cn.ey.com、Vivi.W.Yang@cn.ey.com、Luna.CD.Zhang@cn.ey.com、Rainbow.MG.Xiao@cn.ey.com、Yuan.Yuan.YY.Chen@cn.ey.com</t>
        </is>
      </c>
      <c r="F32" s="4">
        <f>$D32-7</f>
        <v/>
      </c>
      <c r="G32" s="4">
        <f>$D32-5</f>
        <v/>
      </c>
      <c r="H32" s="4">
        <f>$D32-3</f>
        <v/>
      </c>
      <c r="I32" s="4">
        <f>$D32-0</f>
        <v/>
      </c>
    </row>
    <row r="33">
      <c r="A33" s="2" t="inlineStr">
        <is>
          <t>47128684</t>
        </is>
      </c>
      <c r="B33" s="2" t="inlineStr">
        <is>
          <t>AUD2026-12 Vivo Capital</t>
        </is>
      </c>
      <c r="C33" s="2" t="inlineStr">
        <is>
          <t>年审开始</t>
        </is>
      </c>
      <c r="D33" s="4" t="n">
        <v>46388</v>
      </c>
      <c r="E33" s="2" t="inlineStr">
        <is>
          <t>Marsh.Ma@cn.ey.com、Vivi.W.Yang@cn.ey.com、Luna.CD.Zhang@cn.ey.com</t>
        </is>
      </c>
      <c r="F33" s="4">
        <f>$D33-7</f>
        <v/>
      </c>
      <c r="G33" s="4">
        <f>$D33-5</f>
        <v/>
      </c>
      <c r="H33" s="4">
        <f>$D33-3</f>
        <v/>
      </c>
      <c r="I33" s="4">
        <f>$D33-0</f>
        <v/>
      </c>
    </row>
    <row r="34">
      <c r="A34" s="2" t="inlineStr">
        <is>
          <t>47127971</t>
        </is>
      </c>
      <c r="B34" s="2" t="inlineStr">
        <is>
          <t>AUD2026-12 Xingze Fund</t>
        </is>
      </c>
      <c r="C34" s="2" t="inlineStr">
        <is>
          <t>年审开始</t>
        </is>
      </c>
      <c r="D34" s="4" t="n">
        <v>46393</v>
      </c>
      <c r="E34" s="2" t="inlineStr">
        <is>
          <t>Marsh.Ma@cn.ey.com、Vivi.W.Yang@cn.ey.com、Luna.CD.Zhang@cn.ey.com、Rainbow.MG.Xiao@cn.ey.com、Yuan.Yuan.YY.Chen@cn.ey.com</t>
        </is>
      </c>
      <c r="F34" s="4">
        <f>$D34-7</f>
        <v/>
      </c>
      <c r="G34" s="4">
        <f>$D34-5</f>
        <v/>
      </c>
      <c r="H34" s="4">
        <f>$D34-3</f>
        <v/>
      </c>
      <c r="I34" s="4">
        <f>$D34-0</f>
        <v/>
      </c>
    </row>
    <row r="35">
      <c r="A35" s="2" t="inlineStr">
        <is>
          <t>47128472</t>
        </is>
      </c>
      <c r="B35" s="2" t="inlineStr">
        <is>
          <t>AUD2026-12 Xingze Management</t>
        </is>
      </c>
      <c r="C35" s="2" t="inlineStr">
        <is>
          <t>年审开始</t>
        </is>
      </c>
      <c r="D35" s="4" t="n">
        <v>46393</v>
      </c>
      <c r="E35" s="2" t="inlineStr">
        <is>
          <t>Marsh.Ma@cn.ey.com、Vivi.W.Yang@cn.ey.com、Luna.CD.Zhang@cn.ey.com</t>
        </is>
      </c>
      <c r="F35" s="4">
        <f>$D35-7</f>
        <v/>
      </c>
      <c r="G35" s="4">
        <f>$D35-5</f>
        <v/>
      </c>
      <c r="H35" s="4">
        <f>$D35-3</f>
        <v/>
      </c>
      <c r="I35" s="4">
        <f>$D35-0</f>
        <v/>
      </c>
    </row>
    <row r="36">
      <c r="A36" s="2" t="inlineStr">
        <is>
          <t>47128835</t>
        </is>
      </c>
      <c r="B36" s="2" t="inlineStr">
        <is>
          <t>AUD2026-12 01VC USD Fund</t>
        </is>
      </c>
      <c r="C36" s="2" t="inlineStr">
        <is>
          <t>年审开始</t>
        </is>
      </c>
      <c r="D36" s="4" t="n">
        <v>46394</v>
      </c>
      <c r="E36" s="2" t="inlineStr">
        <is>
          <t>Marsh.Ma@cn.ey.com、Vivi.W.Yang@cn.ey.com、Luna.CD.Zhang@cn.ey.com、Rainbow.MG.Xiao@cn.ey.com、Yuan.Yuan.YY.Chen@cn.ey.com</t>
        </is>
      </c>
      <c r="F36" s="4">
        <f>$D36-7</f>
        <v/>
      </c>
      <c r="G36" s="4">
        <f>$D36-5</f>
        <v/>
      </c>
      <c r="H36" s="4">
        <f>$D36-3</f>
        <v/>
      </c>
      <c r="I36" s="4">
        <f>$D36-0</f>
        <v/>
      </c>
    </row>
    <row r="37">
      <c r="A37" s="2" t="inlineStr">
        <is>
          <t>47128515</t>
        </is>
      </c>
      <c r="B37" s="2" t="inlineStr">
        <is>
          <t>AUD2026-12 OFC Fund</t>
        </is>
      </c>
      <c r="C37" s="2" t="inlineStr">
        <is>
          <t>年审开始</t>
        </is>
      </c>
      <c r="D37" s="4" t="n">
        <v>46395</v>
      </c>
      <c r="E37" s="2" t="inlineStr">
        <is>
          <t>Marsh.Ma@cn.ey.com、Vivi.W.Yang@cn.ey.com、Luna.CD.Zhang@cn.ey.com</t>
        </is>
      </c>
      <c r="F37" s="4">
        <f>$D37-7</f>
        <v/>
      </c>
      <c r="G37" s="4">
        <f>$D37-5</f>
        <v/>
      </c>
      <c r="H37" s="4">
        <f>$D37-3</f>
        <v/>
      </c>
      <c r="I37" s="4">
        <f>$D37-0</f>
        <v/>
      </c>
    </row>
    <row r="38">
      <c r="A38" s="2" t="inlineStr">
        <is>
          <t>47128835</t>
        </is>
      </c>
      <c r="B38" s="2" t="inlineStr">
        <is>
          <t>AUD2026-12 01VC USD Fund</t>
        </is>
      </c>
      <c r="C38" s="2" t="inlineStr">
        <is>
          <t>年审交付</t>
        </is>
      </c>
      <c r="D38" s="4" t="n">
        <v>46400</v>
      </c>
      <c r="E38" s="2" t="inlineStr">
        <is>
          <t>Marsh.Ma@cn.ey.com、Vivi.W.Yang@cn.ey.com、Luna.CD.Zhang@cn.ey.com、Rainbow.MG.Xiao@cn.ey.com、Yuan.Yuan.YY.Chen@cn.ey.com</t>
        </is>
      </c>
      <c r="F38" s="4">
        <f>$D38-7</f>
        <v/>
      </c>
      <c r="G38" s="4">
        <f>$D38-5</f>
        <v/>
      </c>
      <c r="H38" s="4">
        <f>$D38-3</f>
        <v/>
      </c>
      <c r="I38" s="4">
        <f>$D38-0</f>
        <v/>
      </c>
    </row>
    <row r="39">
      <c r="A39" s="2" t="inlineStr">
        <is>
          <t>47127971</t>
        </is>
      </c>
      <c r="B39" s="2" t="inlineStr">
        <is>
          <t>AUD2026-12 Xingze Fund</t>
        </is>
      </c>
      <c r="C39" s="2" t="inlineStr">
        <is>
          <t>年审交付</t>
        </is>
      </c>
      <c r="D39" s="4" t="n">
        <v>46402</v>
      </c>
      <c r="E39" s="2" t="inlineStr">
        <is>
          <t>Marsh.Ma@cn.ey.com、Vivi.W.Yang@cn.ey.com、Luna.CD.Zhang@cn.ey.com、Rainbow.MG.Xiao@cn.ey.com、Yuan.Yuan.YY.Chen@cn.ey.com</t>
        </is>
      </c>
      <c r="F39" s="4">
        <f>$D39-7</f>
        <v/>
      </c>
      <c r="G39" s="4">
        <f>$D39-5</f>
        <v/>
      </c>
      <c r="H39" s="4">
        <f>$D39-3</f>
        <v/>
      </c>
      <c r="I39" s="4">
        <f>$D39-0</f>
        <v/>
      </c>
    </row>
    <row r="40">
      <c r="A40" s="2" t="inlineStr">
        <is>
          <t>47128202</t>
        </is>
      </c>
      <c r="B40" s="2" t="inlineStr">
        <is>
          <t>AUD2026-12 Hangzhou Huaxin</t>
        </is>
      </c>
      <c r="C40" s="2" t="inlineStr">
        <is>
          <t>年审开始</t>
        </is>
      </c>
      <c r="D40" s="4" t="n">
        <v>46402</v>
      </c>
      <c r="E40" s="2" t="inlineStr">
        <is>
          <t>Marsh.Ma@cn.ey.com、Vivi.W.Yang@cn.ey.com、Luna.CD.Zhang@cn.ey.com、Rainbow.MG.Xiao@cn.ey.com、Yuan.Yuan.YY.Chen@cn.ey.com</t>
        </is>
      </c>
      <c r="F40" s="4">
        <f>$D40-7</f>
        <v/>
      </c>
      <c r="G40" s="4">
        <f>$D40-5</f>
        <v/>
      </c>
      <c r="H40" s="4">
        <f>$D40-3</f>
        <v/>
      </c>
      <c r="I40" s="4">
        <f>$D40-0</f>
        <v/>
      </c>
    </row>
    <row r="41">
      <c r="A41" s="2" t="inlineStr">
        <is>
          <t>47128154</t>
        </is>
      </c>
      <c r="B41" s="2" t="inlineStr">
        <is>
          <t>AUD2026-12 Mirae Asset</t>
        </is>
      </c>
      <c r="C41" s="2" t="inlineStr">
        <is>
          <t>年审交付</t>
        </is>
      </c>
      <c r="D41" s="4" t="n">
        <v>46405</v>
      </c>
      <c r="E41" s="2" t="inlineStr">
        <is>
          <t>Marsh.Ma@cn.ey.com、Vivi.W.Yang@cn.ey.com、Luna.CD.Zhang@cn.ey.com、Rainbow.MG.Xiao@cn.ey.com、Yuan.Yuan.YY.Chen@cn.ey.com</t>
        </is>
      </c>
      <c r="F41" s="4">
        <f>$D41-7</f>
        <v/>
      </c>
      <c r="G41" s="4">
        <f>$D41-5</f>
        <v/>
      </c>
      <c r="H41" s="4">
        <f>$D41-3</f>
        <v/>
      </c>
      <c r="I41" s="4">
        <f>$D41-0</f>
        <v/>
      </c>
    </row>
    <row r="42">
      <c r="A42" s="2" t="inlineStr">
        <is>
          <t>47128472</t>
        </is>
      </c>
      <c r="B42" s="2" t="inlineStr">
        <is>
          <t>AUD2026-12 Xingze Management</t>
        </is>
      </c>
      <c r="C42" s="2" t="inlineStr">
        <is>
          <t>年审交付</t>
        </is>
      </c>
      <c r="D42" s="4" t="n">
        <v>46407</v>
      </c>
      <c r="E42" s="2" t="inlineStr">
        <is>
          <t>Marsh.Ma@cn.ey.com、Vivi.W.Yang@cn.ey.com、Luna.CD.Zhang@cn.ey.com</t>
        </is>
      </c>
      <c r="F42" s="4">
        <f>$D42-7</f>
        <v/>
      </c>
      <c r="G42" s="4">
        <f>$D42-5</f>
        <v/>
      </c>
      <c r="H42" s="4">
        <f>$D42-3</f>
        <v/>
      </c>
      <c r="I42" s="4">
        <f>$D42-0</f>
        <v/>
      </c>
    </row>
    <row r="43">
      <c r="A43" s="2" t="inlineStr">
        <is>
          <t>47115559</t>
        </is>
      </c>
      <c r="B43" s="2" t="inlineStr">
        <is>
          <t>IPO2026-03 Project Voyage_CN</t>
        </is>
      </c>
      <c r="C43" s="2" t="inlineStr">
        <is>
          <t>年审开始</t>
        </is>
      </c>
      <c r="D43" s="4" t="n">
        <v>46419</v>
      </c>
      <c r="E43" s="2" t="inlineStr">
        <is>
          <t>Marsh.Ma@cn.ey.com、Vivi.W.Yang@cn.ey.com、Luna.CD.Zhang@cn.ey.com、Rainbow.MG.Xiao@cn.ey.com、Yuan.Yuan.YY.Chen@cn.ey.com</t>
        </is>
      </c>
      <c r="F43" s="4">
        <f>$D43-7</f>
        <v/>
      </c>
      <c r="G43" s="4">
        <f>$D43-5</f>
        <v/>
      </c>
      <c r="H43" s="4">
        <f>$D43-3</f>
        <v/>
      </c>
      <c r="I43" s="4">
        <f>$D43-0</f>
        <v/>
      </c>
    </row>
    <row r="44">
      <c r="A44" s="2" t="inlineStr">
        <is>
          <t>47128421</t>
        </is>
      </c>
      <c r="B44" s="2" t="inlineStr">
        <is>
          <t>AUD2026-12 PA Funds</t>
        </is>
      </c>
      <c r="C44" s="2" t="inlineStr">
        <is>
          <t>年审交付</t>
        </is>
      </c>
      <c r="D44" s="4" t="n">
        <v>46419</v>
      </c>
      <c r="E44" s="2" t="inlineStr">
        <is>
          <t>Marsh.Ma@cn.ey.com、Yuan.Yuan.YY.Chen@cn.ey.com、Rainbow.MG.Xiao@cn.ey.com、InternA、InternB</t>
        </is>
      </c>
      <c r="F44" s="4">
        <f>$D44-7</f>
        <v/>
      </c>
      <c r="G44" s="4">
        <f>$D44-5</f>
        <v/>
      </c>
      <c r="H44" s="4">
        <f>$D44-3</f>
        <v/>
      </c>
      <c r="I44" s="4">
        <f>$D44-0</f>
        <v/>
      </c>
    </row>
    <row r="45">
      <c r="A45" s="2" t="inlineStr">
        <is>
          <t>47128515</t>
        </is>
      </c>
      <c r="B45" s="2" t="inlineStr">
        <is>
          <t>AUD2026-12 OFC Fund</t>
        </is>
      </c>
      <c r="C45" s="2" t="inlineStr">
        <is>
          <t>年审交付</t>
        </is>
      </c>
      <c r="D45" s="4" t="n">
        <v>46419</v>
      </c>
      <c r="E45" s="2" t="inlineStr">
        <is>
          <t>Marsh.Ma@cn.ey.com、Vivi.W.Yang@cn.ey.com、Luna.CD.Zhang@cn.ey.com</t>
        </is>
      </c>
      <c r="F45" s="4">
        <f>$D45-7</f>
        <v/>
      </c>
      <c r="G45" s="4">
        <f>$D45-5</f>
        <v/>
      </c>
      <c r="H45" s="4">
        <f>$D45-3</f>
        <v/>
      </c>
      <c r="I45" s="4">
        <f>$D45-0</f>
        <v/>
      </c>
    </row>
    <row r="46">
      <c r="A46" s="2" t="inlineStr">
        <is>
          <t>47128359</t>
        </is>
      </c>
      <c r="B46" s="2" t="inlineStr">
        <is>
          <t>AUD2026-12 Arrace Holding</t>
        </is>
      </c>
      <c r="C46" s="2" t="inlineStr">
        <is>
          <t>年审开始</t>
        </is>
      </c>
      <c r="D46" s="4" t="n">
        <v>46420</v>
      </c>
      <c r="E46" s="2" t="inlineStr">
        <is>
          <t>Marsh.Ma@cn.ey.com、Vivi.W.Yang@cn.ey.com、Luna.CD.Zhang@cn.ey.com</t>
        </is>
      </c>
      <c r="F46" s="4">
        <f>$D46-7</f>
        <v/>
      </c>
      <c r="G46" s="4">
        <f>$D46-5</f>
        <v/>
      </c>
      <c r="H46" s="4">
        <f>$D46-3</f>
        <v/>
      </c>
      <c r="I46" s="4">
        <f>$D46-0</f>
        <v/>
      </c>
    </row>
    <row r="47">
      <c r="A47" s="2" t="inlineStr">
        <is>
          <t>47129130</t>
        </is>
      </c>
      <c r="B47" s="2" t="inlineStr">
        <is>
          <t>AUD2026-12 Taikang HK Comps</t>
        </is>
      </c>
      <c r="C47" s="2" t="inlineStr">
        <is>
          <t>年审开始</t>
        </is>
      </c>
      <c r="D47" s="4" t="n">
        <v>46433</v>
      </c>
      <c r="E47" s="2" t="inlineStr">
        <is>
          <t>Marsh.Ma@cn.ey.com、Vivi.W.Yang@cn.ey.com、Luna.CD.Zhang@cn.ey.com、Rainbow.MG.Xiao@cn.ey.com</t>
        </is>
      </c>
      <c r="F47" s="4">
        <f>$D47-7</f>
        <v/>
      </c>
      <c r="G47" s="4">
        <f>$D47-5</f>
        <v/>
      </c>
      <c r="H47" s="4">
        <f>$D47-3</f>
        <v/>
      </c>
      <c r="I47" s="4">
        <f>$D47-0</f>
        <v/>
      </c>
    </row>
    <row r="48">
      <c r="A48" s="2" t="inlineStr">
        <is>
          <t>47129432</t>
        </is>
      </c>
      <c r="B48" s="2" t="inlineStr">
        <is>
          <t>AUD2026-12 OCML HK</t>
        </is>
      </c>
      <c r="C48" s="2" t="inlineStr">
        <is>
          <t>年审开始</t>
        </is>
      </c>
      <c r="D48" s="4" t="n">
        <v>46433</v>
      </c>
      <c r="E48" s="2" t="inlineStr">
        <is>
          <t>Marsh.Ma@cn.ey.com、Vivi.W.Yang@cn.ey.com、Luna.CD.Zhang@cn.ey.com、Rainbow.MG.Xiao@cn.ey.com</t>
        </is>
      </c>
      <c r="F48" s="4">
        <f>$D48-7</f>
        <v/>
      </c>
      <c r="G48" s="4">
        <f>$D48-5</f>
        <v/>
      </c>
      <c r="H48" s="4">
        <f>$D48-3</f>
        <v/>
      </c>
      <c r="I48" s="4">
        <f>$D48-0</f>
        <v/>
      </c>
    </row>
    <row r="49">
      <c r="A49" s="2" t="inlineStr">
        <is>
          <t>47129459</t>
        </is>
      </c>
      <c r="B49" s="2" t="inlineStr">
        <is>
          <t>AUD2026-12 COS-CAPITAL HK INTL</t>
        </is>
      </c>
      <c r="C49" s="2" t="inlineStr">
        <is>
          <t>年审开始</t>
        </is>
      </c>
      <c r="D49" s="4" t="n">
        <v>46433</v>
      </c>
      <c r="E49" s="2" t="inlineStr">
        <is>
          <t>Marsh.Ma@cn.ey.com、Vivi.W.Yang@cn.ey.com、Luna.CD.Zhang@cn.ey.com、Rainbow.MG.Xiao@cn.ey.com</t>
        </is>
      </c>
      <c r="F49" s="4">
        <f>$D49-7</f>
        <v/>
      </c>
      <c r="G49" s="4">
        <f>$D49-5</f>
        <v/>
      </c>
      <c r="H49" s="4">
        <f>$D49-3</f>
        <v/>
      </c>
      <c r="I49" s="4">
        <f>$D49-0</f>
        <v/>
      </c>
    </row>
    <row r="50">
      <c r="A50" s="2" t="inlineStr">
        <is>
          <t>47129679</t>
        </is>
      </c>
      <c r="B50" s="2" t="inlineStr">
        <is>
          <t>AUD2026-12 DST Investment Mgt</t>
        </is>
      </c>
      <c r="C50" s="2" t="inlineStr">
        <is>
          <t>年审开始</t>
        </is>
      </c>
      <c r="D50" s="4" t="n">
        <v>46433</v>
      </c>
      <c r="E50" s="2" t="inlineStr">
        <is>
          <t>Marsh.Ma@cn.ey.com、Vivi.W.Yang@cn.ey.com、Luna.CD.Zhang@cn.ey.com、Rainbow.MG.Xiao@cn.ey.com</t>
        </is>
      </c>
      <c r="F50" s="4">
        <f>$D50-7</f>
        <v/>
      </c>
      <c r="G50" s="4">
        <f>$D50-5</f>
        <v/>
      </c>
      <c r="H50" s="4">
        <f>$D50-3</f>
        <v/>
      </c>
      <c r="I50" s="4">
        <f>$D50-0</f>
        <v/>
      </c>
    </row>
    <row r="51">
      <c r="A51" s="2" t="inlineStr">
        <is>
          <t>47129692</t>
        </is>
      </c>
      <c r="B51" s="2" t="inlineStr">
        <is>
          <t>AUD2026-12 E Fund IM</t>
        </is>
      </c>
      <c r="C51" s="2" t="inlineStr">
        <is>
          <t>年审开始</t>
        </is>
      </c>
      <c r="D51" s="4" t="n">
        <v>46433</v>
      </c>
      <c r="E51" s="2" t="inlineStr">
        <is>
          <t>Marsh.Ma@cn.ey.com、Vivi.W.Yang@cn.ey.com、Luna.CD.Zhang@cn.ey.com、Rainbow.MG.Xiao@cn.ey.com</t>
        </is>
      </c>
      <c r="F51" s="4">
        <f>$D51-7</f>
        <v/>
      </c>
      <c r="G51" s="4">
        <f>$D51-5</f>
        <v/>
      </c>
      <c r="H51" s="4">
        <f>$D51-3</f>
        <v/>
      </c>
      <c r="I51" s="4">
        <f>$D51-0</f>
        <v/>
      </c>
    </row>
    <row r="52">
      <c r="A52" s="2" t="inlineStr">
        <is>
          <t>47129702</t>
        </is>
      </c>
      <c r="B52" s="2" t="inlineStr">
        <is>
          <t>AUD2026-12 Shinka Capital</t>
        </is>
      </c>
      <c r="C52" s="2" t="inlineStr">
        <is>
          <t>年审开始</t>
        </is>
      </c>
      <c r="D52" s="4" t="n">
        <v>46433</v>
      </c>
      <c r="E52" s="2" t="inlineStr">
        <is>
          <t>Marsh.Ma@cn.ey.com、Vivi.W.Yang@cn.ey.com、Luna.CD.Zhang@cn.ey.com、Rainbow.MG.Xiao@cn.ey.com</t>
        </is>
      </c>
      <c r="F52" s="4">
        <f>$D52-7</f>
        <v/>
      </c>
      <c r="G52" s="4">
        <f>$D52-5</f>
        <v/>
      </c>
      <c r="H52" s="4">
        <f>$D52-3</f>
        <v/>
      </c>
      <c r="I52" s="4">
        <f>$D52-0</f>
        <v/>
      </c>
    </row>
    <row r="53">
      <c r="A53" s="2" t="inlineStr">
        <is>
          <t>47129715</t>
        </is>
      </c>
      <c r="B53" s="2" t="inlineStr">
        <is>
          <t>AUD2026-12 BOYU CAPITAL FUND</t>
        </is>
      </c>
      <c r="C53" s="2" t="inlineStr">
        <is>
          <t>年审开始</t>
        </is>
      </c>
      <c r="D53" s="4" t="n">
        <v>46433</v>
      </c>
      <c r="E53" s="2" t="inlineStr">
        <is>
          <t>Marsh.Ma@cn.ey.com、Vivi.W.Yang@cn.ey.com、Luna.CD.Zhang@cn.ey.com、Rainbow.MG.Xiao@cn.ey.com</t>
        </is>
      </c>
      <c r="F53" s="4">
        <f>$D53-7</f>
        <v/>
      </c>
      <c r="G53" s="4">
        <f>$D53-5</f>
        <v/>
      </c>
      <c r="H53" s="4">
        <f>$D53-3</f>
        <v/>
      </c>
      <c r="I53" s="4">
        <f>$D53-0</f>
        <v/>
      </c>
    </row>
    <row r="54">
      <c r="A54" s="2" t="inlineStr">
        <is>
          <t>47128108</t>
        </is>
      </c>
      <c r="B54" s="2" t="inlineStr">
        <is>
          <t>AUD2026-12 EverYi Capital</t>
        </is>
      </c>
      <c r="C54" s="2" t="inlineStr">
        <is>
          <t>年审交付</t>
        </is>
      </c>
      <c r="D54" s="4" t="n">
        <v>46437</v>
      </c>
      <c r="E54" s="2" t="inlineStr">
        <is>
          <t>Marsh.Ma@cn.ey.com、Vivi.W.Yang@cn.ey.com、Luna.CD.Zhang@cn.ey.com、Rainbow.MG.Xiao@cn.ey.com、Yuan.Yuan.YY.Chen@cn.ey.com</t>
        </is>
      </c>
      <c r="F54" s="4">
        <f>$D54-7</f>
        <v/>
      </c>
      <c r="G54" s="4">
        <f>$D54-5</f>
        <v/>
      </c>
      <c r="H54" s="4">
        <f>$D54-3</f>
        <v/>
      </c>
      <c r="I54" s="4">
        <f>$D54-0</f>
        <v/>
      </c>
    </row>
    <row r="55">
      <c r="A55" s="2" t="inlineStr">
        <is>
          <t>47128359</t>
        </is>
      </c>
      <c r="B55" s="2" t="inlineStr">
        <is>
          <t>AUD2026-12 Arrace Holding</t>
        </is>
      </c>
      <c r="C55" s="2" t="inlineStr">
        <is>
          <t>年审交付</t>
        </is>
      </c>
      <c r="D55" s="4" t="n">
        <v>46440</v>
      </c>
      <c r="E55" s="2" t="inlineStr">
        <is>
          <t>Marsh.Ma@cn.ey.com、Vivi.W.Yang@cn.ey.com、Luna.CD.Zhang@cn.ey.com</t>
        </is>
      </c>
      <c r="F55" s="4">
        <f>$D55-7</f>
        <v/>
      </c>
      <c r="G55" s="4">
        <f>$D55-5</f>
        <v/>
      </c>
      <c r="H55" s="4">
        <f>$D55-3</f>
        <v/>
      </c>
      <c r="I55" s="4">
        <f>$D55-0</f>
        <v/>
      </c>
    </row>
    <row r="56">
      <c r="A56" s="2" t="inlineStr">
        <is>
          <t>47128684</t>
        </is>
      </c>
      <c r="B56" s="2" t="inlineStr">
        <is>
          <t>AUD2026-12 Vivo Capital</t>
        </is>
      </c>
      <c r="C56" s="2" t="inlineStr">
        <is>
          <t>年审交付</t>
        </is>
      </c>
      <c r="D56" s="4" t="n">
        <v>46440</v>
      </c>
      <c r="E56" s="2" t="inlineStr">
        <is>
          <t>Marsh.Ma@cn.ey.com、Vivi.W.Yang@cn.ey.com、Luna.CD.Zhang@cn.ey.com</t>
        </is>
      </c>
      <c r="F56" s="4">
        <f>$D56-7</f>
        <v/>
      </c>
      <c r="G56" s="4">
        <f>$D56-5</f>
        <v/>
      </c>
      <c r="H56" s="4">
        <f>$D56-3</f>
        <v/>
      </c>
      <c r="I56" s="4">
        <f>$D56-0</f>
        <v/>
      </c>
    </row>
    <row r="57">
      <c r="A57" s="2" t="inlineStr">
        <is>
          <t>47128202</t>
        </is>
      </c>
      <c r="B57" s="2" t="inlineStr">
        <is>
          <t>AUD2026-12 Hangzhou Huaxin</t>
        </is>
      </c>
      <c r="C57" s="2" t="inlineStr">
        <is>
          <t>年审交付</t>
        </is>
      </c>
      <c r="D57" s="4" t="n">
        <v>46443</v>
      </c>
      <c r="E57" s="2" t="inlineStr">
        <is>
          <t>Marsh.Ma@cn.ey.com、Vivi.W.Yang@cn.ey.com、Luna.CD.Zhang@cn.ey.com、Rainbow.MG.Xiao@cn.ey.com、Yuan.Yuan.YY.Chen@cn.ey.com</t>
        </is>
      </c>
      <c r="F57" s="4">
        <f>$D57-7</f>
        <v/>
      </c>
      <c r="G57" s="4">
        <f>$D57-5</f>
        <v/>
      </c>
      <c r="H57" s="4">
        <f>$D57-3</f>
        <v/>
      </c>
      <c r="I57" s="4">
        <f>$D57-0</f>
        <v/>
      </c>
    </row>
    <row r="58">
      <c r="A58" s="2" t="inlineStr">
        <is>
          <t>47129069</t>
        </is>
      </c>
      <c r="B58" s="2" t="inlineStr">
        <is>
          <t>AUD2026-12 ICBCM</t>
        </is>
      </c>
      <c r="C58" s="2" t="inlineStr">
        <is>
          <t>年审交付</t>
        </is>
      </c>
      <c r="D58" s="4" t="n">
        <v>46446</v>
      </c>
      <c r="E58" s="2" t="inlineStr">
        <is>
          <t>Marsh.Ma@cn.ey.com、Vivi.W.Yang@cn.ey.com、Rainbow.MG.Xiao@cn.ey.com、Luna.CD.Zhang@cn.ey.com、InternA</t>
        </is>
      </c>
      <c r="F58" s="4">
        <f>$D58-7</f>
        <v/>
      </c>
      <c r="G58" s="4">
        <f>$D58-5</f>
        <v/>
      </c>
      <c r="H58" s="4">
        <f>$D58-3</f>
        <v/>
      </c>
      <c r="I58" s="4">
        <f>$D58-0</f>
        <v/>
      </c>
    </row>
    <row r="59">
      <c r="A59" s="2" t="inlineStr">
        <is>
          <t>47128046</t>
        </is>
      </c>
      <c r="B59" s="2" t="inlineStr">
        <is>
          <t>AUD2026-12 FR Funds</t>
        </is>
      </c>
      <c r="C59" s="2" t="inlineStr">
        <is>
          <t>年审交付</t>
        </is>
      </c>
      <c r="D59" s="4" t="n">
        <v>46447</v>
      </c>
      <c r="E59" s="2" t="inlineStr">
        <is>
          <t>Marsh.Ma@cn.ey.com、Yuan.Yuan.YY.Chen@cn.ey.com、Rainbow.MG.Xiao@cn.ey.com、InternA、InternB</t>
        </is>
      </c>
      <c r="F59" s="4">
        <f>$D59-7</f>
        <v/>
      </c>
      <c r="G59" s="4">
        <f>$D59-5</f>
        <v/>
      </c>
      <c r="H59" s="4">
        <f>$D59-3</f>
        <v/>
      </c>
      <c r="I59" s="4">
        <f>$D59-0</f>
        <v/>
      </c>
    </row>
    <row r="60">
      <c r="A60" s="2" t="inlineStr">
        <is>
          <t>47128364</t>
        </is>
      </c>
      <c r="B60" s="2" t="inlineStr">
        <is>
          <t>AUD2026-12 Great Wall Funds</t>
        </is>
      </c>
      <c r="C60" s="2" t="inlineStr">
        <is>
          <t>年审交付</t>
        </is>
      </c>
      <c r="D60" s="4" t="n">
        <v>46447</v>
      </c>
      <c r="E60" s="2" t="inlineStr">
        <is>
          <t>Marsh.Ma@cn.ey.com、Yuan.Yuan.YY.Chen@cn.ey.com、Rainbow.MG.Xiao@cn.ey.com、InternA、InternB</t>
        </is>
      </c>
      <c r="F60" s="4">
        <f>$D60-7</f>
        <v/>
      </c>
      <c r="G60" s="4">
        <f>$D60-5</f>
        <v/>
      </c>
      <c r="H60" s="4">
        <f>$D60-3</f>
        <v/>
      </c>
      <c r="I60" s="4">
        <f>$D60-0</f>
        <v/>
      </c>
    </row>
    <row r="61">
      <c r="A61" s="2" t="inlineStr">
        <is>
          <t>47128469</t>
        </is>
      </c>
      <c r="B61" s="2" t="inlineStr">
        <is>
          <t>AUD2026-12 Warburg Pincus US Fund</t>
        </is>
      </c>
      <c r="C61" s="2" t="inlineStr">
        <is>
          <t>年审开始</t>
        </is>
      </c>
      <c r="D61" s="4" t="n">
        <v>46447</v>
      </c>
      <c r="E61" s="2" t="inlineStr">
        <is>
          <t>Marsh.Ma@cn.ey.com、Vivi.W.Yang@cn.ey.com、Luna.CD.Zhang@cn.ey.com</t>
        </is>
      </c>
      <c r="F61" s="4">
        <f>$D61-7</f>
        <v/>
      </c>
      <c r="G61" s="4">
        <f>$D61-5</f>
        <v/>
      </c>
      <c r="H61" s="4">
        <f>$D61-3</f>
        <v/>
      </c>
      <c r="I61" s="4">
        <f>$D61-0</f>
        <v/>
      </c>
    </row>
    <row r="62">
      <c r="A62" s="2" t="inlineStr">
        <is>
          <t>47128706</t>
        </is>
      </c>
      <c r="B62" s="2" t="inlineStr">
        <is>
          <t>AUD2026-12 Invesco GW Funds</t>
        </is>
      </c>
      <c r="C62" s="2" t="inlineStr">
        <is>
          <t>年审交付</t>
        </is>
      </c>
      <c r="D62" s="4" t="n">
        <v>46447</v>
      </c>
      <c r="E62" s="2" t="inlineStr">
        <is>
          <t>Marsh.Ma@cn.ey.com、Yuan.Yuan.YY.Chen@cn.ey.com、Rainbow.MG.Xiao@cn.ey.com、InternA、InternB</t>
        </is>
      </c>
      <c r="F62" s="4">
        <f>$D62-7</f>
        <v/>
      </c>
      <c r="G62" s="4">
        <f>$D62-5</f>
        <v/>
      </c>
      <c r="H62" s="4">
        <f>$D62-3</f>
        <v/>
      </c>
      <c r="I62" s="4">
        <f>$D62-0</f>
        <v/>
      </c>
    </row>
    <row r="63">
      <c r="A63" s="2" t="inlineStr">
        <is>
          <t>47129402</t>
        </is>
      </c>
      <c r="B63" s="2" t="inlineStr">
        <is>
          <t>AUD2026-12 Hashkey OFC Funds</t>
        </is>
      </c>
      <c r="C63" s="2" t="inlineStr">
        <is>
          <t>年审开始</t>
        </is>
      </c>
      <c r="D63" s="4" t="n">
        <v>46447</v>
      </c>
      <c r="E63" s="2" t="inlineStr">
        <is>
          <t>Marsh.Ma@cn.ey.com、Vivi.W.Yang@cn.ey.com、Luna.CD.Zhang@cn.ey.com、Rainbow.MG.Xiao@cn.ey.com</t>
        </is>
      </c>
      <c r="F63" s="4">
        <f>$D63-7</f>
        <v/>
      </c>
      <c r="G63" s="4">
        <f>$D63-5</f>
        <v/>
      </c>
      <c r="H63" s="4">
        <f>$D63-3</f>
        <v/>
      </c>
      <c r="I63" s="4">
        <f>$D63-0</f>
        <v/>
      </c>
    </row>
    <row r="64">
      <c r="A64" s="2" t="inlineStr">
        <is>
          <t>47128469</t>
        </is>
      </c>
      <c r="B64" s="2" t="inlineStr">
        <is>
          <t>AUD2026-12 Warburg Pincus US Fund</t>
        </is>
      </c>
      <c r="C64" s="2" t="inlineStr">
        <is>
          <t>年审交付</t>
        </is>
      </c>
      <c r="D64" s="4" t="n">
        <v>46456</v>
      </c>
      <c r="E64" s="2" t="inlineStr">
        <is>
          <t>Marsh.Ma@cn.ey.com、Vivi.W.Yang@cn.ey.com、Luna.CD.Zhang@cn.ey.com</t>
        </is>
      </c>
      <c r="F64" s="4">
        <f>$D64-7</f>
        <v/>
      </c>
      <c r="G64" s="4">
        <f>$D64-5</f>
        <v/>
      </c>
      <c r="H64" s="4">
        <f>$D64-3</f>
        <v/>
      </c>
      <c r="I64" s="4">
        <f>$D64-0</f>
        <v/>
      </c>
    </row>
    <row r="65">
      <c r="A65" s="2" t="inlineStr">
        <is>
          <t>47129692</t>
        </is>
      </c>
      <c r="B65" s="2" t="inlineStr">
        <is>
          <t>AUD2026-12 E Fund IM</t>
        </is>
      </c>
      <c r="C65" s="2" t="inlineStr">
        <is>
          <t>年审交付</t>
        </is>
      </c>
      <c r="D65" s="4" t="n">
        <v>46466</v>
      </c>
      <c r="E65" s="2" t="inlineStr">
        <is>
          <t>Marsh.Ma@cn.ey.com、Vivi.W.Yang@cn.ey.com、Luna.CD.Zhang@cn.ey.com、Rainbow.MG.Xiao@cn.ey.com</t>
        </is>
      </c>
      <c r="F65" s="4">
        <f>$D65-7</f>
        <v/>
      </c>
      <c r="G65" s="4">
        <f>$D65-5</f>
        <v/>
      </c>
      <c r="H65" s="4">
        <f>$D65-3</f>
        <v/>
      </c>
      <c r="I65" s="4">
        <f>$D65-0</f>
        <v/>
      </c>
    </row>
    <row r="66">
      <c r="A66" s="2" t="inlineStr">
        <is>
          <t>47129715</t>
        </is>
      </c>
      <c r="B66" s="2" t="inlineStr">
        <is>
          <t>AUD2026-12 BOYU CAPITAL FUND</t>
        </is>
      </c>
      <c r="C66" s="2" t="inlineStr">
        <is>
          <t>年审交付</t>
        </is>
      </c>
      <c r="D66" s="4" t="n">
        <v>46466</v>
      </c>
      <c r="E66" s="2" t="inlineStr">
        <is>
          <t>Marsh.Ma@cn.ey.com、Vivi.W.Yang@cn.ey.com、Luna.CD.Zhang@cn.ey.com、Rainbow.MG.Xiao@cn.ey.com</t>
        </is>
      </c>
      <c r="F66" s="4">
        <f>$D66-7</f>
        <v/>
      </c>
      <c r="G66" s="4">
        <f>$D66-5</f>
        <v/>
      </c>
      <c r="H66" s="4">
        <f>$D66-3</f>
        <v/>
      </c>
      <c r="I66" s="4">
        <f>$D66-0</f>
        <v/>
      </c>
    </row>
    <row r="67">
      <c r="A67" s="2" t="inlineStr">
        <is>
          <t>47133720</t>
        </is>
      </c>
      <c r="B67" s="2" t="inlineStr">
        <is>
          <t>AUD2026-12 CMBILM</t>
        </is>
      </c>
      <c r="C67" s="2" t="inlineStr">
        <is>
          <t>年审开始</t>
        </is>
      </c>
      <c r="D67" s="4" t="n">
        <v>46467</v>
      </c>
      <c r="E67" s="2" t="inlineStr">
        <is>
          <t>Marsh.Ma@cn.ey.com、Vivi.W.Yang@cn.ey.com、Yuan.Yuan.YY.Chen@cn.ey.com、Rainbow.MG.Xiao@cn.ey.com</t>
        </is>
      </c>
      <c r="F67" s="4">
        <f>$D67-7</f>
        <v/>
      </c>
      <c r="G67" s="4">
        <f>$D67-5</f>
        <v/>
      </c>
      <c r="H67" s="4">
        <f>$D67-3</f>
        <v/>
      </c>
      <c r="I67" s="4">
        <f>$D67-0</f>
        <v/>
      </c>
    </row>
    <row r="68">
      <c r="A68" s="2" t="inlineStr">
        <is>
          <t>47115559</t>
        </is>
      </c>
      <c r="B68" s="2" t="inlineStr">
        <is>
          <t>IPO2026-03 Project Voyage_CN</t>
        </is>
      </c>
      <c r="C68" s="2" t="inlineStr">
        <is>
          <t>年审交付</t>
        </is>
      </c>
      <c r="D68" s="4" t="n">
        <v>46476</v>
      </c>
      <c r="E68" s="2" t="inlineStr">
        <is>
          <t>Marsh.Ma@cn.ey.com、Vivi.W.Yang@cn.ey.com、Luna.CD.Zhang@cn.ey.com、Rainbow.MG.Xiao@cn.ey.com、Yuan.Yuan.YY.Chen@cn.ey.com</t>
        </is>
      </c>
      <c r="F68" s="4">
        <f>$D68-7</f>
        <v/>
      </c>
      <c r="G68" s="4">
        <f>$D68-5</f>
        <v/>
      </c>
      <c r="H68" s="4">
        <f>$D68-3</f>
        <v/>
      </c>
      <c r="I68" s="4">
        <f>$D68-0</f>
        <v/>
      </c>
    </row>
    <row r="69">
      <c r="A69" s="2" t="inlineStr">
        <is>
          <t>47128633</t>
        </is>
      </c>
      <c r="B69" s="2" t="inlineStr">
        <is>
          <t>AUD2026-12 HSQH Funds</t>
        </is>
      </c>
      <c r="C69" s="2" t="inlineStr">
        <is>
          <t>年审交付</t>
        </is>
      </c>
      <c r="D69" s="4" t="n">
        <v>46477</v>
      </c>
      <c r="E69" s="2" t="inlineStr">
        <is>
          <t>Marsh.Ma@cn.ey.com、Yuan.Yuan.YY.Chen@cn.ey.com、Rainbow.MG.Xiao@cn.ey.com、InternA、InternB</t>
        </is>
      </c>
      <c r="F69" s="4">
        <f>$D69-7</f>
        <v/>
      </c>
      <c r="G69" s="4">
        <f>$D69-5</f>
        <v/>
      </c>
      <c r="H69" s="4">
        <f>$D69-3</f>
        <v/>
      </c>
      <c r="I69" s="4">
        <f>$D69-0</f>
        <v/>
      </c>
    </row>
    <row r="70">
      <c r="A70" s="2" t="inlineStr">
        <is>
          <t>47129548</t>
        </is>
      </c>
      <c r="B70" s="2" t="inlineStr">
        <is>
          <t>AUD2026-12 ICBCA</t>
        </is>
      </c>
      <c r="C70" s="2" t="inlineStr">
        <is>
          <t>年审交付</t>
        </is>
      </c>
      <c r="D70" s="4" t="n">
        <v>46477</v>
      </c>
      <c r="E70" s="2" t="inlineStr">
        <is>
          <t>Marsh.Ma@cn.ey.com、Vivi.W.Yang@cn.ey.com、Yuan.Yuan.YY.Chen@cn.ey.com、Luna.CD.Zhang@cn.ey.com、Rainbow.MG.Xiao@cn.ey.com、InternB、InternA</t>
        </is>
      </c>
      <c r="F70" s="4">
        <f>$D70-7</f>
        <v/>
      </c>
      <c r="G70" s="4">
        <f>$D70-5</f>
        <v/>
      </c>
      <c r="H70" s="4">
        <f>$D70-3</f>
        <v/>
      </c>
      <c r="I70" s="4">
        <f>$D70-0</f>
        <v/>
      </c>
    </row>
    <row r="71">
      <c r="A71" s="2" t="inlineStr">
        <is>
          <t>47129130</t>
        </is>
      </c>
      <c r="B71" s="2" t="inlineStr">
        <is>
          <t>AUD2026-12 Taikang HK Comps</t>
        </is>
      </c>
      <c r="C71" s="2" t="inlineStr">
        <is>
          <t>年审交付</t>
        </is>
      </c>
      <c r="D71" s="4" t="n">
        <v>46478</v>
      </c>
      <c r="E71" s="2" t="inlineStr">
        <is>
          <t>Marsh.Ma@cn.ey.com、Vivi.W.Yang@cn.ey.com、Luna.CD.Zhang@cn.ey.com、Rainbow.MG.Xiao@cn.ey.com</t>
        </is>
      </c>
      <c r="F71" s="4">
        <f>$D71-7</f>
        <v/>
      </c>
      <c r="G71" s="4">
        <f>$D71-5</f>
        <v/>
      </c>
      <c r="H71" s="4">
        <f>$D71-3</f>
        <v/>
      </c>
      <c r="I71" s="4">
        <f>$D71-0</f>
        <v/>
      </c>
    </row>
    <row r="72">
      <c r="A72" s="2" t="inlineStr">
        <is>
          <t>47129402</t>
        </is>
      </c>
      <c r="B72" s="2" t="inlineStr">
        <is>
          <t>AUD2026-12 Hashkey OFC Funds</t>
        </is>
      </c>
      <c r="C72" s="2" t="inlineStr">
        <is>
          <t>年审交付</t>
        </is>
      </c>
      <c r="D72" s="4" t="n">
        <v>46478</v>
      </c>
      <c r="E72" s="2" t="inlineStr">
        <is>
          <t>Marsh.Ma@cn.ey.com、Vivi.W.Yang@cn.ey.com、Luna.CD.Zhang@cn.ey.com、Rainbow.MG.Xiao@cn.ey.com</t>
        </is>
      </c>
      <c r="F72" s="4">
        <f>$D72-7</f>
        <v/>
      </c>
      <c r="G72" s="4">
        <f>$D72-5</f>
        <v/>
      </c>
      <c r="H72" s="4">
        <f>$D72-3</f>
        <v/>
      </c>
      <c r="I72" s="4">
        <f>$D72-0</f>
        <v/>
      </c>
    </row>
    <row r="73">
      <c r="A73" s="2" t="inlineStr">
        <is>
          <t>47129432</t>
        </is>
      </c>
      <c r="B73" s="2" t="inlineStr">
        <is>
          <t>AUD2026-12 OCML HK</t>
        </is>
      </c>
      <c r="C73" s="2" t="inlineStr">
        <is>
          <t>年审交付</t>
        </is>
      </c>
      <c r="D73" s="4" t="n">
        <v>46478</v>
      </c>
      <c r="E73" s="2" t="inlineStr">
        <is>
          <t>Marsh.Ma@cn.ey.com、Vivi.W.Yang@cn.ey.com、Luna.CD.Zhang@cn.ey.com、Rainbow.MG.Xiao@cn.ey.com</t>
        </is>
      </c>
      <c r="F73" s="4">
        <f>$D73-7</f>
        <v/>
      </c>
      <c r="G73" s="4">
        <f>$D73-5</f>
        <v/>
      </c>
      <c r="H73" s="4">
        <f>$D73-3</f>
        <v/>
      </c>
      <c r="I73" s="4">
        <f>$D73-0</f>
        <v/>
      </c>
    </row>
    <row r="74">
      <c r="A74" s="2" t="inlineStr">
        <is>
          <t>47129459</t>
        </is>
      </c>
      <c r="B74" s="2" t="inlineStr">
        <is>
          <t>AUD2026-12 COS-CAPITAL HK INTL</t>
        </is>
      </c>
      <c r="C74" s="2" t="inlineStr">
        <is>
          <t>年审交付</t>
        </is>
      </c>
      <c r="D74" s="4" t="n">
        <v>46478</v>
      </c>
      <c r="E74" s="2" t="inlineStr">
        <is>
          <t>Marsh.Ma@cn.ey.com、Vivi.W.Yang@cn.ey.com、Luna.CD.Zhang@cn.ey.com、Rainbow.MG.Xiao@cn.ey.com</t>
        </is>
      </c>
      <c r="F74" s="4">
        <f>$D74-7</f>
        <v/>
      </c>
      <c r="G74" s="4">
        <f>$D74-5</f>
        <v/>
      </c>
      <c r="H74" s="4">
        <f>$D74-3</f>
        <v/>
      </c>
      <c r="I74" s="4">
        <f>$D74-0</f>
        <v/>
      </c>
    </row>
    <row r="75">
      <c r="A75" s="2" t="inlineStr">
        <is>
          <t>47129679</t>
        </is>
      </c>
      <c r="B75" s="2" t="inlineStr">
        <is>
          <t>AUD2026-12 DST Investment Mgt</t>
        </is>
      </c>
      <c r="C75" s="2" t="inlineStr">
        <is>
          <t>年审交付</t>
        </is>
      </c>
      <c r="D75" s="4" t="n">
        <v>46478</v>
      </c>
      <c r="E75" s="2" t="inlineStr">
        <is>
          <t>Marsh.Ma@cn.ey.com、Vivi.W.Yang@cn.ey.com、Luna.CD.Zhang@cn.ey.com、Rainbow.MG.Xiao@cn.ey.com</t>
        </is>
      </c>
      <c r="F75" s="4">
        <f>$D75-7</f>
        <v/>
      </c>
      <c r="G75" s="4">
        <f>$D75-5</f>
        <v/>
      </c>
      <c r="H75" s="4">
        <f>$D75-3</f>
        <v/>
      </c>
      <c r="I75" s="4">
        <f>$D75-0</f>
        <v/>
      </c>
    </row>
    <row r="76">
      <c r="A76" s="2" t="inlineStr">
        <is>
          <t>47129702</t>
        </is>
      </c>
      <c r="B76" s="2" t="inlineStr">
        <is>
          <t>AUD2026-12 Shinka Capital</t>
        </is>
      </c>
      <c r="C76" s="2" t="inlineStr">
        <is>
          <t>年审交付</t>
        </is>
      </c>
      <c r="D76" s="4" t="n">
        <v>46478</v>
      </c>
      <c r="E76" s="2" t="inlineStr">
        <is>
          <t>Marsh.Ma@cn.ey.com、Vivi.W.Yang@cn.ey.com、Luna.CD.Zhang@cn.ey.com、Rainbow.MG.Xiao@cn.ey.com</t>
        </is>
      </c>
      <c r="F76" s="4">
        <f>$D76-7</f>
        <v/>
      </c>
      <c r="G76" s="4">
        <f>$D76-5</f>
        <v/>
      </c>
      <c r="H76" s="4">
        <f>$D76-3</f>
        <v/>
      </c>
      <c r="I76" s="4">
        <f>$D76-0</f>
        <v/>
      </c>
    </row>
    <row r="77">
      <c r="A77" s="2" t="inlineStr">
        <is>
          <t>47136348</t>
        </is>
      </c>
      <c r="B77" s="2" t="inlineStr">
        <is>
          <t>AUD2026-12 Warburg Pincus HK SPV JZ</t>
        </is>
      </c>
      <c r="C77" s="2" t="inlineStr">
        <is>
          <t>年审开始</t>
        </is>
      </c>
      <c r="D77" s="4" t="n">
        <v>46500</v>
      </c>
      <c r="E77" s="2" t="inlineStr">
        <is>
          <t>Marsh.Ma@cn.ey.com、Vivi.W.Yang@cn.ey.com、Luna.CD.Zhang@cn.ey.com、Rainbow.MG.Xiao@cn.ey.com</t>
        </is>
      </c>
      <c r="F77" s="4">
        <f>$D77-7</f>
        <v/>
      </c>
      <c r="G77" s="4">
        <f>$D77-5</f>
        <v/>
      </c>
      <c r="H77" s="4">
        <f>$D77-3</f>
        <v/>
      </c>
      <c r="I77" s="4">
        <f>$D77-0</f>
        <v/>
      </c>
    </row>
    <row r="78">
      <c r="A78" s="2" t="inlineStr">
        <is>
          <t>47133720</t>
        </is>
      </c>
      <c r="B78" s="2" t="inlineStr">
        <is>
          <t>AUD2026-12 CMBILM</t>
        </is>
      </c>
      <c r="C78" s="2" t="inlineStr">
        <is>
          <t>年审交付</t>
        </is>
      </c>
      <c r="D78" s="4" t="n">
        <v>46507</v>
      </c>
      <c r="E78" s="2" t="inlineStr">
        <is>
          <t>Marsh.Ma@cn.ey.com、Vivi.W.Yang@cn.ey.com、Yuan.Yuan.YY.Chen@cn.ey.com、Rainbow.MG.Xiao@cn.ey.com</t>
        </is>
      </c>
      <c r="F78" s="4">
        <f>$D78-7</f>
        <v/>
      </c>
      <c r="G78" s="4">
        <f>$D78-5</f>
        <v/>
      </c>
      <c r="H78" s="4">
        <f>$D78-3</f>
        <v/>
      </c>
      <c r="I78" s="4">
        <f>$D78-0</f>
        <v/>
      </c>
    </row>
    <row r="79">
      <c r="A79" s="2" t="inlineStr">
        <is>
          <t>47136348</t>
        </is>
      </c>
      <c r="B79" s="2" t="inlineStr">
        <is>
          <t>AUD2026-12 Warburg Pincus HK SPV JZ</t>
        </is>
      </c>
      <c r="C79" s="2" t="inlineStr">
        <is>
          <t>年审交付</t>
        </is>
      </c>
      <c r="D79" s="4" t="n">
        <v>46512</v>
      </c>
      <c r="E79" s="2" t="inlineStr">
        <is>
          <t>Marsh.Ma@cn.ey.com、Vivi.W.Yang@cn.ey.com、Luna.CD.Zhang@cn.ey.com、Rainbow.MG.Xiao@cn.ey.com</t>
        </is>
      </c>
      <c r="F79" s="4">
        <f>$D79-7</f>
        <v/>
      </c>
      <c r="G79" s="4">
        <f>$D79-5</f>
        <v/>
      </c>
      <c r="H79" s="4">
        <f>$D79-3</f>
        <v/>
      </c>
      <c r="I79" s="4">
        <f>$D79-0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2" customWidth="1" min="4" max="4"/>
    <col width="42" customWidth="1" min="5" max="5"/>
  </cols>
  <sheetData>
    <row r="1" ht="33" customHeight="1">
      <c r="A1" s="1" t="inlineStr">
        <is>
          <t>提醒日期</t>
        </is>
      </c>
      <c r="B1" s="1" t="inlineStr">
        <is>
          <t>提醒阶段</t>
        </is>
      </c>
      <c r="C1" s="1" t="inlineStr">
        <is>
          <t>涉及节点数</t>
        </is>
      </c>
      <c r="D1" s="1" t="inlineStr">
        <is>
          <t>汇总标题</t>
        </is>
      </c>
      <c r="E1" s="1" t="inlineStr">
        <is>
          <t>汇总详情</t>
        </is>
      </c>
    </row>
    <row r="2">
      <c r="A2" s="4" t="n">
        <v>46394</v>
      </c>
      <c r="B2" s="2" t="inlineStr">
        <is>
          <t>当天</t>
        </is>
      </c>
      <c r="C2" s="2" t="n">
        <v>1</v>
      </c>
      <c r="D2" s="2" t="inlineStr">
        <is>
          <t>DDL汇总：2027-01-07（1项）</t>
        </is>
      </c>
      <c r="E2" s="2" t="inlineStr">
        <is>
          <t>AUD2026-12 01VC USD Fund（47128835）| 年审开始 | 2027-01-07 | 距DDL0天</t>
        </is>
      </c>
    </row>
    <row r="3">
      <c r="A3" s="4" t="n">
        <v>46420</v>
      </c>
      <c r="B3" s="2" t="inlineStr">
        <is>
          <t>当天</t>
        </is>
      </c>
      <c r="C3" s="2" t="n">
        <v>1</v>
      </c>
      <c r="D3" s="2" t="inlineStr">
        <is>
          <t>DDL汇总：2027-02-02（1项）</t>
        </is>
      </c>
      <c r="E3" s="2" t="inlineStr">
        <is>
          <t>AUD2026-12 Arrace Holding（47128359）| 年审开始 | 2027-02-02 | 距DDL0天</t>
        </is>
      </c>
    </row>
    <row r="4">
      <c r="A4" s="4" t="n">
        <v>46466</v>
      </c>
      <c r="B4" s="2" t="inlineStr">
        <is>
          <t>当天</t>
        </is>
      </c>
      <c r="C4" s="2" t="n">
        <v>2</v>
      </c>
      <c r="D4" s="2" t="inlineStr">
        <is>
          <t>DDL汇总：2027-03-20（2项）</t>
        </is>
      </c>
      <c r="E4" s="2" t="inlineStr">
        <is>
          <t>AUD2026-12 BOYU CAPITAL FUND（47129715）| 年审交付 | 2027-03-20 | 距DDL0天
AUD2026-12 E Fund IM（47129692）| 年审交付 | 2027-03-20 | 距DDL0天</t>
        </is>
      </c>
    </row>
    <row r="5">
      <c r="A5" s="4" t="n">
        <v>46371</v>
      </c>
      <c r="B5" s="2" t="inlineStr">
        <is>
          <t>当天</t>
        </is>
      </c>
      <c r="C5" s="2" t="n">
        <v>2</v>
      </c>
      <c r="D5" s="2" t="inlineStr">
        <is>
          <t>DDL汇总：2026-12-15（2项）</t>
        </is>
      </c>
      <c r="E5" s="2" t="inlineStr">
        <is>
          <t>AUD2026-12 CMBILM（47133720）| 预审开始 | 2026-12-15 | 距DDL0天
AUD2026-12 Warburg Pincus US Fund（47128469）| 预审开始 | 2026-12-15 | 距DDL0天</t>
        </is>
      </c>
    </row>
    <row r="6">
      <c r="A6" s="4" t="n">
        <v>46467</v>
      </c>
      <c r="B6" s="2" t="inlineStr">
        <is>
          <t>当天</t>
        </is>
      </c>
      <c r="C6" s="2" t="n">
        <v>1</v>
      </c>
      <c r="D6" s="2" t="inlineStr">
        <is>
          <t>DDL汇总：2027-03-21（1项）</t>
        </is>
      </c>
      <c r="E6" s="2" t="inlineStr">
        <is>
          <t>AUD2026-12 CMBILM（47133720）| 年审开始 | 2027-03-21 | 距DDL0天</t>
        </is>
      </c>
    </row>
    <row r="7">
      <c r="A7" s="4" t="n">
        <v>46478</v>
      </c>
      <c r="B7" s="2" t="inlineStr">
        <is>
          <t>当天</t>
        </is>
      </c>
      <c r="C7" s="2" t="n">
        <v>6</v>
      </c>
      <c r="D7" s="2" t="inlineStr">
        <is>
          <t>DDL汇总：2027-04-01（6项）</t>
        </is>
      </c>
      <c r="E7" s="2" t="inlineStr">
        <is>
          <t>AUD2026-12 COS-CAPITAL HK INTL（47129459）| 年审交付 | 2027-04-01 | 距DDL0天
AUD2026-12 DST Investment Mgt（47129679）| 年审交付 | 2027-04-01 | 距DDL0天
AUD2026-12 Hashkey OFC Funds（47129402）| 年审交付 | 2027-04-01 | 距DDL0天
AUD2026-12 OCML HK（47129432）| 年审交付 | 2027-04-01 | 距DDL0天
AUD2026-12 Shinka Capital（47129702）| 年审交付 | 2027-04-01 | 距DDL0天
AUD2026-12 Taikang HK Comps（47129130）| 年审交付 | 2027-04-01 | 距DDL0天</t>
        </is>
      </c>
    </row>
    <row r="8">
      <c r="A8" s="4" t="n">
        <v>46447</v>
      </c>
      <c r="B8" s="2" t="inlineStr">
        <is>
          <t>当天</t>
        </is>
      </c>
      <c r="C8" s="2" t="n">
        <v>5</v>
      </c>
      <c r="D8" s="2" t="inlineStr">
        <is>
          <t>DDL汇总：2027-03-01（5项）</t>
        </is>
      </c>
      <c r="E8" s="2" t="inlineStr">
        <is>
          <t>AUD2026-12 FR Funds（47128046）| 年审交付 | 2027-03-01 | 距DDL0天
AUD2026-12 Great Wall Funds（47128364）| 年审交付 | 2027-03-01 | 距DDL0天
AUD2026-12 Hashkey OFC Funds（47129402）| 年审开始 | 2027-03-01 | 距DDL0天
AUD2026-12 Invesco GW Funds（47128706）| 年审交付 | 2027-03-01 | 距DDL0天
AUD2026-12 Warburg Pincus US Fund（47128469）| 年审开始 | 2027-03-01 | 距DDL0天</t>
        </is>
      </c>
    </row>
    <row r="9">
      <c r="A9" s="4" t="n">
        <v>46477</v>
      </c>
      <c r="B9" s="2" t="inlineStr">
        <is>
          <t>当天</t>
        </is>
      </c>
      <c r="C9" s="2" t="n">
        <v>2</v>
      </c>
      <c r="D9" s="2" t="inlineStr">
        <is>
          <t>DDL汇总：2027-03-31（2项）</t>
        </is>
      </c>
      <c r="E9" s="2" t="inlineStr">
        <is>
          <t>AUD2026-12 HSQH Funds（47128633）| 年审交付 | 2027-03-31 | 距DDL0天
AUD2026-12 ICBCA（47129548）| 年审交付 | 2027-03-31 | 距DDL0天</t>
        </is>
      </c>
    </row>
    <row r="10">
      <c r="A10" s="4" t="n">
        <v>46331</v>
      </c>
      <c r="B10" s="2" t="inlineStr">
        <is>
          <t>当天</t>
        </is>
      </c>
      <c r="C10" s="2" t="n">
        <v>1</v>
      </c>
      <c r="D10" s="2" t="inlineStr">
        <is>
          <t>DDL汇总：2026-11-05（1项）</t>
        </is>
      </c>
      <c r="E10" s="2" t="inlineStr">
        <is>
          <t>AUD2026-12 Hangzhou Huaxin（47128202）| 预审开始 | 2026-11-05 | 距DDL0天</t>
        </is>
      </c>
    </row>
    <row r="11">
      <c r="A11" s="4" t="n">
        <v>46361</v>
      </c>
      <c r="B11" s="2" t="inlineStr">
        <is>
          <t>当天</t>
        </is>
      </c>
      <c r="C11" s="2" t="n">
        <v>1</v>
      </c>
      <c r="D11" s="2" t="inlineStr">
        <is>
          <t>DDL汇总：2026-12-05（1项）</t>
        </is>
      </c>
      <c r="E11" s="2" t="inlineStr">
        <is>
          <t>AUD2026-12 Hangzhou Huaxin（47128202）| 预审交付 | 2026-12-05 | 距DDL0天</t>
        </is>
      </c>
    </row>
    <row r="12">
      <c r="A12" s="4" t="n">
        <v>46446</v>
      </c>
      <c r="B12" s="2" t="inlineStr">
        <is>
          <t>当天</t>
        </is>
      </c>
      <c r="C12" s="2" t="n">
        <v>1</v>
      </c>
      <c r="D12" s="2" t="inlineStr">
        <is>
          <t>DDL汇总：2027-02-28（1项）</t>
        </is>
      </c>
      <c r="E12" s="2" t="inlineStr">
        <is>
          <t>AUD2026-12 ICBCM（47129069）| 年审交付 | 2027-02-28 | 距DDL0天</t>
        </is>
      </c>
    </row>
    <row r="13">
      <c r="A13" s="4" t="n">
        <v>46357</v>
      </c>
      <c r="B13" s="2" t="inlineStr">
        <is>
          <t>当天</t>
        </is>
      </c>
      <c r="C13" s="2" t="n">
        <v>1</v>
      </c>
      <c r="D13" s="2" t="inlineStr">
        <is>
          <t>DDL汇总：2026-12-01（1项）</t>
        </is>
      </c>
      <c r="E13" s="2" t="inlineStr">
        <is>
          <t>AUD2026-12 Mirae Asset（47128154）| 预审开始 | 2026-12-01 | 距DDL0天</t>
        </is>
      </c>
    </row>
    <row r="14">
      <c r="A14" s="4" t="n">
        <v>46405</v>
      </c>
      <c r="B14" s="2" t="inlineStr">
        <is>
          <t>当天</t>
        </is>
      </c>
      <c r="C14" s="2" t="n">
        <v>1</v>
      </c>
      <c r="D14" s="2" t="inlineStr">
        <is>
          <t>DDL汇总：2027-01-18（1项）</t>
        </is>
      </c>
      <c r="E14" s="2" t="inlineStr">
        <is>
          <t>AUD2026-12 Mirae Asset（47128154）| 年审交付 | 2027-01-18 | 距DDL0天</t>
        </is>
      </c>
    </row>
    <row r="15">
      <c r="A15" s="4" t="n">
        <v>46419</v>
      </c>
      <c r="B15" s="2" t="inlineStr">
        <is>
          <t>当天</t>
        </is>
      </c>
      <c r="C15" s="2" t="n">
        <v>3</v>
      </c>
      <c r="D15" s="2" t="inlineStr">
        <is>
          <t>DDL汇总：2027-02-01（3项）</t>
        </is>
      </c>
      <c r="E15" s="2" t="inlineStr">
        <is>
          <t>AUD2026-12 OFC Fund（47128515）| 年审交付 | 2027-02-01 | 距DDL0天
AUD2026-12 PA Funds（47128421）| 年审交付 | 2027-02-01 | 距DDL0天
IPO2026-03 Project Voyage_CN（47115559）| 年审开始 | 2027-02-01 | 距DDL0天</t>
        </is>
      </c>
    </row>
    <row r="16">
      <c r="A16" s="4" t="n">
        <v>46384</v>
      </c>
      <c r="B16" s="2" t="inlineStr">
        <is>
          <t>当天</t>
        </is>
      </c>
      <c r="C16" s="2" t="n">
        <v>1</v>
      </c>
      <c r="D16" s="2" t="inlineStr">
        <is>
          <t>DDL汇总：2026-12-28（1项）</t>
        </is>
      </c>
      <c r="E16" s="2" t="inlineStr">
        <is>
          <t>AUD2026-12 PA Funds（47128421）| 年审开始 | 2026-12-28 | 距DDL0天</t>
        </is>
      </c>
    </row>
    <row r="17">
      <c r="A17" s="4" t="n">
        <v>46512</v>
      </c>
      <c r="B17" s="2" t="inlineStr">
        <is>
          <t>当天</t>
        </is>
      </c>
      <c r="C17" s="2" t="n">
        <v>1</v>
      </c>
      <c r="D17" s="2" t="inlineStr">
        <is>
          <t>DDL汇总：2027-05-05（1项）</t>
        </is>
      </c>
      <c r="E17" s="2" t="inlineStr">
        <is>
          <t>AUD2026-12 Warburg Pincus HK SPV JZ（47136348）| 年审交付 | 2027-05-05 | 距DDL0天</t>
        </is>
      </c>
    </row>
    <row r="18">
      <c r="A18" s="4" t="n">
        <v>46456</v>
      </c>
      <c r="B18" s="2" t="inlineStr">
        <is>
          <t>当天</t>
        </is>
      </c>
      <c r="C18" s="2" t="n">
        <v>1</v>
      </c>
      <c r="D18" s="2" t="inlineStr">
        <is>
          <t>DDL汇总：2027-03-10（1项）</t>
        </is>
      </c>
      <c r="E18" s="2" t="inlineStr">
        <is>
          <t>AUD2026-12 Warburg Pincus US Fund（47128469）| 年审交付 | 2027-03-10 | 距DDL0天</t>
        </is>
      </c>
    </row>
    <row r="19">
      <c r="A19" s="4" t="n">
        <v>46314</v>
      </c>
      <c r="B19" s="2" t="inlineStr">
        <is>
          <t>当天</t>
        </is>
      </c>
      <c r="C19" s="2" t="n">
        <v>1</v>
      </c>
      <c r="D19" s="2" t="inlineStr">
        <is>
          <t>DDL汇总：2026-10-19（1项）</t>
        </is>
      </c>
      <c r="E19" s="2" t="inlineStr">
        <is>
          <t>AUD2026-12 Xingze Management（47128472）| 预审交付 | 2026-10-19 | 距DDL0天</t>
        </is>
      </c>
    </row>
    <row r="20">
      <c r="A20" s="4" t="n">
        <v>46407</v>
      </c>
      <c r="B20" s="2" t="inlineStr">
        <is>
          <t>当天</t>
        </is>
      </c>
      <c r="C20" s="2" t="n">
        <v>1</v>
      </c>
      <c r="D20" s="2" t="inlineStr">
        <is>
          <t>DDL汇总：2027-01-20（1项）</t>
        </is>
      </c>
      <c r="E20" s="2" t="inlineStr">
        <is>
          <t>AUD2026-12 Xingze Management（47128472）| 年审交付 | 2027-01-20 | 距DDL0天</t>
        </is>
      </c>
    </row>
    <row r="21">
      <c r="A21" s="4" t="n">
        <v>46325</v>
      </c>
      <c r="B21" s="2" t="inlineStr">
        <is>
          <t>当天</t>
        </is>
      </c>
      <c r="C21" s="2" t="n">
        <v>1</v>
      </c>
      <c r="D21" s="2" t="inlineStr">
        <is>
          <t>DDL汇总：2026-10-30（1项）</t>
        </is>
      </c>
      <c r="E21" s="2" t="inlineStr">
        <is>
          <t>IPO2026-03 Project Voyage_CN（47115559）| 预审交付 | 2026-10-30 | 距DDL0天</t>
        </is>
      </c>
    </row>
    <row r="22">
      <c r="A22" s="4" t="n">
        <v>46476</v>
      </c>
      <c r="B22" s="2" t="inlineStr">
        <is>
          <t>当天</t>
        </is>
      </c>
      <c r="C22" s="2" t="n">
        <v>1</v>
      </c>
      <c r="D22" s="2" t="inlineStr">
        <is>
          <t>DDL汇总：2027-03-30（1项）</t>
        </is>
      </c>
      <c r="E22" s="2" t="inlineStr">
        <is>
          <t>IPO2026-03 Project Voyage_CN（47115559）| 年审交付 | 2027-03-30 | 距DDL0天</t>
        </is>
      </c>
    </row>
    <row r="23">
      <c r="A23" s="4" t="n">
        <v>46315</v>
      </c>
      <c r="B23" s="2" t="inlineStr">
        <is>
          <t>3天前</t>
        </is>
      </c>
      <c r="C23" s="2" t="n">
        <v>1</v>
      </c>
      <c r="D23" s="2" t="inlineStr">
        <is>
          <t>DDL汇总：2026-10-20（1项）</t>
        </is>
      </c>
      <c r="E23" s="2" t="inlineStr">
        <is>
          <t>AUD2026-12 01VC USD Fund（47128835）| 预审交付 | 2026-10-23 | 距DDL3天</t>
        </is>
      </c>
    </row>
    <row r="24">
      <c r="A24" s="4" t="n">
        <v>46391</v>
      </c>
      <c r="B24" s="2" t="inlineStr">
        <is>
          <t>3天前</t>
        </is>
      </c>
      <c r="C24" s="2" t="n">
        <v>1</v>
      </c>
      <c r="D24" s="2" t="inlineStr">
        <is>
          <t>DDL汇总：2027-01-04（1项）</t>
        </is>
      </c>
      <c r="E24" s="2" t="inlineStr">
        <is>
          <t>AUD2026-12 01VC USD Fund（47128835）| 年审开始 | 2027-01-07 | 距DDL3天</t>
        </is>
      </c>
    </row>
    <row r="25">
      <c r="A25" s="4" t="n">
        <v>46417</v>
      </c>
      <c r="B25" s="2" t="inlineStr">
        <is>
          <t>3天前</t>
        </is>
      </c>
      <c r="C25" s="2" t="n">
        <v>1</v>
      </c>
      <c r="D25" s="2" t="inlineStr">
        <is>
          <t>DDL汇总：2027-01-30（1项）</t>
        </is>
      </c>
      <c r="E25" s="2" t="inlineStr">
        <is>
          <t>AUD2026-12 Arrace Holding（47128359）| 年审开始 | 2027-02-02 | 距DDL3天</t>
        </is>
      </c>
    </row>
    <row r="26">
      <c r="A26" s="4" t="n">
        <v>46463</v>
      </c>
      <c r="B26" s="2" t="inlineStr">
        <is>
          <t>3天前</t>
        </is>
      </c>
      <c r="C26" s="2" t="n">
        <v>2</v>
      </c>
      <c r="D26" s="2" t="inlineStr">
        <is>
          <t>DDL汇总：2027-03-17（2项）</t>
        </is>
      </c>
      <c r="E26" s="2" t="inlineStr">
        <is>
          <t>AUD2026-12 BOYU CAPITAL FUND（47129715）| 年审交付 | 2027-03-20 | 距DDL3天
AUD2026-12 E Fund IM（47129692）| 年审交付 | 2027-03-20 | 距DDL3天</t>
        </is>
      </c>
    </row>
    <row r="27">
      <c r="A27" s="4" t="n">
        <v>46368</v>
      </c>
      <c r="B27" s="2" t="inlineStr">
        <is>
          <t>3天前</t>
        </is>
      </c>
      <c r="C27" s="2" t="n">
        <v>2</v>
      </c>
      <c r="D27" s="2" t="inlineStr">
        <is>
          <t>DDL汇总：2026-12-12（2项）</t>
        </is>
      </c>
      <c r="E27" s="2" t="inlineStr">
        <is>
          <t>AUD2026-12 CMBILM（47133720）| 预审开始 | 2026-12-15 | 距DDL3天
AUD2026-12 Warburg Pincus US Fund（47128469）| 预审开始 | 2026-12-15 | 距DDL3天</t>
        </is>
      </c>
    </row>
    <row r="28">
      <c r="A28" s="4" t="n">
        <v>46376</v>
      </c>
      <c r="B28" s="2" t="inlineStr">
        <is>
          <t>3天前</t>
        </is>
      </c>
      <c r="C28" s="2" t="n">
        <v>2</v>
      </c>
      <c r="D28" s="2" t="inlineStr">
        <is>
          <t>DDL汇总：2026-12-20（2项）</t>
        </is>
      </c>
      <c r="E28" s="2" t="inlineStr">
        <is>
          <t>AUD2026-12 CMBILM（47133720）| 预审交付 | 2026-12-23 | 距DDL3天
AUD2026-12 Warburg Pincus US Fund（47128469）| 预审交付 | 2026-12-23 | 距DDL3天</t>
        </is>
      </c>
    </row>
    <row r="29">
      <c r="A29" s="4" t="n">
        <v>46464</v>
      </c>
      <c r="B29" s="2" t="inlineStr">
        <is>
          <t>3天前</t>
        </is>
      </c>
      <c r="C29" s="2" t="n">
        <v>1</v>
      </c>
      <c r="D29" s="2" t="inlineStr">
        <is>
          <t>DDL汇总：2027-03-18（1项）</t>
        </is>
      </c>
      <c r="E29" s="2" t="inlineStr">
        <is>
          <t>AUD2026-12 CMBILM（47133720）| 年审开始 | 2027-03-21 | 距DDL3天</t>
        </is>
      </c>
    </row>
    <row r="30">
      <c r="A30" s="4" t="n">
        <v>46504</v>
      </c>
      <c r="B30" s="2" t="inlineStr">
        <is>
          <t>3天前</t>
        </is>
      </c>
      <c r="C30" s="2" t="n">
        <v>1</v>
      </c>
      <c r="D30" s="2" t="inlineStr">
        <is>
          <t>DDL汇总：2027-04-27（1项）</t>
        </is>
      </c>
      <c r="E30" s="2" t="inlineStr">
        <is>
          <t>AUD2026-12 CMBILM（47133720）| 年审交付 | 2027-04-30 | 距DDL3天</t>
        </is>
      </c>
    </row>
    <row r="31">
      <c r="A31" s="4" t="n">
        <v>46475</v>
      </c>
      <c r="B31" s="2" t="inlineStr">
        <is>
          <t>3天前</t>
        </is>
      </c>
      <c r="C31" s="2" t="n">
        <v>6</v>
      </c>
      <c r="D31" s="2" t="inlineStr">
        <is>
          <t>DDL汇总：2027-03-29（6项）</t>
        </is>
      </c>
      <c r="E31" s="2" t="inlineStr">
        <is>
          <t>AUD2026-12 COS-CAPITAL HK INTL（47129459）| 年审交付 | 2027-04-01 | 距DDL3天
AUD2026-12 DST Investment Mgt（47129679）| 年审交付 | 2027-04-01 | 距DDL3天
AUD2026-12 Hashkey OFC Funds（47129402）| 年审交付 | 2027-04-01 | 距DDL3天
AUD2026-12 OCML HK（47129432）| 年审交付 | 2027-04-01 | 距DDL3天
AUD2026-12 Shinka Capital（47129702）| 年审交付 | 2027-04-01 | 距DDL3天
AUD2026-12 Taikang HK Comps（47129130）| 年审交付 | 2027-04-01 | 距DDL3天</t>
        </is>
      </c>
    </row>
    <row r="32">
      <c r="A32" s="4" t="n">
        <v>46385</v>
      </c>
      <c r="B32" s="2" t="inlineStr">
        <is>
          <t>3天前</t>
        </is>
      </c>
      <c r="C32" s="2" t="n">
        <v>3</v>
      </c>
      <c r="D32" s="2" t="inlineStr">
        <is>
          <t>DDL汇总：2026-12-29（3项）</t>
        </is>
      </c>
      <c r="E32" s="2" t="inlineStr">
        <is>
          <t>AUD2026-12 EverYi Capital（47128108）| 年审开始 | 2027-01-01 | 距DDL3天
AUD2026-12 Mirae Asset（47128154）| 年审开始 | 2027-01-01 | 距DDL3天
AUD2026-12 Vivo Capital（47128684）| 年审开始 | 2027-01-01 | 距DDL3天</t>
        </is>
      </c>
    </row>
    <row r="33">
      <c r="A33" s="4" t="n">
        <v>46434</v>
      </c>
      <c r="B33" s="2" t="inlineStr">
        <is>
          <t>3天前</t>
        </is>
      </c>
      <c r="C33" s="2" t="n">
        <v>1</v>
      </c>
      <c r="D33" s="2" t="inlineStr">
        <is>
          <t>DDL汇总：2027-02-16（1项）</t>
        </is>
      </c>
      <c r="E33" s="2" t="inlineStr">
        <is>
          <t>AUD2026-12 EverYi Capital（47128108）| 年审交付 | 2027-02-19 | 距DDL3天</t>
        </is>
      </c>
    </row>
    <row r="34">
      <c r="A34" s="4" t="n">
        <v>46444</v>
      </c>
      <c r="B34" s="2" t="inlineStr">
        <is>
          <t>3天前</t>
        </is>
      </c>
      <c r="C34" s="2" t="n">
        <v>5</v>
      </c>
      <c r="D34" s="2" t="inlineStr">
        <is>
          <t>DDL汇总：2027-02-26（5项）</t>
        </is>
      </c>
      <c r="E34" s="2" t="inlineStr">
        <is>
          <t>AUD2026-12 FR Funds（47128046）| 年审交付 | 2027-03-01 | 距DDL3天
AUD2026-12 Great Wall Funds（47128364）| 年审交付 | 2027-03-01 | 距DDL3天
AUD2026-12 Hashkey OFC Funds（47129402）| 年审开始 | 2027-03-01 | 距DDL3天
AUD2026-12 Invesco GW Funds（47128706）| 年审交付 | 2027-03-01 | 距DDL3天
AUD2026-12 Warburg Pincus US Fund（47128469）| 年审开始 | 2027-03-01 | 距DDL3天</t>
        </is>
      </c>
    </row>
    <row r="35">
      <c r="A35" s="4" t="n">
        <v>46474</v>
      </c>
      <c r="B35" s="2" t="inlineStr">
        <is>
          <t>3天前</t>
        </is>
      </c>
      <c r="C35" s="2" t="n">
        <v>2</v>
      </c>
      <c r="D35" s="2" t="inlineStr">
        <is>
          <t>DDL汇总：2027-03-28（2项）</t>
        </is>
      </c>
      <c r="E35" s="2" t="inlineStr">
        <is>
          <t>AUD2026-12 HSQH Funds（47128633）| 年审交付 | 2027-03-31 | 距DDL3天
AUD2026-12 ICBCA（47129548）| 年审交付 | 2027-03-31 | 距DDL3天</t>
        </is>
      </c>
    </row>
    <row r="36">
      <c r="A36" s="4" t="n">
        <v>46328</v>
      </c>
      <c r="B36" s="2" t="inlineStr">
        <is>
          <t>3天前</t>
        </is>
      </c>
      <c r="C36" s="2" t="n">
        <v>1</v>
      </c>
      <c r="D36" s="2" t="inlineStr">
        <is>
          <t>DDL汇总：2026-11-02（1项）</t>
        </is>
      </c>
      <c r="E36" s="2" t="inlineStr">
        <is>
          <t>AUD2026-12 Hangzhou Huaxin（47128202）| 预审开始 | 2026-11-05 | 距DDL3天</t>
        </is>
      </c>
    </row>
    <row r="37">
      <c r="A37" s="4" t="n">
        <v>46358</v>
      </c>
      <c r="B37" s="2" t="inlineStr">
        <is>
          <t>3天前</t>
        </is>
      </c>
      <c r="C37" s="2" t="n">
        <v>1</v>
      </c>
      <c r="D37" s="2" t="inlineStr">
        <is>
          <t>DDL汇总：2026-12-02（1项）</t>
        </is>
      </c>
      <c r="E37" s="2" t="inlineStr">
        <is>
          <t>AUD2026-12 Hangzhou Huaxin（47128202）| 预审交付 | 2026-12-05 | 距DDL3天</t>
        </is>
      </c>
    </row>
    <row r="38">
      <c r="A38" s="4" t="n">
        <v>46399</v>
      </c>
      <c r="B38" s="2" t="inlineStr">
        <is>
          <t>3天前</t>
        </is>
      </c>
      <c r="C38" s="2" t="n">
        <v>2</v>
      </c>
      <c r="D38" s="2" t="inlineStr">
        <is>
          <t>DDL汇总：2027-01-12（2项）</t>
        </is>
      </c>
      <c r="E38" s="2" t="inlineStr">
        <is>
          <t>AUD2026-12 Hangzhou Huaxin（47128202）| 年审开始 | 2027-01-15 | 距DDL3天
AUD2026-12 Xingze Fund（47127971）| 年审交付 | 2027-01-15 | 距DDL3天</t>
        </is>
      </c>
    </row>
    <row r="39">
      <c r="A39" s="4" t="n">
        <v>46343</v>
      </c>
      <c r="B39" s="2" t="inlineStr">
        <is>
          <t>3天前</t>
        </is>
      </c>
      <c r="C39" s="2" t="n">
        <v>1</v>
      </c>
      <c r="D39" s="2" t="inlineStr">
        <is>
          <t>DDL汇总：2026-11-17（1项）</t>
        </is>
      </c>
      <c r="E39" s="2" t="inlineStr">
        <is>
          <t>AUD2026-12 ICBCA（47129548）| 预审交付 | 2026-11-20 | 距DDL3天</t>
        </is>
      </c>
    </row>
    <row r="40">
      <c r="A40" s="4" t="n">
        <v>46392</v>
      </c>
      <c r="B40" s="2" t="inlineStr">
        <is>
          <t>3天前</t>
        </is>
      </c>
      <c r="C40" s="2" t="n">
        <v>1</v>
      </c>
      <c r="D40" s="2" t="inlineStr">
        <is>
          <t>DDL汇总：2027-01-05（1项）</t>
        </is>
      </c>
      <c r="E40" s="2" t="inlineStr">
        <is>
          <t>AUD2026-12 OFC Fund（47128515）| 年审开始 | 2027-01-08 | 距DDL3天</t>
        </is>
      </c>
    </row>
    <row r="41">
      <c r="A41" s="4" t="n">
        <v>46416</v>
      </c>
      <c r="B41" s="2" t="inlineStr">
        <is>
          <t>3天前</t>
        </is>
      </c>
      <c r="C41" s="2" t="n">
        <v>3</v>
      </c>
      <c r="D41" s="2" t="inlineStr">
        <is>
          <t>DDL汇总：2027-01-29（3项）</t>
        </is>
      </c>
      <c r="E41" s="2" t="inlineStr">
        <is>
          <t>AUD2026-12 OFC Fund（47128515）| 年审交付 | 2027-02-01 | 距DDL3天
AUD2026-12 PA Funds（47128421）| 年审交付 | 2027-02-01 | 距DDL3天
IPO2026-03 Project Voyage_CN（47115559）| 年审开始 | 2027-02-01 | 距DDL3天</t>
        </is>
      </c>
    </row>
    <row r="42">
      <c r="A42" s="4" t="n">
        <v>46497</v>
      </c>
      <c r="B42" s="2" t="inlineStr">
        <is>
          <t>3天前</t>
        </is>
      </c>
      <c r="C42" s="2" t="n">
        <v>1</v>
      </c>
      <c r="D42" s="2" t="inlineStr">
        <is>
          <t>DDL汇总：2027-04-20（1项）</t>
        </is>
      </c>
      <c r="E42" s="2" t="inlineStr">
        <is>
          <t>AUD2026-12 Warburg Pincus HK SPV JZ（47136348）| 年审开始 | 2027-04-23 | 距DDL3天</t>
        </is>
      </c>
    </row>
    <row r="43">
      <c r="A43" s="4" t="n">
        <v>46509</v>
      </c>
      <c r="B43" s="2" t="inlineStr">
        <is>
          <t>3天前</t>
        </is>
      </c>
      <c r="C43" s="2" t="n">
        <v>1</v>
      </c>
      <c r="D43" s="2" t="inlineStr">
        <is>
          <t>DDL汇总：2027-05-02（1项）</t>
        </is>
      </c>
      <c r="E43" s="2" t="inlineStr">
        <is>
          <t>AUD2026-12 Warburg Pincus HK SPV JZ（47136348）| 年审交付 | 2027-05-05 | 距DDL3天</t>
        </is>
      </c>
    </row>
    <row r="44">
      <c r="A44" s="4" t="n">
        <v>46453</v>
      </c>
      <c r="B44" s="2" t="inlineStr">
        <is>
          <t>3天前</t>
        </is>
      </c>
      <c r="C44" s="2" t="n">
        <v>1</v>
      </c>
      <c r="D44" s="2" t="inlineStr">
        <is>
          <t>DDL汇总：2027-03-07（1项）</t>
        </is>
      </c>
      <c r="E44" s="2" t="inlineStr">
        <is>
          <t>AUD2026-12 Warburg Pincus US Fund（47128469）| 年审交付 | 2027-03-10 | 距DDL3天</t>
        </is>
      </c>
    </row>
    <row r="45">
      <c r="A45" s="4" t="n">
        <v>46305</v>
      </c>
      <c r="B45" s="2" t="inlineStr">
        <is>
          <t>3天前</t>
        </is>
      </c>
      <c r="C45" s="2" t="n">
        <v>2</v>
      </c>
      <c r="D45" s="2" t="inlineStr">
        <is>
          <t>DDL汇总：2026-10-10（2项）</t>
        </is>
      </c>
      <c r="E45" s="2" t="inlineStr">
        <is>
          <t>AUD2026-12 Xingze Fund（47127971）| 预审开始 | 2026-10-13 | 距DDL3天
AUD2026-12 Xingze Management（47128472）| 预审开始 | 2026-10-13 | 距DDL3天</t>
        </is>
      </c>
    </row>
    <row r="46">
      <c r="A46" s="4" t="n">
        <v>46404</v>
      </c>
      <c r="B46" s="2" t="inlineStr">
        <is>
          <t>3天前</t>
        </is>
      </c>
      <c r="C46" s="2" t="n">
        <v>1</v>
      </c>
      <c r="D46" s="2" t="inlineStr">
        <is>
          <t>DDL汇总：2027-01-17（1项）</t>
        </is>
      </c>
      <c r="E46" s="2" t="inlineStr">
        <is>
          <t>AUD2026-12 Xingze Management（47128472）| 年审交付 | 2027-01-20 | 距DDL3天</t>
        </is>
      </c>
    </row>
    <row r="47">
      <c r="A47" s="4" t="n">
        <v>46322</v>
      </c>
      <c r="B47" s="2" t="inlineStr">
        <is>
          <t>3天前</t>
        </is>
      </c>
      <c r="C47" s="2" t="n">
        <v>1</v>
      </c>
      <c r="D47" s="2" t="inlineStr">
        <is>
          <t>DDL汇总：2026-10-27（1项）</t>
        </is>
      </c>
      <c r="E47" s="2" t="inlineStr">
        <is>
          <t>IPO2026-03 Project Voyage_CN（47115559）| 预审交付 | 2026-10-30 | 距DDL3天</t>
        </is>
      </c>
    </row>
    <row r="48">
      <c r="A48" s="4" t="n">
        <v>46302</v>
      </c>
      <c r="B48" s="2" t="inlineStr">
        <is>
          <t>5天前</t>
        </is>
      </c>
      <c r="C48" s="2" t="n">
        <v>3</v>
      </c>
      <c r="D48" s="2" t="inlineStr">
        <is>
          <t>DDL汇总：2026-10-07（3项）</t>
        </is>
      </c>
      <c r="E48" s="2" t="inlineStr">
        <is>
          <t>AUD2026-12 01VC USD Fund（47128835）| 预审开始 | 2026-10-12 | 距DDL5天
AUD2026-12 ICBCA（47129548）| 预审开始 | 2026-10-12 | 距DDL5天
IPO2026-03 Project Voyage_CN（47115559）| 预审开始 | 2026-10-12 | 距DDL5天</t>
        </is>
      </c>
    </row>
    <row r="49">
      <c r="A49" s="4" t="n">
        <v>46313</v>
      </c>
      <c r="B49" s="2" t="inlineStr">
        <is>
          <t>5天前</t>
        </is>
      </c>
      <c r="C49" s="2" t="n">
        <v>1</v>
      </c>
      <c r="D49" s="2" t="inlineStr">
        <is>
          <t>DDL汇总：2026-10-18（1项）</t>
        </is>
      </c>
      <c r="E49" s="2" t="inlineStr">
        <is>
          <t>AUD2026-12 01VC USD Fund（47128835）| 预审交付 | 2026-10-23 | 距DDL5天</t>
        </is>
      </c>
    </row>
    <row r="50">
      <c r="A50" s="4" t="n">
        <v>46389</v>
      </c>
      <c r="B50" s="2" t="inlineStr">
        <is>
          <t>5天前</t>
        </is>
      </c>
      <c r="C50" s="2" t="n">
        <v>1</v>
      </c>
      <c r="D50" s="2" t="inlineStr">
        <is>
          <t>DDL汇总：2027-01-02（1项）</t>
        </is>
      </c>
      <c r="E50" s="2" t="inlineStr">
        <is>
          <t>AUD2026-12 01VC USD Fund（47128835）| 年审开始 | 2027-01-07 | 距DDL5天</t>
        </is>
      </c>
    </row>
    <row r="51">
      <c r="A51" s="4" t="n">
        <v>46344</v>
      </c>
      <c r="B51" s="2" t="inlineStr">
        <is>
          <t>5天前</t>
        </is>
      </c>
      <c r="C51" s="2" t="n">
        <v>2</v>
      </c>
      <c r="D51" s="2" t="inlineStr">
        <is>
          <t>DDL汇总：2026-11-18（2项）</t>
        </is>
      </c>
      <c r="E51" s="2" t="inlineStr">
        <is>
          <t>AUD2026-12 Arrace Holding（47128359）| 预审开始 | 2026-11-23 | 距DDL5天
AUD2026-12 Vivo Capital（47128684）| 预审开始 | 2026-11-23 | 距DDL5天</t>
        </is>
      </c>
    </row>
    <row r="52">
      <c r="A52" s="4" t="n">
        <v>46347</v>
      </c>
      <c r="B52" s="2" t="inlineStr">
        <is>
          <t>5天前</t>
        </is>
      </c>
      <c r="C52" s="2" t="n">
        <v>2</v>
      </c>
      <c r="D52" s="2" t="inlineStr">
        <is>
          <t>DDL汇总：2026-11-21（2项）</t>
        </is>
      </c>
      <c r="E52" s="2" t="inlineStr">
        <is>
          <t>AUD2026-12 Arrace Holding（47128359）| 预审交付 | 2026-11-26 | 距DDL5天
AUD2026-12 Vivo Capital（47128684）| 预审交付 | 2026-11-26 | 距DDL5天</t>
        </is>
      </c>
    </row>
    <row r="53">
      <c r="A53" s="4" t="n">
        <v>46415</v>
      </c>
      <c r="B53" s="2" t="inlineStr">
        <is>
          <t>5天前</t>
        </is>
      </c>
      <c r="C53" s="2" t="n">
        <v>1</v>
      </c>
      <c r="D53" s="2" t="inlineStr">
        <is>
          <t>DDL汇总：2027-01-28（1项）</t>
        </is>
      </c>
      <c r="E53" s="2" t="inlineStr">
        <is>
          <t>AUD2026-12 Arrace Holding（47128359）| 年审开始 | 2027-02-02 | 距DDL5天</t>
        </is>
      </c>
    </row>
    <row r="54">
      <c r="A54" s="4" t="n">
        <v>46435</v>
      </c>
      <c r="B54" s="2" t="inlineStr">
        <is>
          <t>5天前</t>
        </is>
      </c>
      <c r="C54" s="2" t="n">
        <v>2</v>
      </c>
      <c r="D54" s="2" t="inlineStr">
        <is>
          <t>DDL汇总：2027-02-17（2项）</t>
        </is>
      </c>
      <c r="E54" s="2" t="inlineStr">
        <is>
          <t>AUD2026-12 Arrace Holding（47128359）| 年审交付 | 2027-02-22 | 距DDL5天
AUD2026-12 Vivo Capital（47128684）| 年审交付 | 2027-02-22 | 距DDL5天</t>
        </is>
      </c>
    </row>
    <row r="55">
      <c r="A55" s="4" t="n">
        <v>46428</v>
      </c>
      <c r="B55" s="2" t="inlineStr">
        <is>
          <t>5天前</t>
        </is>
      </c>
      <c r="C55" s="2" t="n">
        <v>7</v>
      </c>
      <c r="D55" s="2" t="inlineStr">
        <is>
          <t>DDL汇总：2027-02-10（7项）</t>
        </is>
      </c>
      <c r="E55" s="2" t="inlineStr">
        <is>
          <t>AUD2026-12 BOYU CAPITAL FUND（47129715）| 年审开始 | 2027-02-15 | 距DDL5天
AUD2026-12 COS-CAPITAL HK INTL（47129459）| 年审开始 | 2027-02-15 | 距DDL5天
AUD2026-12 DST Investment Mgt（47129679）| 年审开始 | 2027-02-15 | 距DDL5天
AUD2026-12 E Fund IM（47129692）| 年审开始 | 2027-02-15 | 距DDL5天
AUD2026-12 OCML HK（47129432）| 年审开始 | 2027-02-15 | 距DDL5天
AUD2026-12 Shinka Capital（47129702）| 年审开始 | 2027-02-15 | 距DDL5天
AUD2026-12 Taikang HK Comps（47129130）| 年审开始 | 2027-02-15 | 距DDL5天</t>
        </is>
      </c>
    </row>
    <row r="56">
      <c r="A56" s="4" t="n">
        <v>46461</v>
      </c>
      <c r="B56" s="2" t="inlineStr">
        <is>
          <t>5天前</t>
        </is>
      </c>
      <c r="C56" s="2" t="n">
        <v>2</v>
      </c>
      <c r="D56" s="2" t="inlineStr">
        <is>
          <t>DDL汇总：2027-03-15（2项）</t>
        </is>
      </c>
      <c r="E56" s="2" t="inlineStr">
        <is>
          <t>AUD2026-12 BOYU CAPITAL FUND（47129715）| 年审交付 | 2027-03-20 | 距DDL5天
AUD2026-12 E Fund IM（47129692）| 年审交付 | 2027-03-20 | 距DDL5天</t>
        </is>
      </c>
    </row>
    <row r="57">
      <c r="A57" s="4" t="n">
        <v>46366</v>
      </c>
      <c r="B57" s="2" t="inlineStr">
        <is>
          <t>5天前</t>
        </is>
      </c>
      <c r="C57" s="2" t="n">
        <v>2</v>
      </c>
      <c r="D57" s="2" t="inlineStr">
        <is>
          <t>DDL汇总：2026-12-10（2项）</t>
        </is>
      </c>
      <c r="E57" s="2" t="inlineStr">
        <is>
          <t>AUD2026-12 CMBILM（47133720）| 预审开始 | 2026-12-15 | 距DDL5天
AUD2026-12 Warburg Pincus US Fund（47128469）| 预审开始 | 2026-12-15 | 距DDL5天</t>
        </is>
      </c>
    </row>
    <row r="58">
      <c r="A58" s="4" t="n">
        <v>46462</v>
      </c>
      <c r="B58" s="2" t="inlineStr">
        <is>
          <t>5天前</t>
        </is>
      </c>
      <c r="C58" s="2" t="n">
        <v>1</v>
      </c>
      <c r="D58" s="2" t="inlineStr">
        <is>
          <t>DDL汇总：2027-03-16（1项）</t>
        </is>
      </c>
      <c r="E58" s="2" t="inlineStr">
        <is>
          <t>AUD2026-12 CMBILM（47133720）| 年审开始 | 2027-03-21 | 距DDL5天</t>
        </is>
      </c>
    </row>
    <row r="59">
      <c r="A59" s="4" t="n">
        <v>46502</v>
      </c>
      <c r="B59" s="2" t="inlineStr">
        <is>
          <t>5天前</t>
        </is>
      </c>
      <c r="C59" s="2" t="n">
        <v>1</v>
      </c>
      <c r="D59" s="2" t="inlineStr">
        <is>
          <t>DDL汇总：2027-04-25（1项）</t>
        </is>
      </c>
      <c r="E59" s="2" t="inlineStr">
        <is>
          <t>AUD2026-12 CMBILM（47133720）| 年审交付 | 2027-04-30 | 距DDL5天</t>
        </is>
      </c>
    </row>
    <row r="60">
      <c r="A60" s="4" t="n">
        <v>46432</v>
      </c>
      <c r="B60" s="2" t="inlineStr">
        <is>
          <t>5天前</t>
        </is>
      </c>
      <c r="C60" s="2" t="n">
        <v>1</v>
      </c>
      <c r="D60" s="2" t="inlineStr">
        <is>
          <t>DDL汇总：2027-02-14（1项）</t>
        </is>
      </c>
      <c r="E60" s="2" t="inlineStr">
        <is>
          <t>AUD2026-12 EverYi Capital（47128108）| 年审交付 | 2027-02-19 | 距DDL5天</t>
        </is>
      </c>
    </row>
    <row r="61">
      <c r="A61" s="4" t="n">
        <v>46442</v>
      </c>
      <c r="B61" s="2" t="inlineStr">
        <is>
          <t>5天前</t>
        </is>
      </c>
      <c r="C61" s="2" t="n">
        <v>5</v>
      </c>
      <c r="D61" s="2" t="inlineStr">
        <is>
          <t>DDL汇总：2027-02-24（5项）</t>
        </is>
      </c>
      <c r="E61" s="2" t="inlineStr">
        <is>
          <t>AUD2026-12 FR Funds（47128046）| 年审交付 | 2027-03-01 | 距DDL5天
AUD2026-12 Great Wall Funds（47128364）| 年审交付 | 2027-03-01 | 距DDL5天
AUD2026-12 Hashkey OFC Funds（47129402）| 年审开始 | 2027-03-01 | 距DDL5天
AUD2026-12 Invesco GW Funds（47128706）| 年审交付 | 2027-03-01 | 距DDL5天
AUD2026-12 Warburg Pincus US Fund（47128469）| 年审开始 | 2027-03-01 | 距DDL5天</t>
        </is>
      </c>
    </row>
    <row r="62">
      <c r="A62" s="4" t="n">
        <v>46472</v>
      </c>
      <c r="B62" s="2" t="inlineStr">
        <is>
          <t>5天前</t>
        </is>
      </c>
      <c r="C62" s="2" t="n">
        <v>2</v>
      </c>
      <c r="D62" s="2" t="inlineStr">
        <is>
          <t>DDL汇总：2027-03-26（2项）</t>
        </is>
      </c>
      <c r="E62" s="2" t="inlineStr">
        <is>
          <t>AUD2026-12 HSQH Funds（47128633）| 年审交付 | 2027-03-31 | 距DDL5天
AUD2026-12 ICBCA（47129548）| 年审交付 | 2027-03-31 | 距DDL5天</t>
        </is>
      </c>
    </row>
    <row r="63">
      <c r="A63" s="4" t="n">
        <v>46326</v>
      </c>
      <c r="B63" s="2" t="inlineStr">
        <is>
          <t>5天前</t>
        </is>
      </c>
      <c r="C63" s="2" t="n">
        <v>1</v>
      </c>
      <c r="D63" s="2" t="inlineStr">
        <is>
          <t>DDL汇总：2026-10-31（1项）</t>
        </is>
      </c>
      <c r="E63" s="2" t="inlineStr">
        <is>
          <t>AUD2026-12 Hangzhou Huaxin（47128202）| 预审开始 | 2026-11-05 | 距DDL5天</t>
        </is>
      </c>
    </row>
    <row r="64">
      <c r="A64" s="4" t="n">
        <v>46356</v>
      </c>
      <c r="B64" s="2" t="inlineStr">
        <is>
          <t>5天前</t>
        </is>
      </c>
      <c r="C64" s="2" t="n">
        <v>1</v>
      </c>
      <c r="D64" s="2" t="inlineStr">
        <is>
          <t>DDL汇总：2026-11-30（1项）</t>
        </is>
      </c>
      <c r="E64" s="2" t="inlineStr">
        <is>
          <t>AUD2026-12 Hangzhou Huaxin（47128202）| 预审交付 | 2026-12-05 | 距DDL5天</t>
        </is>
      </c>
    </row>
    <row r="65">
      <c r="A65" s="4" t="n">
        <v>46438</v>
      </c>
      <c r="B65" s="2" t="inlineStr">
        <is>
          <t>5天前</t>
        </is>
      </c>
      <c r="C65" s="2" t="n">
        <v>1</v>
      </c>
      <c r="D65" s="2" t="inlineStr">
        <is>
          <t>DDL汇总：2027-02-20（1项）</t>
        </is>
      </c>
      <c r="E65" s="2" t="inlineStr">
        <is>
          <t>AUD2026-12 Hangzhou Huaxin（47128202）| 年审交付 | 2027-02-25 | 距DDL5天</t>
        </is>
      </c>
    </row>
    <row r="66">
      <c r="A66" s="4" t="n">
        <v>46341</v>
      </c>
      <c r="B66" s="2" t="inlineStr">
        <is>
          <t>5天前</t>
        </is>
      </c>
      <c r="C66" s="2" t="n">
        <v>1</v>
      </c>
      <c r="D66" s="2" t="inlineStr">
        <is>
          <t>DDL汇总：2026-11-15（1项）</t>
        </is>
      </c>
      <c r="E66" s="2" t="inlineStr">
        <is>
          <t>AUD2026-12 ICBCA（47129548）| 预审交付 | 2026-11-20 | 距DDL5天</t>
        </is>
      </c>
    </row>
    <row r="67">
      <c r="A67" s="4" t="n">
        <v>46441</v>
      </c>
      <c r="B67" s="2" t="inlineStr">
        <is>
          <t>5天前</t>
        </is>
      </c>
      <c r="C67" s="2" t="n">
        <v>1</v>
      </c>
      <c r="D67" s="2" t="inlineStr">
        <is>
          <t>DDL汇总：2027-02-23（1项）</t>
        </is>
      </c>
      <c r="E67" s="2" t="inlineStr">
        <is>
          <t>AUD2026-12 ICBCM（47129069）| 年审交付 | 2027-02-28 | 距DDL5天</t>
        </is>
      </c>
    </row>
    <row r="68">
      <c r="A68" s="4" t="n">
        <v>46414</v>
      </c>
      <c r="B68" s="2" t="inlineStr">
        <is>
          <t>5天前</t>
        </is>
      </c>
      <c r="C68" s="2" t="n">
        <v>3</v>
      </c>
      <c r="D68" s="2" t="inlineStr">
        <is>
          <t>DDL汇总：2027-01-27（3项）</t>
        </is>
      </c>
      <c r="E68" s="2" t="inlineStr">
        <is>
          <t>AUD2026-12 OFC Fund（47128515）| 年审交付 | 2027-02-01 | 距DDL5天
AUD2026-12 PA Funds（47128421）| 年审交付 | 2027-02-01 | 距DDL5天
IPO2026-03 Project Voyage_CN（47115559）| 年审开始 | 2027-02-01 | 距DDL5天</t>
        </is>
      </c>
    </row>
    <row r="69">
      <c r="A69" s="4" t="n">
        <v>46495</v>
      </c>
      <c r="B69" s="2" t="inlineStr">
        <is>
          <t>5天前</t>
        </is>
      </c>
      <c r="C69" s="2" t="n">
        <v>1</v>
      </c>
      <c r="D69" s="2" t="inlineStr">
        <is>
          <t>DDL汇总：2027-04-18（1项）</t>
        </is>
      </c>
      <c r="E69" s="2" t="inlineStr">
        <is>
          <t>AUD2026-12 Warburg Pincus HK SPV JZ（47136348）| 年审开始 | 2027-04-23 | 距DDL5天</t>
        </is>
      </c>
    </row>
    <row r="70">
      <c r="A70" s="4" t="n">
        <v>46451</v>
      </c>
      <c r="B70" s="2" t="inlineStr">
        <is>
          <t>5天前</t>
        </is>
      </c>
      <c r="C70" s="2" t="n">
        <v>1</v>
      </c>
      <c r="D70" s="2" t="inlineStr">
        <is>
          <t>DDL汇总：2027-03-05（1项）</t>
        </is>
      </c>
      <c r="E70" s="2" t="inlineStr">
        <is>
          <t>AUD2026-12 Warburg Pincus US Fund（47128469）| 年审交付 | 2027-03-10 | 距DDL5天</t>
        </is>
      </c>
    </row>
    <row r="71">
      <c r="A71" s="4" t="n">
        <v>46303</v>
      </c>
      <c r="B71" s="2" t="inlineStr">
        <is>
          <t>5天前</t>
        </is>
      </c>
      <c r="C71" s="2" t="n">
        <v>2</v>
      </c>
      <c r="D71" s="2" t="inlineStr">
        <is>
          <t>DDL汇总：2026-10-08（2项）</t>
        </is>
      </c>
      <c r="E71" s="2" t="inlineStr">
        <is>
          <t>AUD2026-12 Xingze Fund（47127971）| 预审开始 | 2026-10-13 | 距DDL5天
AUD2026-12 Xingze Management（47128472）| 预审开始 | 2026-10-13 | 距DDL5天</t>
        </is>
      </c>
    </row>
    <row r="72">
      <c r="A72" s="4" t="n">
        <v>46306</v>
      </c>
      <c r="B72" s="2" t="inlineStr">
        <is>
          <t>5天前</t>
        </is>
      </c>
      <c r="C72" s="2" t="n">
        <v>1</v>
      </c>
      <c r="D72" s="2" t="inlineStr">
        <is>
          <t>DDL汇总：2026-10-11（1项）</t>
        </is>
      </c>
      <c r="E72" s="2" t="inlineStr">
        <is>
          <t>AUD2026-12 Xingze Fund（47127971）| 预审交付 | 2026-10-16 | 距DDL5天</t>
        </is>
      </c>
    </row>
    <row r="73">
      <c r="A73" s="4" t="n">
        <v>46309</v>
      </c>
      <c r="B73" s="2" t="inlineStr">
        <is>
          <t>5天前</t>
        </is>
      </c>
      <c r="C73" s="2" t="n">
        <v>1</v>
      </c>
      <c r="D73" s="2" t="inlineStr">
        <is>
          <t>DDL汇总：2026-10-14（1项）</t>
        </is>
      </c>
      <c r="E73" s="2" t="inlineStr">
        <is>
          <t>AUD2026-12 Xingze Management（47128472）| 预审交付 | 2026-10-19 | 距DDL5天</t>
        </is>
      </c>
    </row>
    <row r="74">
      <c r="A74" s="4" t="n">
        <v>46320</v>
      </c>
      <c r="B74" s="2" t="inlineStr">
        <is>
          <t>5天前</t>
        </is>
      </c>
      <c r="C74" s="2" t="n">
        <v>1</v>
      </c>
      <c r="D74" s="2" t="inlineStr">
        <is>
          <t>DDL汇总：2026-10-25（1项）</t>
        </is>
      </c>
      <c r="E74" s="2" t="inlineStr">
        <is>
          <t>IPO2026-03 Project Voyage_CN（47115559）| 预审交付 | 2026-10-30 | 距DDL5天</t>
        </is>
      </c>
    </row>
    <row r="75">
      <c r="A75" s="4" t="n">
        <v>46300</v>
      </c>
      <c r="B75" s="2" t="inlineStr">
        <is>
          <t>7天前</t>
        </is>
      </c>
      <c r="C75" s="2" t="n">
        <v>3</v>
      </c>
      <c r="D75" s="2" t="inlineStr">
        <is>
          <t>DDL汇总：2026-10-05（3项）</t>
        </is>
      </c>
      <c r="E75" s="2" t="inlineStr">
        <is>
          <t>AUD2026-12 01VC USD Fund（47128835）| 预审开始 | 2026-10-12 | 距DDL7天
AUD2026-12 ICBCA（47129548）| 预审开始 | 2026-10-12 | 距DDL7天
IPO2026-03 Project Voyage_CN（47115559）| 预审开始 | 2026-10-12 | 距DDL7天</t>
        </is>
      </c>
    </row>
    <row r="76">
      <c r="A76" s="4" t="n">
        <v>46387</v>
      </c>
      <c r="B76" s="2" t="inlineStr">
        <is>
          <t>7天前</t>
        </is>
      </c>
      <c r="C76" s="2" t="n">
        <v>1</v>
      </c>
      <c r="D76" s="2" t="inlineStr">
        <is>
          <t>DDL汇总：2026-12-31（1项）</t>
        </is>
      </c>
      <c r="E76" s="2" t="inlineStr">
        <is>
          <t>AUD2026-12 01VC USD Fund（47128835）| 年审开始 | 2027-01-07 | 距DDL7天</t>
        </is>
      </c>
    </row>
    <row r="77">
      <c r="A77" s="4" t="n">
        <v>46342</v>
      </c>
      <c r="B77" s="2" t="inlineStr">
        <is>
          <t>7天前</t>
        </is>
      </c>
      <c r="C77" s="2" t="n">
        <v>2</v>
      </c>
      <c r="D77" s="2" t="inlineStr">
        <is>
          <t>DDL汇总：2026-11-16（2项）</t>
        </is>
      </c>
      <c r="E77" s="2" t="inlineStr">
        <is>
          <t>AUD2026-12 Arrace Holding（47128359）| 预审开始 | 2026-11-23 | 距DDL7天
AUD2026-12 Vivo Capital（47128684）| 预审开始 | 2026-11-23 | 距DDL7天</t>
        </is>
      </c>
    </row>
    <row r="78">
      <c r="A78" s="4" t="n">
        <v>46345</v>
      </c>
      <c r="B78" s="2" t="inlineStr">
        <is>
          <t>7天前</t>
        </is>
      </c>
      <c r="C78" s="2" t="n">
        <v>2</v>
      </c>
      <c r="D78" s="2" t="inlineStr">
        <is>
          <t>DDL汇总：2026-11-19（2项）</t>
        </is>
      </c>
      <c r="E78" s="2" t="inlineStr">
        <is>
          <t>AUD2026-12 Arrace Holding（47128359）| 预审交付 | 2026-11-26 | 距DDL7天
AUD2026-12 Vivo Capital（47128684）| 预审交付 | 2026-11-26 | 距DDL7天</t>
        </is>
      </c>
    </row>
    <row r="79">
      <c r="A79" s="4" t="n">
        <v>46413</v>
      </c>
      <c r="B79" s="2" t="inlineStr">
        <is>
          <t>7天前</t>
        </is>
      </c>
      <c r="C79" s="2" t="n">
        <v>1</v>
      </c>
      <c r="D79" s="2" t="inlineStr">
        <is>
          <t>DDL汇总：2027-01-26（1项）</t>
        </is>
      </c>
      <c r="E79" s="2" t="inlineStr">
        <is>
          <t>AUD2026-12 Arrace Holding（47128359）| 年审开始 | 2027-02-02 | 距DDL7天</t>
        </is>
      </c>
    </row>
    <row r="80">
      <c r="A80" s="4" t="n">
        <v>46426</v>
      </c>
      <c r="B80" s="2" t="inlineStr">
        <is>
          <t>7天前</t>
        </is>
      </c>
      <c r="C80" s="2" t="n">
        <v>7</v>
      </c>
      <c r="D80" s="2" t="inlineStr">
        <is>
          <t>DDL汇总：2027-02-08（7项）</t>
        </is>
      </c>
      <c r="E80" s="2" t="inlineStr">
        <is>
          <t>AUD2026-12 BOYU CAPITAL FUND（47129715）| 年审开始 | 2027-02-15 | 距DDL7天
AUD2026-12 COS-CAPITAL HK INTL（47129459）| 年审开始 | 2027-02-15 | 距DDL7天
AUD2026-12 DST Investment Mgt（47129679）| 年审开始 | 2027-02-15 | 距DDL7天
AUD2026-12 E Fund IM（47129692）| 年审开始 | 2027-02-15 | 距DDL7天
AUD2026-12 OCML HK（47129432）| 年审开始 | 2027-02-15 | 距DDL7天
AUD2026-12 Shinka Capital（47129702）| 年审开始 | 2027-02-15 | 距DDL7天
AUD2026-12 Taikang HK Comps（47129130）| 年审开始 | 2027-02-15 | 距DDL7天</t>
        </is>
      </c>
    </row>
    <row r="81">
      <c r="A81" s="4" t="n">
        <v>46459</v>
      </c>
      <c r="B81" s="2" t="inlineStr">
        <is>
          <t>7天前</t>
        </is>
      </c>
      <c r="C81" s="2" t="n">
        <v>2</v>
      </c>
      <c r="D81" s="2" t="inlineStr">
        <is>
          <t>DDL汇总：2027-03-13（2项）</t>
        </is>
      </c>
      <c r="E81" s="2" t="inlineStr">
        <is>
          <t>AUD2026-12 BOYU CAPITAL FUND（47129715）| 年审交付 | 2027-03-20 | 距DDL7天
AUD2026-12 E Fund IM（47129692）| 年审交付 | 2027-03-20 | 距DDL7天</t>
        </is>
      </c>
    </row>
    <row r="82">
      <c r="A82" s="4" t="n">
        <v>46364</v>
      </c>
      <c r="B82" s="2" t="inlineStr">
        <is>
          <t>7天前</t>
        </is>
      </c>
      <c r="C82" s="2" t="n">
        <v>2</v>
      </c>
      <c r="D82" s="2" t="inlineStr">
        <is>
          <t>DDL汇总：2026-12-08（2项）</t>
        </is>
      </c>
      <c r="E82" s="2" t="inlineStr">
        <is>
          <t>AUD2026-12 CMBILM（47133720）| 预审开始 | 2026-12-15 | 距DDL7天
AUD2026-12 Warburg Pincus US Fund（47128469）| 预审开始 | 2026-12-15 | 距DDL7天</t>
        </is>
      </c>
    </row>
    <row r="83">
      <c r="A83" s="4" t="n">
        <v>46460</v>
      </c>
      <c r="B83" s="2" t="inlineStr">
        <is>
          <t>7天前</t>
        </is>
      </c>
      <c r="C83" s="2" t="n">
        <v>1</v>
      </c>
      <c r="D83" s="2" t="inlineStr">
        <is>
          <t>DDL汇总：2027-03-14（1项）</t>
        </is>
      </c>
      <c r="E83" s="2" t="inlineStr">
        <is>
          <t>AUD2026-12 CMBILM（47133720）| 年审开始 | 2027-03-21 | 距DDL7天</t>
        </is>
      </c>
    </row>
    <row r="84">
      <c r="A84" s="4" t="n">
        <v>46370</v>
      </c>
      <c r="B84" s="2" t="inlineStr">
        <is>
          <t>7天前</t>
        </is>
      </c>
      <c r="C84" s="2" t="n">
        <v>6</v>
      </c>
      <c r="D84" s="2" t="inlineStr">
        <is>
          <t>DDL汇总：2026-12-14（6项）</t>
        </is>
      </c>
      <c r="E84" s="2" t="inlineStr">
        <is>
          <t>AUD2026-12 FR Funds（47128046）| 年审开始 | 2026-12-21 | 距DDL7天
AUD2026-12 Great Wall Funds（47128364）| 年审开始 | 2026-12-21 | 距DDL7天
AUD2026-12 HSQH Funds（47128633）| 年审开始 | 2026-12-21 | 距DDL7天
AUD2026-12 ICBCA（47129548）| 年审开始 | 2026-12-21 | 距DDL7天
AUD2026-12 ICBCM（47129069）| 年审开始 | 2026-12-21 | 距DDL7天
AUD2026-12 Invesco GW Funds（47128706）| 年审开始 | 2026-12-21 | 距DDL7天</t>
        </is>
      </c>
    </row>
    <row r="85">
      <c r="A85" s="4" t="n">
        <v>46470</v>
      </c>
      <c r="B85" s="2" t="inlineStr">
        <is>
          <t>7天前</t>
        </is>
      </c>
      <c r="C85" s="2" t="n">
        <v>2</v>
      </c>
      <c r="D85" s="2" t="inlineStr">
        <is>
          <t>DDL汇总：2027-03-24（2项）</t>
        </is>
      </c>
      <c r="E85" s="2" t="inlineStr">
        <is>
          <t>AUD2026-12 HSQH Funds（47128633）| 年审交付 | 2027-03-31 | 距DDL7天
AUD2026-12 ICBCA（47129548）| 年审交付 | 2027-03-31 | 距DDL7天</t>
        </is>
      </c>
    </row>
    <row r="86">
      <c r="A86" s="4" t="n">
        <v>46324</v>
      </c>
      <c r="B86" s="2" t="inlineStr">
        <is>
          <t>7天前</t>
        </is>
      </c>
      <c r="C86" s="2" t="n">
        <v>1</v>
      </c>
      <c r="D86" s="2" t="inlineStr">
        <is>
          <t>DDL汇总：2026-10-29（1项）</t>
        </is>
      </c>
      <c r="E86" s="2" t="inlineStr">
        <is>
          <t>AUD2026-12 Hangzhou Huaxin（47128202）| 预审开始 | 2026-11-05 | 距DDL7天</t>
        </is>
      </c>
    </row>
    <row r="87">
      <c r="A87" s="4" t="n">
        <v>46436</v>
      </c>
      <c r="B87" s="2" t="inlineStr">
        <is>
          <t>7天前</t>
        </is>
      </c>
      <c r="C87" s="2" t="n">
        <v>1</v>
      </c>
      <c r="D87" s="2" t="inlineStr">
        <is>
          <t>DDL汇总：2027-02-18（1项）</t>
        </is>
      </c>
      <c r="E87" s="2" t="inlineStr">
        <is>
          <t>AUD2026-12 Hangzhou Huaxin（47128202）| 年审交付 | 2027-02-25 | 距DDL7天</t>
        </is>
      </c>
    </row>
    <row r="88">
      <c r="A88" s="4" t="n">
        <v>46339</v>
      </c>
      <c r="B88" s="2" t="inlineStr">
        <is>
          <t>7天前</t>
        </is>
      </c>
      <c r="C88" s="2" t="n">
        <v>1</v>
      </c>
      <c r="D88" s="2" t="inlineStr">
        <is>
          <t>DDL汇总：2026-11-13（1项）</t>
        </is>
      </c>
      <c r="E88" s="2" t="inlineStr">
        <is>
          <t>AUD2026-12 ICBCA（47129548）| 预审交付 | 2026-11-20 | 距DDL7天</t>
        </is>
      </c>
    </row>
    <row r="89">
      <c r="A89" s="4" t="n">
        <v>46439</v>
      </c>
      <c r="B89" s="2" t="inlineStr">
        <is>
          <t>7天前</t>
        </is>
      </c>
      <c r="C89" s="2" t="n">
        <v>1</v>
      </c>
      <c r="D89" s="2" t="inlineStr">
        <is>
          <t>DDL汇总：2027-02-21（1项）</t>
        </is>
      </c>
      <c r="E89" s="2" t="inlineStr">
        <is>
          <t>AUD2026-12 ICBCM（47129069）| 年审交付 | 2027-02-28 | 距DDL7天</t>
        </is>
      </c>
    </row>
    <row r="90">
      <c r="A90" s="4" t="n">
        <v>46350</v>
      </c>
      <c r="B90" s="2" t="inlineStr">
        <is>
          <t>7天前</t>
        </is>
      </c>
      <c r="C90" s="2" t="n">
        <v>1</v>
      </c>
      <c r="D90" s="2" t="inlineStr">
        <is>
          <t>DDL汇总：2026-11-24（1项）</t>
        </is>
      </c>
      <c r="E90" s="2" t="inlineStr">
        <is>
          <t>AUD2026-12 Mirae Asset（47128154）| 预审开始 | 2026-12-01 | 距DDL7天</t>
        </is>
      </c>
    </row>
    <row r="91">
      <c r="A91" s="4" t="n">
        <v>46398</v>
      </c>
      <c r="B91" s="2" t="inlineStr">
        <is>
          <t>7天前</t>
        </is>
      </c>
      <c r="C91" s="2" t="n">
        <v>1</v>
      </c>
      <c r="D91" s="2" t="inlineStr">
        <is>
          <t>DDL汇总：2027-01-11（1项）</t>
        </is>
      </c>
      <c r="E91" s="2" t="inlineStr">
        <is>
          <t>AUD2026-12 Mirae Asset（47128154）| 年审交付 | 2027-01-18 | 距DDL7天</t>
        </is>
      </c>
    </row>
    <row r="92">
      <c r="A92" s="4" t="n">
        <v>46412</v>
      </c>
      <c r="B92" s="2" t="inlineStr">
        <is>
          <t>7天前</t>
        </is>
      </c>
      <c r="C92" s="2" t="n">
        <v>3</v>
      </c>
      <c r="D92" s="2" t="inlineStr">
        <is>
          <t>DDL汇总：2027-01-25（3项）</t>
        </is>
      </c>
      <c r="E92" s="2" t="inlineStr">
        <is>
          <t>AUD2026-12 OFC Fund（47128515）| 年审交付 | 2027-02-01 | 距DDL7天
AUD2026-12 PA Funds（47128421）| 年审交付 | 2027-02-01 | 距DDL7天
IPO2026-03 Project Voyage_CN（47115559）| 年审开始 | 2027-02-01 | 距DDL7天</t>
        </is>
      </c>
    </row>
    <row r="93">
      <c r="A93" s="4" t="n">
        <v>46493</v>
      </c>
      <c r="B93" s="2" t="inlineStr">
        <is>
          <t>7天前</t>
        </is>
      </c>
      <c r="C93" s="2" t="n">
        <v>1</v>
      </c>
      <c r="D93" s="2" t="inlineStr">
        <is>
          <t>DDL汇总：2027-04-16（1项）</t>
        </is>
      </c>
      <c r="E93" s="2" t="inlineStr">
        <is>
          <t>AUD2026-12 Warburg Pincus HK SPV JZ（47136348）| 年审开始 | 2027-04-23 | 距DDL7天</t>
        </is>
      </c>
    </row>
    <row r="94">
      <c r="A94" s="4" t="n">
        <v>46505</v>
      </c>
      <c r="B94" s="2" t="inlineStr">
        <is>
          <t>7天前</t>
        </is>
      </c>
      <c r="C94" s="2" t="n">
        <v>1</v>
      </c>
      <c r="D94" s="2" t="inlineStr">
        <is>
          <t>DDL汇总：2027-04-28（1项）</t>
        </is>
      </c>
      <c r="E94" s="2" t="inlineStr">
        <is>
          <t>AUD2026-12 Warburg Pincus HK SPV JZ（47136348）| 年审交付 | 2027-05-05 | 距DDL7天</t>
        </is>
      </c>
    </row>
    <row r="95">
      <c r="A95" s="4" t="n">
        <v>46449</v>
      </c>
      <c r="B95" s="2" t="inlineStr">
        <is>
          <t>7天前</t>
        </is>
      </c>
      <c r="C95" s="2" t="n">
        <v>1</v>
      </c>
      <c r="D95" s="2" t="inlineStr">
        <is>
          <t>DDL汇总：2027-03-03（1项）</t>
        </is>
      </c>
      <c r="E95" s="2" t="inlineStr">
        <is>
          <t>AUD2026-12 Warburg Pincus US Fund（47128469）| 年审交付 | 2027-03-10 | 距DDL7天</t>
        </is>
      </c>
    </row>
    <row r="96">
      <c r="A96" s="4" t="n">
        <v>46301</v>
      </c>
      <c r="B96" s="2" t="inlineStr">
        <is>
          <t>7天前</t>
        </is>
      </c>
      <c r="C96" s="2" t="n">
        <v>2</v>
      </c>
      <c r="D96" s="2" t="inlineStr">
        <is>
          <t>DDL汇总：2026-10-06（2项）</t>
        </is>
      </c>
      <c r="E96" s="2" t="inlineStr">
        <is>
          <t>AUD2026-12 Xingze Fund（47127971）| 预审开始 | 2026-10-13 | 距DDL7天
AUD2026-12 Xingze Management（47128472）| 预审开始 | 2026-10-13 | 距DDL7天</t>
        </is>
      </c>
    </row>
    <row r="97">
      <c r="A97" s="4" t="n">
        <v>46469</v>
      </c>
      <c r="B97" s="2" t="inlineStr">
        <is>
          <t>7天前</t>
        </is>
      </c>
      <c r="C97" s="2" t="n">
        <v>1</v>
      </c>
      <c r="D97" s="2" t="inlineStr">
        <is>
          <t>DDL汇总：2027-03-23（1项）</t>
        </is>
      </c>
      <c r="E97" s="2" t="inlineStr">
        <is>
          <t>IPO2026-03 Project Voyage_CN（47115559）| 年审交付 | 2027-03-30 | 距DDL7天</t>
        </is>
      </c>
    </row>
    <row r="98">
      <c r="A98" s="4" t="n">
        <v>46304</v>
      </c>
      <c r="B98" s="2" t="inlineStr">
        <is>
          <t>混合</t>
        </is>
      </c>
      <c r="C98" s="2" t="n">
        <v>4</v>
      </c>
      <c r="D98" s="2" t="inlineStr">
        <is>
          <t>DDL汇总：2026-10-09（4项）</t>
        </is>
      </c>
      <c r="E98" s="2" t="inlineStr">
        <is>
          <t>AUD2026-12 01VC USD Fund（47128835）| 预审开始 | 2026-10-12 | 距DDL3天
AUD2026-12 ICBCA（47129548）| 预审开始 | 2026-10-12 | 距DDL3天
AUD2026-12 Xingze Fund（47127971）| 预审交付 | 2026-10-16 | 距DDL7天
IPO2026-03 Project Voyage_CN（47115559）| 预审开始 | 2026-10-12 | 距DDL3天</t>
        </is>
      </c>
    </row>
    <row r="99">
      <c r="A99" s="4" t="n">
        <v>46307</v>
      </c>
      <c r="B99" s="2" t="inlineStr">
        <is>
          <t>混合</t>
        </is>
      </c>
      <c r="C99" s="2" t="n">
        <v>4</v>
      </c>
      <c r="D99" s="2" t="inlineStr">
        <is>
          <t>DDL汇总：2026-10-12（4项）</t>
        </is>
      </c>
      <c r="E99" s="2" t="inlineStr">
        <is>
          <t>AUD2026-12 01VC USD Fund（47128835）| 预审开始 | 2026-10-12 | 距DDL0天
AUD2026-12 ICBCA（47129548）| 预审开始 | 2026-10-12 | 距DDL0天
AUD2026-12 Xingze Management（47128472）| 预审交付 | 2026-10-19 | 距DDL7天
IPO2026-03 Project Voyage_CN（47115559）| 预审开始 | 2026-10-12 | 距DDL0天</t>
        </is>
      </c>
    </row>
    <row r="100">
      <c r="A100" s="4" t="n">
        <v>46311</v>
      </c>
      <c r="B100" s="2" t="inlineStr">
        <is>
          <t>混合</t>
        </is>
      </c>
      <c r="C100" s="2" t="n">
        <v>3</v>
      </c>
      <c r="D100" s="2" t="inlineStr">
        <is>
          <t>DDL汇总：2026-10-16（3项）</t>
        </is>
      </c>
      <c r="E100" s="2" t="inlineStr">
        <is>
          <t>AUD2026-12 01VC USD Fund（47128835）| 预审交付 | 2026-10-23 | 距DDL7天
AUD2026-12 Xingze Fund（47127971）| 预审交付 | 2026-10-16 | 距DDL0天
AUD2026-12 Xingze Management（47128472）| 预审交付 | 2026-10-19 | 距DDL3天</t>
        </is>
      </c>
    </row>
    <row r="101">
      <c r="A101" s="4" t="n">
        <v>46318</v>
      </c>
      <c r="B101" s="2" t="inlineStr">
        <is>
          <t>混合</t>
        </is>
      </c>
      <c r="C101" s="2" t="n">
        <v>2</v>
      </c>
      <c r="D101" s="2" t="inlineStr">
        <is>
          <t>DDL汇总：2026-10-23（2项）</t>
        </is>
      </c>
      <c r="E101" s="2" t="inlineStr">
        <is>
          <t>AUD2026-12 01VC USD Fund（47128835）| 预审交付 | 2026-10-23 | 距DDL0天
IPO2026-03 Project Voyage_CN（47115559）| 预审交付 | 2026-10-30 | 距DDL7天</t>
        </is>
      </c>
    </row>
    <row r="102">
      <c r="A102" s="4" t="n">
        <v>46393</v>
      </c>
      <c r="B102" s="2" t="inlineStr">
        <is>
          <t>混合</t>
        </is>
      </c>
      <c r="C102" s="2" t="n">
        <v>3</v>
      </c>
      <c r="D102" s="2" t="inlineStr">
        <is>
          <t>DDL汇总：2027-01-06（3项）</t>
        </is>
      </c>
      <c r="E102" s="2" t="inlineStr">
        <is>
          <t>AUD2026-12 01VC USD Fund（47128835）| 年审交付 | 2027-01-13 | 距DDL7天
AUD2026-12 Xingze Fund（47127971）| 年审开始 | 2027-01-06 | 距DDL0天
AUD2026-12 Xingze Management（47128472）| 年审开始 | 2027-01-06 | 距DDL0天</t>
        </is>
      </c>
    </row>
    <row r="103">
      <c r="A103" s="4" t="n">
        <v>46395</v>
      </c>
      <c r="B103" s="2" t="inlineStr">
        <is>
          <t>混合</t>
        </is>
      </c>
      <c r="C103" s="2" t="n">
        <v>4</v>
      </c>
      <c r="D103" s="2" t="inlineStr">
        <is>
          <t>DDL汇总：2027-01-08（4项）</t>
        </is>
      </c>
      <c r="E103" s="2" t="inlineStr">
        <is>
          <t>AUD2026-12 01VC USD Fund（47128835）| 年审交付 | 2027-01-13 | 距DDL5天
AUD2026-12 Hangzhou Huaxin（47128202）| 年审开始 | 2027-01-15 | 距DDL7天
AUD2026-12 OFC Fund（47128515）| 年审开始 | 2027-01-08 | 距DDL0天
AUD2026-12 Xingze Fund（47127971）| 年审交付 | 2027-01-15 | 距DDL7天</t>
        </is>
      </c>
    </row>
    <row r="104">
      <c r="A104" s="4" t="n">
        <v>46397</v>
      </c>
      <c r="B104" s="2" t="inlineStr">
        <is>
          <t>混合</t>
        </is>
      </c>
      <c r="C104" s="2" t="n">
        <v>3</v>
      </c>
      <c r="D104" s="2" t="inlineStr">
        <is>
          <t>DDL汇总：2027-01-10（3项）</t>
        </is>
      </c>
      <c r="E104" s="2" t="inlineStr">
        <is>
          <t>AUD2026-12 01VC USD Fund（47128835）| 年审交付 | 2027-01-13 | 距DDL3天
AUD2026-12 Hangzhou Huaxin（47128202）| 年审开始 | 2027-01-15 | 距DDL5天
AUD2026-12 Xingze Fund（47127971）| 年审交付 | 2027-01-15 | 距DDL5天</t>
        </is>
      </c>
    </row>
    <row r="105">
      <c r="A105" s="4" t="n">
        <v>46400</v>
      </c>
      <c r="B105" s="2" t="inlineStr">
        <is>
          <t>混合</t>
        </is>
      </c>
      <c r="C105" s="2" t="n">
        <v>3</v>
      </c>
      <c r="D105" s="2" t="inlineStr">
        <is>
          <t>DDL汇总：2027-01-13（3项）</t>
        </is>
      </c>
      <c r="E105" s="2" t="inlineStr">
        <is>
          <t>AUD2026-12 01VC USD Fund（47128835）| 年审交付 | 2027-01-13 | 距DDL0天
AUD2026-12 Mirae Asset（47128154）| 年审交付 | 2027-01-18 | 距DDL5天
AUD2026-12 Xingze Management（47128472）| 年审交付 | 2027-01-20 | 距DDL7天</t>
        </is>
      </c>
    </row>
    <row r="106">
      <c r="A106" s="4" t="n">
        <v>46346</v>
      </c>
      <c r="B106" s="2" t="inlineStr">
        <is>
          <t>混合</t>
        </is>
      </c>
      <c r="C106" s="2" t="n">
        <v>3</v>
      </c>
      <c r="D106" s="2" t="inlineStr">
        <is>
          <t>DDL汇总：2026-11-20（3项）</t>
        </is>
      </c>
      <c r="E106" s="2" t="inlineStr">
        <is>
          <t>AUD2026-12 Arrace Holding（47128359）| 预审开始 | 2026-11-23 | 距DDL3天
AUD2026-12 ICBCA（47129548）| 预审交付 | 2026-11-20 | 距DDL0天
AUD2026-12 Vivo Capital（47128684）| 预审开始 | 2026-11-23 | 距DDL3天</t>
        </is>
      </c>
    </row>
    <row r="107">
      <c r="A107" s="4" t="n">
        <v>46349</v>
      </c>
      <c r="B107" s="2" t="inlineStr">
        <is>
          <t>混合</t>
        </is>
      </c>
      <c r="C107" s="2" t="n">
        <v>4</v>
      </c>
      <c r="D107" s="2" t="inlineStr">
        <is>
          <t>DDL汇总：2026-11-23（4项）</t>
        </is>
      </c>
      <c r="E107" s="2" t="inlineStr">
        <is>
          <t>AUD2026-12 Arrace Holding（47128359）| 预审交付 | 2026-11-26 | 距DDL3天
AUD2026-12 Arrace Holding（47128359）| 预审开始 | 2026-11-23 | 距DDL0天
AUD2026-12 Vivo Capital（47128684）| 预审交付 | 2026-11-26 | 距DDL3天
AUD2026-12 Vivo Capital（47128684）| 预审开始 | 2026-11-23 | 距DDL0天</t>
        </is>
      </c>
    </row>
    <row r="108">
      <c r="A108" s="4" t="n">
        <v>46352</v>
      </c>
      <c r="B108" s="2" t="inlineStr">
        <is>
          <t>混合</t>
        </is>
      </c>
      <c r="C108" s="2" t="n">
        <v>3</v>
      </c>
      <c r="D108" s="2" t="inlineStr">
        <is>
          <t>DDL汇总：2026-11-26（3项）</t>
        </is>
      </c>
      <c r="E108" s="2" t="inlineStr">
        <is>
          <t>AUD2026-12 Arrace Holding（47128359）| 预审交付 | 2026-11-26 | 距DDL0天
AUD2026-12 Mirae Asset（47128154）| 预审开始 | 2026-12-01 | 距DDL5天
AUD2026-12 Vivo Capital（47128684）| 预审交付 | 2026-11-26 | 距DDL0天</t>
        </is>
      </c>
    </row>
    <row r="109">
      <c r="A109" s="4" t="n">
        <v>46433</v>
      </c>
      <c r="B109" s="2" t="inlineStr">
        <is>
          <t>混合</t>
        </is>
      </c>
      <c r="C109" s="2" t="n">
        <v>9</v>
      </c>
      <c r="D109" s="2" t="inlineStr">
        <is>
          <t>DDL汇总：2027-02-15（9项）</t>
        </is>
      </c>
      <c r="E109" s="2" t="inlineStr">
        <is>
          <t>AUD2026-12 Arrace Holding（47128359）| 年审交付 | 2027-02-22 | 距DDL7天
AUD2026-12 BOYU CAPITAL FUND（47129715）| 年审开始 | 2027-02-15 | 距DDL0天
AUD2026-12 COS-CAPITAL HK INTL（47129459）| 年审开始 | 2027-02-15 | 距DDL0天
AUD2026-12 DST Investment Mgt（47129679）| 年审开始 | 2027-02-15 | 距DDL0天
AUD2026-12 E Fund IM（47129692）| 年审开始 | 2027-02-15 | 距DDL0天
AUD2026-12 OCML HK（47129432）| 年审开始 | 2027-02-15 | 距DDL0天
AUD2026-12 Shinka Capital（47129702）| 年审开始 | 2027-02-15 | 距DDL0天
AUD2026-12 Taikang HK Comps（47129130）| 年审开始 | 2027-02-15 | 距DDL0天
AUD2026-12 Vivo Capital（47128684）| 年审交付 | 2027-02-22 | 距DDL7天</t>
        </is>
      </c>
    </row>
    <row r="110">
      <c r="A110" s="4" t="n">
        <v>46437</v>
      </c>
      <c r="B110" s="2" t="inlineStr">
        <is>
          <t>混合</t>
        </is>
      </c>
      <c r="C110" s="2" t="n">
        <v>3</v>
      </c>
      <c r="D110" s="2" t="inlineStr">
        <is>
          <t>DDL汇总：2027-02-19（3项）</t>
        </is>
      </c>
      <c r="E110" s="2" t="inlineStr">
        <is>
          <t>AUD2026-12 Arrace Holding（47128359）| 年审交付 | 2027-02-22 | 距DDL3天
AUD2026-12 EverYi Capital（47128108）| 年审交付 | 2027-02-19 | 距DDL0天
AUD2026-12 Vivo Capital（47128684）| 年审交付 | 2027-02-22 | 距DDL3天</t>
        </is>
      </c>
    </row>
    <row r="111">
      <c r="A111" s="4" t="n">
        <v>46440</v>
      </c>
      <c r="B111" s="2" t="inlineStr">
        <is>
          <t>混合</t>
        </is>
      </c>
      <c r="C111" s="2" t="n">
        <v>8</v>
      </c>
      <c r="D111" s="2" t="inlineStr">
        <is>
          <t>DDL汇总：2027-02-22（8项）</t>
        </is>
      </c>
      <c r="E111" s="2" t="inlineStr">
        <is>
          <t>AUD2026-12 Arrace Holding（47128359）| 年审交付 | 2027-02-22 | 距DDL0天
AUD2026-12 FR Funds（47128046）| 年审交付 | 2027-03-01 | 距DDL7天
AUD2026-12 Great Wall Funds（47128364）| 年审交付 | 2027-03-01 | 距DDL7天
AUD2026-12 Hangzhou Huaxin（47128202）| 年审交付 | 2027-02-25 | 距DDL3天
AUD2026-12 Hashkey OFC Funds（47129402）| 年审开始 | 2027-03-01 | 距DDL7天
AUD2026-12 Invesco GW Funds（47128706）| 年审交付 | 2027-03-01 | 距DDL7天
AUD2026-12 Vivo Capital（47128684）| 年审交付 | 2027-02-22 | 距DDL0天
AUD2026-12 Warburg Pincus US Fund（47128469）| 年审开始 | 2027-03-01 | 距DDL7天</t>
        </is>
      </c>
    </row>
    <row r="112">
      <c r="A112" s="4" t="n">
        <v>46430</v>
      </c>
      <c r="B112" s="2" t="inlineStr">
        <is>
          <t>混合</t>
        </is>
      </c>
      <c r="C112" s="2" t="n">
        <v>8</v>
      </c>
      <c r="D112" s="2" t="inlineStr">
        <is>
          <t>DDL汇总：2027-02-12（8项）</t>
        </is>
      </c>
      <c r="E112" s="2" t="inlineStr">
        <is>
          <t>AUD2026-12 BOYU CAPITAL FUND（47129715）| 年审开始 | 2027-02-15 | 距DDL3天
AUD2026-12 COS-CAPITAL HK INTL（47129459）| 年审开始 | 2027-02-15 | 距DDL3天
AUD2026-12 DST Investment Mgt（47129679）| 年审开始 | 2027-02-15 | 距DDL3天
AUD2026-12 E Fund IM（47129692）| 年审开始 | 2027-02-15 | 距DDL3天
AUD2026-12 EverYi Capital（47128108）| 年审交付 | 2027-02-19 | 距DDL7天
AUD2026-12 OCML HK（47129432）| 年审开始 | 2027-02-15 | 距DDL3天
AUD2026-12 Shinka Capital（47129702）| 年审开始 | 2027-02-15 | 距DDL3天
AUD2026-12 Taikang HK Comps（47129130）| 年审开始 | 2027-02-15 | 距DDL3天</t>
        </is>
      </c>
    </row>
    <row r="113">
      <c r="A113" s="4" t="n">
        <v>46372</v>
      </c>
      <c r="B113" s="2" t="inlineStr">
        <is>
          <t>混合</t>
        </is>
      </c>
      <c r="C113" s="2" t="n">
        <v>8</v>
      </c>
      <c r="D113" s="2" t="inlineStr">
        <is>
          <t>DDL汇总：2026-12-16（8项）</t>
        </is>
      </c>
      <c r="E113" s="2" t="inlineStr">
        <is>
          <t>AUD2026-12 CMBILM（47133720）| 预审交付 | 2026-12-23 | 距DDL7天
AUD2026-12 FR Funds（47128046）| 年审开始 | 2026-12-21 | 距DDL5天
AUD2026-12 Great Wall Funds（47128364）| 年审开始 | 2026-12-21 | 距DDL5天
AUD2026-12 HSQH Funds（47128633）| 年审开始 | 2026-12-21 | 距DDL5天
AUD2026-12 ICBCA（47129548）| 年审开始 | 2026-12-21 | 距DDL5天
AUD2026-12 ICBCM（47129069）| 年审开始 | 2026-12-21 | 距DDL5天
AUD2026-12 Invesco GW Funds（47128706）| 年审开始 | 2026-12-21 | 距DDL5天
AUD2026-12 Warburg Pincus US Fund（47128469）| 预审交付 | 2026-12-23 | 距DDL7天</t>
        </is>
      </c>
    </row>
    <row r="114">
      <c r="A114" s="4" t="n">
        <v>46374</v>
      </c>
      <c r="B114" s="2" t="inlineStr">
        <is>
          <t>混合</t>
        </is>
      </c>
      <c r="C114" s="2" t="n">
        <v>8</v>
      </c>
      <c r="D114" s="2" t="inlineStr">
        <is>
          <t>DDL汇总：2026-12-18（8项）</t>
        </is>
      </c>
      <c r="E114" s="2" t="inlineStr">
        <is>
          <t>AUD2026-12 CMBILM（47133720）| 预审交付 | 2026-12-23 | 距DDL5天
AUD2026-12 FR Funds（47128046）| 年审开始 | 2026-12-21 | 距DDL3天
AUD2026-12 Great Wall Funds（47128364）| 年审开始 | 2026-12-21 | 距DDL3天
AUD2026-12 HSQH Funds（47128633）| 年审开始 | 2026-12-21 | 距DDL3天
AUD2026-12 ICBCA（47129548）| 年审开始 | 2026-12-21 | 距DDL3天
AUD2026-12 ICBCM（47129069）| 年审开始 | 2026-12-21 | 距DDL3天
AUD2026-12 Invesco GW Funds（47128706）| 年审开始 | 2026-12-21 | 距DDL3天
AUD2026-12 Warburg Pincus US Fund（47128469）| 预审交付 | 2026-12-23 | 距DDL5天</t>
        </is>
      </c>
    </row>
    <row r="115">
      <c r="A115" s="4" t="n">
        <v>46379</v>
      </c>
      <c r="B115" s="2" t="inlineStr">
        <is>
          <t>混合</t>
        </is>
      </c>
      <c r="C115" s="2" t="n">
        <v>4</v>
      </c>
      <c r="D115" s="2" t="inlineStr">
        <is>
          <t>DDL汇总：2026-12-23（4项）</t>
        </is>
      </c>
      <c r="E115" s="2" t="inlineStr">
        <is>
          <t>AUD2026-12 CMBILM（47133720）| 预审交付 | 2026-12-23 | 距DDL0天
AUD2026-12 Mirae Asset（47128154）| 预审交付 | 2026-12-30 | 距DDL7天
AUD2026-12 PA Funds（47128421）| 年审开始 | 2026-12-28 | 距DDL5天
AUD2026-12 Warburg Pincus US Fund（47128469）| 预审交付 | 2026-12-23 | 距DDL0天</t>
        </is>
      </c>
    </row>
    <row r="116">
      <c r="A116" s="4" t="n">
        <v>46500</v>
      </c>
      <c r="B116" s="2" t="inlineStr">
        <is>
          <t>混合</t>
        </is>
      </c>
      <c r="C116" s="2" t="n">
        <v>2</v>
      </c>
      <c r="D116" s="2" t="inlineStr">
        <is>
          <t>DDL汇总：2027-04-23（2项）</t>
        </is>
      </c>
      <c r="E116" s="2" t="inlineStr">
        <is>
          <t>AUD2026-12 CMBILM（47133720）| 年审交付 | 2027-04-30 | 距DDL7天
AUD2026-12 Warburg Pincus HK SPV JZ（47136348）| 年审开始 | 2027-04-23 | 距DDL0天</t>
        </is>
      </c>
    </row>
    <row r="117">
      <c r="A117" s="4" t="n">
        <v>46507</v>
      </c>
      <c r="B117" s="2" t="inlineStr">
        <is>
          <t>混合</t>
        </is>
      </c>
      <c r="C117" s="2" t="n">
        <v>2</v>
      </c>
      <c r="D117" s="2" t="inlineStr">
        <is>
          <t>DDL汇总：2027-04-30（2项）</t>
        </is>
      </c>
      <c r="E117" s="2" t="inlineStr">
        <is>
          <t>AUD2026-12 CMBILM（47133720）| 年审交付 | 2027-04-30 | 距DDL0天
AUD2026-12 Warburg Pincus HK SPV JZ（47136348）| 年审交付 | 2027-05-05 | 距DDL5天</t>
        </is>
      </c>
    </row>
    <row r="118">
      <c r="A118" s="4" t="n">
        <v>46471</v>
      </c>
      <c r="B118" s="2" t="inlineStr">
        <is>
          <t>混合</t>
        </is>
      </c>
      <c r="C118" s="2" t="n">
        <v>7</v>
      </c>
      <c r="D118" s="2" t="inlineStr">
        <is>
          <t>DDL汇总：2027-03-25（7项）</t>
        </is>
      </c>
      <c r="E118" s="2" t="inlineStr">
        <is>
          <t>AUD2026-12 COS-CAPITAL HK INTL（47129459）| 年审交付 | 2027-04-01 | 距DDL7天
AUD2026-12 DST Investment Mgt（47129679）| 年审交付 | 2027-04-01 | 距DDL7天
AUD2026-12 Hashkey OFC Funds（47129402）| 年审交付 | 2027-04-01 | 距DDL7天
AUD2026-12 OCML HK（47129432）| 年审交付 | 2027-04-01 | 距DDL7天
AUD2026-12 Shinka Capital（47129702）| 年审交付 | 2027-04-01 | 距DDL7天
AUD2026-12 Taikang HK Comps（47129130）| 年审交付 | 2027-04-01 | 距DDL7天
IPO2026-03 Project Voyage_CN（47115559）| 年审交付 | 2027-03-30 | 距DDL5天</t>
        </is>
      </c>
    </row>
    <row r="119">
      <c r="A119" s="4" t="n">
        <v>46473</v>
      </c>
      <c r="B119" s="2" t="inlineStr">
        <is>
          <t>混合</t>
        </is>
      </c>
      <c r="C119" s="2" t="n">
        <v>7</v>
      </c>
      <c r="D119" s="2" t="inlineStr">
        <is>
          <t>DDL汇总：2027-03-27（7项）</t>
        </is>
      </c>
      <c r="E119" s="2" t="inlineStr">
        <is>
          <t>AUD2026-12 COS-CAPITAL HK INTL（47129459）| 年审交付 | 2027-04-01 | 距DDL5天
AUD2026-12 DST Investment Mgt（47129679）| 年审交付 | 2027-04-01 | 距DDL5天
AUD2026-12 Hashkey OFC Funds（47129402）| 年审交付 | 2027-04-01 | 距DDL5天
AUD2026-12 OCML HK（47129432）| 年审交付 | 2027-04-01 | 距DDL5天
AUD2026-12 Shinka Capital（47129702）| 年审交付 | 2027-04-01 | 距DDL5天
AUD2026-12 Taikang HK Comps（47129130）| 年审交付 | 2027-04-01 | 距DDL5天
IPO2026-03 Project Voyage_CN（47115559）| 年审交付 | 2027-03-30 | 距DDL3天</t>
        </is>
      </c>
    </row>
    <row r="120">
      <c r="A120" s="4" t="n">
        <v>46381</v>
      </c>
      <c r="B120" s="2" t="inlineStr">
        <is>
          <t>混合</t>
        </is>
      </c>
      <c r="C120" s="2" t="n">
        <v>5</v>
      </c>
      <c r="D120" s="2" t="inlineStr">
        <is>
          <t>DDL汇总：2026-12-25（5项）</t>
        </is>
      </c>
      <c r="E120" s="2" t="inlineStr">
        <is>
          <t>AUD2026-12 EverYi Capital（47128108）| 年审开始 | 2027-01-01 | 距DDL7天
AUD2026-12 Mirae Asset（47128154）| 年审开始 | 2027-01-01 | 距DDL7天
AUD2026-12 Mirae Asset（47128154）| 预审交付 | 2026-12-30 | 距DDL5天
AUD2026-12 PA Funds（47128421）| 年审开始 | 2026-12-28 | 距DDL3天
AUD2026-12 Vivo Capital（47128684）| 年审开始 | 2027-01-01 | 距DDL7天</t>
        </is>
      </c>
    </row>
    <row r="121">
      <c r="A121" s="4" t="n">
        <v>46383</v>
      </c>
      <c r="B121" s="2" t="inlineStr">
        <is>
          <t>混合</t>
        </is>
      </c>
      <c r="C121" s="2" t="n">
        <v>4</v>
      </c>
      <c r="D121" s="2" t="inlineStr">
        <is>
          <t>DDL汇总：2026-12-27（4项）</t>
        </is>
      </c>
      <c r="E121" s="2" t="inlineStr">
        <is>
          <t>AUD2026-12 EverYi Capital（47128108）| 年审开始 | 2027-01-01 | 距DDL5天
AUD2026-12 Mirae Asset（47128154）| 年审开始 | 2027-01-01 | 距DDL5天
AUD2026-12 Mirae Asset（47128154）| 预审交付 | 2026-12-30 | 距DDL3天
AUD2026-12 Vivo Capital（47128684）| 年审开始 | 2027-01-01 | 距DDL5天</t>
        </is>
      </c>
    </row>
    <row r="122">
      <c r="A122" s="4" t="n">
        <v>46388</v>
      </c>
      <c r="B122" s="2" t="inlineStr">
        <is>
          <t>混合</t>
        </is>
      </c>
      <c r="C122" s="2" t="n">
        <v>6</v>
      </c>
      <c r="D122" s="2" t="inlineStr">
        <is>
          <t>DDL汇总：2027-01-01（6项）</t>
        </is>
      </c>
      <c r="E122" s="2" t="inlineStr">
        <is>
          <t>AUD2026-12 EverYi Capital（47128108）| 年审开始 | 2027-01-01 | 距DDL0天
AUD2026-12 Mirae Asset（47128154）| 年审开始 | 2027-01-01 | 距DDL0天
AUD2026-12 OFC Fund（47128515）| 年审开始 | 2027-01-08 | 距DDL7天
AUD2026-12 Vivo Capital（47128684）| 年审开始 | 2027-01-01 | 距DDL0天
AUD2026-12 Xingze Fund（47127971）| 年审开始 | 2027-01-06 | 距DDL5天
AUD2026-12 Xingze Management（47128472）| 年审开始 | 2027-01-06 | 距DDL5天</t>
        </is>
      </c>
    </row>
    <row r="123">
      <c r="A123" s="4" t="n">
        <v>46377</v>
      </c>
      <c r="B123" s="2" t="inlineStr">
        <is>
          <t>混合</t>
        </is>
      </c>
      <c r="C123" s="2" t="n">
        <v>7</v>
      </c>
      <c r="D123" s="2" t="inlineStr">
        <is>
          <t>DDL汇总：2026-12-21（7项）</t>
        </is>
      </c>
      <c r="E123" s="2" t="inlineStr">
        <is>
          <t>AUD2026-12 FR Funds（47128046）| 年审开始 | 2026-12-21 | 距DDL0天
AUD2026-12 Great Wall Funds（47128364）| 年审开始 | 2026-12-21 | 距DDL0天
AUD2026-12 HSQH Funds（47128633）| 年审开始 | 2026-12-21 | 距DDL0天
AUD2026-12 ICBCA（47129548）| 年审开始 | 2026-12-21 | 距DDL0天
AUD2026-12 ICBCM（47129069）| 年审开始 | 2026-12-21 | 距DDL0天
AUD2026-12 Invesco GW Funds（47128706）| 年审开始 | 2026-12-21 | 距DDL0天
AUD2026-12 PA Funds（47128421）| 年审开始 | 2026-12-28 | 距DDL7天</t>
        </is>
      </c>
    </row>
    <row r="124">
      <c r="A124" s="4" t="n">
        <v>46354</v>
      </c>
      <c r="B124" s="2" t="inlineStr">
        <is>
          <t>混合</t>
        </is>
      </c>
      <c r="C124" s="2" t="n">
        <v>2</v>
      </c>
      <c r="D124" s="2" t="inlineStr">
        <is>
          <t>DDL汇总：2026-11-28（2项）</t>
        </is>
      </c>
      <c r="E124" s="2" t="inlineStr">
        <is>
          <t>AUD2026-12 Hangzhou Huaxin（47128202）| 预审交付 | 2026-12-05 | 距DDL7天
AUD2026-12 Mirae Asset（47128154）| 预审开始 | 2026-12-01 | 距DDL3天</t>
        </is>
      </c>
    </row>
    <row r="125">
      <c r="A125" s="4" t="n">
        <v>46402</v>
      </c>
      <c r="B125" s="2" t="inlineStr">
        <is>
          <t>混合</t>
        </is>
      </c>
      <c r="C125" s="2" t="n">
        <v>4</v>
      </c>
      <c r="D125" s="2" t="inlineStr">
        <is>
          <t>DDL汇总：2027-01-15（4项）</t>
        </is>
      </c>
      <c r="E125" s="2" t="inlineStr">
        <is>
          <t>AUD2026-12 Hangzhou Huaxin（47128202）| 年审开始 | 2027-01-15 | 距DDL0天
AUD2026-12 Mirae Asset（47128154）| 年审交付 | 2027-01-18 | 距DDL3天
AUD2026-12 Xingze Fund（47127971）| 年审交付 | 2027-01-15 | 距DDL0天
AUD2026-12 Xingze Management（47128472）| 年审交付 | 2027-01-20 | 距DDL5天</t>
        </is>
      </c>
    </row>
    <row r="126">
      <c r="A126" s="4" t="n">
        <v>46443</v>
      </c>
      <c r="B126" s="2" t="inlineStr">
        <is>
          <t>混合</t>
        </is>
      </c>
      <c r="C126" s="2" t="n">
        <v>2</v>
      </c>
      <c r="D126" s="2" t="inlineStr">
        <is>
          <t>DDL汇总：2027-02-25（2项）</t>
        </is>
      </c>
      <c r="E126" s="2" t="inlineStr">
        <is>
          <t>AUD2026-12 Hangzhou Huaxin（47128202）| 年审交付 | 2027-02-25 | 距DDL0天
AUD2026-12 ICBCM（47129069）| 年审交付 | 2027-02-28 | 距DDL3天</t>
        </is>
      </c>
    </row>
    <row r="127">
      <c r="A127" s="4" t="n">
        <v>46386</v>
      </c>
      <c r="B127" s="2" t="inlineStr">
        <is>
          <t>混合</t>
        </is>
      </c>
      <c r="C127" s="2" t="n">
        <v>3</v>
      </c>
      <c r="D127" s="2" t="inlineStr">
        <is>
          <t>DDL汇总：2026-12-30（3项）</t>
        </is>
      </c>
      <c r="E127" s="2" t="inlineStr">
        <is>
          <t>AUD2026-12 Mirae Asset（47128154）| 预审交付 | 2026-12-30 | 距DDL0天
AUD2026-12 Xingze Fund（47127971）| 年审开始 | 2027-01-06 | 距DDL7天
AUD2026-12 Xingze Management（47128472）| 年审开始 | 2027-01-06 | 距DDL7天</t>
        </is>
      </c>
    </row>
    <row r="128">
      <c r="A128" s="4" t="n">
        <v>46390</v>
      </c>
      <c r="B128" s="2" t="inlineStr">
        <is>
          <t>混合</t>
        </is>
      </c>
      <c r="C128" s="2" t="n">
        <v>3</v>
      </c>
      <c r="D128" s="2" t="inlineStr">
        <is>
          <t>DDL汇总：2027-01-03（3项）</t>
        </is>
      </c>
      <c r="E128" s="2" t="inlineStr">
        <is>
          <t>AUD2026-12 OFC Fund（47128515）| 年审开始 | 2027-01-08 | 距DDL5天
AUD2026-12 Xingze Fund（47127971）| 年审开始 | 2027-01-06 | 距DDL3天
AUD2026-12 Xingze Management（47128472）| 年审开始 | 2027-01-06 | 距DDL3天</t>
        </is>
      </c>
    </row>
    <row r="129">
      <c r="A129" s="4" t="n">
        <v>46308</v>
      </c>
      <c r="B129" s="2" t="inlineStr">
        <is>
          <t>混合</t>
        </is>
      </c>
      <c r="C129" s="2" t="n">
        <v>3</v>
      </c>
      <c r="D129" s="2" t="inlineStr">
        <is>
          <t>DDL汇总：2026-10-13（3项）</t>
        </is>
      </c>
      <c r="E129" s="2" t="inlineStr">
        <is>
          <t>AUD2026-12 Xingze Fund（47127971）| 预审交付 | 2026-10-16 | 距DDL3天
AUD2026-12 Xingze Fund（47127971）| 预审开始 | 2026-10-13 | 距DDL0天
AUD2026-12 Xingze Management（47128472）| 预审开始 | 2026-10-13 | 距DDL0天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9" customWidth="1" min="3" max="3"/>
    <col width="9" customWidth="1" min="4" max="4"/>
  </cols>
  <sheetData>
    <row r="1" ht="33" customHeight="1">
      <c r="A1" s="1" t="inlineStr">
        <is>
          <t>Engagement Code</t>
        </is>
      </c>
      <c r="B1" s="1" t="inlineStr">
        <is>
          <t>Engagement Name</t>
        </is>
      </c>
      <c r="C1" s="1" t="inlineStr">
        <is>
          <t>项目类型</t>
        </is>
      </c>
      <c r="D1" s="1" t="inlineStr">
        <is>
          <t>剩余hours</t>
        </is>
      </c>
    </row>
    <row r="2">
      <c r="A2" s="2" t="inlineStr">
        <is>
          <t>47115559</t>
        </is>
      </c>
      <c r="B2" s="2" t="inlineStr">
        <is>
          <t>IPO2026-03 Project Voyage_CN</t>
        </is>
      </c>
      <c r="C2" s="2" t="inlineStr">
        <is>
          <t>海信</t>
        </is>
      </c>
      <c r="D2" s="2" t="n">
        <v>361.7</v>
      </c>
    </row>
    <row r="3">
      <c r="A3" s="2" t="inlineStr">
        <is>
          <t>47127971</t>
        </is>
      </c>
      <c r="B3" s="2" t="inlineStr">
        <is>
          <t>AUD2026-12 Xingze Fund</t>
        </is>
      </c>
      <c r="C3" s="2" t="inlineStr">
        <is>
          <t>PE</t>
        </is>
      </c>
      <c r="D3" s="2" t="n">
        <v>169.33</v>
      </c>
    </row>
    <row r="4">
      <c r="A4" s="2" t="inlineStr">
        <is>
          <t>47128046</t>
        </is>
      </c>
      <c r="B4" s="2" t="inlineStr">
        <is>
          <t>AUD2026-12 FR Funds</t>
        </is>
      </c>
      <c r="C4" s="2" t="inlineStr">
        <is>
          <t>公募</t>
        </is>
      </c>
      <c r="D4" s="2" t="n">
        <v>154.87</v>
      </c>
    </row>
    <row r="5">
      <c r="A5" s="2" t="inlineStr">
        <is>
          <t>47128108</t>
        </is>
      </c>
      <c r="B5" s="2" t="inlineStr">
        <is>
          <t>AUD2026-12 EverYi Capital</t>
        </is>
      </c>
      <c r="C5" s="2" t="inlineStr">
        <is>
          <t>PE</t>
        </is>
      </c>
      <c r="D5" s="2" t="n">
        <v>106.49</v>
      </c>
    </row>
    <row r="6">
      <c r="A6" s="2" t="inlineStr">
        <is>
          <t>47128154</t>
        </is>
      </c>
      <c r="B6" s="2" t="inlineStr">
        <is>
          <t>AUD2026-12 Mirae Asset</t>
        </is>
      </c>
      <c r="C6" s="2" t="inlineStr">
        <is>
          <t>PE</t>
        </is>
      </c>
      <c r="D6" s="2" t="n">
        <v>144</v>
      </c>
    </row>
    <row r="7">
      <c r="A7" s="2" t="inlineStr">
        <is>
          <t>47128202</t>
        </is>
      </c>
      <c r="B7" s="2" t="inlineStr">
        <is>
          <t>AUD2026-12 Hangzhou Huaxin</t>
        </is>
      </c>
      <c r="C7" s="2" t="inlineStr">
        <is>
          <t>PE</t>
        </is>
      </c>
      <c r="D7" s="2" t="n">
        <v>491.73</v>
      </c>
    </row>
    <row r="8">
      <c r="A8" s="2" t="inlineStr">
        <is>
          <t>47128359</t>
        </is>
      </c>
      <c r="B8" s="2" t="inlineStr">
        <is>
          <t>AUD2026-12 Arrace Holding</t>
        </is>
      </c>
      <c r="C8" s="2" t="inlineStr">
        <is>
          <t>PE</t>
        </is>
      </c>
      <c r="D8" s="2" t="n">
        <v>26.64</v>
      </c>
    </row>
    <row r="9">
      <c r="A9" s="2" t="inlineStr">
        <is>
          <t>47128364</t>
        </is>
      </c>
      <c r="B9" s="2" t="inlineStr">
        <is>
          <t>AUD2026-12 Great Wall Funds</t>
        </is>
      </c>
      <c r="C9" s="2" t="inlineStr">
        <is>
          <t>公募</t>
        </is>
      </c>
      <c r="D9" s="2" t="n">
        <v>880.53</v>
      </c>
    </row>
    <row r="10">
      <c r="A10" s="2" t="inlineStr">
        <is>
          <t>47128421</t>
        </is>
      </c>
      <c r="B10" s="2" t="inlineStr">
        <is>
          <t>AUD2026-12 PA Funds</t>
        </is>
      </c>
      <c r="C10" s="2" t="inlineStr">
        <is>
          <t>公募</t>
        </is>
      </c>
      <c r="D10" s="2" t="n">
        <v>132.49</v>
      </c>
    </row>
    <row r="11">
      <c r="A11" s="2" t="inlineStr">
        <is>
          <t>47128469</t>
        </is>
      </c>
      <c r="B11" s="2" t="inlineStr">
        <is>
          <t>AUD2026-12 Warburg Pincus US Fund</t>
        </is>
      </c>
      <c r="C11" s="2" t="inlineStr">
        <is>
          <t>PE</t>
        </is>
      </c>
      <c r="D11" s="2" t="n">
        <v>33.74</v>
      </c>
    </row>
    <row r="12">
      <c r="A12" s="2" t="inlineStr">
        <is>
          <t>47128472</t>
        </is>
      </c>
      <c r="B12" s="2" t="inlineStr">
        <is>
          <t>AUD2026-12 Xingze Management</t>
        </is>
      </c>
      <c r="C12" s="2" t="inlineStr">
        <is>
          <t>PE</t>
        </is>
      </c>
      <c r="D12" s="2" t="n">
        <v>15.24</v>
      </c>
    </row>
    <row r="13">
      <c r="A13" s="2" t="inlineStr">
        <is>
          <t>47128515</t>
        </is>
      </c>
      <c r="B13" s="2" t="inlineStr">
        <is>
          <t>AUD2026-12 OFC Fund</t>
        </is>
      </c>
      <c r="C13" s="2" t="inlineStr">
        <is>
          <t>PE</t>
        </is>
      </c>
      <c r="D13" s="2" t="n">
        <v>38.74</v>
      </c>
    </row>
    <row r="14">
      <c r="A14" s="2" t="inlineStr">
        <is>
          <t>47128633</t>
        </is>
      </c>
      <c r="B14" s="2" t="inlineStr">
        <is>
          <t>AUD2026-12 HSQH Funds</t>
        </is>
      </c>
      <c r="C14" s="2" t="inlineStr">
        <is>
          <t>公募</t>
        </is>
      </c>
      <c r="D14" s="2" t="n">
        <v>131.17</v>
      </c>
    </row>
    <row r="15">
      <c r="A15" s="2" t="inlineStr">
        <is>
          <t>47128684</t>
        </is>
      </c>
      <c r="B15" s="2" t="inlineStr">
        <is>
          <t>AUD2026-12 Vivo Capital</t>
        </is>
      </c>
      <c r="C15" s="2" t="inlineStr">
        <is>
          <t>PE</t>
        </is>
      </c>
      <c r="D15" s="2" t="n">
        <v>37.47</v>
      </c>
    </row>
    <row r="16">
      <c r="A16" s="2" t="inlineStr">
        <is>
          <t>47128706</t>
        </is>
      </c>
      <c r="B16" s="2" t="inlineStr">
        <is>
          <t>AUD2026-12 Invesco GW Funds</t>
        </is>
      </c>
      <c r="C16" s="2" t="inlineStr">
        <is>
          <t>公募</t>
        </is>
      </c>
      <c r="D16" s="2" t="n">
        <v>200</v>
      </c>
    </row>
    <row r="17">
      <c r="A17" s="2" t="inlineStr">
        <is>
          <t>47128835</t>
        </is>
      </c>
      <c r="B17" s="2" t="inlineStr">
        <is>
          <t>AUD2026-12 01VC USD Fund</t>
        </is>
      </c>
      <c r="C17" s="2" t="inlineStr">
        <is>
          <t>PE</t>
        </is>
      </c>
      <c r="D17" s="2" t="n">
        <v>131.87</v>
      </c>
    </row>
    <row r="18">
      <c r="A18" s="2" t="inlineStr">
        <is>
          <t>47129069</t>
        </is>
      </c>
      <c r="B18" s="2" t="inlineStr">
        <is>
          <t>AUD2026-12 ICBCM</t>
        </is>
      </c>
      <c r="C18" s="2" t="inlineStr">
        <is>
          <t>ICBC</t>
        </is>
      </c>
      <c r="D18" s="2" t="n">
        <v>88</v>
      </c>
    </row>
    <row r="19">
      <c r="A19" s="2" t="inlineStr">
        <is>
          <t>47129130</t>
        </is>
      </c>
      <c r="B19" s="2" t="inlineStr">
        <is>
          <t>AUD2026-12 Taikang HK Comps</t>
        </is>
      </c>
      <c r="C19" s="2" t="inlineStr">
        <is>
          <t>HK WAM</t>
        </is>
      </c>
      <c r="D19" s="2" t="n">
        <v>17.01</v>
      </c>
    </row>
    <row r="20">
      <c r="A20" s="2" t="inlineStr">
        <is>
          <t>47129402</t>
        </is>
      </c>
      <c r="B20" s="2" t="inlineStr">
        <is>
          <t>AUD2026-12 Hashkey OFC Funds</t>
        </is>
      </c>
      <c r="C20" s="2" t="inlineStr">
        <is>
          <t>HK WAM</t>
        </is>
      </c>
      <c r="D20" s="2" t="n">
        <v>60.06</v>
      </c>
    </row>
    <row r="21">
      <c r="A21" s="2" t="inlineStr">
        <is>
          <t>47129432</t>
        </is>
      </c>
      <c r="B21" s="2" t="inlineStr">
        <is>
          <t>AUD2026-12 OCML HK</t>
        </is>
      </c>
      <c r="C21" s="2" t="inlineStr">
        <is>
          <t>HK WAM</t>
        </is>
      </c>
      <c r="D21" s="2" t="n">
        <v>17.22</v>
      </c>
    </row>
    <row r="22">
      <c r="A22" s="2" t="inlineStr">
        <is>
          <t>47129459</t>
        </is>
      </c>
      <c r="B22" s="2" t="inlineStr">
        <is>
          <t>AUD2026-12 COS-CAPITAL HK INTL</t>
        </is>
      </c>
      <c r="C22" s="2" t="inlineStr">
        <is>
          <t>HK WAM</t>
        </is>
      </c>
      <c r="D22" s="2" t="n">
        <v>18.81</v>
      </c>
    </row>
    <row r="23">
      <c r="A23" s="2" t="inlineStr">
        <is>
          <t>47129548</t>
        </is>
      </c>
      <c r="B23" s="2" t="inlineStr">
        <is>
          <t>AUD2026-12 ICBCA</t>
        </is>
      </c>
      <c r="C23" s="2" t="inlineStr">
        <is>
          <t>ICBC</t>
        </is>
      </c>
      <c r="D23" s="2" t="n">
        <v>1316.11</v>
      </c>
    </row>
    <row r="24">
      <c r="A24" s="2" t="inlineStr">
        <is>
          <t>47129679</t>
        </is>
      </c>
      <c r="B24" s="2" t="inlineStr">
        <is>
          <t>AUD2026-12 DST Investment Mgt</t>
        </is>
      </c>
      <c r="C24" s="2" t="inlineStr">
        <is>
          <t>HK WAM</t>
        </is>
      </c>
      <c r="D24" s="2" t="n">
        <v>22.01</v>
      </c>
    </row>
    <row r="25">
      <c r="A25" s="2" t="inlineStr">
        <is>
          <t>47129692</t>
        </is>
      </c>
      <c r="B25" s="2" t="inlineStr">
        <is>
          <t>AUD2026-12 E Fund IM</t>
        </is>
      </c>
      <c r="C25" s="2" t="inlineStr">
        <is>
          <t>HK WAM</t>
        </is>
      </c>
      <c r="D25" s="2" t="n">
        <v>5.01</v>
      </c>
    </row>
    <row r="26">
      <c r="A26" s="2" t="inlineStr">
        <is>
          <t>47129702</t>
        </is>
      </c>
      <c r="B26" s="2" t="inlineStr">
        <is>
          <t>AUD2026-12 Shinka Capital</t>
        </is>
      </c>
      <c r="C26" s="2" t="inlineStr">
        <is>
          <t>HK WAM</t>
        </is>
      </c>
      <c r="D26" s="2" t="n">
        <v>17.01</v>
      </c>
    </row>
    <row r="27">
      <c r="A27" s="2" t="inlineStr">
        <is>
          <t>47129715</t>
        </is>
      </c>
      <c r="B27" s="2" t="inlineStr">
        <is>
          <t>AUD2026-12 BOYU CAPITAL FUND</t>
        </is>
      </c>
      <c r="C27" s="2" t="inlineStr">
        <is>
          <t>HK WAM</t>
        </is>
      </c>
      <c r="D27" s="2" t="n">
        <v>13.81</v>
      </c>
    </row>
    <row r="28">
      <c r="A28" s="2" t="inlineStr">
        <is>
          <t>47133720</t>
        </is>
      </c>
      <c r="B28" s="2" t="inlineStr">
        <is>
          <t>AUD2026-12 CMBILM</t>
        </is>
      </c>
      <c r="C28" s="2" t="inlineStr">
        <is>
          <t>招银</t>
        </is>
      </c>
      <c r="D28" s="2" t="n">
        <v>411.05</v>
      </c>
    </row>
    <row r="29">
      <c r="A29" s="2" t="inlineStr">
        <is>
          <t>47136348</t>
        </is>
      </c>
      <c r="B29" s="2" t="inlineStr">
        <is>
          <t>AUD2026-12 Warburg Pincus HK SPV JZ</t>
        </is>
      </c>
      <c r="C29" s="2" t="inlineStr">
        <is>
          <t>PE</t>
        </is>
      </c>
      <c r="D29" s="2" t="n">
        <v>308.61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37" customWidth="1" min="3" max="3"/>
    <col width="26" customWidth="1" min="4" max="4"/>
    <col width="24" customWidth="1" min="5" max="5"/>
    <col width="36" customWidth="1" min="6" max="6"/>
    <col width="21" customWidth="1" min="7" max="7"/>
    <col width="15" customWidth="1" min="8" max="8"/>
    <col width="20" customWidth="1" min="9" max="9"/>
    <col width="20" customWidth="1" min="10" max="10"/>
    <col width="20" customWidth="1" min="11" max="11"/>
    <col width="20" customWidth="1" min="12" max="12"/>
    <col width="9" customWidth="1" min="13" max="13"/>
    <col width="21" customWidth="1" min="14" max="14"/>
    <col width="21" customWidth="1" min="15" max="15"/>
    <col width="21" customWidth="1" min="16" max="16"/>
    <col width="2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33" customHeight="1">
      <c r="A1" s="1" t="inlineStr">
        <is>
          <t>Client Name</t>
        </is>
      </c>
      <c r="B1" s="1" t="inlineStr">
        <is>
          <t>Engagement Code</t>
        </is>
      </c>
      <c r="C1" s="1" t="inlineStr">
        <is>
          <t>Engagement Name</t>
        </is>
      </c>
      <c r="D1" s="1" t="inlineStr">
        <is>
          <t>订单编号</t>
        </is>
      </c>
      <c r="E1" s="1" t="inlineStr">
        <is>
          <t>WP 服务单号</t>
        </is>
      </c>
      <c r="F1" s="1" t="inlineStr">
        <is>
          <t>Audit EIC</t>
        </is>
      </c>
      <c r="G1" s="1" t="inlineStr">
        <is>
          <t>Audit Report Date</t>
        </is>
      </c>
      <c r="H1" s="1" t="inlineStr">
        <is>
          <t>Outlook Hours</t>
        </is>
      </c>
      <c r="I1" s="1" t="inlineStr">
        <is>
          <t>剩余hours</t>
        </is>
      </c>
      <c r="J1" s="1" t="inlineStr">
        <is>
          <t>预审（10-12月）预计hours</t>
        </is>
      </c>
      <c r="K1" s="1" t="inlineStr">
        <is>
          <t>1-3月预计hours</t>
        </is>
      </c>
      <c r="L1" s="1" t="inlineStr">
        <is>
          <t>4-6月预计hours</t>
        </is>
      </c>
      <c r="M1" s="1" t="inlineStr">
        <is>
          <t>项目类型</t>
        </is>
      </c>
      <c r="N1" s="1" t="inlineStr">
        <is>
          <t>预审开始时间</t>
        </is>
      </c>
      <c r="O1" s="1" t="inlineStr">
        <is>
          <t>预审交付时间</t>
        </is>
      </c>
      <c r="P1" s="1" t="inlineStr">
        <is>
          <t>年审开始时间</t>
        </is>
      </c>
      <c r="Q1" s="1" t="inlineStr">
        <is>
          <t>年审交付时间</t>
        </is>
      </c>
      <c r="R1" s="1" t="inlineStr">
        <is>
          <t>参与人员1</t>
        </is>
      </c>
      <c r="S1" s="1" t="inlineStr">
        <is>
          <t>参与人员2</t>
        </is>
      </c>
      <c r="T1" s="1" t="inlineStr">
        <is>
          <t>参与人员3</t>
        </is>
      </c>
      <c r="U1" s="1" t="inlineStr">
        <is>
          <t>参与人员4</t>
        </is>
      </c>
      <c r="V1" s="1" t="inlineStr">
        <is>
          <t>参与人员5</t>
        </is>
      </c>
      <c r="W1" s="1" t="inlineStr">
        <is>
          <t>参与人员6</t>
        </is>
      </c>
      <c r="X1" s="1" t="inlineStr">
        <is>
          <t>参与人员7</t>
        </is>
      </c>
    </row>
    <row r="2">
      <c r="A2" s="2" t="inlineStr">
        <is>
          <t>HashKey Capital Limited</t>
        </is>
      </c>
      <c r="B2" s="2" t="n">
        <v>47129402</v>
      </c>
      <c r="C2" s="2" t="inlineStr">
        <is>
          <t>AUD2026-12 Hashkey OFC Funds</t>
        </is>
      </c>
      <c r="D2" s="2" t="inlineStr">
        <is>
          <t>Order47129402- 260829001</t>
        </is>
      </c>
      <c r="E2" s="2" t="inlineStr">
        <is>
          <t>47129402- EDC260829001</t>
        </is>
      </c>
      <c r="F2" s="2" t="inlineStr">
        <is>
          <t>Donald.Yue</t>
        </is>
      </c>
      <c r="G2" s="5" t="n">
        <v>46515</v>
      </c>
      <c r="H2" s="2" t="n">
        <v>60.06</v>
      </c>
      <c r="I2" s="2" t="n">
        <v>60.06</v>
      </c>
      <c r="J2" s="2" t="n"/>
      <c r="K2" s="2" t="n">
        <v>54.054</v>
      </c>
      <c r="L2" s="2" t="n">
        <v>6.006</v>
      </c>
      <c r="M2" s="2" t="inlineStr">
        <is>
          <t>HK WAM</t>
        </is>
      </c>
      <c r="N2" s="2" t="n"/>
      <c r="O2" s="2" t="n"/>
      <c r="P2" s="5" t="n">
        <v>46447</v>
      </c>
      <c r="Q2" s="5" t="n">
        <v>46478</v>
      </c>
      <c r="R2" s="2" t="inlineStr">
        <is>
          <t>Marsh</t>
        </is>
      </c>
      <c r="S2" s="2" t="inlineStr">
        <is>
          <t>Vivi</t>
        </is>
      </c>
      <c r="T2" s="2" t="inlineStr">
        <is>
          <t>Luna</t>
        </is>
      </c>
      <c r="U2" s="2" t="inlineStr">
        <is>
          <t>Rainbow</t>
        </is>
      </c>
      <c r="V2" s="2" t="n"/>
      <c r="W2" s="2" t="n"/>
      <c r="X2" s="2" t="n"/>
    </row>
    <row r="3">
      <c r="A3" s="2" t="inlineStr">
        <is>
          <t>Boyu Capital Advisory Co. Limited</t>
        </is>
      </c>
      <c r="B3" s="2" t="n">
        <v>47129715</v>
      </c>
      <c r="C3" s="2" t="inlineStr">
        <is>
          <t>AUD2026-12 BOYU CAPITAL FUND</t>
        </is>
      </c>
      <c r="D3" s="2" t="inlineStr">
        <is>
          <t>Order47129715- 260814001</t>
        </is>
      </c>
      <c r="E3" s="2" t="inlineStr">
        <is>
          <t>47129715- EDC260814001</t>
        </is>
      </c>
      <c r="F3" s="2" t="inlineStr">
        <is>
          <t>Michelle.Chung,Donald.Yue</t>
        </is>
      </c>
      <c r="G3" s="5" t="n">
        <v>46472</v>
      </c>
      <c r="H3" s="2" t="n">
        <v>13.81</v>
      </c>
      <c r="I3" s="2" t="n">
        <v>13.81</v>
      </c>
      <c r="J3" s="2" t="n"/>
      <c r="K3" s="2" t="n">
        <v>13.81</v>
      </c>
      <c r="L3" s="2" t="n"/>
      <c r="M3" s="2" t="inlineStr">
        <is>
          <t>HK WAM</t>
        </is>
      </c>
      <c r="N3" s="2" t="n"/>
      <c r="O3" s="2" t="n"/>
      <c r="P3" s="5" t="n">
        <v>46433</v>
      </c>
      <c r="Q3" s="5" t="n">
        <v>46466</v>
      </c>
      <c r="R3" s="2" t="inlineStr">
        <is>
          <t>Marsh</t>
        </is>
      </c>
      <c r="S3" s="2" t="inlineStr">
        <is>
          <t>Vivi</t>
        </is>
      </c>
      <c r="T3" s="2" t="inlineStr">
        <is>
          <t>Luna</t>
        </is>
      </c>
      <c r="U3" s="2" t="inlineStr">
        <is>
          <t>Rainbow</t>
        </is>
      </c>
      <c r="V3" s="2" t="n"/>
      <c r="W3" s="2" t="n"/>
      <c r="X3" s="2" t="n"/>
    </row>
    <row r="4">
      <c r="A4" s="2" t="inlineStr">
        <is>
          <t>E Fund International Holdings Limited</t>
        </is>
      </c>
      <c r="B4" s="2" t="n">
        <v>47129692</v>
      </c>
      <c r="C4" s="2" t="inlineStr">
        <is>
          <t>AUD2026-12 E Fund IM</t>
        </is>
      </c>
      <c r="D4" s="2" t="inlineStr">
        <is>
          <t>Order47129692- 260814001</t>
        </is>
      </c>
      <c r="E4" s="2" t="inlineStr">
        <is>
          <t>47129692- EDC260814001</t>
        </is>
      </c>
      <c r="F4" s="2" t="inlineStr">
        <is>
          <t>Michelle.Chung,Daniel.Kong</t>
        </is>
      </c>
      <c r="G4" s="5" t="n">
        <v>46472</v>
      </c>
      <c r="H4" s="2" t="n">
        <v>5.01</v>
      </c>
      <c r="I4" s="2" t="n">
        <v>5.01</v>
      </c>
      <c r="J4" s="2" t="n"/>
      <c r="K4" s="2" t="n">
        <v>5.01</v>
      </c>
      <c r="L4" s="2" t="n"/>
      <c r="M4" s="2" t="inlineStr">
        <is>
          <t>HK WAM</t>
        </is>
      </c>
      <c r="N4" s="2" t="n"/>
      <c r="O4" s="2" t="n"/>
      <c r="P4" s="5" t="n">
        <v>46433</v>
      </c>
      <c r="Q4" s="5" t="n">
        <v>46466</v>
      </c>
      <c r="R4" s="2" t="inlineStr">
        <is>
          <t>Marsh</t>
        </is>
      </c>
      <c r="S4" s="2" t="inlineStr">
        <is>
          <t>Vivi</t>
        </is>
      </c>
      <c r="T4" s="2" t="inlineStr">
        <is>
          <t>Luna</t>
        </is>
      </c>
      <c r="U4" s="2" t="inlineStr">
        <is>
          <t>Rainbow</t>
        </is>
      </c>
      <c r="V4" s="2" t="n"/>
      <c r="W4" s="2" t="n"/>
      <c r="X4" s="2" t="n"/>
    </row>
    <row r="5">
      <c r="A5" s="2" t="inlineStr">
        <is>
          <t>SHINKA CAPITAL MANAGEMENT LIMITED</t>
        </is>
      </c>
      <c r="B5" s="2" t="n">
        <v>47129702</v>
      </c>
      <c r="C5" s="2" t="inlineStr">
        <is>
          <t>AUD2026-12 Shinka Capital</t>
        </is>
      </c>
      <c r="D5" s="2" t="inlineStr">
        <is>
          <t>Order47129702- 260814001</t>
        </is>
      </c>
      <c r="E5" s="2" t="inlineStr">
        <is>
          <t>47129702- EDC260814001</t>
        </is>
      </c>
      <c r="F5" s="2" t="inlineStr">
        <is>
          <t>Michelle.Chung</t>
        </is>
      </c>
      <c r="G5" s="5" t="n">
        <v>46492</v>
      </c>
      <c r="H5" s="2" t="n">
        <v>17.01</v>
      </c>
      <c r="I5" s="2" t="n">
        <v>17.01</v>
      </c>
      <c r="J5" s="2" t="n"/>
      <c r="K5" s="2" t="n">
        <v>17.01</v>
      </c>
      <c r="L5" s="2" t="n"/>
      <c r="M5" s="2" t="inlineStr">
        <is>
          <t>HK WAM</t>
        </is>
      </c>
      <c r="N5" s="2" t="n"/>
      <c r="O5" s="2" t="n"/>
      <c r="P5" s="5" t="n">
        <v>46433</v>
      </c>
      <c r="Q5" s="5" t="n">
        <v>46478</v>
      </c>
      <c r="R5" s="2" t="inlineStr">
        <is>
          <t>Marsh</t>
        </is>
      </c>
      <c r="S5" s="2" t="inlineStr">
        <is>
          <t>Vivi</t>
        </is>
      </c>
      <c r="T5" s="2" t="inlineStr">
        <is>
          <t>Luna</t>
        </is>
      </c>
      <c r="U5" s="2" t="inlineStr">
        <is>
          <t>Rainbow</t>
        </is>
      </c>
      <c r="V5" s="2" t="n"/>
      <c r="W5" s="2" t="n"/>
      <c r="X5" s="2" t="n"/>
    </row>
    <row r="6">
      <c r="A6" s="2" t="inlineStr">
        <is>
          <t>DST Investment Management Limited</t>
        </is>
      </c>
      <c r="B6" s="2" t="n">
        <v>47129679</v>
      </c>
      <c r="C6" s="2" t="inlineStr">
        <is>
          <t>AUD2026-12 DST Investment Mgt</t>
        </is>
      </c>
      <c r="D6" s="2" t="inlineStr">
        <is>
          <t>Order47129679- 260814001</t>
        </is>
      </c>
      <c r="E6" s="2" t="inlineStr">
        <is>
          <t>47129679- EDC260814001</t>
        </is>
      </c>
      <c r="F6" s="2" t="inlineStr">
        <is>
          <t>Donald.Yue</t>
        </is>
      </c>
      <c r="G6" s="5" t="n">
        <v>46504</v>
      </c>
      <c r="H6" s="2" t="n">
        <v>22.01</v>
      </c>
      <c r="I6" s="2" t="n">
        <v>22.01</v>
      </c>
      <c r="J6" s="2" t="n"/>
      <c r="K6" s="2" t="n">
        <v>22.01</v>
      </c>
      <c r="L6" s="2" t="n"/>
      <c r="M6" s="2" t="inlineStr">
        <is>
          <t>HK WAM</t>
        </is>
      </c>
      <c r="N6" s="2" t="n"/>
      <c r="O6" s="2" t="n"/>
      <c r="P6" s="5" t="n">
        <v>46433</v>
      </c>
      <c r="Q6" s="5" t="n">
        <v>46478</v>
      </c>
      <c r="R6" s="2" t="inlineStr">
        <is>
          <t>Marsh</t>
        </is>
      </c>
      <c r="S6" s="2" t="inlineStr">
        <is>
          <t>Vivi</t>
        </is>
      </c>
      <c r="T6" s="2" t="inlineStr">
        <is>
          <t>Luna</t>
        </is>
      </c>
      <c r="U6" s="2" t="inlineStr">
        <is>
          <t>Rainbow</t>
        </is>
      </c>
      <c r="V6" s="2" t="n"/>
      <c r="W6" s="2" t="n"/>
      <c r="X6" s="2" t="n"/>
    </row>
    <row r="7">
      <c r="A7" s="2" t="inlineStr">
        <is>
          <t>Taikang Asset Management (Hong Kong) Company Limited</t>
        </is>
      </c>
      <c r="B7" s="2" t="n">
        <v>47129130</v>
      </c>
      <c r="C7" s="2" t="inlineStr">
        <is>
          <t>AUD2026-12 Taikang HK Comps</t>
        </is>
      </c>
      <c r="D7" s="2" t="inlineStr">
        <is>
          <t>Order47129130- 260814001</t>
        </is>
      </c>
      <c r="E7" s="2" t="inlineStr">
        <is>
          <t>47129130- EDC260814001</t>
        </is>
      </c>
      <c r="F7" s="2" t="inlineStr">
        <is>
          <t>Donald.Yue</t>
        </is>
      </c>
      <c r="G7" s="5" t="n">
        <v>46528</v>
      </c>
      <c r="H7" s="2" t="n">
        <v>17.01</v>
      </c>
      <c r="I7" s="2" t="n">
        <v>17.01</v>
      </c>
      <c r="J7" s="2" t="n"/>
      <c r="K7" s="2" t="n">
        <v>17.01</v>
      </c>
      <c r="L7" s="2" t="n"/>
      <c r="M7" s="2" t="inlineStr">
        <is>
          <t>HK WAM</t>
        </is>
      </c>
      <c r="N7" s="2" t="n"/>
      <c r="O7" s="2" t="n"/>
      <c r="P7" s="5" t="n">
        <v>46433</v>
      </c>
      <c r="Q7" s="5" t="n">
        <v>46478</v>
      </c>
      <c r="R7" s="2" t="inlineStr">
        <is>
          <t>Marsh</t>
        </is>
      </c>
      <c r="S7" s="2" t="inlineStr">
        <is>
          <t>Vivi</t>
        </is>
      </c>
      <c r="T7" s="2" t="inlineStr">
        <is>
          <t>Luna</t>
        </is>
      </c>
      <c r="U7" s="2" t="inlineStr">
        <is>
          <t>Rainbow</t>
        </is>
      </c>
      <c r="V7" s="2" t="n"/>
      <c r="W7" s="2" t="n"/>
      <c r="X7" s="2" t="n"/>
    </row>
    <row r="8">
      <c r="A8" s="2" t="inlineStr">
        <is>
          <t>Ortus Capital Management Limited</t>
        </is>
      </c>
      <c r="B8" s="2" t="n">
        <v>47129432</v>
      </c>
      <c r="C8" s="2" t="inlineStr">
        <is>
          <t>AUD2026-12 OCML HK</t>
        </is>
      </c>
      <c r="D8" s="2" t="inlineStr">
        <is>
          <t>Order47129432- 260812001</t>
        </is>
      </c>
      <c r="E8" s="2" t="inlineStr">
        <is>
          <t>47129432- EDC260812001</t>
        </is>
      </c>
      <c r="F8" s="2" t="inlineStr">
        <is>
          <t>Daniel.Kong</t>
        </is>
      </c>
      <c r="G8" s="5" t="n">
        <v>46505</v>
      </c>
      <c r="H8" s="2" t="n">
        <v>17.22</v>
      </c>
      <c r="I8" s="2" t="n">
        <v>17.22</v>
      </c>
      <c r="J8" s="2" t="n"/>
      <c r="K8" s="2" t="n">
        <v>17.22</v>
      </c>
      <c r="L8" s="2" t="n"/>
      <c r="M8" s="2" t="inlineStr">
        <is>
          <t>HK WAM</t>
        </is>
      </c>
      <c r="N8" s="2" t="n"/>
      <c r="O8" s="2" t="n"/>
      <c r="P8" s="5" t="n">
        <v>46433</v>
      </c>
      <c r="Q8" s="5" t="n">
        <v>46478</v>
      </c>
      <c r="R8" s="2" t="inlineStr">
        <is>
          <t>Marsh</t>
        </is>
      </c>
      <c r="S8" s="2" t="inlineStr">
        <is>
          <t>Vivi</t>
        </is>
      </c>
      <c r="T8" s="2" t="inlineStr">
        <is>
          <t>Luna</t>
        </is>
      </c>
      <c r="U8" s="2" t="inlineStr">
        <is>
          <t>Rainbow</t>
        </is>
      </c>
      <c r="V8" s="2" t="n"/>
      <c r="W8" s="2" t="n"/>
      <c r="X8" s="2" t="n"/>
    </row>
    <row r="9">
      <c r="A9" s="2" t="inlineStr">
        <is>
          <t>COS-Capital Hong Kong International Co. Limited</t>
        </is>
      </c>
      <c r="B9" s="2" t="n">
        <v>47129459</v>
      </c>
      <c r="C9" s="2" t="inlineStr">
        <is>
          <t>AUD2026-12 COS-CAPITAL HK INTL</t>
        </is>
      </c>
      <c r="D9" s="2" t="inlineStr">
        <is>
          <t>Order47129459- 260812001</t>
        </is>
      </c>
      <c r="E9" s="2" t="inlineStr">
        <is>
          <t>47129459- EDC260812001</t>
        </is>
      </c>
      <c r="F9" s="2" t="inlineStr">
        <is>
          <t>Jason.CF.Tam</t>
        </is>
      </c>
      <c r="G9" s="5" t="n">
        <v>46499</v>
      </c>
      <c r="H9" s="2" t="n">
        <v>18.81</v>
      </c>
      <c r="I9" s="2" t="n">
        <v>18.81</v>
      </c>
      <c r="J9" s="2" t="n"/>
      <c r="K9" s="2" t="n">
        <v>18.81</v>
      </c>
      <c r="L9" s="2" t="n"/>
      <c r="M9" s="2" t="inlineStr">
        <is>
          <t>HK WAM</t>
        </is>
      </c>
      <c r="N9" s="2" t="n"/>
      <c r="O9" s="2" t="n"/>
      <c r="P9" s="5" t="n">
        <v>46433</v>
      </c>
      <c r="Q9" s="5" t="n">
        <v>46478</v>
      </c>
      <c r="R9" s="2" t="inlineStr">
        <is>
          <t>Marsh</t>
        </is>
      </c>
      <c r="S9" s="2" t="inlineStr">
        <is>
          <t>Vivi</t>
        </is>
      </c>
      <c r="T9" s="2" t="inlineStr">
        <is>
          <t>Luna</t>
        </is>
      </c>
      <c r="U9" s="2" t="inlineStr">
        <is>
          <t>Rainbow</t>
        </is>
      </c>
      <c r="V9" s="2" t="n"/>
      <c r="W9" s="2" t="n"/>
      <c r="X9" s="2" t="n"/>
    </row>
    <row r="10">
      <c r="A10" s="2" t="inlineStr">
        <is>
          <t>Industrial And Commercial Bank of China (Asia) Limited</t>
        </is>
      </c>
      <c r="B10" s="2" t="n">
        <v>47129548</v>
      </c>
      <c r="C10" s="2" t="inlineStr">
        <is>
          <t>AUD2026-12 ICBCA</t>
        </is>
      </c>
      <c r="D10" s="2" t="inlineStr">
        <is>
          <t>Order47129548- 260501002</t>
        </is>
      </c>
      <c r="E10" s="2" t="inlineStr">
        <is>
          <t>47129548- EDC260501001</t>
        </is>
      </c>
      <c r="F10" s="2" t="inlineStr">
        <is>
          <t>Gordon Chu</t>
        </is>
      </c>
      <c r="G10" s="5" t="n">
        <v>46507</v>
      </c>
      <c r="H10" s="2" t="n">
        <v>1316.11</v>
      </c>
      <c r="I10" s="2" t="n">
        <v>1316.11</v>
      </c>
      <c r="J10" s="2" t="n">
        <v>394.833</v>
      </c>
      <c r="K10" s="2" t="n">
        <v>921.2769999999999</v>
      </c>
      <c r="L10" s="2" t="n"/>
      <c r="M10" s="2" t="inlineStr">
        <is>
          <t>ICBC</t>
        </is>
      </c>
      <c r="N10" s="5" t="n">
        <v>46307</v>
      </c>
      <c r="O10" s="5" t="n">
        <v>46346</v>
      </c>
      <c r="P10" s="5" t="n">
        <v>46377</v>
      </c>
      <c r="Q10" s="5" t="n">
        <v>46477</v>
      </c>
      <c r="R10" s="2" t="inlineStr">
        <is>
          <t>Marsh</t>
        </is>
      </c>
      <c r="S10" s="2" t="inlineStr">
        <is>
          <t>Vivi</t>
        </is>
      </c>
      <c r="T10" s="2" t="inlineStr">
        <is>
          <t>Yuan</t>
        </is>
      </c>
      <c r="U10" s="2" t="inlineStr">
        <is>
          <t>Luna</t>
        </is>
      </c>
      <c r="V10" s="2" t="inlineStr">
        <is>
          <t>Rainbow</t>
        </is>
      </c>
      <c r="W10" s="2" t="inlineStr">
        <is>
          <t>InternB</t>
        </is>
      </c>
      <c r="X10" s="2" t="inlineStr">
        <is>
          <t>InternA</t>
        </is>
      </c>
    </row>
    <row r="11">
      <c r="A11" s="2" t="inlineStr">
        <is>
          <t>EverYi Capital Asia Fund, L.P.</t>
        </is>
      </c>
      <c r="B11" s="2" t="n">
        <v>47128108</v>
      </c>
      <c r="C11" s="2" t="inlineStr">
        <is>
          <t>AUD2026-12 EverYi Capital</t>
        </is>
      </c>
      <c r="D11" s="2" t="inlineStr">
        <is>
          <t>Order47128108- 260501005</t>
        </is>
      </c>
      <c r="E11" s="2" t="inlineStr">
        <is>
          <t>47128108- EDC260504001</t>
        </is>
      </c>
      <c r="F11" s="2" t="inlineStr">
        <is>
          <t>eric-yl.qin</t>
        </is>
      </c>
      <c r="G11" s="5" t="n">
        <v>46501</v>
      </c>
      <c r="H11" s="2" t="n">
        <v>106.49</v>
      </c>
      <c r="I11" s="2" t="n">
        <v>106.49</v>
      </c>
      <c r="J11" s="2" t="n">
        <v>31.947</v>
      </c>
      <c r="K11" s="2" t="n">
        <v>63.89400000000001</v>
      </c>
      <c r="L11" s="2" t="n">
        <v>10.649</v>
      </c>
      <c r="M11" s="2" t="inlineStr">
        <is>
          <t>PE</t>
        </is>
      </c>
      <c r="N11" s="2" t="n"/>
      <c r="O11" s="2" t="n"/>
      <c r="P11" s="5" t="n">
        <v>46388</v>
      </c>
      <c r="Q11" s="5" t="n">
        <v>46437</v>
      </c>
      <c r="R11" s="2" t="inlineStr">
        <is>
          <t>Marsh</t>
        </is>
      </c>
      <c r="S11" s="2" t="inlineStr">
        <is>
          <t>Vivi</t>
        </is>
      </c>
      <c r="T11" s="2" t="inlineStr">
        <is>
          <t>Luna</t>
        </is>
      </c>
      <c r="U11" s="2" t="inlineStr">
        <is>
          <t>Rainbow</t>
        </is>
      </c>
      <c r="V11" s="2" t="inlineStr">
        <is>
          <t>Yuan</t>
        </is>
      </c>
      <c r="W11" s="2" t="n"/>
      <c r="X11" s="2" t="n"/>
    </row>
    <row r="12">
      <c r="A12" s="2" t="inlineStr">
        <is>
          <t>Ping An Fund Management Company Limited</t>
        </is>
      </c>
      <c r="B12" s="2" t="n">
        <v>47128421</v>
      </c>
      <c r="C12" s="2" t="inlineStr">
        <is>
          <t>AUD2026-12 PA Funds</t>
        </is>
      </c>
      <c r="D12" s="2" t="inlineStr">
        <is>
          <t>Order47128421- 260501003</t>
        </is>
      </c>
      <c r="E12" s="2" t="inlineStr">
        <is>
          <t>47128421- EDC260501001</t>
        </is>
      </c>
      <c r="F12" s="2" t="inlineStr">
        <is>
          <t>Candy-YX.Huang,Hannah.YH.Yu</t>
        </is>
      </c>
      <c r="G12" s="5" t="n">
        <v>46470</v>
      </c>
      <c r="H12" s="2" t="n">
        <v>132.49</v>
      </c>
      <c r="I12" s="2" t="n">
        <v>132.49</v>
      </c>
      <c r="J12" s="2" t="n"/>
      <c r="K12" s="2" t="n">
        <v>732.49</v>
      </c>
      <c r="L12" s="2" t="n"/>
      <c r="M12" s="2" t="inlineStr">
        <is>
          <t>公募</t>
        </is>
      </c>
      <c r="N12" s="2" t="n"/>
      <c r="O12" s="2" t="n"/>
      <c r="P12" s="5" t="n">
        <v>46384</v>
      </c>
      <c r="Q12" s="5" t="n">
        <v>46419</v>
      </c>
      <c r="R12" s="2" t="inlineStr">
        <is>
          <t>Marsh</t>
        </is>
      </c>
      <c r="S12" s="2" t="inlineStr">
        <is>
          <t>Yuan</t>
        </is>
      </c>
      <c r="T12" s="2" t="inlineStr">
        <is>
          <t>Rainbow</t>
        </is>
      </c>
      <c r="U12" s="2" t="inlineStr">
        <is>
          <t>InternA</t>
        </is>
      </c>
      <c r="V12" s="2" t="inlineStr">
        <is>
          <t>InternB</t>
        </is>
      </c>
      <c r="W12" s="2" t="n"/>
      <c r="X12" s="2" t="n"/>
    </row>
    <row r="13">
      <c r="A13" s="2" t="inlineStr">
        <is>
          <t>Vivo (Suzhou) Health Industry Investment Fund Limited Partnership</t>
        </is>
      </c>
      <c r="B13" s="2" t="n">
        <v>47128359</v>
      </c>
      <c r="C13" s="2" t="inlineStr">
        <is>
          <t>AUD2026-12 Arrace Holding</t>
        </is>
      </c>
      <c r="D13" s="2" t="inlineStr">
        <is>
          <t>Order47128359- 260501004</t>
        </is>
      </c>
      <c r="E13" s="2" t="inlineStr">
        <is>
          <t>47128359- EDC260501001</t>
        </is>
      </c>
      <c r="F13" s="2" t="inlineStr">
        <is>
          <t>Sherry.LXJ.Liu</t>
        </is>
      </c>
      <c r="G13" s="5" t="n">
        <v>46505</v>
      </c>
      <c r="H13" s="2" t="n">
        <v>26.64</v>
      </c>
      <c r="I13" s="2" t="n">
        <v>26.64</v>
      </c>
      <c r="J13" s="2" t="n">
        <v>7.992</v>
      </c>
      <c r="K13" s="2" t="n">
        <v>18.648</v>
      </c>
      <c r="L13" s="2" t="n"/>
      <c r="M13" s="2" t="inlineStr">
        <is>
          <t>PE</t>
        </is>
      </c>
      <c r="N13" s="5" t="n">
        <v>46349</v>
      </c>
      <c r="O13" s="5" t="n">
        <v>46352</v>
      </c>
      <c r="P13" s="5" t="n">
        <v>46420</v>
      </c>
      <c r="Q13" s="5" t="n">
        <v>46440</v>
      </c>
      <c r="R13" s="2" t="inlineStr">
        <is>
          <t>Marsh</t>
        </is>
      </c>
      <c r="S13" s="2" t="inlineStr">
        <is>
          <t>Vivi</t>
        </is>
      </c>
      <c r="T13" s="2" t="inlineStr">
        <is>
          <t>Luna</t>
        </is>
      </c>
      <c r="U13" s="2" t="n"/>
      <c r="V13" s="2" t="n"/>
      <c r="W13" s="2" t="n"/>
      <c r="X13" s="2" t="n"/>
    </row>
    <row r="14">
      <c r="A14" s="2" t="inlineStr">
        <is>
          <t>Industrial And Commercial Bank of China (Macau) Limited</t>
        </is>
      </c>
      <c r="B14" s="2" t="n">
        <v>47129069</v>
      </c>
      <c r="C14" s="2" t="inlineStr">
        <is>
          <t>AUD2026-12 ICBCM</t>
        </is>
      </c>
      <c r="D14" s="2" t="inlineStr">
        <is>
          <t>Order47129069- 260731001</t>
        </is>
      </c>
      <c r="E14" s="2" t="inlineStr">
        <is>
          <t>47129069- EDC260731001</t>
        </is>
      </c>
      <c r="F14" s="2" t="inlineStr">
        <is>
          <t>Tony MH Chiu</t>
        </is>
      </c>
      <c r="G14" s="5" t="n">
        <v>46476</v>
      </c>
      <c r="H14" s="2" t="n">
        <v>88</v>
      </c>
      <c r="I14" s="2" t="n">
        <v>88</v>
      </c>
      <c r="J14" s="2" t="n">
        <v>26.4</v>
      </c>
      <c r="K14" s="2" t="n">
        <v>61.6</v>
      </c>
      <c r="L14" s="2" t="n"/>
      <c r="M14" s="2" t="inlineStr">
        <is>
          <t>ICBC</t>
        </is>
      </c>
      <c r="N14" s="2" t="n"/>
      <c r="O14" s="2" t="n"/>
      <c r="P14" s="5" t="n">
        <v>46377</v>
      </c>
      <c r="Q14" s="5" t="n">
        <v>46446</v>
      </c>
      <c r="R14" s="2" t="inlineStr">
        <is>
          <t>Marsh</t>
        </is>
      </c>
      <c r="S14" s="2" t="inlineStr">
        <is>
          <t>Vivi</t>
        </is>
      </c>
      <c r="T14" s="2" t="inlineStr">
        <is>
          <t>Rainbow</t>
        </is>
      </c>
      <c r="U14" s="2" t="inlineStr">
        <is>
          <t>Luna</t>
        </is>
      </c>
      <c r="V14" s="2" t="inlineStr">
        <is>
          <t>InternA</t>
        </is>
      </c>
      <c r="W14" s="2" t="n"/>
      <c r="X14" s="2" t="n"/>
    </row>
    <row r="15">
      <c r="A15" s="2" t="inlineStr">
        <is>
          <t>Hangzhou Huaxin Yunkai Equity Shares Investment Partnership Enterprise (Limited Partnership)</t>
        </is>
      </c>
      <c r="B15" s="2" t="n">
        <v>47128202</v>
      </c>
      <c r="C15" s="2" t="inlineStr">
        <is>
          <t>AUD2026-12 Hangzhou Huaxin</t>
        </is>
      </c>
      <c r="D15" s="2" t="inlineStr">
        <is>
          <t>Order47128202- 260501004</t>
        </is>
      </c>
      <c r="E15" s="2" t="inlineStr">
        <is>
          <t>47128202- EDC260501001</t>
        </is>
      </c>
      <c r="F15" s="2" t="inlineStr">
        <is>
          <t>iris-l.liu,Eric C Chen</t>
        </is>
      </c>
      <c r="G15" s="5" t="n">
        <v>46472</v>
      </c>
      <c r="H15" s="2" t="n">
        <v>491.73</v>
      </c>
      <c r="I15" s="2" t="n">
        <v>491.73</v>
      </c>
      <c r="J15" s="2" t="n">
        <v>147.519</v>
      </c>
      <c r="K15" s="2" t="n">
        <v>319.6245</v>
      </c>
      <c r="L15" s="2" t="n">
        <v>24.5865</v>
      </c>
      <c r="M15" s="2" t="inlineStr">
        <is>
          <t>PE</t>
        </is>
      </c>
      <c r="N15" s="2" t="inlineStr">
        <is>
          <t>2026年11月初</t>
        </is>
      </c>
      <c r="O15" s="2" t="inlineStr">
        <is>
          <t>2026年12月初</t>
        </is>
      </c>
      <c r="P15" s="2" t="inlineStr">
        <is>
          <t>2027年1月中</t>
        </is>
      </c>
      <c r="Q15" s="2" t="inlineStr">
        <is>
          <t>2027年2月底</t>
        </is>
      </c>
      <c r="R15" s="2" t="inlineStr">
        <is>
          <t>Marsh</t>
        </is>
      </c>
      <c r="S15" s="2" t="inlineStr">
        <is>
          <t>Vivi</t>
        </is>
      </c>
      <c r="T15" s="2" t="inlineStr">
        <is>
          <t>Luna</t>
        </is>
      </c>
      <c r="U15" s="2" t="inlineStr">
        <is>
          <t>Rainbow</t>
        </is>
      </c>
      <c r="V15" s="2" t="inlineStr">
        <is>
          <t>Yuan</t>
        </is>
      </c>
      <c r="W15" s="2" t="n"/>
      <c r="X15" s="2" t="n"/>
    </row>
    <row r="16">
      <c r="A16" s="2" t="inlineStr">
        <is>
          <t>Mirae Asset Alternative Investment Management (Shanghai) Co., Ltd.</t>
        </is>
      </c>
      <c r="B16" s="2" t="n">
        <v>47128154</v>
      </c>
      <c r="C16" s="2" t="inlineStr">
        <is>
          <t>AUD2026-12 Mirae Asset</t>
        </is>
      </c>
      <c r="D16" s="2" t="inlineStr">
        <is>
          <t>Order47128154- 260501004</t>
        </is>
      </c>
      <c r="E16" s="2" t="inlineStr">
        <is>
          <t>47128154- EDC260504001</t>
        </is>
      </c>
      <c r="F16" s="2" t="inlineStr">
        <is>
          <t>Freya.Huang,Sarah.Q.Liu</t>
        </is>
      </c>
      <c r="G16" s="5" t="n">
        <v>46458</v>
      </c>
      <c r="H16" s="2" t="n">
        <v>144</v>
      </c>
      <c r="I16" s="2" t="n">
        <v>144</v>
      </c>
      <c r="J16" s="2" t="n">
        <v>43.2</v>
      </c>
      <c r="K16" s="2" t="n">
        <v>100.8</v>
      </c>
      <c r="L16" s="2" t="n"/>
      <c r="M16" s="2" t="inlineStr">
        <is>
          <t>PE</t>
        </is>
      </c>
      <c r="N16" s="5" t="n">
        <v>46357</v>
      </c>
      <c r="O16" s="5" t="n">
        <v>46386</v>
      </c>
      <c r="P16" s="5" t="n">
        <v>46388</v>
      </c>
      <c r="Q16" s="5" t="n">
        <v>46405</v>
      </c>
      <c r="R16" s="2" t="inlineStr">
        <is>
          <t>Marsh</t>
        </is>
      </c>
      <c r="S16" s="2" t="inlineStr">
        <is>
          <t>Vivi</t>
        </is>
      </c>
      <c r="T16" s="2" t="inlineStr">
        <is>
          <t>Luna</t>
        </is>
      </c>
      <c r="U16" s="2" t="inlineStr">
        <is>
          <t>Rainbow</t>
        </is>
      </c>
      <c r="V16" s="2" t="inlineStr">
        <is>
          <t>Yuan</t>
        </is>
      </c>
      <c r="W16" s="2" t="n"/>
      <c r="X16" s="2" t="n"/>
    </row>
    <row r="17">
      <c r="A17" s="2" t="inlineStr">
        <is>
          <t>Hang Seng Qianhai Fund Management Company Limited</t>
        </is>
      </c>
      <c r="B17" s="2" t="n">
        <v>47128633</v>
      </c>
      <c r="C17" s="2" t="inlineStr">
        <is>
          <t>AUD2026-12 HSQH Funds</t>
        </is>
      </c>
      <c r="D17" s="2" t="inlineStr">
        <is>
          <t>Order47128633- 260501004</t>
        </is>
      </c>
      <c r="E17" s="2" t="inlineStr">
        <is>
          <t>47128633- EDC260501001</t>
        </is>
      </c>
      <c r="F17" s="2" t="inlineStr">
        <is>
          <t>Hannah.YH.Yu</t>
        </is>
      </c>
      <c r="G17" s="5" t="n">
        <v>46477</v>
      </c>
      <c r="H17" s="2" t="n">
        <v>131.17</v>
      </c>
      <c r="I17" s="2" t="n">
        <v>131.17</v>
      </c>
      <c r="J17" s="2" t="n"/>
      <c r="K17" s="2" t="n">
        <v>131.17</v>
      </c>
      <c r="L17" s="2" t="n"/>
      <c r="M17" s="2" t="inlineStr">
        <is>
          <t>公募</t>
        </is>
      </c>
      <c r="N17" s="2" t="n"/>
      <c r="O17" s="2" t="n"/>
      <c r="P17" s="5" t="n">
        <v>46377</v>
      </c>
      <c r="Q17" s="5" t="n">
        <v>46477</v>
      </c>
      <c r="R17" s="2" t="inlineStr">
        <is>
          <t>Marsh</t>
        </is>
      </c>
      <c r="S17" s="2" t="inlineStr">
        <is>
          <t>Yuan</t>
        </is>
      </c>
      <c r="T17" s="2" t="inlineStr">
        <is>
          <t>Rainbow</t>
        </is>
      </c>
      <c r="U17" s="2" t="inlineStr">
        <is>
          <t>InternA</t>
        </is>
      </c>
      <c r="V17" s="2" t="inlineStr">
        <is>
          <t>InternB</t>
        </is>
      </c>
      <c r="W17" s="2" t="n"/>
      <c r="X17" s="2" t="n"/>
    </row>
    <row r="18">
      <c r="A18" s="2" t="inlineStr">
        <is>
          <t>Invesco Great Wall Fund Management Co.,Ltd.</t>
        </is>
      </c>
      <c r="B18" s="2" t="n">
        <v>47128706</v>
      </c>
      <c r="C18" s="2" t="inlineStr">
        <is>
          <t>AUD2026-12 Invesco GW Funds</t>
        </is>
      </c>
      <c r="D18" s="2" t="inlineStr">
        <is>
          <t>Order47128706- 260501003</t>
        </is>
      </c>
      <c r="E18" s="2" t="inlineStr">
        <is>
          <t>47128706- EDC260501001</t>
        </is>
      </c>
      <c r="F18" s="2" t="inlineStr">
        <is>
          <t>Andy-EL.Lin,Candy-YX.Huang</t>
        </is>
      </c>
      <c r="G18" s="5" t="n">
        <v>46471</v>
      </c>
      <c r="H18" s="2" t="n">
        <v>200</v>
      </c>
      <c r="I18" s="2" t="n">
        <v>200</v>
      </c>
      <c r="J18" s="2" t="n">
        <v>277.194</v>
      </c>
      <c r="K18" s="2" t="n">
        <v>646.7860000000001</v>
      </c>
      <c r="L18" s="2" t="n"/>
      <c r="M18" s="2" t="inlineStr">
        <is>
          <t>公募</t>
        </is>
      </c>
      <c r="N18" s="2" t="n"/>
      <c r="O18" s="2" t="n"/>
      <c r="P18" s="5" t="n">
        <v>46377</v>
      </c>
      <c r="Q18" s="5" t="n">
        <v>46447</v>
      </c>
      <c r="R18" s="2" t="inlineStr">
        <is>
          <t>Marsh</t>
        </is>
      </c>
      <c r="S18" s="2" t="inlineStr">
        <is>
          <t>Yuan</t>
        </is>
      </c>
      <c r="T18" s="2" t="inlineStr">
        <is>
          <t>Rainbow</t>
        </is>
      </c>
      <c r="U18" s="2" t="inlineStr">
        <is>
          <t>InternA</t>
        </is>
      </c>
      <c r="V18" s="2" t="inlineStr">
        <is>
          <t>InternB</t>
        </is>
      </c>
      <c r="W18" s="2" t="n"/>
      <c r="X18" s="2" t="n"/>
    </row>
    <row r="19">
      <c r="A19" s="2" t="inlineStr">
        <is>
          <t>Xiamen Fuhai New Materials Phase Iii Venture Capital Partnership Enterprise(Limi ted Partnership)</t>
        </is>
      </c>
      <c r="B19" s="2" t="n">
        <v>47128515</v>
      </c>
      <c r="C19" s="2" t="inlineStr">
        <is>
          <t>AUD2026-12 OFC Fund</t>
        </is>
      </c>
      <c r="D19" s="2" t="inlineStr">
        <is>
          <t>Order47128515- 260501002</t>
        </is>
      </c>
      <c r="E19" s="2" t="inlineStr">
        <is>
          <t>47128515- EDC260501001</t>
        </is>
      </c>
      <c r="F19" s="2" t="inlineStr">
        <is>
          <t>Tony.L.Tao,iris-l.liu</t>
        </is>
      </c>
      <c r="G19" s="5" t="n">
        <v>46477</v>
      </c>
      <c r="H19" s="2" t="n">
        <v>38.74</v>
      </c>
      <c r="I19" s="2" t="n">
        <v>38.74</v>
      </c>
      <c r="J19" s="2" t="n">
        <v>11.622</v>
      </c>
      <c r="K19" s="2" t="n">
        <v>27.118</v>
      </c>
      <c r="L19" s="2" t="n"/>
      <c r="M19" s="2" t="inlineStr">
        <is>
          <t>PE</t>
        </is>
      </c>
      <c r="N19" s="2" t="n"/>
      <c r="O19" s="2" t="n"/>
      <c r="P19" s="5" t="n">
        <v>46395</v>
      </c>
      <c r="Q19" s="5" t="n">
        <v>46419</v>
      </c>
      <c r="R19" s="2" t="inlineStr">
        <is>
          <t>Marsh</t>
        </is>
      </c>
      <c r="S19" s="2" t="inlineStr">
        <is>
          <t>Vivi</t>
        </is>
      </c>
      <c r="T19" s="2" t="inlineStr">
        <is>
          <t>Luna</t>
        </is>
      </c>
      <c r="U19" s="2" t="n"/>
      <c r="V19" s="2" t="n"/>
      <c r="W19" s="2" t="n"/>
      <c r="X19" s="2" t="n"/>
    </row>
    <row r="20">
      <c r="A20" s="2" t="inlineStr">
        <is>
          <t>Vivo (Suzhou) Health Industry Investment Fund Limited Partnership</t>
        </is>
      </c>
      <c r="B20" s="2" t="n">
        <v>47128684</v>
      </c>
      <c r="C20" s="2" t="inlineStr">
        <is>
          <t>AUD2026-12 Vivo Capital</t>
        </is>
      </c>
      <c r="D20" s="2" t="inlineStr">
        <is>
          <t>Order47128684- 260501004</t>
        </is>
      </c>
      <c r="E20" s="2" t="inlineStr">
        <is>
          <t>47128684- EDC260501001</t>
        </is>
      </c>
      <c r="F20" s="2" t="inlineStr">
        <is>
          <t>Sherry.LXJ.Liu</t>
        </is>
      </c>
      <c r="G20" s="5" t="n">
        <v>46458</v>
      </c>
      <c r="H20" s="2" t="n">
        <v>37.47</v>
      </c>
      <c r="I20" s="2" t="n">
        <v>37.47</v>
      </c>
      <c r="J20" s="2" t="n">
        <v>11.241</v>
      </c>
      <c r="K20" s="2" t="n">
        <v>26.229</v>
      </c>
      <c r="L20" s="2" t="n"/>
      <c r="M20" s="2" t="inlineStr">
        <is>
          <t>PE</t>
        </is>
      </c>
      <c r="N20" s="5" t="n">
        <v>46349</v>
      </c>
      <c r="O20" s="5" t="n">
        <v>46352</v>
      </c>
      <c r="P20" s="5" t="n">
        <v>46388</v>
      </c>
      <c r="Q20" s="5" t="n">
        <v>46440</v>
      </c>
      <c r="R20" s="2" t="inlineStr">
        <is>
          <t>Marsh</t>
        </is>
      </c>
      <c r="S20" s="2" t="inlineStr">
        <is>
          <t>Vivi</t>
        </is>
      </c>
      <c r="T20" s="2" t="inlineStr">
        <is>
          <t>Luna</t>
        </is>
      </c>
      <c r="U20" s="2" t="n"/>
      <c r="V20" s="2" t="n"/>
      <c r="W20" s="2" t="n"/>
      <c r="X20" s="2" t="n"/>
    </row>
    <row r="21">
      <c r="A21" s="2" t="inlineStr">
        <is>
          <t>Shanghai Xinze Sanhe Venture Investment LP</t>
        </is>
      </c>
      <c r="B21" s="2" t="n">
        <v>47127971</v>
      </c>
      <c r="C21" s="2" t="inlineStr">
        <is>
          <t>AUD2026-12 Xingze Fund</t>
        </is>
      </c>
      <c r="D21" s="2" t="inlineStr">
        <is>
          <t>Order47127971- 260501004</t>
        </is>
      </c>
      <c r="E21" s="2" t="inlineStr">
        <is>
          <t>47127971- EDC260501001</t>
        </is>
      </c>
      <c r="F21" s="2" t="inlineStr">
        <is>
          <t>Tony.L.Tao</t>
        </is>
      </c>
      <c r="G21" s="5" t="n">
        <v>46446</v>
      </c>
      <c r="H21" s="2" t="n">
        <v>169.33</v>
      </c>
      <c r="I21" s="2" t="n">
        <v>169.33</v>
      </c>
      <c r="J21" s="2" t="n">
        <v>50.799</v>
      </c>
      <c r="K21" s="2" t="n">
        <v>118.531</v>
      </c>
      <c r="L21" s="2" t="n"/>
      <c r="M21" s="2" t="inlineStr">
        <is>
          <t>PE</t>
        </is>
      </c>
      <c r="N21" s="5" t="n">
        <v>46308</v>
      </c>
      <c r="O21" s="5" t="n">
        <v>46311</v>
      </c>
      <c r="P21" s="5" t="n">
        <v>46393</v>
      </c>
      <c r="Q21" s="5" t="n">
        <v>46402</v>
      </c>
      <c r="R21" s="2" t="inlineStr">
        <is>
          <t>Marsh</t>
        </is>
      </c>
      <c r="S21" s="2" t="inlineStr">
        <is>
          <t>Vivi</t>
        </is>
      </c>
      <c r="T21" s="2" t="inlineStr">
        <is>
          <t>Luna</t>
        </is>
      </c>
      <c r="U21" s="2" t="inlineStr">
        <is>
          <t>Rainbow</t>
        </is>
      </c>
      <c r="V21" s="2" t="inlineStr">
        <is>
          <t>Yuan</t>
        </is>
      </c>
      <c r="W21" s="2" t="n"/>
      <c r="X21" s="2" t="n"/>
    </row>
    <row r="22">
      <c r="A22" s="2" t="inlineStr">
        <is>
          <t>Great Wall Fund Management Co., Ltd</t>
        </is>
      </c>
      <c r="B22" s="2" t="n">
        <v>47128364</v>
      </c>
      <c r="C22" s="2" t="inlineStr">
        <is>
          <t>AUD2026-12 Great Wall Funds</t>
        </is>
      </c>
      <c r="D22" s="2" t="inlineStr">
        <is>
          <t>Order47128364- 260501004</t>
        </is>
      </c>
      <c r="E22" s="2" t="inlineStr">
        <is>
          <t>47128364- EDC260501001</t>
        </is>
      </c>
      <c r="F22" s="2" t="inlineStr">
        <is>
          <t>Candy-YX.Huang,Hannah.YH.Yu</t>
        </is>
      </c>
      <c r="G22" s="5" t="n">
        <v>46472</v>
      </c>
      <c r="H22" s="2" t="n">
        <v>880.53</v>
      </c>
      <c r="I22" s="2" t="n">
        <v>880.53</v>
      </c>
      <c r="J22" s="2" t="n">
        <v>269.259</v>
      </c>
      <c r="K22" s="2" t="n">
        <v>628.271</v>
      </c>
      <c r="L22" s="2" t="n"/>
      <c r="M22" s="2" t="inlineStr">
        <is>
          <t>公募</t>
        </is>
      </c>
      <c r="N22" s="2" t="n"/>
      <c r="O22" s="2" t="n"/>
      <c r="P22" s="5" t="n">
        <v>46377</v>
      </c>
      <c r="Q22" s="5" t="n">
        <v>46447</v>
      </c>
      <c r="R22" s="2" t="inlineStr">
        <is>
          <t>Marsh</t>
        </is>
      </c>
      <c r="S22" s="2" t="inlineStr">
        <is>
          <t>Yuan</t>
        </is>
      </c>
      <c r="T22" s="2" t="inlineStr">
        <is>
          <t>Rainbow</t>
        </is>
      </c>
      <c r="U22" s="2" t="inlineStr">
        <is>
          <t>InternA</t>
        </is>
      </c>
      <c r="V22" s="2" t="inlineStr">
        <is>
          <t>InternB</t>
        </is>
      </c>
      <c r="W22" s="2" t="n"/>
      <c r="X22" s="2" t="n"/>
    </row>
    <row r="23">
      <c r="A23" s="2" t="inlineStr">
        <is>
          <t>Shanghai Xinze Sanhe Venture Investment LP</t>
        </is>
      </c>
      <c r="B23" s="2" t="n">
        <v>47128472</v>
      </c>
      <c r="C23" s="2" t="inlineStr">
        <is>
          <t>AUD2026-12 Xingze Management</t>
        </is>
      </c>
      <c r="D23" s="2" t="inlineStr">
        <is>
          <t>Order47128472- 260501003</t>
        </is>
      </c>
      <c r="E23" s="2" t="inlineStr">
        <is>
          <t>47128472- EDC260501001</t>
        </is>
      </c>
      <c r="F23" s="2" t="inlineStr">
        <is>
          <t>Tony.L.Tao</t>
        </is>
      </c>
      <c r="G23" s="5" t="n">
        <v>46500</v>
      </c>
      <c r="H23" s="2" t="n">
        <v>15.24</v>
      </c>
      <c r="I23" s="2" t="n">
        <v>15.24</v>
      </c>
      <c r="J23" s="2" t="n">
        <v>4.572</v>
      </c>
      <c r="K23" s="2" t="n">
        <v>10.668</v>
      </c>
      <c r="L23" s="2" t="n"/>
      <c r="M23" s="2" t="inlineStr">
        <is>
          <t>PE</t>
        </is>
      </c>
      <c r="N23" s="5" t="n">
        <v>46308</v>
      </c>
      <c r="O23" s="5" t="n">
        <v>46314</v>
      </c>
      <c r="P23" s="5" t="n">
        <v>46393</v>
      </c>
      <c r="Q23" s="5" t="n">
        <v>46407</v>
      </c>
      <c r="R23" s="2" t="inlineStr">
        <is>
          <t>Marsh</t>
        </is>
      </c>
      <c r="S23" s="2" t="inlineStr">
        <is>
          <t>Vivi</t>
        </is>
      </c>
      <c r="T23" s="2" t="inlineStr">
        <is>
          <t>Luna</t>
        </is>
      </c>
      <c r="U23" s="2" t="n"/>
      <c r="V23" s="2" t="n"/>
      <c r="W23" s="2" t="n"/>
      <c r="X23" s="2" t="n"/>
    </row>
    <row r="24">
      <c r="A24" s="2" t="inlineStr">
        <is>
          <t>WP Financial Investment, LP</t>
        </is>
      </c>
      <c r="B24" s="2" t="n">
        <v>47128469</v>
      </c>
      <c r="C24" s="2" t="inlineStr">
        <is>
          <t>AUD2026-12 Warburg Pincus US Fund</t>
        </is>
      </c>
      <c r="D24" s="2" t="inlineStr">
        <is>
          <t>Order47128469- 260501002</t>
        </is>
      </c>
      <c r="E24" s="2" t="inlineStr">
        <is>
          <t>47128469- EDC260501001</t>
        </is>
      </c>
      <c r="F24" s="2" t="inlineStr">
        <is>
          <t>Eric C Chen</t>
        </is>
      </c>
      <c r="G24" s="5" t="n">
        <v>46492</v>
      </c>
      <c r="H24" s="2" t="n">
        <v>33.74</v>
      </c>
      <c r="I24" s="2" t="n">
        <v>33.74</v>
      </c>
      <c r="J24" s="2" t="n">
        <v>10.122</v>
      </c>
      <c r="K24" s="2" t="n">
        <v>23.618</v>
      </c>
      <c r="L24" s="2" t="n"/>
      <c r="M24" s="2" t="inlineStr">
        <is>
          <t>PE</t>
        </is>
      </c>
      <c r="N24" s="5" t="n">
        <v>46371</v>
      </c>
      <c r="O24" s="5" t="n">
        <v>46379</v>
      </c>
      <c r="P24" s="5" t="n">
        <v>46447</v>
      </c>
      <c r="Q24" s="5" t="n">
        <v>46456</v>
      </c>
      <c r="R24" s="2" t="inlineStr">
        <is>
          <t>Marsh</t>
        </is>
      </c>
      <c r="S24" s="2" t="inlineStr">
        <is>
          <t>Vivi</t>
        </is>
      </c>
      <c r="T24" s="2" t="inlineStr">
        <is>
          <t>Luna</t>
        </is>
      </c>
      <c r="U24" s="2" t="n"/>
      <c r="V24" s="2" t="n"/>
      <c r="W24" s="2" t="n"/>
      <c r="X24" s="2" t="n"/>
    </row>
    <row r="25">
      <c r="A25" s="2" t="inlineStr">
        <is>
          <t>Shanghai Lingyi Investment Partnership (limited partnership)</t>
        </is>
      </c>
      <c r="B25" s="2" t="n">
        <v>47128835</v>
      </c>
      <c r="C25" s="2" t="inlineStr">
        <is>
          <t>AUD2026-12 01VC USD Fund</t>
        </is>
      </c>
      <c r="D25" s="2" t="inlineStr">
        <is>
          <t>Order47128835- 260501004</t>
        </is>
      </c>
      <c r="E25" s="2" t="inlineStr">
        <is>
          <t>47128835- EDC260501001</t>
        </is>
      </c>
      <c r="F25" s="2" t="inlineStr">
        <is>
          <t>shirley-y.chen,Eric C Chen</t>
        </is>
      </c>
      <c r="G25" s="5" t="n">
        <v>46471</v>
      </c>
      <c r="H25" s="2" t="n">
        <v>131.87</v>
      </c>
      <c r="I25" s="2" t="n">
        <v>131.87</v>
      </c>
      <c r="J25" s="2" t="n">
        <v>39.561</v>
      </c>
      <c r="K25" s="2" t="n">
        <v>92.309</v>
      </c>
      <c r="L25" s="2" t="n"/>
      <c r="M25" s="2" t="inlineStr">
        <is>
          <t>PE</t>
        </is>
      </c>
      <c r="N25" s="5" t="n">
        <v>46307</v>
      </c>
      <c r="O25" s="5" t="n">
        <v>46318</v>
      </c>
      <c r="P25" s="5" t="n">
        <v>46394</v>
      </c>
      <c r="Q25" s="5" t="n">
        <v>46400</v>
      </c>
      <c r="R25" s="2" t="inlineStr">
        <is>
          <t>Marsh</t>
        </is>
      </c>
      <c r="S25" s="2" t="inlineStr">
        <is>
          <t>Vivi</t>
        </is>
      </c>
      <c r="T25" s="2" t="inlineStr">
        <is>
          <t>Luna</t>
        </is>
      </c>
      <c r="U25" s="2" t="inlineStr">
        <is>
          <t>Rainbow</t>
        </is>
      </c>
      <c r="V25" s="2" t="inlineStr">
        <is>
          <t>Yuan</t>
        </is>
      </c>
      <c r="W25" s="2" t="n"/>
      <c r="X25" s="2" t="n"/>
    </row>
    <row r="26">
      <c r="A26" s="2" t="inlineStr">
        <is>
          <t>Hisense Group Holdings Co., Ltd.</t>
        </is>
      </c>
      <c r="B26" s="2" t="n">
        <v>47115559</v>
      </c>
      <c r="C26" s="2" t="inlineStr">
        <is>
          <t>IPO2026-03 Project Voyage_CN</t>
        </is>
      </c>
      <c r="D26" s="2" t="inlineStr">
        <is>
          <t>Order47115559- 260729002</t>
        </is>
      </c>
      <c r="E26" s="2" t="inlineStr">
        <is>
          <t>47115559- EDC260729001</t>
        </is>
      </c>
      <c r="F26" s="2" t="inlineStr">
        <is>
          <t>susan.jr.wang,Qun.Hao,Mike.HB.Wang</t>
        </is>
      </c>
      <c r="G26" s="5" t="n">
        <v>46507</v>
      </c>
      <c r="H26" s="2" t="n">
        <v>789.8</v>
      </c>
      <c r="I26" s="2" t="n">
        <v>361.6999999999999</v>
      </c>
      <c r="J26" s="2" t="n">
        <v>158</v>
      </c>
      <c r="K26" s="2" t="n">
        <v>203.7</v>
      </c>
      <c r="L26" s="2" t="n"/>
      <c r="M26" s="2" t="inlineStr">
        <is>
          <t>海信</t>
        </is>
      </c>
      <c r="N26" s="5" t="n">
        <v>46307</v>
      </c>
      <c r="O26" s="5" t="n">
        <v>46325</v>
      </c>
      <c r="P26" s="5" t="n">
        <v>46419</v>
      </c>
      <c r="Q26" s="5" t="n">
        <v>46476</v>
      </c>
      <c r="R26" s="2" t="inlineStr">
        <is>
          <t>Marsh</t>
        </is>
      </c>
      <c r="S26" s="2" t="inlineStr">
        <is>
          <t>Vivi</t>
        </is>
      </c>
      <c r="T26" s="2" t="inlineStr">
        <is>
          <t>Luna</t>
        </is>
      </c>
      <c r="U26" s="2" t="inlineStr">
        <is>
          <t>Rainbow</t>
        </is>
      </c>
      <c r="V26" s="2" t="inlineStr">
        <is>
          <t>Yuan</t>
        </is>
      </c>
      <c r="W26" s="2" t="n"/>
      <c r="X26" s="2" t="n"/>
    </row>
    <row r="27">
      <c r="A27" s="2" t="inlineStr">
        <is>
          <t>FORTUNE &amp; ROYAL ASSET MANAGEMENT CORPORATION LIMITED</t>
        </is>
      </c>
      <c r="B27" s="2" t="n">
        <v>47128046</v>
      </c>
      <c r="C27" s="2" t="inlineStr">
        <is>
          <t>AUD2026-12 FR Funds</t>
        </is>
      </c>
      <c r="D27" s="2" t="inlineStr">
        <is>
          <t>Order47128046- 260501004</t>
        </is>
      </c>
      <c r="E27" s="2" t="inlineStr">
        <is>
          <t>47128046- EDC260504001</t>
        </is>
      </c>
      <c r="F27" s="2" t="inlineStr">
        <is>
          <t>Hannah.YH.Yu</t>
        </is>
      </c>
      <c r="G27" s="5" t="n">
        <v>46473</v>
      </c>
      <c r="H27" s="2" t="n">
        <v>154.87</v>
      </c>
      <c r="I27" s="2" t="n">
        <v>154.87</v>
      </c>
      <c r="J27" s="2" t="n">
        <v>46.461</v>
      </c>
      <c r="K27" s="2" t="n">
        <v>108.409</v>
      </c>
      <c r="L27" s="2" t="n"/>
      <c r="M27" s="2" t="inlineStr">
        <is>
          <t>公募</t>
        </is>
      </c>
      <c r="N27" s="2" t="n"/>
      <c r="O27" s="2" t="n"/>
      <c r="P27" s="5" t="n">
        <v>46377</v>
      </c>
      <c r="Q27" s="5" t="n">
        <v>46447</v>
      </c>
      <c r="R27" s="2" t="inlineStr">
        <is>
          <t>Marsh</t>
        </is>
      </c>
      <c r="S27" s="2" t="inlineStr">
        <is>
          <t>Yuan</t>
        </is>
      </c>
      <c r="T27" s="2" t="inlineStr">
        <is>
          <t>Rainbow</t>
        </is>
      </c>
      <c r="U27" s="2" t="inlineStr">
        <is>
          <t>InternA</t>
        </is>
      </c>
      <c r="V27" s="2" t="inlineStr">
        <is>
          <t>InternB</t>
        </is>
      </c>
      <c r="W27" s="2" t="n"/>
      <c r="X27" s="2" t="n"/>
    </row>
    <row r="28">
      <c r="A28" s="2" t="inlineStr">
        <is>
          <t>CMB International Leasing Management Limited</t>
        </is>
      </c>
      <c r="B28" s="2" t="n">
        <v>47133720</v>
      </c>
      <c r="C28" s="2" t="inlineStr">
        <is>
          <t>AUD2026-12 CMBILM</t>
        </is>
      </c>
      <c r="D28" s="2" t="inlineStr">
        <is>
          <t>Order47133720- 260504003</t>
        </is>
      </c>
      <c r="E28" s="2" t="inlineStr">
        <is>
          <t>47133720- EDC260504003</t>
        </is>
      </c>
      <c r="F28" s="2" t="inlineStr">
        <is>
          <t>Candy-JX.Wu</t>
        </is>
      </c>
      <c r="G28" s="5" t="n">
        <v>46532</v>
      </c>
      <c r="H28" s="2" t="n">
        <v>411.05</v>
      </c>
      <c r="I28" s="2" t="n">
        <v>411.05</v>
      </c>
      <c r="J28" s="2" t="n"/>
      <c r="K28" s="2" t="n"/>
      <c r="L28" s="2" t="n">
        <v>411.05</v>
      </c>
      <c r="M28" s="2" t="inlineStr">
        <is>
          <t>招银</t>
        </is>
      </c>
      <c r="N28" s="5" t="n">
        <v>46371</v>
      </c>
      <c r="O28" s="5" t="n">
        <v>46379</v>
      </c>
      <c r="P28" s="5" t="n">
        <v>46467</v>
      </c>
      <c r="Q28" s="5" t="n">
        <v>46507</v>
      </c>
      <c r="R28" s="2" t="inlineStr">
        <is>
          <t>Marsh</t>
        </is>
      </c>
      <c r="S28" s="2" t="inlineStr">
        <is>
          <t>Vivi</t>
        </is>
      </c>
      <c r="T28" s="2" t="inlineStr">
        <is>
          <t>yuan</t>
        </is>
      </c>
      <c r="U28" s="2" t="inlineStr">
        <is>
          <t>Rainbow</t>
        </is>
      </c>
      <c r="V28" s="2" t="n"/>
      <c r="W28" s="2" t="n"/>
      <c r="X28" s="2" t="n"/>
    </row>
    <row r="29">
      <c r="A29" s="2" t="inlineStr">
        <is>
          <t>Jamesonite Gem (HK) Holdings Limited</t>
        </is>
      </c>
      <c r="B29" s="2" t="n">
        <v>47136348</v>
      </c>
      <c r="C29" s="2" t="inlineStr">
        <is>
          <t>AUD2026-12 Warburg Pincus HK SPV JZ</t>
        </is>
      </c>
      <c r="D29" s="2" t="inlineStr">
        <is>
          <t>Order47136348- 260504004</t>
        </is>
      </c>
      <c r="E29" s="2" t="inlineStr">
        <is>
          <t>47136348- EDC260504001</t>
        </is>
      </c>
      <c r="F29" s="2" t="inlineStr">
        <is>
          <t>Eric C Chen</t>
        </is>
      </c>
      <c r="G29" s="5" t="n">
        <v>46550</v>
      </c>
      <c r="H29" s="2" t="n">
        <v>308.61</v>
      </c>
      <c r="I29" s="2" t="n">
        <v>308.61</v>
      </c>
      <c r="J29" s="2" t="n"/>
      <c r="K29" s="2" t="n"/>
      <c r="L29" s="2" t="n">
        <v>308.61</v>
      </c>
      <c r="M29" s="2" t="inlineStr">
        <is>
          <t>PE</t>
        </is>
      </c>
      <c r="N29" s="2" t="n"/>
      <c r="O29" s="2" t="n"/>
      <c r="P29" s="5" t="n">
        <v>46500</v>
      </c>
      <c r="Q29" s="5" t="n">
        <v>46512</v>
      </c>
      <c r="R29" s="2" t="inlineStr">
        <is>
          <t>Marsh</t>
        </is>
      </c>
      <c r="S29" s="2" t="inlineStr">
        <is>
          <t>Vivi</t>
        </is>
      </c>
      <c r="T29" s="2" t="inlineStr">
        <is>
          <t>Luna</t>
        </is>
      </c>
      <c r="U29" s="2" t="inlineStr">
        <is>
          <t>Rainbow</t>
        </is>
      </c>
      <c r="V29" s="2" t="n"/>
      <c r="W29" s="2" t="n"/>
      <c r="X2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9" customWidth="1" min="4" max="4"/>
  </cols>
  <sheetData>
    <row r="1" ht="33" customHeight="1">
      <c r="A1" s="1" t="inlineStr">
        <is>
          <t>Name</t>
        </is>
      </c>
      <c r="B1" s="1" t="inlineStr">
        <is>
          <t>Grade</t>
        </is>
      </c>
      <c r="C1" s="1" t="inlineStr">
        <is>
          <t>hours占比</t>
        </is>
      </c>
      <c r="D1" s="1" t="inlineStr">
        <is>
          <t>优先项目类型</t>
        </is>
      </c>
    </row>
    <row r="2">
      <c r="A2" s="2" t="inlineStr">
        <is>
          <t>Marsh.Ma@cn.ey.com</t>
        </is>
      </c>
      <c r="B2" s="2" t="inlineStr">
        <is>
          <t>manager</t>
        </is>
      </c>
      <c r="C2" s="2" t="n"/>
      <c r="D2" s="2" t="inlineStr"/>
    </row>
    <row r="3">
      <c r="A3" s="2" t="inlineStr">
        <is>
          <t>Vivi.W.Yang@cn.ey.com</t>
        </is>
      </c>
      <c r="B3" s="2" t="inlineStr">
        <is>
          <t>senior</t>
        </is>
      </c>
      <c r="C3" s="2" t="n"/>
      <c r="D3" s="2" t="inlineStr"/>
    </row>
    <row r="4">
      <c r="A4" s="2" t="inlineStr">
        <is>
          <t>Yuan.Yuan.YY.Chen@cn.ey.com</t>
        </is>
      </c>
      <c r="B4" s="2" t="inlineStr">
        <is>
          <t>staff</t>
        </is>
      </c>
      <c r="C4" s="2" t="n"/>
      <c r="D4" s="2" t="inlineStr">
        <is>
          <t>公募</t>
        </is>
      </c>
    </row>
    <row r="5">
      <c r="A5" s="2" t="inlineStr">
        <is>
          <t>Luna.CD.Zhang@cn.ey.com</t>
        </is>
      </c>
      <c r="B5" s="2" t="inlineStr">
        <is>
          <t>staff</t>
        </is>
      </c>
      <c r="C5" s="2" t="n"/>
      <c r="D5" s="2" t="inlineStr">
        <is>
          <t>PE</t>
        </is>
      </c>
    </row>
    <row r="6">
      <c r="A6" s="2" t="inlineStr">
        <is>
          <t>Rainbow.MG.Xiao@cn.ey.com</t>
        </is>
      </c>
      <c r="B6" s="2" t="inlineStr">
        <is>
          <t>staff</t>
        </is>
      </c>
      <c r="C6" s="2" t="n"/>
      <c r="D6" s="2" t="inlineStr">
        <is>
          <t>公募</t>
        </is>
      </c>
    </row>
    <row r="7">
      <c r="A7" s="2" t="inlineStr">
        <is>
          <t>InternA</t>
        </is>
      </c>
      <c r="B7" s="2" t="inlineStr">
        <is>
          <t>intern</t>
        </is>
      </c>
      <c r="C7" s="2" t="n"/>
      <c r="D7" s="2" t="inlineStr">
        <is>
          <t>公募</t>
        </is>
      </c>
    </row>
    <row r="8">
      <c r="A8" s="2" t="inlineStr">
        <is>
          <t>InternB</t>
        </is>
      </c>
      <c r="B8" s="2" t="inlineStr">
        <is>
          <t>intern</t>
        </is>
      </c>
      <c r="C8" s="2" t="n"/>
      <c r="D8" s="2" t="inlineStr">
        <is>
          <t>公募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2026-10-11T15:49:44Z</dcterms:created>
  <dcterms:modified xsi:type="dcterms:W3CDTF">2026-10-11T15:49:44Z</dcterms:modified>
</cp:coreProperties>
</file>