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AIProjects\3-wp-weekly-scheduling\Sample\"/>
    </mc:Choice>
  </mc:AlternateContent>
  <xr:revisionPtr revIDLastSave="0" documentId="13_ncr:1_{AD805319-0C2D-4DFF-8EA4-BC47CF19888E}" xr6:coauthVersionLast="47" xr6:coauthVersionMax="47" xr10:uidLastSave="{00000000-0000-0000-0000-000000000000}"/>
  <bookViews>
    <workbookView xWindow="28680" yWindow="-120" windowWidth="29040" windowHeight="15720" tabRatio="795" firstSheet="4" activeTab="4" xr2:uid="{00000000-000D-0000-FFFF-FFFF00000000}"/>
  </bookViews>
  <sheets>
    <sheet name="目录-PRO" sheetId="4" state="veryHidden" r:id="rId1"/>
    <sheet name="目录-UAT" sheetId="3" state="veryHidden" r:id="rId2"/>
    <sheet name="Instruction" sheetId="8" r:id="rId3"/>
    <sheet name="项目看板" sheetId="10" r:id="rId4"/>
    <sheet name="Booking Details" sheetId="9" r:id="rId5"/>
    <sheet name="Booking Details（基础数据）" sheetId="1" r:id="rId6"/>
    <sheet name="UT Summary" sheetId="6" r:id="rId7"/>
    <sheet name="Config" sheetId="2" state="veryHidden" r:id="rId8"/>
    <sheet name="Date Mapping" sheetId="5" state="veryHidden" r:id="rId9"/>
  </sheets>
  <functionGroups builtInGroupCount="19">
    <functionGroup name="ExcelHome.UDF"/>
    <functionGroup name="EH函数集"/>
  </functionGroups>
  <definedNames>
    <definedName name="_xlnm._FilterDatabase" localSheetId="4" hidden="1">'Booking Details'!$A$9:$G$327</definedName>
    <definedName name="_xlnm._FilterDatabase" localSheetId="5" hidden="1">'Booking Details（基础数据）'!$A$2:$P$341</definedName>
    <definedName name="_xlnm._FilterDatabase" localSheetId="8" hidden="1">'Date Mapping'!$A$1:$H$1644</definedName>
    <definedName name="_xlnm._FilterDatabase" localSheetId="0" hidden="1">'目录-PRO'!$A$1:$J$240</definedName>
    <definedName name="_xlnm._FilterDatabase" localSheetId="1" hidden="1">'目录-UAT'!$A$1:$J$336</definedName>
    <definedName name="_xlnm._FilterDatabase" localSheetId="3" hidden="1">项目看板!$B$7:$Y$170</definedName>
    <definedName name="_xleta.OR" hidden="1" xlm="1">#NAME?</definedName>
    <definedName name="_xleta.SUM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N9" i="10" l="1"/>
  <c r="O9" i="10" s="1"/>
  <c r="P9" i="10" s="1"/>
  <c r="R9" i="10" s="1"/>
  <c r="Q9" i="10"/>
  <c r="N10" i="10"/>
  <c r="O10" i="10" s="1"/>
  <c r="P10" i="10" s="1"/>
  <c r="R10" i="10" s="1"/>
  <c r="Q10" i="10"/>
  <c r="N11" i="10"/>
  <c r="O11" i="10" s="1"/>
  <c r="P11" i="10" s="1"/>
  <c r="R11" i="10" s="1"/>
  <c r="Q11" i="10"/>
  <c r="N12" i="10"/>
  <c r="O12" i="10" s="1"/>
  <c r="P12" i="10" s="1"/>
  <c r="R12" i="10" s="1"/>
  <c r="Q12" i="10"/>
  <c r="N13" i="10"/>
  <c r="O13" i="10" s="1"/>
  <c r="P13" i="10" s="1"/>
  <c r="R13" i="10" s="1"/>
  <c r="Q13" i="10"/>
  <c r="N14" i="10"/>
  <c r="O14" i="10" s="1"/>
  <c r="P14" i="10" s="1"/>
  <c r="R14" i="10" s="1"/>
  <c r="Q14" i="10"/>
  <c r="N15" i="10"/>
  <c r="O15" i="10"/>
  <c r="P15" i="10" s="1"/>
  <c r="R15" i="10" s="1"/>
  <c r="Q15" i="10"/>
  <c r="N16" i="10"/>
  <c r="O16" i="10" s="1"/>
  <c r="P16" i="10" s="1"/>
  <c r="R16" i="10" s="1"/>
  <c r="Q16" i="10"/>
  <c r="N17" i="10"/>
  <c r="O17" i="10" s="1"/>
  <c r="P17" i="10" s="1"/>
  <c r="R17" i="10" s="1"/>
  <c r="Q17" i="10"/>
  <c r="N18" i="10"/>
  <c r="O18" i="10"/>
  <c r="P18" i="10"/>
  <c r="R18" i="10" s="1"/>
  <c r="Q18" i="10"/>
  <c r="N19" i="10"/>
  <c r="O19" i="10" s="1"/>
  <c r="P19" i="10" s="1"/>
  <c r="R19" i="10" s="1"/>
  <c r="Q19" i="10"/>
  <c r="N20" i="10"/>
  <c r="O20" i="10" s="1"/>
  <c r="P20" i="10" s="1"/>
  <c r="R20" i="10" s="1"/>
  <c r="Q20" i="10"/>
  <c r="N21" i="10"/>
  <c r="O21" i="10" s="1"/>
  <c r="P21" i="10" s="1"/>
  <c r="R21" i="10" s="1"/>
  <c r="Q21" i="10"/>
  <c r="N22" i="10"/>
  <c r="O22" i="10" s="1"/>
  <c r="P22" i="10" s="1"/>
  <c r="R22" i="10" s="1"/>
  <c r="Q22" i="10"/>
  <c r="N23" i="10"/>
  <c r="O23" i="10" s="1"/>
  <c r="P23" i="10" s="1"/>
  <c r="R23" i="10" s="1"/>
  <c r="Q23" i="10"/>
  <c r="N24" i="10"/>
  <c r="O24" i="10"/>
  <c r="P24" i="10" s="1"/>
  <c r="R24" i="10" s="1"/>
  <c r="Q24" i="10"/>
  <c r="N25" i="10"/>
  <c r="O25" i="10" s="1"/>
  <c r="P25" i="10" s="1"/>
  <c r="R25" i="10" s="1"/>
  <c r="Q25" i="10"/>
  <c r="N26" i="10"/>
  <c r="O26" i="10" s="1"/>
  <c r="P26" i="10" s="1"/>
  <c r="R26" i="10" s="1"/>
  <c r="Q26" i="10"/>
  <c r="N27" i="10"/>
  <c r="O27" i="10" s="1"/>
  <c r="P27" i="10" s="1"/>
  <c r="R27" i="10" s="1"/>
  <c r="Q27" i="10"/>
  <c r="N28" i="10"/>
  <c r="O28" i="10" s="1"/>
  <c r="P28" i="10" s="1"/>
  <c r="R28" i="10" s="1"/>
  <c r="Q28" i="10"/>
  <c r="N29" i="10"/>
  <c r="O29" i="10" s="1"/>
  <c r="P29" i="10" s="1"/>
  <c r="R29" i="10" s="1"/>
  <c r="Q29" i="10"/>
  <c r="N30" i="10"/>
  <c r="O30" i="10" s="1"/>
  <c r="P30" i="10" s="1"/>
  <c r="R30" i="10" s="1"/>
  <c r="Q30" i="10"/>
  <c r="N31" i="10"/>
  <c r="O31" i="10" s="1"/>
  <c r="P31" i="10" s="1"/>
  <c r="R31" i="10" s="1"/>
  <c r="Q31" i="10"/>
  <c r="N32" i="10"/>
  <c r="O32" i="10" s="1"/>
  <c r="P32" i="10" s="1"/>
  <c r="R32" i="10" s="1"/>
  <c r="Q32" i="10"/>
  <c r="N33" i="10"/>
  <c r="O33" i="10" s="1"/>
  <c r="P33" i="10" s="1"/>
  <c r="R33" i="10" s="1"/>
  <c r="Q33" i="10"/>
  <c r="N34" i="10"/>
  <c r="O34" i="10" s="1"/>
  <c r="P34" i="10" s="1"/>
  <c r="R34" i="10" s="1"/>
  <c r="Q34" i="10"/>
  <c r="N35" i="10"/>
  <c r="O35" i="10" s="1"/>
  <c r="P35" i="10" s="1"/>
  <c r="R35" i="10" s="1"/>
  <c r="Q35" i="10"/>
  <c r="N36" i="10"/>
  <c r="O36" i="10" s="1"/>
  <c r="P36" i="10" s="1"/>
  <c r="R36" i="10" s="1"/>
  <c r="Q36" i="10"/>
  <c r="N37" i="10"/>
  <c r="O37" i="10" s="1"/>
  <c r="P37" i="10" s="1"/>
  <c r="R37" i="10" s="1"/>
  <c r="Q37" i="10"/>
  <c r="N38" i="10"/>
  <c r="O38" i="10"/>
  <c r="P38" i="10" s="1"/>
  <c r="R38" i="10" s="1"/>
  <c r="Q38" i="10"/>
  <c r="N39" i="10"/>
  <c r="O39" i="10" s="1"/>
  <c r="P39" i="10" s="1"/>
  <c r="R39" i="10" s="1"/>
  <c r="Q39" i="10"/>
  <c r="N40" i="10"/>
  <c r="O40" i="10" s="1"/>
  <c r="P40" i="10" s="1"/>
  <c r="R40" i="10" s="1"/>
  <c r="Q40" i="10"/>
  <c r="N41" i="10"/>
  <c r="O41" i="10" s="1"/>
  <c r="P41" i="10" s="1"/>
  <c r="R41" i="10" s="1"/>
  <c r="Q41" i="10"/>
  <c r="N42" i="10"/>
  <c r="O42" i="10" s="1"/>
  <c r="P42" i="10" s="1"/>
  <c r="R42" i="10" s="1"/>
  <c r="Q42" i="10"/>
  <c r="N43" i="10"/>
  <c r="O43" i="10" s="1"/>
  <c r="P43" i="10" s="1"/>
  <c r="R43" i="10" s="1"/>
  <c r="Q43" i="10"/>
  <c r="N44" i="10"/>
  <c r="O44" i="10" s="1"/>
  <c r="P44" i="10" s="1"/>
  <c r="R44" i="10" s="1"/>
  <c r="Q44" i="10"/>
  <c r="N45" i="10"/>
  <c r="O45" i="10" s="1"/>
  <c r="P45" i="10" s="1"/>
  <c r="R45" i="10" s="1"/>
  <c r="Q45" i="10"/>
  <c r="N46" i="10"/>
  <c r="O46" i="10"/>
  <c r="P46" i="10" s="1"/>
  <c r="R46" i="10" s="1"/>
  <c r="Q46" i="10"/>
  <c r="N47" i="10"/>
  <c r="O47" i="10"/>
  <c r="P47" i="10" s="1"/>
  <c r="R47" i="10" s="1"/>
  <c r="Q47" i="10"/>
  <c r="N48" i="10"/>
  <c r="O48" i="10" s="1"/>
  <c r="P48" i="10" s="1"/>
  <c r="R48" i="10" s="1"/>
  <c r="Q48" i="10"/>
  <c r="N49" i="10"/>
  <c r="O49" i="10" s="1"/>
  <c r="P49" i="10" s="1"/>
  <c r="R49" i="10" s="1"/>
  <c r="Q49" i="10"/>
  <c r="N50" i="10"/>
  <c r="O50" i="10"/>
  <c r="P50" i="10" s="1"/>
  <c r="R50" i="10" s="1"/>
  <c r="Q50" i="10"/>
  <c r="N51" i="10"/>
  <c r="O51" i="10" s="1"/>
  <c r="P51" i="10" s="1"/>
  <c r="R51" i="10" s="1"/>
  <c r="Q51" i="10"/>
  <c r="N52" i="10"/>
  <c r="O52" i="10" s="1"/>
  <c r="P52" i="10" s="1"/>
  <c r="R52" i="10" s="1"/>
  <c r="Q52" i="10"/>
  <c r="N53" i="10"/>
  <c r="O53" i="10" s="1"/>
  <c r="P53" i="10" s="1"/>
  <c r="R53" i="10" s="1"/>
  <c r="Q53" i="10"/>
  <c r="N54" i="10"/>
  <c r="O54" i="10"/>
  <c r="P54" i="10" s="1"/>
  <c r="R54" i="10" s="1"/>
  <c r="Q54" i="10"/>
  <c r="N55" i="10"/>
  <c r="O55" i="10"/>
  <c r="P55" i="10" s="1"/>
  <c r="R55" i="10" s="1"/>
  <c r="Q55" i="10"/>
  <c r="N56" i="10"/>
  <c r="O56" i="10" s="1"/>
  <c r="P56" i="10" s="1"/>
  <c r="R56" i="10" s="1"/>
  <c r="Q56" i="10"/>
  <c r="N57" i="10"/>
  <c r="O57" i="10" s="1"/>
  <c r="P57" i="10" s="1"/>
  <c r="R57" i="10" s="1"/>
  <c r="Q57" i="10"/>
  <c r="N58" i="10"/>
  <c r="O58" i="10"/>
  <c r="P58" i="10" s="1"/>
  <c r="R58" i="10" s="1"/>
  <c r="Q58" i="10"/>
  <c r="N59" i="10"/>
  <c r="O59" i="10" s="1"/>
  <c r="P59" i="10" s="1"/>
  <c r="R59" i="10" s="1"/>
  <c r="Q59" i="10"/>
  <c r="N60" i="10"/>
  <c r="O60" i="10" s="1"/>
  <c r="P60" i="10" s="1"/>
  <c r="R60" i="10" s="1"/>
  <c r="Q60" i="10"/>
  <c r="N61" i="10"/>
  <c r="O61" i="10" s="1"/>
  <c r="P61" i="10" s="1"/>
  <c r="R61" i="10" s="1"/>
  <c r="Q61" i="10"/>
  <c r="N62" i="10"/>
  <c r="O62" i="10" s="1"/>
  <c r="P62" i="10" s="1"/>
  <c r="R62" i="10" s="1"/>
  <c r="Q62" i="10"/>
  <c r="N63" i="10"/>
  <c r="O63" i="10"/>
  <c r="P63" i="10" s="1"/>
  <c r="R63" i="10" s="1"/>
  <c r="Q63" i="10"/>
  <c r="N64" i="10"/>
  <c r="O64" i="10"/>
  <c r="P64" i="10" s="1"/>
  <c r="R64" i="10" s="1"/>
  <c r="Q64" i="10"/>
  <c r="N65" i="10"/>
  <c r="O65" i="10" s="1"/>
  <c r="P65" i="10" s="1"/>
  <c r="R65" i="10" s="1"/>
  <c r="Q65" i="10"/>
  <c r="N66" i="10"/>
  <c r="O66" i="10"/>
  <c r="P66" i="10" s="1"/>
  <c r="R66" i="10" s="1"/>
  <c r="Q66" i="10"/>
  <c r="N67" i="10"/>
  <c r="O67" i="10" s="1"/>
  <c r="P67" i="10" s="1"/>
  <c r="R67" i="10" s="1"/>
  <c r="Q67" i="10"/>
  <c r="N68" i="10"/>
  <c r="O68" i="10" s="1"/>
  <c r="P68" i="10" s="1"/>
  <c r="R68" i="10" s="1"/>
  <c r="Q68" i="10"/>
  <c r="N69" i="10"/>
  <c r="O69" i="10" s="1"/>
  <c r="P69" i="10" s="1"/>
  <c r="R69" i="10" s="1"/>
  <c r="Q69" i="10"/>
  <c r="N70" i="10"/>
  <c r="O70" i="10"/>
  <c r="P70" i="10" s="1"/>
  <c r="R70" i="10" s="1"/>
  <c r="Q70" i="10"/>
  <c r="N71" i="10"/>
  <c r="O71" i="10"/>
  <c r="P71" i="10" s="1"/>
  <c r="R71" i="10" s="1"/>
  <c r="Q71" i="10"/>
  <c r="N72" i="10"/>
  <c r="O72" i="10"/>
  <c r="P72" i="10" s="1"/>
  <c r="R72" i="10" s="1"/>
  <c r="Q72" i="10"/>
  <c r="N73" i="10"/>
  <c r="O73" i="10" s="1"/>
  <c r="P73" i="10" s="1"/>
  <c r="R73" i="10" s="1"/>
  <c r="Q73" i="10"/>
  <c r="N74" i="10"/>
  <c r="O74" i="10"/>
  <c r="P74" i="10" s="1"/>
  <c r="R74" i="10" s="1"/>
  <c r="Q74" i="10"/>
  <c r="N75" i="10"/>
  <c r="O75" i="10" s="1"/>
  <c r="P75" i="10" s="1"/>
  <c r="R75" i="10" s="1"/>
  <c r="Q75" i="10"/>
  <c r="N76" i="10"/>
  <c r="O76" i="10" s="1"/>
  <c r="P76" i="10" s="1"/>
  <c r="R76" i="10" s="1"/>
  <c r="Q76" i="10"/>
  <c r="N77" i="10"/>
  <c r="O77" i="10" s="1"/>
  <c r="P77" i="10" s="1"/>
  <c r="R77" i="10" s="1"/>
  <c r="Q77" i="10"/>
  <c r="N78" i="10"/>
  <c r="O78" i="10" s="1"/>
  <c r="P78" i="10" s="1"/>
  <c r="R78" i="10" s="1"/>
  <c r="Q78" i="10"/>
  <c r="N79" i="10"/>
  <c r="O79" i="10"/>
  <c r="P79" i="10" s="1"/>
  <c r="R79" i="10" s="1"/>
  <c r="Q79" i="10"/>
  <c r="N80" i="10"/>
  <c r="O80" i="10" s="1"/>
  <c r="P80" i="10" s="1"/>
  <c r="R80" i="10" s="1"/>
  <c r="Q80" i="10"/>
  <c r="N81" i="10"/>
  <c r="O81" i="10" s="1"/>
  <c r="P81" i="10" s="1"/>
  <c r="R81" i="10" s="1"/>
  <c r="Q81" i="10"/>
  <c r="N82" i="10"/>
  <c r="O82" i="10"/>
  <c r="P82" i="10"/>
  <c r="R82" i="10" s="1"/>
  <c r="Q82" i="10"/>
  <c r="N83" i="10"/>
  <c r="O83" i="10" s="1"/>
  <c r="P83" i="10" s="1"/>
  <c r="R83" i="10" s="1"/>
  <c r="Q83" i="10"/>
  <c r="N84" i="10"/>
  <c r="O84" i="10" s="1"/>
  <c r="P84" i="10" s="1"/>
  <c r="R84" i="10" s="1"/>
  <c r="Q84" i="10"/>
  <c r="N85" i="10"/>
  <c r="O85" i="10" s="1"/>
  <c r="P85" i="10" s="1"/>
  <c r="R85" i="10" s="1"/>
  <c r="Q85" i="10"/>
  <c r="N86" i="10"/>
  <c r="O86" i="10" s="1"/>
  <c r="P86" i="10" s="1"/>
  <c r="R86" i="10" s="1"/>
  <c r="Q86" i="10"/>
  <c r="N87" i="10"/>
  <c r="O87" i="10"/>
  <c r="P87" i="10" s="1"/>
  <c r="R87" i="10" s="1"/>
  <c r="Q87" i="10"/>
  <c r="N88" i="10"/>
  <c r="O88" i="10"/>
  <c r="P88" i="10" s="1"/>
  <c r="R88" i="10" s="1"/>
  <c r="Q88" i="10"/>
  <c r="N89" i="10"/>
  <c r="O89" i="10" s="1"/>
  <c r="P89" i="10" s="1"/>
  <c r="R89" i="10" s="1"/>
  <c r="Q89" i="10"/>
  <c r="N90" i="10"/>
  <c r="O90" i="10"/>
  <c r="P90" i="10"/>
  <c r="R90" i="10" s="1"/>
  <c r="Q90" i="10"/>
  <c r="N91" i="10"/>
  <c r="O91" i="10" s="1"/>
  <c r="P91" i="10" s="1"/>
  <c r="R91" i="10" s="1"/>
  <c r="Q91" i="10"/>
  <c r="N92" i="10"/>
  <c r="O92" i="10" s="1"/>
  <c r="P92" i="10" s="1"/>
  <c r="R92" i="10" s="1"/>
  <c r="Q92" i="10"/>
  <c r="N93" i="10"/>
  <c r="O93" i="10" s="1"/>
  <c r="P93" i="10" s="1"/>
  <c r="R93" i="10" s="1"/>
  <c r="Q93" i="10"/>
  <c r="N94" i="10"/>
  <c r="O94" i="10" s="1"/>
  <c r="P94" i="10" s="1"/>
  <c r="R94" i="10" s="1"/>
  <c r="Q94" i="10"/>
  <c r="N95" i="10"/>
  <c r="O95" i="10" s="1"/>
  <c r="P95" i="10" s="1"/>
  <c r="R95" i="10" s="1"/>
  <c r="Q95" i="10"/>
  <c r="N96" i="10"/>
  <c r="O96" i="10" s="1"/>
  <c r="P96" i="10" s="1"/>
  <c r="R96" i="10" s="1"/>
  <c r="Q96" i="10"/>
  <c r="N97" i="10"/>
  <c r="O97" i="10"/>
  <c r="P97" i="10"/>
  <c r="R97" i="10" s="1"/>
  <c r="Q97" i="10"/>
  <c r="N98" i="10"/>
  <c r="O98" i="10" s="1"/>
  <c r="P98" i="10" s="1"/>
  <c r="R98" i="10" s="1"/>
  <c r="Q98" i="10"/>
  <c r="N99" i="10"/>
  <c r="O99" i="10" s="1"/>
  <c r="P99" i="10" s="1"/>
  <c r="R99" i="10" s="1"/>
  <c r="Q99" i="10"/>
  <c r="N100" i="10"/>
  <c r="O100" i="10" s="1"/>
  <c r="P100" i="10" s="1"/>
  <c r="R100" i="10" s="1"/>
  <c r="Q100" i="10"/>
  <c r="N101" i="10"/>
  <c r="O101" i="10" s="1"/>
  <c r="P101" i="10" s="1"/>
  <c r="R101" i="10" s="1"/>
  <c r="Q101" i="10"/>
  <c r="N102" i="10"/>
  <c r="O102" i="10" s="1"/>
  <c r="P102" i="10" s="1"/>
  <c r="R102" i="10" s="1"/>
  <c r="Q102" i="10"/>
  <c r="N103" i="10"/>
  <c r="O103" i="10" s="1"/>
  <c r="P103" i="10" s="1"/>
  <c r="R103" i="10" s="1"/>
  <c r="Q103" i="10"/>
  <c r="N104" i="10"/>
  <c r="O104" i="10" s="1"/>
  <c r="P104" i="10" s="1"/>
  <c r="R104" i="10" s="1"/>
  <c r="Q104" i="10"/>
  <c r="N105" i="10"/>
  <c r="O105" i="10"/>
  <c r="P105" i="10"/>
  <c r="R105" i="10" s="1"/>
  <c r="Q105" i="10"/>
  <c r="N106" i="10"/>
  <c r="O106" i="10" s="1"/>
  <c r="P106" i="10" s="1"/>
  <c r="R106" i="10" s="1"/>
  <c r="Q106" i="10"/>
  <c r="N107" i="10"/>
  <c r="O107" i="10" s="1"/>
  <c r="P107" i="10" s="1"/>
  <c r="R107" i="10" s="1"/>
  <c r="Q107" i="10"/>
  <c r="N108" i="10"/>
  <c r="O108" i="10" s="1"/>
  <c r="P108" i="10" s="1"/>
  <c r="R108" i="10" s="1"/>
  <c r="Q108" i="10"/>
  <c r="N109" i="10"/>
  <c r="O109" i="10" s="1"/>
  <c r="P109" i="10" s="1"/>
  <c r="R109" i="10" s="1"/>
  <c r="Q109" i="10"/>
  <c r="N110" i="10"/>
  <c r="O110" i="10" s="1"/>
  <c r="P110" i="10" s="1"/>
  <c r="R110" i="10" s="1"/>
  <c r="Q110" i="10"/>
  <c r="N111" i="10"/>
  <c r="O111" i="10" s="1"/>
  <c r="P111" i="10" s="1"/>
  <c r="R111" i="10" s="1"/>
  <c r="Q111" i="10"/>
  <c r="N112" i="10"/>
  <c r="O112" i="10" s="1"/>
  <c r="P112" i="10" s="1"/>
  <c r="R112" i="10" s="1"/>
  <c r="Q112" i="10"/>
  <c r="N113" i="10"/>
  <c r="O113" i="10"/>
  <c r="P113" i="10"/>
  <c r="R113" i="10" s="1"/>
  <c r="Q113" i="10"/>
  <c r="N114" i="10"/>
  <c r="O114" i="10" s="1"/>
  <c r="P114" i="10" s="1"/>
  <c r="R114" i="10" s="1"/>
  <c r="Q114" i="10"/>
  <c r="N115" i="10"/>
  <c r="O115" i="10" s="1"/>
  <c r="P115" i="10" s="1"/>
  <c r="R115" i="10" s="1"/>
  <c r="Q115" i="10"/>
  <c r="N116" i="10"/>
  <c r="O116" i="10" s="1"/>
  <c r="P116" i="10" s="1"/>
  <c r="R116" i="10" s="1"/>
  <c r="Q116" i="10"/>
  <c r="N117" i="10"/>
  <c r="O117" i="10" s="1"/>
  <c r="P117" i="10" s="1"/>
  <c r="R117" i="10" s="1"/>
  <c r="Q117" i="10"/>
  <c r="N118" i="10"/>
  <c r="O118" i="10" s="1"/>
  <c r="P118" i="10" s="1"/>
  <c r="R118" i="10" s="1"/>
  <c r="Q118" i="10"/>
  <c r="N119" i="10"/>
  <c r="O119" i="10" s="1"/>
  <c r="P119" i="10" s="1"/>
  <c r="R119" i="10" s="1"/>
  <c r="Q119" i="10"/>
  <c r="N120" i="10"/>
  <c r="O120" i="10" s="1"/>
  <c r="P120" i="10" s="1"/>
  <c r="R120" i="10" s="1"/>
  <c r="Q120" i="10"/>
  <c r="N121" i="10"/>
  <c r="O121" i="10"/>
  <c r="P121" i="10"/>
  <c r="R121" i="10" s="1"/>
  <c r="Q121" i="10"/>
  <c r="N122" i="10"/>
  <c r="O122" i="10" s="1"/>
  <c r="P122" i="10" s="1"/>
  <c r="R122" i="10" s="1"/>
  <c r="Q122" i="10"/>
  <c r="N123" i="10"/>
  <c r="O123" i="10" s="1"/>
  <c r="P123" i="10" s="1"/>
  <c r="R123" i="10" s="1"/>
  <c r="Q123" i="10"/>
  <c r="N124" i="10"/>
  <c r="O124" i="10" s="1"/>
  <c r="P124" i="10" s="1"/>
  <c r="R124" i="10" s="1"/>
  <c r="Q124" i="10"/>
  <c r="N125" i="10"/>
  <c r="O125" i="10" s="1"/>
  <c r="P125" i="10" s="1"/>
  <c r="R125" i="10" s="1"/>
  <c r="Q125" i="10"/>
  <c r="N126" i="10"/>
  <c r="O126" i="10" s="1"/>
  <c r="P126" i="10" s="1"/>
  <c r="R126" i="10" s="1"/>
  <c r="Q126" i="10"/>
  <c r="N127" i="10"/>
  <c r="O127" i="10" s="1"/>
  <c r="P127" i="10" s="1"/>
  <c r="R127" i="10" s="1"/>
  <c r="Q127" i="10"/>
  <c r="N128" i="10"/>
  <c r="O128" i="10" s="1"/>
  <c r="P128" i="10" s="1"/>
  <c r="R128" i="10" s="1"/>
  <c r="Q128" i="10"/>
  <c r="N129" i="10"/>
  <c r="O129" i="10"/>
  <c r="P129" i="10"/>
  <c r="R129" i="10" s="1"/>
  <c r="Q129" i="10"/>
  <c r="N130" i="10"/>
  <c r="O130" i="10" s="1"/>
  <c r="P130" i="10" s="1"/>
  <c r="R130" i="10" s="1"/>
  <c r="Q130" i="10"/>
  <c r="N131" i="10"/>
  <c r="O131" i="10" s="1"/>
  <c r="P131" i="10" s="1"/>
  <c r="R131" i="10" s="1"/>
  <c r="Q131" i="10"/>
  <c r="N132" i="10"/>
  <c r="O132" i="10" s="1"/>
  <c r="P132" i="10" s="1"/>
  <c r="R132" i="10" s="1"/>
  <c r="Q132" i="10"/>
  <c r="N133" i="10"/>
  <c r="O133" i="10" s="1"/>
  <c r="P133" i="10" s="1"/>
  <c r="R133" i="10" s="1"/>
  <c r="Q133" i="10"/>
  <c r="N134" i="10"/>
  <c r="O134" i="10" s="1"/>
  <c r="P134" i="10" s="1"/>
  <c r="R134" i="10" s="1"/>
  <c r="Q134" i="10"/>
  <c r="N135" i="10"/>
  <c r="O135" i="10" s="1"/>
  <c r="P135" i="10" s="1"/>
  <c r="R135" i="10" s="1"/>
  <c r="Q135" i="10"/>
  <c r="N136" i="10"/>
  <c r="O136" i="10" s="1"/>
  <c r="P136" i="10" s="1"/>
  <c r="R136" i="10" s="1"/>
  <c r="Q136" i="10"/>
  <c r="N137" i="10"/>
  <c r="O137" i="10"/>
  <c r="P137" i="10"/>
  <c r="R137" i="10" s="1"/>
  <c r="Q137" i="10"/>
  <c r="N138" i="10"/>
  <c r="O138" i="10" s="1"/>
  <c r="P138" i="10" s="1"/>
  <c r="R138" i="10" s="1"/>
  <c r="Q138" i="10"/>
  <c r="N139" i="10"/>
  <c r="O139" i="10" s="1"/>
  <c r="P139" i="10" s="1"/>
  <c r="R139" i="10" s="1"/>
  <c r="Q139" i="10"/>
  <c r="N140" i="10"/>
  <c r="O140" i="10" s="1"/>
  <c r="P140" i="10" s="1"/>
  <c r="R140" i="10" s="1"/>
  <c r="Q140" i="10"/>
  <c r="N141" i="10"/>
  <c r="O141" i="10" s="1"/>
  <c r="P141" i="10" s="1"/>
  <c r="R141" i="10" s="1"/>
  <c r="Q141" i="10"/>
  <c r="N142" i="10"/>
  <c r="O142" i="10" s="1"/>
  <c r="P142" i="10" s="1"/>
  <c r="R142" i="10" s="1"/>
  <c r="Q142" i="10"/>
  <c r="N143" i="10"/>
  <c r="O143" i="10" s="1"/>
  <c r="P143" i="10" s="1"/>
  <c r="R143" i="10" s="1"/>
  <c r="Q143" i="10"/>
  <c r="N144" i="10"/>
  <c r="O144" i="10" s="1"/>
  <c r="P144" i="10" s="1"/>
  <c r="R144" i="10" s="1"/>
  <c r="Q144" i="10"/>
  <c r="N145" i="10"/>
  <c r="O145" i="10"/>
  <c r="P145" i="10"/>
  <c r="R145" i="10" s="1"/>
  <c r="Q145" i="10"/>
  <c r="N146" i="10"/>
  <c r="O146" i="10" s="1"/>
  <c r="P146" i="10" s="1"/>
  <c r="R146" i="10" s="1"/>
  <c r="Q146" i="10"/>
  <c r="N147" i="10"/>
  <c r="O147" i="10" s="1"/>
  <c r="P147" i="10" s="1"/>
  <c r="R147" i="10" s="1"/>
  <c r="Q147" i="10"/>
  <c r="N148" i="10"/>
  <c r="O148" i="10" s="1"/>
  <c r="P148" i="10" s="1"/>
  <c r="R148" i="10" s="1"/>
  <c r="Q148" i="10"/>
  <c r="N149" i="10"/>
  <c r="O149" i="10" s="1"/>
  <c r="P149" i="10" s="1"/>
  <c r="R149" i="10" s="1"/>
  <c r="Q149" i="10"/>
  <c r="N150" i="10"/>
  <c r="O150" i="10" s="1"/>
  <c r="P150" i="10" s="1"/>
  <c r="R150" i="10" s="1"/>
  <c r="Q150" i="10"/>
  <c r="N151" i="10"/>
  <c r="O151" i="10" s="1"/>
  <c r="P151" i="10" s="1"/>
  <c r="R151" i="10" s="1"/>
  <c r="Q151" i="10"/>
  <c r="N152" i="10"/>
  <c r="O152" i="10" s="1"/>
  <c r="P152" i="10" s="1"/>
  <c r="R152" i="10" s="1"/>
  <c r="Q152" i="10"/>
  <c r="N153" i="10"/>
  <c r="O153" i="10"/>
  <c r="P153" i="10"/>
  <c r="R153" i="10" s="1"/>
  <c r="Q153" i="10"/>
  <c r="N154" i="10"/>
  <c r="O154" i="10" s="1"/>
  <c r="P154" i="10" s="1"/>
  <c r="R154" i="10" s="1"/>
  <c r="Q154" i="10"/>
  <c r="N155" i="10"/>
  <c r="O155" i="10" s="1"/>
  <c r="P155" i="10" s="1"/>
  <c r="R155" i="10" s="1"/>
  <c r="Q155" i="10"/>
  <c r="N156" i="10"/>
  <c r="O156" i="10" s="1"/>
  <c r="P156" i="10" s="1"/>
  <c r="R156" i="10" s="1"/>
  <c r="Q156" i="10"/>
  <c r="N157" i="10"/>
  <c r="O157" i="10" s="1"/>
  <c r="P157" i="10" s="1"/>
  <c r="R157" i="10" s="1"/>
  <c r="Q157" i="10"/>
  <c r="N158" i="10"/>
  <c r="O158" i="10" s="1"/>
  <c r="P158" i="10" s="1"/>
  <c r="R158" i="10" s="1"/>
  <c r="Q158" i="10"/>
  <c r="N159" i="10"/>
  <c r="O159" i="10" s="1"/>
  <c r="P159" i="10" s="1"/>
  <c r="R159" i="10" s="1"/>
  <c r="Q159" i="10"/>
  <c r="N160" i="10"/>
  <c r="O160" i="10" s="1"/>
  <c r="P160" i="10" s="1"/>
  <c r="R160" i="10" s="1"/>
  <c r="Q160" i="10"/>
  <c r="N161" i="10"/>
  <c r="O161" i="10"/>
  <c r="P161" i="10"/>
  <c r="R161" i="10" s="1"/>
  <c r="Q161" i="10"/>
  <c r="N162" i="10"/>
  <c r="O162" i="10" s="1"/>
  <c r="P162" i="10" s="1"/>
  <c r="R162" i="10" s="1"/>
  <c r="Q162" i="10"/>
  <c r="N163" i="10"/>
  <c r="O163" i="10" s="1"/>
  <c r="P163" i="10" s="1"/>
  <c r="R163" i="10" s="1"/>
  <c r="Q163" i="10"/>
  <c r="N164" i="10"/>
  <c r="O164" i="10" s="1"/>
  <c r="P164" i="10" s="1"/>
  <c r="R164" i="10" s="1"/>
  <c r="Q164" i="10"/>
  <c r="N165" i="10"/>
  <c r="O165" i="10" s="1"/>
  <c r="P165" i="10" s="1"/>
  <c r="R165" i="10" s="1"/>
  <c r="Q165" i="10"/>
  <c r="N166" i="10"/>
  <c r="O166" i="10" s="1"/>
  <c r="P166" i="10" s="1"/>
  <c r="R166" i="10" s="1"/>
  <c r="Q166" i="10"/>
  <c r="N167" i="10"/>
  <c r="O167" i="10" s="1"/>
  <c r="P167" i="10" s="1"/>
  <c r="R167" i="10" s="1"/>
  <c r="Q167" i="10"/>
  <c r="N168" i="10"/>
  <c r="O168" i="10" s="1"/>
  <c r="P168" i="10" s="1"/>
  <c r="R168" i="10" s="1"/>
  <c r="Q168" i="10"/>
  <c r="N169" i="10"/>
  <c r="O169" i="10"/>
  <c r="P169" i="10"/>
  <c r="R169" i="10" s="1"/>
  <c r="Q169" i="10"/>
  <c r="N170" i="10"/>
  <c r="O170" i="10" s="1"/>
  <c r="P170" i="10" s="1"/>
  <c r="R170" i="10" s="1"/>
  <c r="Q170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Q8" i="10"/>
  <c r="N8" i="10"/>
  <c r="O8" i="10" s="1"/>
  <c r="P8" i="10" s="1"/>
  <c r="R8" i="10" s="1"/>
  <c r="L8" i="10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36" i="1"/>
  <c r="P37" i="1"/>
  <c r="P38" i="1"/>
  <c r="P39" i="1"/>
  <c r="P63" i="1"/>
  <c r="P64" i="1"/>
  <c r="P65" i="1"/>
  <c r="P81" i="1"/>
  <c r="P82" i="1"/>
  <c r="P83" i="1"/>
  <c r="P112" i="1"/>
  <c r="P113" i="1"/>
  <c r="P114" i="1"/>
  <c r="P115" i="1"/>
  <c r="P144" i="1"/>
  <c r="P145" i="1"/>
  <c r="P146" i="1"/>
  <c r="P147" i="1"/>
  <c r="P182" i="1"/>
  <c r="P183" i="1"/>
  <c r="P184" i="1"/>
  <c r="P185" i="1"/>
  <c r="P219" i="1"/>
  <c r="P220" i="1"/>
  <c r="P221" i="1"/>
  <c r="P222" i="1"/>
  <c r="P375" i="1"/>
  <c r="P376" i="1"/>
  <c r="P377" i="1"/>
  <c r="P378" i="1"/>
  <c r="P379" i="1"/>
  <c r="P380" i="1"/>
  <c r="P381" i="1"/>
  <c r="P382" i="1"/>
  <c r="P383" i="1"/>
  <c r="P535" i="1"/>
  <c r="P536" i="1"/>
  <c r="P537" i="1"/>
  <c r="P538" i="1"/>
  <c r="P539" i="1"/>
  <c r="P540" i="1"/>
  <c r="P541" i="1"/>
  <c r="P542" i="1"/>
  <c r="P694" i="1"/>
  <c r="P695" i="1"/>
  <c r="P696" i="1"/>
  <c r="P697" i="1"/>
  <c r="P698" i="1"/>
  <c r="P699" i="1"/>
  <c r="P700" i="1"/>
  <c r="P701" i="1"/>
  <c r="P853" i="1"/>
  <c r="P854" i="1"/>
  <c r="P855" i="1"/>
  <c r="P856" i="1"/>
  <c r="P857" i="1"/>
  <c r="P858" i="1"/>
  <c r="P859" i="1"/>
  <c r="P860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339" i="1"/>
  <c r="P2340" i="1"/>
  <c r="P2341" i="1"/>
  <c r="P2342" i="1"/>
  <c r="P2343" i="1"/>
  <c r="P2344" i="1"/>
  <c r="P2345" i="1"/>
  <c r="P2346" i="1"/>
  <c r="P2347" i="1"/>
  <c r="P2348" i="1"/>
  <c r="P2540" i="1"/>
  <c r="P2541" i="1"/>
  <c r="P2542" i="1"/>
  <c r="P2543" i="1"/>
  <c r="P2544" i="1"/>
  <c r="P2545" i="1"/>
  <c r="P2546" i="1"/>
  <c r="P2547" i="1"/>
  <c r="P2548" i="1"/>
  <c r="P2549" i="1"/>
  <c r="P2741" i="1"/>
  <c r="P2742" i="1"/>
  <c r="P2743" i="1"/>
  <c r="P2744" i="1"/>
  <c r="P2745" i="1"/>
  <c r="P2746" i="1"/>
  <c r="P2747" i="1"/>
  <c r="P2748" i="1"/>
  <c r="P2749" i="1"/>
  <c r="P2750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813" i="1"/>
  <c r="P3814" i="1"/>
  <c r="P3815" i="1"/>
  <c r="P3816" i="1"/>
  <c r="P3817" i="1"/>
  <c r="P3818" i="1"/>
  <c r="P3819" i="1"/>
  <c r="P3820" i="1"/>
  <c r="P3821" i="1"/>
  <c r="P3822" i="1"/>
  <c r="P3909" i="1"/>
  <c r="P3910" i="1"/>
  <c r="P3911" i="1"/>
  <c r="P3912" i="1"/>
  <c r="P3913" i="1"/>
  <c r="P3914" i="1"/>
  <c r="P3915" i="1"/>
  <c r="P3916" i="1"/>
  <c r="P3917" i="1"/>
  <c r="P3918" i="1"/>
  <c r="P4005" i="1"/>
  <c r="P4006" i="1"/>
  <c r="P4007" i="1"/>
  <c r="P4008" i="1"/>
  <c r="P4009" i="1"/>
  <c r="P4010" i="1"/>
  <c r="P4011" i="1"/>
  <c r="P4012" i="1"/>
  <c r="P4013" i="1"/>
  <c r="P4014" i="1"/>
  <c r="P4101" i="1"/>
  <c r="P4102" i="1"/>
  <c r="P4103" i="1"/>
  <c r="P4104" i="1"/>
  <c r="P4105" i="1"/>
  <c r="P4106" i="1"/>
  <c r="P4107" i="1"/>
  <c r="P4108" i="1"/>
  <c r="P4109" i="1"/>
  <c r="P4110" i="1"/>
  <c r="P3" i="1"/>
  <c r="F733" i="5" l="1"/>
  <c r="F734" i="5"/>
  <c r="F736" i="5"/>
  <c r="F777" i="5"/>
  <c r="F779" i="5"/>
  <c r="F780" i="5"/>
  <c r="F781" i="5"/>
  <c r="F782" i="5"/>
  <c r="F783" i="5"/>
  <c r="F786" i="5"/>
  <c r="F791" i="5"/>
  <c r="F828" i="5"/>
  <c r="F853" i="5"/>
  <c r="F856" i="5"/>
  <c r="F857" i="5"/>
  <c r="F861" i="5"/>
  <c r="F902" i="5"/>
  <c r="F995" i="5"/>
  <c r="F1000" i="5"/>
  <c r="F1006" i="5"/>
  <c r="F1007" i="5"/>
  <c r="F1010" i="5"/>
  <c r="F1011" i="5"/>
  <c r="F1012" i="5"/>
  <c r="F1015" i="5"/>
  <c r="K6" i="10"/>
  <c r="J6" i="10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5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8" i="5"/>
  <c r="F784" i="5"/>
  <c r="F785" i="5"/>
  <c r="F787" i="5"/>
  <c r="F788" i="5"/>
  <c r="F789" i="5"/>
  <c r="F790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4" i="5"/>
  <c r="F855" i="5"/>
  <c r="F858" i="5"/>
  <c r="F859" i="5"/>
  <c r="F860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6" i="5"/>
  <c r="F997" i="5"/>
  <c r="F998" i="5"/>
  <c r="F999" i="5"/>
  <c r="F1001" i="5"/>
  <c r="F1002" i="5"/>
  <c r="F1003" i="5"/>
  <c r="F1004" i="5"/>
  <c r="F1005" i="5"/>
  <c r="F1008" i="5"/>
  <c r="F1009" i="5"/>
  <c r="F1013" i="5"/>
  <c r="F1014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2" i="5"/>
  <c r="L6" i="10" l="1"/>
</calcChain>
</file>

<file path=xl/sharedStrings.xml><?xml version="1.0" encoding="utf-8"?>
<sst xmlns="http://schemas.openxmlformats.org/spreadsheetml/2006/main" count="47337" uniqueCount="9843">
  <si>
    <t>分类</t>
    <phoneticPr fontId="1" type="noConversion"/>
  </si>
  <si>
    <t>Section</t>
  </si>
  <si>
    <t>Engagement Code</t>
  </si>
  <si>
    <t>分类</t>
  </si>
  <si>
    <t>订单编号</t>
  </si>
  <si>
    <t>排班负责人</t>
  </si>
  <si>
    <t>招聘-长期Intern</t>
    <phoneticPr fontId="1" type="noConversion"/>
  </si>
  <si>
    <t>长期Intern-运营</t>
  </si>
  <si>
    <t>10000014</t>
  </si>
  <si>
    <t>WP 大PMO</t>
  </si>
  <si>
    <t>Order10000014- 240805002</t>
  </si>
  <si>
    <t>Qing.Yu.C.Cao,Abigal.C.Zhang</t>
  </si>
  <si>
    <t>招聘-长期Intern</t>
  </si>
  <si>
    <t>长期Intern-宣讲</t>
  </si>
  <si>
    <t>Osl</t>
  </si>
  <si>
    <t>Order10000014- 240801001</t>
  </si>
  <si>
    <t>Cecilia.YY.Sun</t>
  </si>
  <si>
    <t>长期Intern-开放日</t>
  </si>
  <si>
    <t>活动相关</t>
  </si>
  <si>
    <t>Order10000014- 240719004</t>
  </si>
  <si>
    <t>Meng.Yi.Li</t>
  </si>
  <si>
    <t>长期Intern-资料准备</t>
  </si>
  <si>
    <t>培训</t>
  </si>
  <si>
    <t>Order10000014- 240719003</t>
  </si>
  <si>
    <t>Yong.Quan.Zhu,Evelyn NF Zhao</t>
  </si>
  <si>
    <t>长期Intern-培训</t>
  </si>
  <si>
    <t>Support Projection</t>
  </si>
  <si>
    <t>Order10000014- 240719002</t>
  </si>
  <si>
    <t>Phoebe.YH.Wang,Qing.Yu.C.Cao</t>
  </si>
  <si>
    <t>长期Intern-面试</t>
  </si>
  <si>
    <t>22182428</t>
  </si>
  <si>
    <t>GAM Training</t>
  </si>
  <si>
    <t>Order22182428- 240926001</t>
  </si>
  <si>
    <t/>
  </si>
  <si>
    <t>长期Intern-笔试</t>
  </si>
  <si>
    <t>23148993</t>
  </si>
  <si>
    <t>标准模板维护</t>
  </si>
  <si>
    <t>Order23148993- 240719001</t>
  </si>
  <si>
    <t>长期Intern-推广</t>
  </si>
  <si>
    <t>底稿迁移运营</t>
  </si>
  <si>
    <t>Order23148993- 240716001</t>
  </si>
  <si>
    <t>长期Intern-名单管理</t>
  </si>
  <si>
    <t>23154218</t>
  </si>
  <si>
    <t>Order23154218- 240719002</t>
  </si>
  <si>
    <t>长期Intern-其他</t>
  </si>
  <si>
    <t>Order23154218- 240719001</t>
  </si>
  <si>
    <t>Qianyu.Liu,Hazel.G.Guo,Xiao.Han.J.Ji</t>
  </si>
  <si>
    <t>招聘-常规招聘</t>
  </si>
  <si>
    <t>常规招聘-运营</t>
  </si>
  <si>
    <t>23237523</t>
  </si>
  <si>
    <t>Skywind 运营</t>
  </si>
  <si>
    <t>Order23237523- 240719003</t>
  </si>
  <si>
    <t>Ge.Lou,Fei.Fan.Qu</t>
  </si>
  <si>
    <t>常规招聘-宣讲</t>
  </si>
  <si>
    <t>CCP运维</t>
  </si>
  <si>
    <t>Order23237523- 240719002</t>
  </si>
  <si>
    <t>Nina.XY.Wang</t>
  </si>
  <si>
    <t>常规招聘-资料准备</t>
  </si>
  <si>
    <t>BSA 服务</t>
  </si>
  <si>
    <t>Order23237523- 240719001</t>
  </si>
  <si>
    <t>Frica.R.Qi</t>
  </si>
  <si>
    <t>常规招聘-面试</t>
  </si>
  <si>
    <t>23242613</t>
  </si>
  <si>
    <t>WP 函证-函证运营</t>
  </si>
  <si>
    <t>Order23242613- 240826007</t>
  </si>
  <si>
    <t>Zuo.Jie.Wang,Echo.JH.Zhang</t>
  </si>
  <si>
    <t>常规招聘-笔试</t>
  </si>
  <si>
    <t>工程审计COE</t>
  </si>
  <si>
    <t>Order23242613- 240826005</t>
  </si>
  <si>
    <t>常规招聘-其他</t>
  </si>
  <si>
    <t>DDP &amp; FAIT</t>
  </si>
  <si>
    <t>Order23242613- 240826004</t>
  </si>
  <si>
    <t>GAM</t>
  </si>
  <si>
    <t>底稿COE-HK EDC</t>
  </si>
  <si>
    <t>Order23242613- 240826003</t>
  </si>
  <si>
    <t>Susi.L.Song,Candy.X.Li</t>
  </si>
  <si>
    <t>WPCOE 特色课</t>
  </si>
  <si>
    <t>Team Admin</t>
  </si>
  <si>
    <t>Order23242613- 240826002</t>
  </si>
  <si>
    <t>HK COE 特色课</t>
  </si>
  <si>
    <t>WP Control-项目复盘</t>
  </si>
  <si>
    <t>Order23242613- 240826001</t>
  </si>
  <si>
    <t>Ark.Song</t>
  </si>
  <si>
    <t>Lease COE 特色课</t>
  </si>
  <si>
    <t>底稿COE-FSO</t>
  </si>
  <si>
    <t>Order23242613- 240731001</t>
  </si>
  <si>
    <t>Horace.Huang,William.CH.Wu</t>
  </si>
  <si>
    <t>ECL COE 特色课</t>
  </si>
  <si>
    <t>WP 内控</t>
  </si>
  <si>
    <t>Order23242613- 240730016</t>
  </si>
  <si>
    <t>Qing.Yu.C.Cao</t>
  </si>
  <si>
    <t>内控COE 特色课</t>
  </si>
  <si>
    <t>Order23242613- 240730015</t>
  </si>
  <si>
    <t>Qing.Yu.C.Cao,Christina.JC.Lu</t>
  </si>
  <si>
    <t>CFS COE 特色课</t>
  </si>
  <si>
    <t>Order23242613- 240730014</t>
  </si>
  <si>
    <t>Stock take 特色课</t>
  </si>
  <si>
    <t>Order23242613- 240730012</t>
  </si>
  <si>
    <t>收入TOD 特色课</t>
  </si>
  <si>
    <t>Order23242613- 240730011</t>
  </si>
  <si>
    <t>FSO COE 特色课</t>
  </si>
  <si>
    <t>底稿COE-PO</t>
  </si>
  <si>
    <t>Order23242613- 240730009</t>
  </si>
  <si>
    <t>Susi.L.Song,Emma.TY.Yang,Candy.X.Li,Daisy.H.Han,Yu.Ting.Z.Zhu,Tsia.Yu,Shaw.Zhong,sarah-r.hu,john.sx.yan,dan.yang,bell.zhang,Bryan Guo,Nina.XY.Wang</t>
  </si>
  <si>
    <t>BSA COE 特色课</t>
  </si>
  <si>
    <t>Order23242613- 240730008</t>
  </si>
  <si>
    <t>其他</t>
  </si>
  <si>
    <t>Order23242613- 240730006</t>
  </si>
  <si>
    <t>Candy.X.Li</t>
  </si>
  <si>
    <t>Townhall</t>
  </si>
  <si>
    <t>Order23242613- 240730004</t>
  </si>
  <si>
    <t>D&amp;I</t>
  </si>
  <si>
    <t>Stocking COE</t>
  </si>
  <si>
    <t>Order23242613- 240730002</t>
  </si>
  <si>
    <t>项目复盘</t>
  </si>
  <si>
    <t>CFS COE</t>
  </si>
  <si>
    <t>Order23242613- 240730001</t>
  </si>
  <si>
    <t>Candice.MT.Cheng1</t>
  </si>
  <si>
    <t>Process（流程）</t>
  </si>
  <si>
    <t>WP Control</t>
  </si>
  <si>
    <t>Order23242613- 240719017</t>
  </si>
  <si>
    <t>Phoebe.YH.Wang,Qing.Yu.C.Cao,Abigal.C.Zhang,Meng.Yi.Li</t>
  </si>
  <si>
    <t>Quality（质控）</t>
  </si>
  <si>
    <t>Order23242613- 240719016</t>
  </si>
  <si>
    <t>Q&amp;A（答疑）</t>
  </si>
  <si>
    <t>Order23242613- 240719015</t>
  </si>
  <si>
    <t>Haidee.Qu,Shireen.Wang</t>
  </si>
  <si>
    <t>Promotion（推广)</t>
  </si>
  <si>
    <t>WP 函证-往来函证先发</t>
  </si>
  <si>
    <t>Order23242613- 240719014</t>
  </si>
  <si>
    <t>Ellen QW Xu,Emma.JH.He,Ryan.Zang,Emma.C.Wang,Tsia.Yu,megan-l.ma,Jane.JW.Li,Adrian.Wang,Kenny.Han,Judy.CQ.Hu,Sophia.JX.Zhang,Ying.Y.Zhang</t>
  </si>
  <si>
    <t>Pilot Run（试运行）</t>
  </si>
  <si>
    <t>Order23242613- 240719013</t>
  </si>
  <si>
    <t>Candy.X.Li,Real.Yan,Bryan Guo,Molly.PJ.Wang</t>
  </si>
  <si>
    <t>Booking（订单管理）</t>
  </si>
  <si>
    <t>Order23242613- 240719012</t>
  </si>
  <si>
    <t>Phoebe.YH.Wang,Tiana Li,Tony.Xin,Ronie.Wu,Lucia Q Liu,Ark.Song,Qing.Yu.C.Cao,Abigal.C.Zhang</t>
  </si>
  <si>
    <t>Feedback（反馈）</t>
  </si>
  <si>
    <t>Order23242613- 240719007</t>
  </si>
  <si>
    <t>底稿COE-运营</t>
  </si>
  <si>
    <t>Order23242613- 240719008</t>
  </si>
  <si>
    <t>Phoebe.YH.Wang,Ronie.Wu,Linda.C.Lin,Qing.Yu.C.Cao,Abigal.C.Zhang,Meng.Yi.Li</t>
  </si>
  <si>
    <t>项目管理-人员下沉</t>
  </si>
  <si>
    <t>TOD COE</t>
  </si>
  <si>
    <t>Order23242613- 240719010</t>
  </si>
  <si>
    <t>inefficiency</t>
  </si>
  <si>
    <t>WP PBOC</t>
  </si>
  <si>
    <t>Order23242613- 240719011</t>
  </si>
  <si>
    <t>Qianyu.Liu,Hazel.G.Guo,Si.Yu.SY.Zhang,Amy.N.Zhang,Xiao.Han.J.Ji</t>
  </si>
  <si>
    <t>WP PBC 管理</t>
  </si>
  <si>
    <t>Order23242613- 240719009</t>
  </si>
  <si>
    <t>john.sx.yan,betty.jia,Lucas.YQ.Liu</t>
  </si>
  <si>
    <t>WP MNC&amp; VSE</t>
  </si>
  <si>
    <t>Order23242613- 240719002</t>
  </si>
  <si>
    <t>Lease COE</t>
  </si>
  <si>
    <t>Order23242613- 240719003</t>
  </si>
  <si>
    <t>Ashley YT He,Ivy.YL.Yu</t>
  </si>
  <si>
    <t>WP IPO</t>
  </si>
  <si>
    <t>Order23242613- 240719004</t>
  </si>
  <si>
    <t>ECL COE</t>
  </si>
  <si>
    <t>Order23242613- 240719006</t>
  </si>
  <si>
    <t>Kristin Yang,Yilia.Y.Zhang1</t>
  </si>
  <si>
    <t>23244523</t>
  </si>
  <si>
    <t>Order23244523- 240719002</t>
  </si>
  <si>
    <t>Order23244523- 240719003</t>
  </si>
  <si>
    <t>Order23244523- 240719001</t>
  </si>
  <si>
    <t>23338683</t>
  </si>
  <si>
    <t>Order23338683- 240719017</t>
  </si>
  <si>
    <t>Qing.Yu.C.Cao,Meng.Yi.Li</t>
  </si>
  <si>
    <t>Order23338683- 240719006</t>
  </si>
  <si>
    <t>Order23338683- 240719016</t>
  </si>
  <si>
    <t>V5-通用模板发版</t>
  </si>
  <si>
    <t>Order23338683- 240719015</t>
  </si>
  <si>
    <t>V5-行业模板发版</t>
  </si>
  <si>
    <t>Order23338683- 240719014</t>
  </si>
  <si>
    <t>V5-其他模板发版</t>
  </si>
  <si>
    <t>Order23338683- 240719013</t>
  </si>
  <si>
    <t>V5-通用模板维护</t>
  </si>
  <si>
    <t>Order23338683- 240719012</t>
  </si>
  <si>
    <t>V5-行业模板维护</t>
  </si>
  <si>
    <t>Order23338683- 240719011</t>
  </si>
  <si>
    <t>V5-其他模板维护</t>
  </si>
  <si>
    <t>Order23338683- 240719007</t>
  </si>
  <si>
    <t>Order23338683- 240719008</t>
  </si>
  <si>
    <t>Order23338683- 240719009</t>
  </si>
  <si>
    <t>Order23338683- 240719002</t>
  </si>
  <si>
    <t>Order23338683- 240719003</t>
  </si>
  <si>
    <t>Order23338683- 240719004</t>
  </si>
  <si>
    <t>Order23338683- 240719005</t>
  </si>
  <si>
    <t>47040013</t>
  </si>
  <si>
    <t>函证飞行检查</t>
  </si>
  <si>
    <t>Order47040013- 250211001</t>
  </si>
  <si>
    <t>47045614</t>
  </si>
  <si>
    <t>CSDC HM Intemal Training</t>
  </si>
  <si>
    <t>Order47045614- 240926001</t>
  </si>
  <si>
    <t>47045615</t>
  </si>
  <si>
    <t>CSDC HM Intemal Training-Operation</t>
  </si>
  <si>
    <t>Order47045615- 240926001</t>
  </si>
  <si>
    <t>47045616</t>
  </si>
  <si>
    <t>CSDC HM Intemal Training-拉通</t>
  </si>
  <si>
    <t>Order47045616- 240926001</t>
  </si>
  <si>
    <t>看板维护</t>
  </si>
  <si>
    <t>Daily Sharing (拉通)</t>
  </si>
  <si>
    <t>Service Go</t>
  </si>
  <si>
    <t>Cost Management</t>
  </si>
  <si>
    <t>Timesheet SPOC</t>
  </si>
  <si>
    <t>会议室SPOC</t>
  </si>
  <si>
    <t>People Management</t>
  </si>
  <si>
    <t>人员清单以及群组维护</t>
  </si>
  <si>
    <t>访客接待</t>
  </si>
  <si>
    <t>休假、考勤等信息统计</t>
  </si>
  <si>
    <t>Tiger</t>
  </si>
  <si>
    <t>Canvas</t>
  </si>
  <si>
    <t>函证</t>
  </si>
  <si>
    <t>TOD Trial</t>
  </si>
  <si>
    <t>AFS Trial</t>
  </si>
  <si>
    <t>飞行检查</t>
  </si>
  <si>
    <t>Design（设计）</t>
  </si>
  <si>
    <t>Testing（测试）</t>
  </si>
  <si>
    <t>项目调研</t>
  </si>
  <si>
    <t>ZBB</t>
  </si>
  <si>
    <t>PO-流程和服务设计</t>
  </si>
  <si>
    <t>质检</t>
  </si>
  <si>
    <t>QA&amp;拉通</t>
  </si>
  <si>
    <t>推广</t>
  </si>
  <si>
    <t>看板</t>
  </si>
  <si>
    <t>项目管理</t>
  </si>
  <si>
    <t>Feedback</t>
  </si>
  <si>
    <t>Service Go维护</t>
  </si>
  <si>
    <t>ASSR10x</t>
  </si>
  <si>
    <t>ASSR201/ASSR202</t>
  </si>
  <si>
    <t>ASSR301</t>
  </si>
  <si>
    <t>ASSR4</t>
  </si>
  <si>
    <t>ASSR5</t>
  </si>
  <si>
    <t>WTEY</t>
  </si>
  <si>
    <t>EDC培训</t>
  </si>
  <si>
    <t>好孩子</t>
  </si>
  <si>
    <t>低效</t>
  </si>
  <si>
    <t>Loan Staff</t>
  </si>
  <si>
    <t>存货盘点</t>
  </si>
  <si>
    <t>WP 底稿研发</t>
  </si>
  <si>
    <t>底稿研发-E1</t>
  </si>
  <si>
    <t>底稿研发-E2&amp;E3</t>
  </si>
  <si>
    <t>底稿研发-TOD</t>
  </si>
  <si>
    <t>底稿研发-J1</t>
  </si>
  <si>
    <t>底稿研发-K2</t>
  </si>
  <si>
    <t>底稿研发-PAL2</t>
  </si>
  <si>
    <t>底稿研发-F</t>
  </si>
  <si>
    <t>底稿研发-Uexp</t>
  </si>
  <si>
    <t>底稿研发-O</t>
  </si>
  <si>
    <t>底稿研发-Valuation</t>
  </si>
  <si>
    <t>订单管理</t>
  </si>
  <si>
    <t>服务方案</t>
  </si>
  <si>
    <t>进度管理</t>
  </si>
  <si>
    <t>预算预警</t>
  </si>
  <si>
    <t>复盘及Debrief Meeting</t>
  </si>
  <si>
    <t>新服务介绍</t>
  </si>
  <si>
    <t>WP-CI</t>
  </si>
  <si>
    <t>项目复盘</t>
    <phoneticPr fontId="1" type="noConversion"/>
  </si>
  <si>
    <t>项目方案制定</t>
    <phoneticPr fontId="1" type="noConversion"/>
  </si>
  <si>
    <t>项目Coach</t>
    <phoneticPr fontId="1" type="noConversion"/>
  </si>
  <si>
    <t>项目-其他</t>
    <phoneticPr fontId="1" type="noConversion"/>
  </si>
  <si>
    <t>Kaizen价值流图</t>
  </si>
  <si>
    <t>Kaizen立项执行</t>
  </si>
  <si>
    <t>Kaizen其他</t>
  </si>
  <si>
    <t>运营</t>
  </si>
  <si>
    <t>Pilot服务</t>
    <phoneticPr fontId="1" type="noConversion"/>
  </si>
  <si>
    <t>打折</t>
  </si>
  <si>
    <t>MNC服务包</t>
    <phoneticPr fontId="1" type="noConversion"/>
  </si>
  <si>
    <t>NRI Dalian</t>
    <phoneticPr fontId="1" type="noConversion"/>
  </si>
  <si>
    <t>MNC服务包</t>
  </si>
  <si>
    <t>Sompo Dalian</t>
    <phoneticPr fontId="1" type="noConversion"/>
  </si>
  <si>
    <t>TOTO Dalian</t>
    <phoneticPr fontId="1" type="noConversion"/>
  </si>
  <si>
    <t>TOTO Liaoning</t>
    <phoneticPr fontId="1" type="noConversion"/>
  </si>
  <si>
    <t>Toshiba Logistics</t>
    <phoneticPr fontId="1" type="noConversion"/>
  </si>
  <si>
    <t>Nomura DL</t>
    <phoneticPr fontId="1" type="noConversion"/>
  </si>
  <si>
    <t>Mabuchi DL</t>
    <phoneticPr fontId="1" type="noConversion"/>
  </si>
  <si>
    <t>Harada DL</t>
    <phoneticPr fontId="1" type="noConversion"/>
  </si>
  <si>
    <t>Hitachi Instrument</t>
    <phoneticPr fontId="1" type="noConversion"/>
  </si>
  <si>
    <t>Vanke JYLW</t>
    <phoneticPr fontId="1" type="noConversion"/>
  </si>
  <si>
    <t>SumiRiko</t>
    <phoneticPr fontId="1" type="noConversion"/>
  </si>
  <si>
    <t>Konecranes</t>
    <phoneticPr fontId="1" type="noConversion"/>
  </si>
  <si>
    <t>MHI BS</t>
    <phoneticPr fontId="1" type="noConversion"/>
  </si>
  <si>
    <t>Itabashi DL</t>
    <phoneticPr fontId="1" type="noConversion"/>
  </si>
  <si>
    <t>Fuji Motor</t>
    <phoneticPr fontId="1" type="noConversion"/>
  </si>
  <si>
    <t>Fuji electric</t>
    <phoneticPr fontId="1" type="noConversion"/>
  </si>
  <si>
    <t>ELDOR AUTOMOTIVE</t>
    <phoneticPr fontId="1" type="noConversion"/>
  </si>
  <si>
    <t>Alpine Dalian Statu</t>
    <phoneticPr fontId="1" type="noConversion"/>
  </si>
  <si>
    <t>Alpine Dalian JSOX</t>
    <phoneticPr fontId="1" type="noConversion"/>
  </si>
  <si>
    <t>ABNA DL-联英管理（上海）有限公司</t>
    <phoneticPr fontId="1" type="noConversion"/>
  </si>
  <si>
    <t>ABNA DL-英联贸易（上海）有限公司</t>
    <phoneticPr fontId="1" type="noConversion"/>
  </si>
  <si>
    <t>ABNA DL-英联普美欣科技（江西）有限公司</t>
    <phoneticPr fontId="1" type="noConversion"/>
  </si>
  <si>
    <t>ABNA DL-联英饲料（天津）有限公司</t>
    <phoneticPr fontId="1" type="noConversion"/>
  </si>
  <si>
    <t>ABNA DL-英联农业科技（江苏）有限公司</t>
    <phoneticPr fontId="1" type="noConversion"/>
  </si>
  <si>
    <t>Canon MED</t>
    <phoneticPr fontId="1" type="noConversion"/>
  </si>
  <si>
    <t>Dalian ALPS</t>
    <phoneticPr fontId="1" type="noConversion"/>
  </si>
  <si>
    <t>VTD Group</t>
    <phoneticPr fontId="1" type="noConversion"/>
  </si>
  <si>
    <t>Dalian Rayon</t>
    <phoneticPr fontId="1" type="noConversion"/>
  </si>
  <si>
    <t>Prominent Shanghai &amp; PROMINENT FLUID</t>
    <phoneticPr fontId="1" type="noConversion"/>
  </si>
  <si>
    <t>VWATD</t>
    <phoneticPr fontId="1" type="noConversion"/>
  </si>
  <si>
    <t>VWED</t>
    <phoneticPr fontId="1" type="noConversion"/>
  </si>
  <si>
    <t>ATDL</t>
    <phoneticPr fontId="1" type="noConversion"/>
  </si>
  <si>
    <t>Tang Shan port</t>
    <phoneticPr fontId="1" type="noConversion"/>
  </si>
  <si>
    <t>Zhongsheng</t>
    <phoneticPr fontId="1" type="noConversion"/>
  </si>
  <si>
    <t>Hitachi Energy</t>
    <phoneticPr fontId="1" type="noConversion"/>
  </si>
  <si>
    <t>Le Belier</t>
    <phoneticPr fontId="1" type="noConversion"/>
  </si>
  <si>
    <t>Cashflow</t>
  </si>
  <si>
    <t>Trail run</t>
  </si>
  <si>
    <t>Pilot</t>
  </si>
  <si>
    <t>复盘</t>
  </si>
  <si>
    <t>标准底稿模板编制</t>
  </si>
  <si>
    <t>SOP</t>
  </si>
  <si>
    <t>培训材料</t>
  </si>
  <si>
    <t>拉通-CP周例会</t>
  </si>
  <si>
    <t>质检-复核</t>
  </si>
  <si>
    <t>质检-运营</t>
  </si>
  <si>
    <t>答疑-问题回复</t>
  </si>
  <si>
    <t>ECL</t>
  </si>
  <si>
    <t>标准底稿运营</t>
  </si>
  <si>
    <t>Resouce管理</t>
  </si>
  <si>
    <t>Team Bulding</t>
  </si>
  <si>
    <t>Floor Management</t>
  </si>
  <si>
    <t>例会及汇报会</t>
  </si>
  <si>
    <t>IPO服务包</t>
  </si>
  <si>
    <t>调研</t>
  </si>
  <si>
    <t>培训材料准备</t>
  </si>
  <si>
    <t>培训讲师</t>
  </si>
  <si>
    <t>培训团队</t>
  </si>
  <si>
    <t>拉通讲师</t>
  </si>
  <si>
    <t>拉通团队</t>
  </si>
  <si>
    <t>答疑</t>
  </si>
  <si>
    <t>反馈</t>
  </si>
  <si>
    <t>迭代</t>
  </si>
  <si>
    <t>Lease</t>
  </si>
  <si>
    <t>认证</t>
  </si>
  <si>
    <t>MNC&amp; VSE 服务包</t>
  </si>
  <si>
    <t>推广&amp;PilotRun</t>
  </si>
  <si>
    <t>项目前期沟通及方案设计</t>
  </si>
  <si>
    <t>PBC及OS管理服务</t>
  </si>
  <si>
    <t>预审前pilot 折扣</t>
  </si>
  <si>
    <t>PBOC 服务</t>
  </si>
  <si>
    <t>Rollforward &amp; Migration运营</t>
  </si>
  <si>
    <t>Sales TOD</t>
  </si>
  <si>
    <t>认证流程</t>
  </si>
  <si>
    <t>质检流程</t>
  </si>
  <si>
    <t>流程档案编写及维护</t>
  </si>
  <si>
    <t>标准底稿升级及维护</t>
  </si>
  <si>
    <t>交付样例编写及维护</t>
  </si>
  <si>
    <t>培训/考试资料编写及维护</t>
  </si>
  <si>
    <t>答疑流程</t>
  </si>
  <si>
    <t>拉通流程</t>
  </si>
  <si>
    <t>培训流程</t>
  </si>
  <si>
    <t>运营工作支持-推广</t>
  </si>
  <si>
    <t>运营工作支持-项目管理</t>
  </si>
  <si>
    <t>运营工作支持-feedback整理</t>
  </si>
  <si>
    <t>运营工作支持-项目复盘</t>
  </si>
  <si>
    <t>Skywind</t>
  </si>
  <si>
    <t>业务测试</t>
  </si>
  <si>
    <t>盘点</t>
  </si>
  <si>
    <t>WP COE</t>
  </si>
  <si>
    <t>上数测试/其他自动化相关</t>
  </si>
  <si>
    <t>其他运营事项</t>
  </si>
  <si>
    <t>大PMO</t>
  </si>
  <si>
    <t>往来函证先发</t>
  </si>
  <si>
    <t>总体运营Control</t>
  </si>
  <si>
    <t>Service Go功能及流程优化</t>
  </si>
  <si>
    <t>看板设计及维护</t>
  </si>
  <si>
    <t>流程改进</t>
  </si>
  <si>
    <t>订单维护及管理</t>
  </si>
  <si>
    <t>Task List管理</t>
  </si>
  <si>
    <t>Feedback管理</t>
  </si>
  <si>
    <t>Resource SPOC</t>
  </si>
  <si>
    <t>SOP-流程梳理/改善</t>
  </si>
  <si>
    <t>拉通-内部拉通，和PO、RMA拉通</t>
  </si>
  <si>
    <t>答疑-答疑平台运营</t>
  </si>
  <si>
    <t>运营工作支持-CSDC盘点项目安排</t>
  </si>
  <si>
    <t>运营工作支持-CSDC盘点人员安排</t>
  </si>
  <si>
    <t>WP质控-SOP</t>
  </si>
  <si>
    <t>SOP-C</t>
  </si>
  <si>
    <t>SOP-Q</t>
  </si>
  <si>
    <t>SOP-K1</t>
  </si>
  <si>
    <t>SOP-L1</t>
  </si>
  <si>
    <t>SOP-L2</t>
  </si>
  <si>
    <t>SOP-N</t>
  </si>
  <si>
    <t>SOP-U-exp</t>
  </si>
  <si>
    <t>SOP-E</t>
  </si>
  <si>
    <t>WP质控-标准底稿</t>
  </si>
  <si>
    <t>标准底稿-C</t>
  </si>
  <si>
    <t>标准底稿-Q</t>
  </si>
  <si>
    <t>标准底稿-K1</t>
  </si>
  <si>
    <t>标准底稿-L1</t>
  </si>
  <si>
    <t>标准底稿-L2</t>
  </si>
  <si>
    <t>标准底稿-N</t>
  </si>
  <si>
    <t>标准底稿-U-exp</t>
  </si>
  <si>
    <t>标准底稿-E</t>
  </si>
  <si>
    <t>WP质控-答疑/案例库/拉通/例会</t>
  </si>
  <si>
    <t>案例库-编写</t>
  </si>
  <si>
    <t>案例库-运营</t>
  </si>
  <si>
    <t>拉通-讲师</t>
  </si>
  <si>
    <t>拉通-学员</t>
  </si>
  <si>
    <t>拉通-运营</t>
  </si>
  <si>
    <t>例会</t>
  </si>
  <si>
    <t>WP质控-关键文档</t>
  </si>
  <si>
    <t>关键文档-其他</t>
  </si>
  <si>
    <t>关键文档-运营</t>
  </si>
  <si>
    <t>WP质控-培训材料</t>
  </si>
  <si>
    <t>培训材料-C</t>
  </si>
  <si>
    <t>培训材料-Q</t>
  </si>
  <si>
    <t>培训材料-K1</t>
  </si>
  <si>
    <t>培训材料-L1</t>
  </si>
  <si>
    <t>培训材料-L2</t>
  </si>
  <si>
    <t>培训材料-N</t>
  </si>
  <si>
    <t>培训材料-U-exp</t>
  </si>
  <si>
    <t>培训材料-E</t>
  </si>
  <si>
    <t>WP质控-认证</t>
  </si>
  <si>
    <t>Manager认证:PMO</t>
  </si>
  <si>
    <t>Manager认证：认证准备</t>
  </si>
  <si>
    <t>Manager认证：Review Notes整理</t>
  </si>
  <si>
    <t>Senior认证:PMO</t>
  </si>
  <si>
    <t>Senior认证:认证准备</t>
  </si>
  <si>
    <t>Senior认证:上岗证考试</t>
  </si>
  <si>
    <t>Staff认证：上岗证考试</t>
  </si>
  <si>
    <t>认证整体管理</t>
  </si>
  <si>
    <t>WP质控-质检</t>
  </si>
  <si>
    <t>质检-PMO</t>
  </si>
  <si>
    <t>内控COE运营</t>
  </si>
  <si>
    <t>内控COE质控</t>
  </si>
  <si>
    <t>认证-复核</t>
  </si>
  <si>
    <t>认证-运营</t>
  </si>
  <si>
    <t>标准底稿</t>
  </si>
  <si>
    <t>其他关键文档</t>
  </si>
  <si>
    <t>FSO运营&amp;PO工作</t>
  </si>
  <si>
    <t>PO-认证与质检</t>
  </si>
  <si>
    <t>PO-关键文档编制与维护</t>
  </si>
  <si>
    <t>PO-答疑及拉通</t>
  </si>
  <si>
    <t>PO-培训组织与管理</t>
  </si>
  <si>
    <t>运营-推广</t>
  </si>
  <si>
    <t>运营-项目管理</t>
  </si>
  <si>
    <t>运营-Feedback与项目复盘</t>
  </si>
  <si>
    <t>OSL</t>
  </si>
  <si>
    <t>Daily Sharing（拉通）</t>
  </si>
  <si>
    <t>Promotion（推广）</t>
  </si>
  <si>
    <t>Internal meeting（内部会议）</t>
  </si>
  <si>
    <t>HK EDC-质检</t>
  </si>
  <si>
    <t>质检-HK质检</t>
  </si>
  <si>
    <t>质检-HK质检checklist编写</t>
  </si>
  <si>
    <t>HK EDC-认证</t>
  </si>
  <si>
    <t>认证-HK上岗证考试</t>
  </si>
  <si>
    <t>认证-HK上岗证数据维护</t>
  </si>
  <si>
    <t>认证-HK认证复核及Review Notes整理</t>
  </si>
  <si>
    <t>HK EDC-培训</t>
  </si>
  <si>
    <t>培训-HK培训流程管理</t>
  </si>
  <si>
    <t>培训-HK培训/考试资料编写及维护</t>
  </si>
  <si>
    <t>培训-HK培训讲师</t>
  </si>
  <si>
    <t>HK EDC-拉通</t>
  </si>
  <si>
    <t>拉通-HK拉通</t>
  </si>
  <si>
    <t>HK EDC-答疑</t>
  </si>
  <si>
    <t>答疑-HK QEL对接</t>
  </si>
  <si>
    <t>答疑-HK答疑</t>
  </si>
  <si>
    <t>HK EDC-关键流程文件</t>
  </si>
  <si>
    <t>关键流程文件-HK项目档案编写及维护</t>
  </si>
  <si>
    <t>关键流程文件-HK SOP、flowchart、交付样例编写及维护</t>
  </si>
  <si>
    <t>HK EDC-运营支持</t>
  </si>
  <si>
    <t>运营支持-HK EDC运营工作支持</t>
  </si>
  <si>
    <t>为进一步帮助大家灵活便捷的完成排班规划，节约排班时间，优化操作体验，现正式推出线下排班工具。该排班工具的操作可实时同步至Service Go中。</t>
  </si>
  <si>
    <t>相关链接:</t>
  </si>
  <si>
    <t>Service Go系统链接:</t>
  </si>
  <si>
    <t>EY Service Gateway</t>
  </si>
  <si>
    <t>排班工具下载链接：</t>
  </si>
  <si>
    <t xml:space="preserve">排班工具操作指引： </t>
    <phoneticPr fontId="1" type="noConversion"/>
  </si>
  <si>
    <t>排班工具操作指引</t>
    <phoneticPr fontId="1" type="noConversion"/>
  </si>
  <si>
    <t>排班工具组成部分:</t>
  </si>
  <si>
    <r>
      <rPr>
        <sz val="11"/>
        <color theme="1"/>
        <rFont val="等线"/>
        <family val="3"/>
        <charset val="134"/>
      </rPr>
      <t>1.</t>
    </r>
    <r>
      <rPr>
        <u/>
        <sz val="11"/>
        <color theme="1"/>
        <rFont val="等线"/>
        <family val="3"/>
        <charset val="134"/>
      </rPr>
      <t>Booking Details</t>
    </r>
    <r>
      <rPr>
        <sz val="11"/>
        <color theme="1"/>
        <rFont val="等线"/>
        <family val="3"/>
        <charset val="134"/>
      </rPr>
      <t xml:space="preserve">：显示各员工每一周在各项目上的汇总/同SG系统中的Weekly booking明细 </t>
    </r>
  </si>
  <si>
    <r>
      <rPr>
        <sz val="11"/>
        <color theme="1"/>
        <rFont val="等线"/>
        <family val="3"/>
        <charset val="134"/>
      </rPr>
      <t>2.</t>
    </r>
    <r>
      <rPr>
        <u/>
        <sz val="11"/>
        <color theme="1"/>
        <rFont val="等线"/>
        <family val="3"/>
        <charset val="134"/>
      </rPr>
      <t>UT Summary</t>
    </r>
    <r>
      <rPr>
        <sz val="11"/>
        <color theme="1"/>
        <rFont val="等线"/>
        <family val="3"/>
        <charset val="134"/>
      </rPr>
      <t>：在&lt;Booking Details&gt;Sheet查询后，展示排班数据的UT结果</t>
    </r>
  </si>
  <si>
    <t>注意事项:</t>
  </si>
  <si>
    <t>一、排班相关：</t>
  </si>
  <si>
    <t>1.排班记录新建完成后不会自动弹出，需点击【排班记录的获取】后，查看新建的排班记录</t>
  </si>
  <si>
    <r>
      <rPr>
        <sz val="11"/>
        <color theme="1"/>
        <rFont val="等线"/>
        <family val="3"/>
        <charset val="134"/>
      </rPr>
      <t>2.排班工具中给项目排班时使用的编号是</t>
    </r>
    <r>
      <rPr>
        <sz val="11"/>
        <color rgb="FFFF0000"/>
        <rFont val="等线"/>
        <family val="3"/>
        <charset val="134"/>
      </rPr>
      <t>订单编号</t>
    </r>
    <r>
      <rPr>
        <sz val="11"/>
        <color theme="1"/>
        <rFont val="等线"/>
        <family val="3"/>
        <charset val="134"/>
      </rPr>
      <t>，不是服务单编号</t>
    </r>
  </si>
  <si>
    <t>3.不能单次多个Manager/多个订单同时获取排班记录，但可多次查询后叠加展示在&lt;Booking Details&gt;sheet</t>
  </si>
  <si>
    <t>4.如获取不到对应Manager下某员工信息，则需要该员工到Service Go系统【CSDC员工信息】中自行添加Manager信息</t>
  </si>
  <si>
    <t>二、UT相关：</t>
  </si>
  <si>
    <t>1.如需查看相关员工对应期间的完整UT数据，建议在&lt;Booking Details&gt;Sheet中By Manager获取Weekly Booking明细后再查询UT</t>
  </si>
  <si>
    <t>三、其他</t>
  </si>
  <si>
    <t>1.对Service Go系统中的线上排班功能进行了保留，也可以在系统上同步操作</t>
  </si>
  <si>
    <r>
      <rPr>
        <sz val="11"/>
        <color theme="1"/>
        <rFont val="等线"/>
        <family val="3"/>
        <charset val="134"/>
      </rPr>
      <t>2.如有任何问题请联系：</t>
    </r>
    <r>
      <rPr>
        <b/>
        <sz val="11"/>
        <color theme="1"/>
        <rFont val="等线"/>
        <family val="3"/>
        <charset val="134"/>
      </rPr>
      <t>WP.EDC.OperationTeam@cn.ey.com</t>
    </r>
  </si>
  <si>
    <t>序号</t>
    <phoneticPr fontId="1" type="noConversion"/>
  </si>
  <si>
    <r>
      <rPr>
        <sz val="10"/>
        <rFont val="微软雅黑"/>
        <family val="2"/>
        <charset val="134"/>
      </rPr>
      <t>订单号</t>
    </r>
  </si>
  <si>
    <t>Engagement Name</t>
    <phoneticPr fontId="1" type="noConversion"/>
  </si>
  <si>
    <t>Client Name</t>
    <phoneticPr fontId="2" type="noConversion"/>
  </si>
  <si>
    <t>Engagement Code</t>
    <phoneticPr fontId="2" type="noConversion"/>
  </si>
  <si>
    <t>WP EIC</t>
  </si>
  <si>
    <t>WP FIC</t>
  </si>
  <si>
    <t>排班负责人</t>
    <phoneticPr fontId="1" type="noConversion"/>
  </si>
  <si>
    <t>Budget</t>
    <phoneticPr fontId="2" type="noConversion"/>
  </si>
  <si>
    <t>Booking</t>
    <phoneticPr fontId="2" type="noConversion"/>
  </si>
  <si>
    <t>Booking diff</t>
  </si>
  <si>
    <t>Actual</t>
    <phoneticPr fontId="1" type="noConversion"/>
  </si>
  <si>
    <r>
      <rPr>
        <sz val="10"/>
        <color rgb="FFFFFFFF"/>
        <rFont val="微软雅黑"/>
        <family val="2"/>
        <charset val="134"/>
      </rPr>
      <t>剩余</t>
    </r>
    <r>
      <rPr>
        <sz val="10"/>
        <color rgb="FFFFFFFF"/>
        <rFont val="Arial"/>
        <family val="2"/>
      </rPr>
      <t>Budget Hours</t>
    </r>
    <phoneticPr fontId="1" type="noConversion"/>
  </si>
  <si>
    <t>Forecast Hours</t>
    <phoneticPr fontId="2" type="noConversion"/>
  </si>
  <si>
    <t>Outlook Hours</t>
    <phoneticPr fontId="2" type="noConversion"/>
  </si>
  <si>
    <t>已使用预算占比</t>
    <phoneticPr fontId="1" type="noConversion"/>
  </si>
  <si>
    <t>是否超支</t>
    <phoneticPr fontId="1" type="noConversion"/>
  </si>
  <si>
    <r>
      <t>booking period start-</t>
    </r>
    <r>
      <rPr>
        <sz val="10"/>
        <rFont val="微软雅黑"/>
        <family val="2"/>
        <charset val="134"/>
      </rPr>
      <t>预审</t>
    </r>
    <phoneticPr fontId="1" type="noConversion"/>
  </si>
  <si>
    <r>
      <t>booking period end-</t>
    </r>
    <r>
      <rPr>
        <sz val="10"/>
        <rFont val="微软雅黑"/>
        <family val="2"/>
        <charset val="134"/>
      </rPr>
      <t>预审</t>
    </r>
  </si>
  <si>
    <r>
      <t>booking period start-</t>
    </r>
    <r>
      <rPr>
        <sz val="10"/>
        <rFont val="微软雅黑"/>
        <family val="2"/>
        <charset val="134"/>
      </rPr>
      <t>年审</t>
    </r>
  </si>
  <si>
    <r>
      <t>booking period end-</t>
    </r>
    <r>
      <rPr>
        <sz val="10"/>
        <rFont val="微软雅黑"/>
        <family val="2"/>
        <charset val="134"/>
      </rPr>
      <t>年审</t>
    </r>
  </si>
  <si>
    <r>
      <rPr>
        <sz val="10"/>
        <rFont val="微软雅黑"/>
        <family val="2"/>
        <charset val="134"/>
      </rPr>
      <t>结账时间</t>
    </r>
    <phoneticPr fontId="2" type="noConversion"/>
  </si>
  <si>
    <r>
      <rPr>
        <sz val="10"/>
        <rFont val="微软雅黑"/>
        <family val="2"/>
        <charset val="134"/>
      </rPr>
      <t>定数时间</t>
    </r>
    <phoneticPr fontId="2" type="noConversion"/>
  </si>
  <si>
    <r>
      <rPr>
        <sz val="10"/>
        <rFont val="微软雅黑"/>
        <family val="2"/>
        <charset val="134"/>
      </rPr>
      <t>报告日</t>
    </r>
    <phoneticPr fontId="2" type="noConversion"/>
  </si>
  <si>
    <t>相关订单</t>
  </si>
  <si>
    <t>Code Type</t>
  </si>
  <si>
    <t>Engagement Name</t>
  </si>
  <si>
    <t>Section</t>
    <phoneticPr fontId="1" type="noConversion"/>
  </si>
  <si>
    <t>员工姓名</t>
  </si>
  <si>
    <t>Chargeable</t>
  </si>
  <si>
    <t>系统自动编号</t>
    <phoneticPr fontId="1" type="noConversion"/>
  </si>
  <si>
    <t>员工姓名</t>
    <phoneticPr fontId="1" type="noConversion"/>
  </si>
  <si>
    <t>财年</t>
    <phoneticPr fontId="1" type="noConversion"/>
  </si>
  <si>
    <t>Week</t>
    <phoneticPr fontId="1" type="noConversion"/>
  </si>
  <si>
    <t>Week期间</t>
    <phoneticPr fontId="1" type="noConversion"/>
  </si>
  <si>
    <t>End Date</t>
    <phoneticPr fontId="1" type="noConversion"/>
  </si>
  <si>
    <t>Code Type</t>
    <phoneticPr fontId="1" type="noConversion"/>
  </si>
  <si>
    <t>相关订单</t>
    <phoneticPr fontId="1" type="noConversion"/>
  </si>
  <si>
    <t>服务中心</t>
    <phoneticPr fontId="1" type="noConversion"/>
  </si>
  <si>
    <t>计划工时</t>
    <phoneticPr fontId="1" type="noConversion"/>
  </si>
  <si>
    <t>新计划工时</t>
    <phoneticPr fontId="1" type="noConversion"/>
  </si>
  <si>
    <t>是否更新</t>
    <phoneticPr fontId="1" type="noConversion"/>
  </si>
  <si>
    <t>地址</t>
    <phoneticPr fontId="1" type="noConversion"/>
  </si>
  <si>
    <t>Week24</t>
  </si>
  <si>
    <t>2025.12.6-2025.12.12</t>
  </si>
  <si>
    <t>WP</t>
  </si>
  <si>
    <t>H10</t>
  </si>
  <si>
    <t>Week25</t>
  </si>
  <si>
    <t>2025.12.13-2025.12.19</t>
  </si>
  <si>
    <t>Week26</t>
  </si>
  <si>
    <t>2025.12.20-2025.12.26</t>
  </si>
  <si>
    <t>Week27</t>
  </si>
  <si>
    <t>2025.12.27-2026.1.2</t>
  </si>
  <si>
    <t>Week28</t>
  </si>
  <si>
    <t>2026.1.3-2026.1.9</t>
  </si>
  <si>
    <t>Week29</t>
  </si>
  <si>
    <t>2026.1.10-2026.1.16</t>
  </si>
  <si>
    <t>Week30</t>
  </si>
  <si>
    <t>2026.1.17-2026.1.23</t>
  </si>
  <si>
    <t>Week31</t>
  </si>
  <si>
    <t>2026.1.24-2026.1.30</t>
  </si>
  <si>
    <t>Week36</t>
  </si>
  <si>
    <t>2026.2.28-2026.3.6</t>
  </si>
  <si>
    <t>Week37</t>
  </si>
  <si>
    <t>2026.3.7-2026.3.13</t>
  </si>
  <si>
    <t>Weekly标准工时</t>
    <phoneticPr fontId="1" type="noConversion"/>
  </si>
  <si>
    <r>
      <rPr>
        <b/>
        <sz val="11"/>
        <color theme="1"/>
        <rFont val="等线"/>
        <family val="3"/>
        <charset val="134"/>
      </rPr>
      <t>员工姓名</t>
    </r>
  </si>
  <si>
    <t>Rank</t>
    <phoneticPr fontId="1" type="noConversion"/>
  </si>
  <si>
    <t>服务</t>
    <phoneticPr fontId="1" type="noConversion"/>
  </si>
  <si>
    <t>中文</t>
    <phoneticPr fontId="1" type="noConversion"/>
  </si>
  <si>
    <t>环境</t>
    <phoneticPr fontId="1" type="noConversion"/>
  </si>
  <si>
    <t>UT列名</t>
    <phoneticPr fontId="1" type="noConversion"/>
  </si>
  <si>
    <t>Engagement Code</t>
    <phoneticPr fontId="1" type="noConversion"/>
  </si>
  <si>
    <t>WP</t>
    <phoneticPr fontId="1" type="noConversion"/>
  </si>
  <si>
    <t>进行中</t>
    <phoneticPr fontId="1" type="noConversion"/>
  </si>
  <si>
    <t>PRO</t>
  </si>
  <si>
    <t>10000015</t>
  </si>
  <si>
    <t>Vacation</t>
  </si>
  <si>
    <t>Non-chargeable</t>
  </si>
  <si>
    <t>该服务单正在排班中，请稍后再进行排班创建。</t>
    <phoneticPr fontId="1" type="noConversion"/>
  </si>
  <si>
    <t>10000013</t>
    <phoneticPr fontId="1" type="noConversion"/>
  </si>
  <si>
    <t>Time Off Without Pay</t>
  </si>
  <si>
    <t>字段请填写完整</t>
    <phoneticPr fontId="1" type="noConversion"/>
  </si>
  <si>
    <t>排班类型</t>
    <phoneticPr fontId="1" type="noConversion"/>
  </si>
  <si>
    <t>10000003</t>
  </si>
  <si>
    <t>Medical leave</t>
  </si>
  <si>
    <t>Start Date与End Date期间天数不能大于90天</t>
    <phoneticPr fontId="1" type="noConversion"/>
  </si>
  <si>
    <t>10000002</t>
  </si>
  <si>
    <t>Public Holiday</t>
  </si>
  <si>
    <t>排班起始日期需小于等于结束日期</t>
  </si>
  <si>
    <t>10000001</t>
  </si>
  <si>
    <t>Excused Leave</t>
  </si>
  <si>
    <t>Start Date与End Date必填</t>
    <phoneticPr fontId="1" type="noConversion"/>
  </si>
  <si>
    <t>Non-chargeable</t>
    <phoneticPr fontId="1" type="noConversion"/>
  </si>
  <si>
    <t>未找到此Manager下的员工</t>
    <phoneticPr fontId="1" type="noConversion"/>
  </si>
  <si>
    <t>无数据需要更新，请检查</t>
    <phoneticPr fontId="1" type="noConversion"/>
  </si>
  <si>
    <t>KFR-函证盘点飞行检查</t>
  </si>
  <si>
    <t>Authorized Project</t>
    <phoneticPr fontId="1" type="noConversion"/>
  </si>
  <si>
    <t>未查询到此订单对应的服务单</t>
    <phoneticPr fontId="1" type="noConversion"/>
  </si>
  <si>
    <t>By 架构EIC</t>
    <phoneticPr fontId="1" type="noConversion"/>
  </si>
  <si>
    <t>Authorized Project</t>
  </si>
  <si>
    <t>请填写架构EIC邮箱</t>
    <phoneticPr fontId="1" type="noConversion"/>
  </si>
  <si>
    <t>GC Core ASU GDS – Operation</t>
  </si>
  <si>
    <t>GC Core ASU - WP Migration</t>
  </si>
  <si>
    <t>Start Date需小于等于End Date</t>
    <phoneticPr fontId="1" type="noConversion"/>
  </si>
  <si>
    <t>CNCA_23148993 – WP Migration</t>
  </si>
  <si>
    <t>Start Date与End Date需在一个财年</t>
    <phoneticPr fontId="1" type="noConversion"/>
  </si>
  <si>
    <t>CNCA_23237523-Operation</t>
  </si>
  <si>
    <t>此邮箱不存在：</t>
    <phoneticPr fontId="1" type="noConversion"/>
  </si>
  <si>
    <t>23259798</t>
  </si>
  <si>
    <t>GDS ASSU WP</t>
  </si>
  <si>
    <t>尊敬的用户：</t>
    <phoneticPr fontId="1" type="noConversion"/>
  </si>
  <si>
    <t>Assurance Support Services</t>
  </si>
  <si>
    <t>您好，欢迎使用Service Go排班助手。</t>
    <phoneticPr fontId="1" type="noConversion"/>
  </si>
  <si>
    <t>EDC</t>
  </si>
  <si>
    <t>By NonChargeable Code</t>
    <phoneticPr fontId="1" type="noConversion"/>
  </si>
  <si>
    <t>请选择Engt Code</t>
    <phoneticPr fontId="1" type="noConversion"/>
  </si>
  <si>
    <t>请填写User Email</t>
    <phoneticPr fontId="1" type="noConversion"/>
  </si>
  <si>
    <t>您无权限对此员工进行排班：</t>
    <phoneticPr fontId="1" type="noConversion"/>
  </si>
  <si>
    <t>请选择Section</t>
    <phoneticPr fontId="1" type="noConversion"/>
  </si>
  <si>
    <t>请使用此页面上的【取消】按钮来关闭</t>
    <phoneticPr fontId="1" type="noConversion"/>
  </si>
  <si>
    <t>您已取消此排班</t>
    <phoneticPr fontId="1" type="noConversion"/>
  </si>
  <si>
    <t>英文逗号</t>
    <phoneticPr fontId="1" type="noConversion"/>
  </si>
  <si>
    <t>需新建排班</t>
    <phoneticPr fontId="1" type="noConversion"/>
  </si>
  <si>
    <t>Manager邮箱不存在</t>
    <phoneticPr fontId="1" type="noConversion"/>
  </si>
  <si>
    <t>未找到此EIC架构下的员工</t>
    <phoneticPr fontId="1" type="noConversion"/>
  </si>
  <si>
    <t>EIC邮箱不能为空</t>
    <phoneticPr fontId="1" type="noConversion"/>
  </si>
  <si>
    <t>Start Date与End Date期间天数大于90天，需等待较长时间，是否确定继续？</t>
    <phoneticPr fontId="1" type="noConversion"/>
  </si>
  <si>
    <t>EIC邮箱不存在</t>
    <phoneticPr fontId="1" type="noConversion"/>
  </si>
  <si>
    <t>该查询条件下无排班记录，请新建排班后再次获取</t>
  </si>
  <si>
    <t>Date</t>
    <phoneticPr fontId="1" type="noConversion"/>
  </si>
  <si>
    <t>节假日</t>
  </si>
  <si>
    <t>Capacity Hours</t>
    <phoneticPr fontId="1" type="noConversion"/>
  </si>
  <si>
    <t>备注</t>
    <phoneticPr fontId="1" type="noConversion"/>
  </si>
  <si>
    <t>空的和调休的为工作日</t>
    <phoneticPr fontId="1" type="noConversion"/>
  </si>
  <si>
    <t>2023.12.30-2024.1.5</t>
  </si>
  <si>
    <t>2024</t>
  </si>
  <si>
    <t>2024.1.6-2024.1.12</t>
  </si>
  <si>
    <t>周末</t>
  </si>
  <si>
    <t>2024.1.13-2024.1.19</t>
  </si>
  <si>
    <t>2024.1.20-2024.1.26</t>
  </si>
  <si>
    <t>2024.1.27-2024.2.2</t>
  </si>
  <si>
    <t>2024.2.3-2024.2.9</t>
  </si>
  <si>
    <t>Week32</t>
  </si>
  <si>
    <t>调休</t>
  </si>
  <si>
    <t>2024.2.10-2024.2.16</t>
  </si>
  <si>
    <t>Week33</t>
  </si>
  <si>
    <t>春节</t>
  </si>
  <si>
    <t>2024.2.17-2024.2.23</t>
  </si>
  <si>
    <t>Week34</t>
  </si>
  <si>
    <t>2024.2.24-2024.3.1</t>
  </si>
  <si>
    <t>Week35</t>
  </si>
  <si>
    <t>2024.3.2-2024.3.8</t>
  </si>
  <si>
    <t>2024.3.9-2024.3.15</t>
  </si>
  <si>
    <t>2024.3.16-2024.3.22</t>
  </si>
  <si>
    <t>Week38</t>
  </si>
  <si>
    <t>2024.3.23-2024.3.29</t>
  </si>
  <si>
    <t>Week39</t>
  </si>
  <si>
    <t>2024.3.30-2024.4.5</t>
  </si>
  <si>
    <t>Week40</t>
  </si>
  <si>
    <t>清明节</t>
  </si>
  <si>
    <t>2024.4.6-2024.4.12</t>
  </si>
  <si>
    <t>Week41</t>
  </si>
  <si>
    <t>2024.4.13-2024.4.19</t>
  </si>
  <si>
    <t>Week42</t>
  </si>
  <si>
    <t>2024.4.20-2024.4.26</t>
  </si>
  <si>
    <t>Week43</t>
  </si>
  <si>
    <t>2024.4.27-2024.5.3</t>
  </si>
  <si>
    <t>Week44</t>
  </si>
  <si>
    <t>劳动节</t>
  </si>
  <si>
    <t>2024.5.4-2024.5.10</t>
  </si>
  <si>
    <t>Week45</t>
  </si>
  <si>
    <t>2024.5.11-2024.5.17</t>
  </si>
  <si>
    <t>Week46</t>
  </si>
  <si>
    <t>2024.5.18-2024.5.24</t>
  </si>
  <si>
    <t>Week47</t>
  </si>
  <si>
    <t>2024.5.25-2024.5.31</t>
  </si>
  <si>
    <t>Week48</t>
  </si>
  <si>
    <t>2024.6.1-2024.6.7</t>
  </si>
  <si>
    <t>Week49</t>
  </si>
  <si>
    <t>2024.6.8-2024.6.14</t>
  </si>
  <si>
    <t>Week50</t>
  </si>
  <si>
    <t>端午节</t>
  </si>
  <si>
    <t>2024.6.15-2024.6.21</t>
  </si>
  <si>
    <t>Week51</t>
  </si>
  <si>
    <t>2024.6.22-2024.6.28</t>
  </si>
  <si>
    <t>Week52</t>
  </si>
  <si>
    <t>2024.6.29-2024.7.5</t>
  </si>
  <si>
    <t>Week1</t>
  </si>
  <si>
    <t>2025</t>
  </si>
  <si>
    <t>2024.7.6-2024.7.12</t>
  </si>
  <si>
    <t>Week2</t>
  </si>
  <si>
    <t>2024.7.13-2024.7.19</t>
  </si>
  <si>
    <t>Week3</t>
  </si>
  <si>
    <t>2024.7.20-2024.7.26</t>
  </si>
  <si>
    <t>Week4</t>
  </si>
  <si>
    <t>2024.7.27-2024.8.2</t>
  </si>
  <si>
    <t>Week5</t>
  </si>
  <si>
    <t>2024.8.3-2024.8.9</t>
  </si>
  <si>
    <t>Week6</t>
  </si>
  <si>
    <t>2024.8.10-2024.8.16</t>
  </si>
  <si>
    <t>Week7</t>
  </si>
  <si>
    <t>2024.8.17-2024.8.23</t>
  </si>
  <si>
    <t>Week8</t>
  </si>
  <si>
    <t>2024.8.24-2024.8.30</t>
  </si>
  <si>
    <t>Week9</t>
  </si>
  <si>
    <t>2024.8.31-2024.9.6</t>
  </si>
  <si>
    <t>Week10</t>
  </si>
  <si>
    <t>2024.9.7-2024.9.13</t>
  </si>
  <si>
    <t>Week11</t>
  </si>
  <si>
    <t>2024.9.14-2024.9.20</t>
  </si>
  <si>
    <t>Week12</t>
  </si>
  <si>
    <t>中秋节</t>
  </si>
  <si>
    <t>2024.9.21-2024.9.27</t>
  </si>
  <si>
    <t>Week13</t>
  </si>
  <si>
    <t>2024.9.28-2024.10.4</t>
  </si>
  <si>
    <t>Week14</t>
  </si>
  <si>
    <t>国庆节</t>
  </si>
  <si>
    <t>2024.10.5-2024.10.11</t>
  </si>
  <si>
    <t>Week15</t>
  </si>
  <si>
    <t>2024.10.12-2024.10.18</t>
  </si>
  <si>
    <t>Week16</t>
  </si>
  <si>
    <t>2024.10.19-2024.10.25</t>
  </si>
  <si>
    <t>Week17</t>
  </si>
  <si>
    <t>2024.10.26-2024.11.1</t>
  </si>
  <si>
    <t>Week18</t>
  </si>
  <si>
    <t>2024.11.2-2024.11.8</t>
  </si>
  <si>
    <t>Week19</t>
  </si>
  <si>
    <t>2024.11.9-2024.11.15</t>
  </si>
  <si>
    <t>Week20</t>
  </si>
  <si>
    <t>2024.11.16-2024.11.22</t>
  </si>
  <si>
    <t>Week21</t>
  </si>
  <si>
    <t>2024.11.23-2024.11.29</t>
  </si>
  <si>
    <t>Week22</t>
  </si>
  <si>
    <t>2024.11.30-2024.12.6</t>
  </si>
  <si>
    <t>Week23</t>
  </si>
  <si>
    <t>2024.12.7-2024.12.13</t>
  </si>
  <si>
    <t>2024.12.14-2024.12.20</t>
  </si>
  <si>
    <t>2024.12.21-2024.12.27</t>
  </si>
  <si>
    <t>2024.12.28-2025.1.3</t>
  </si>
  <si>
    <t>元旦</t>
    <phoneticPr fontId="1" type="noConversion"/>
  </si>
  <si>
    <t>2025.1.4-2025.1.10</t>
  </si>
  <si>
    <t>周末</t>
    <phoneticPr fontId="1" type="noConversion"/>
  </si>
  <si>
    <t>2025.1.11-2025.1.17</t>
  </si>
  <si>
    <t>2025.1.18-2025.1.24</t>
  </si>
  <si>
    <t>2025.1.25-2025.1.31</t>
  </si>
  <si>
    <t>调休</t>
    <phoneticPr fontId="1" type="noConversion"/>
  </si>
  <si>
    <t>春节</t>
    <phoneticPr fontId="1" type="noConversion"/>
  </si>
  <si>
    <t>2025.2.1-2025.2.7</t>
  </si>
  <si>
    <t>2025.2.8-2025.2.14</t>
  </si>
  <si>
    <t>2025.2.15-2025.2.21</t>
  </si>
  <si>
    <t>2025.2.22-2025.2.28</t>
  </si>
  <si>
    <t>2025.3.1-2025.3.7</t>
  </si>
  <si>
    <t>2025.3.8-2025.3.14</t>
  </si>
  <si>
    <t>2025.3.15-2025.3.21</t>
  </si>
  <si>
    <t>2025.3.22-2025.3.28</t>
  </si>
  <si>
    <t>2025.3.29-2025.4.4</t>
  </si>
  <si>
    <t>清明节</t>
    <phoneticPr fontId="1" type="noConversion"/>
  </si>
  <si>
    <t>2025.4.5-2025.4.11</t>
  </si>
  <si>
    <t>2025.4.12-2025.4.18</t>
  </si>
  <si>
    <t>2025.4.19-2025.4.25</t>
  </si>
  <si>
    <t>2025.4.26-2025.5.2</t>
  </si>
  <si>
    <t>劳动节</t>
    <phoneticPr fontId="1" type="noConversion"/>
  </si>
  <si>
    <t>2025.5.3-2025.5.9</t>
  </si>
  <si>
    <t>2025.5.10-2025.5.16</t>
  </si>
  <si>
    <t>2025.5.17-2025.5.23</t>
  </si>
  <si>
    <t>2025.5.24-2025.5.30</t>
  </si>
  <si>
    <t>2025.5.31-2025.6.6</t>
  </si>
  <si>
    <t>端午节</t>
    <phoneticPr fontId="1" type="noConversion"/>
  </si>
  <si>
    <t>2025.6.7-2025.6.13</t>
  </si>
  <si>
    <t>2025.6.14-2025.6.20</t>
  </si>
  <si>
    <t>2025.6.21-2025.6.27</t>
  </si>
  <si>
    <t>2025.6.28-2025.7.4</t>
  </si>
  <si>
    <t>2026</t>
  </si>
  <si>
    <t>2025.7.5-2025.7.11</t>
  </si>
  <si>
    <t>2025.7.12-2025.7.18</t>
  </si>
  <si>
    <t>2025.7.19-2025.7.25</t>
  </si>
  <si>
    <t>2025.7.26-2025.8.1</t>
  </si>
  <si>
    <t>2025.8.2-2025.8.8</t>
  </si>
  <si>
    <t>2025.8.9-2025.8.15</t>
  </si>
  <si>
    <t>2025.8.16-2025.8.22</t>
  </si>
  <si>
    <t>2025.8.23-2025.8.29</t>
  </si>
  <si>
    <t>2025.8.30-2025.9.5</t>
  </si>
  <si>
    <t>2025.9.6-2025.9.12</t>
  </si>
  <si>
    <t>2025.9.13-2025.9.19</t>
  </si>
  <si>
    <t>2025.9.20-2025.9.26</t>
  </si>
  <si>
    <t>2025.9.27-2025.10.3</t>
  </si>
  <si>
    <t>国庆节</t>
    <phoneticPr fontId="1" type="noConversion"/>
  </si>
  <si>
    <t>2025.10.4-2025.10.10</t>
  </si>
  <si>
    <t>2025.10.11-2025.10.17</t>
  </si>
  <si>
    <t>2025.10.18-2025.10.24</t>
  </si>
  <si>
    <t>2025.10.25-2025.10.31</t>
  </si>
  <si>
    <t>2025.11.1-2025.11.7</t>
  </si>
  <si>
    <t>2025.11.8-2025.11.14</t>
  </si>
  <si>
    <t>2025.11.15-2025.11.21</t>
  </si>
  <si>
    <t>2025.11.22-2025.11.28</t>
  </si>
  <si>
    <t>2025.11.29-2025.12.5</t>
  </si>
  <si>
    <t>元旦</t>
  </si>
  <si>
    <t>2026.1.31-2026.2.6</t>
  </si>
  <si>
    <t>2026.2.7-2026.2.13</t>
  </si>
  <si>
    <t>2026.2.14-2026.2.20</t>
  </si>
  <si>
    <t>2026.2.21-2026.2.27</t>
  </si>
  <si>
    <t>2026.3.14-2026.3.20</t>
  </si>
  <si>
    <t>2026.3.21-2026.3.27</t>
  </si>
  <si>
    <t>2026.3.28-2026.4.3</t>
  </si>
  <si>
    <t>2026.4.4-2026.4.10</t>
  </si>
  <si>
    <t>2026.4.11-2026.4.17</t>
  </si>
  <si>
    <t>2026.4.18-2026.4.24</t>
  </si>
  <si>
    <t>2026.4.25-2026.5.1</t>
  </si>
  <si>
    <t>2026.5.2-2026.5.8</t>
  </si>
  <si>
    <t>2026.5.9-2026.5.15</t>
  </si>
  <si>
    <t>2026.5.16-2026.5.22</t>
  </si>
  <si>
    <t>2026.5.23-2026.5.29</t>
  </si>
  <si>
    <t>2026.5.30-2026.6.5</t>
  </si>
  <si>
    <t>2026.6.6-2026.6.12</t>
  </si>
  <si>
    <t>2026.6.13-2026.6.19</t>
  </si>
  <si>
    <t>2026.6.20-2026.6.26</t>
  </si>
  <si>
    <t>2026.6.27-2026.7.3</t>
  </si>
  <si>
    <t>Week53</t>
  </si>
  <si>
    <t>2026.7.4-2026.7.10</t>
  </si>
  <si>
    <t>2027</t>
  </si>
  <si>
    <t>2026.7.11-2026.7.17</t>
  </si>
  <si>
    <t>2026.7.18-2026.7.24</t>
  </si>
  <si>
    <t>2026.7.25-2026.7.31</t>
  </si>
  <si>
    <t>2026.8.1-2026.8.7</t>
  </si>
  <si>
    <t>2026.8.8-2026.8.14</t>
  </si>
  <si>
    <t>2026.8.15-2026.8.21</t>
  </si>
  <si>
    <t>2026.8.22-2026.8.28</t>
  </si>
  <si>
    <t>2026.8.29-2026.9.4</t>
  </si>
  <si>
    <t>2026.9.5-2026.9.11</t>
  </si>
  <si>
    <t>2026.9.12-2026.9.18</t>
  </si>
  <si>
    <t>2026.9.19-2026.9.25</t>
  </si>
  <si>
    <t>2026.9.26-2026.10.2</t>
  </si>
  <si>
    <t>2026.10.3-2026.10.9</t>
  </si>
  <si>
    <t>2026.10.10-2026.10.16</t>
  </si>
  <si>
    <t>2026.10.17-2026.10.23</t>
  </si>
  <si>
    <t>2026.10.24-2026.10.30</t>
  </si>
  <si>
    <t>2026.10.31-2026.11.6</t>
  </si>
  <si>
    <t>2026.11.7-2026.11.13</t>
  </si>
  <si>
    <t>2026.11.14-2026.11.20</t>
  </si>
  <si>
    <t>2026.11.21-2026.11.27</t>
  </si>
  <si>
    <t>2026.11.28-2026.12.4</t>
  </si>
  <si>
    <t>2026.12.5-2026.12.11</t>
  </si>
  <si>
    <t>2026.12.12-2026.12.18</t>
  </si>
  <si>
    <t>2026.12.19-2026.12.25</t>
  </si>
  <si>
    <t>2026.12.26-2027.1.1</t>
  </si>
  <si>
    <t>2027.1.2-2027.1.8</t>
  </si>
  <si>
    <t>2027.1.9-2027.1.15</t>
  </si>
  <si>
    <t>2027.1.16-2027.1.22</t>
  </si>
  <si>
    <t>2027.1.23-2027.1.29</t>
  </si>
  <si>
    <t>2027.1.30-2027.2.5</t>
  </si>
  <si>
    <t>2027.2.6-2027.2.12</t>
  </si>
  <si>
    <t>2027.2.13-2027.2.19</t>
  </si>
  <si>
    <t>2027.2.20-2027.2.26</t>
  </si>
  <si>
    <t>2027.2.27-2027.3.5</t>
  </si>
  <si>
    <t>2027.3.6-2027.3.12</t>
  </si>
  <si>
    <t>2027.3.13-2027.3.19</t>
  </si>
  <si>
    <t>2027.3.20-2027.3.26</t>
  </si>
  <si>
    <t>2027.3.27-2027.4.2</t>
  </si>
  <si>
    <t>2027.4.3-2027.4.9</t>
  </si>
  <si>
    <t>2027.4.10-2027.4.16</t>
  </si>
  <si>
    <t>2027.4.17-2027.4.23</t>
  </si>
  <si>
    <t>2027.4.24-2027.4.30</t>
  </si>
  <si>
    <t>2027.5.1-2027.5.7</t>
  </si>
  <si>
    <t>2027.5.8-2027.5.14</t>
  </si>
  <si>
    <t>2027.5.15-2027.5.21</t>
  </si>
  <si>
    <t>2027.5.22-2027.5.28</t>
  </si>
  <si>
    <t>2027.5.29-2027.6.4</t>
  </si>
  <si>
    <t>2027.6.5-2027.6.11</t>
  </si>
  <si>
    <t>2027.6.12-2027.6.18</t>
  </si>
  <si>
    <t>2027.6.19-2027.6.25</t>
  </si>
  <si>
    <t>2027.6.26-2027.7.2</t>
  </si>
  <si>
    <t>2027.7.3-2027.7.9</t>
  </si>
  <si>
    <t>2028</t>
  </si>
  <si>
    <t>2027.7.10-2027.7.16</t>
  </si>
  <si>
    <t>2027.7.17-2027.7.23</t>
  </si>
  <si>
    <t>2027.7.24-2027.7.30</t>
  </si>
  <si>
    <t>2027.7.31-2027.8.6</t>
  </si>
  <si>
    <t>2027.8.7-2027.8.13</t>
  </si>
  <si>
    <t>2027.8.14-2027.8.20</t>
  </si>
  <si>
    <t>2027.8.21-2027.8.27</t>
  </si>
  <si>
    <t>2027.8.28-2027.9.3</t>
  </si>
  <si>
    <t>2027.9.4-2027.9.10</t>
  </si>
  <si>
    <t>2027.9.11-2027.9.17</t>
  </si>
  <si>
    <t>2027.9.18-2027.9.24</t>
  </si>
  <si>
    <t>2027.9.25-2027.10.1</t>
  </si>
  <si>
    <t>2027.10.2-2027.10.8</t>
  </si>
  <si>
    <t>2027.10.9-2027.10.15</t>
  </si>
  <si>
    <t>2027.10.16-2027.10.22</t>
  </si>
  <si>
    <t>2027.10.23-2027.10.29</t>
  </si>
  <si>
    <t>2027.10.30-2027.11.5</t>
  </si>
  <si>
    <t>2027.11.6-2027.11.12</t>
  </si>
  <si>
    <t>2027.11.13-2027.11.19</t>
  </si>
  <si>
    <t>2027.11.20-2027.11.26</t>
  </si>
  <si>
    <t>2027.11.27-2027.12.3</t>
  </si>
  <si>
    <t>2027.12.4-2027.12.10</t>
  </si>
  <si>
    <t>2027.12.11-2027.12.17</t>
  </si>
  <si>
    <t>2027.12.18-2027.12.24</t>
  </si>
  <si>
    <t>2027.12.25-2027.12.31</t>
  </si>
  <si>
    <t>2028.1.1-2028.1.7</t>
  </si>
  <si>
    <t>2028.1.8-2028.1.14</t>
  </si>
  <si>
    <t>2028.1.15-2028.1.21</t>
  </si>
  <si>
    <t>2028.1.22-2028.1.28</t>
  </si>
  <si>
    <t>2028.1.29-2028.2.4</t>
  </si>
  <si>
    <t>2028.2.5-2028.2.11</t>
  </si>
  <si>
    <t>2028.2.12-2028.2.18</t>
  </si>
  <si>
    <t>2028.2.19-2028.2.25</t>
  </si>
  <si>
    <t>2028.2.26-2028.3.3</t>
  </si>
  <si>
    <t>2028.3.4-2028.3.10</t>
  </si>
  <si>
    <t>2028.3.11-2028.3.17</t>
  </si>
  <si>
    <t>2028.3.18-2028.3.24</t>
  </si>
  <si>
    <t>2028.3.25-2028.3.31</t>
  </si>
  <si>
    <t>2028.4.1-2028.4.7</t>
  </si>
  <si>
    <t>2028.4.8-2028.4.14</t>
  </si>
  <si>
    <t>2028.4.15-2028.4.21</t>
  </si>
  <si>
    <t>2028.4.22-2028.4.28</t>
  </si>
  <si>
    <t>2028.4.29-2028.5.5</t>
  </si>
  <si>
    <t>2028.5.6-2028.5.12</t>
  </si>
  <si>
    <t>2028.5.13-2028.5.19</t>
  </si>
  <si>
    <t>2028.5.20-2028.5.26</t>
  </si>
  <si>
    <t>2028.5.27-2028.6.2</t>
  </si>
  <si>
    <t>2028.6.3-2028.6.9</t>
  </si>
  <si>
    <t>2028.6.10-2028.6.16</t>
  </si>
  <si>
    <t>2028.6.17-2028.6.23</t>
  </si>
  <si>
    <t>2028.6.24-2028.6.30</t>
  </si>
  <si>
    <t>H11</t>
  </si>
  <si>
    <t>Craig.Gong@cn.ey.com</t>
  </si>
  <si>
    <t>Maggie.YL.Cheng@cn.ey.com</t>
  </si>
  <si>
    <t>H12</t>
  </si>
  <si>
    <t>H13</t>
  </si>
  <si>
    <t>Moulan.Gan@cn.ey.com</t>
  </si>
  <si>
    <t>Vivi.W.Yang@cn.ey.com</t>
  </si>
  <si>
    <t>I11</t>
  </si>
  <si>
    <t>J11</t>
  </si>
  <si>
    <t>K11</t>
  </si>
  <si>
    <t>L11</t>
  </si>
  <si>
    <t>剩余Budget Hours占位</t>
  </si>
  <si>
    <t>Boyu PE Investment Co., Ltd.</t>
  </si>
  <si>
    <t>Order47128851- 260501004</t>
  </si>
  <si>
    <t>AUD2026-12 Shoreline Fund</t>
  </si>
  <si>
    <t>Shoreline Fund</t>
  </si>
  <si>
    <t>47128851</t>
  </si>
  <si>
    <t>Order47128469- 260501002</t>
  </si>
  <si>
    <t>AUD2026-12 Warburg Pincus US Fund</t>
  </si>
  <si>
    <t>WP Financial Investment, LP</t>
  </si>
  <si>
    <t>47128469</t>
  </si>
  <si>
    <t>Suzhou Kinzon Yuanxin Equity Investment Partnership Enterprise (Limited Partnership)</t>
  </si>
  <si>
    <t>Order47128154- 260501004</t>
  </si>
  <si>
    <t>AUD2026-12 Mirae Asset</t>
  </si>
  <si>
    <t>Mirae Asset Alternative Investment Management (Shanghai) Co., Ltd.</t>
  </si>
  <si>
    <t>47128154</t>
  </si>
  <si>
    <t>Hubei Cathay Car Tech Equity Investment Fund Partnership L.P.</t>
  </si>
  <si>
    <t>Vivo (Suzhou) Health Industry Investment Fund Limited Partnership</t>
  </si>
  <si>
    <t>China International Capital Corporation Limited</t>
  </si>
  <si>
    <t>Wuhan Feixiang Automotive Electronic Industry Investment Partnership Enterprise( Limited Partnership)</t>
  </si>
  <si>
    <t>Zhongjieneng (Hubei) Environmental Protection Industry Equity Investment Fund Pa</t>
  </si>
  <si>
    <t>Order47128085- 260501004</t>
  </si>
  <si>
    <t>AUD2026-12 Shoreline RMB fund</t>
  </si>
  <si>
    <t>Shoreline RMB fund</t>
  </si>
  <si>
    <t>47128085</t>
  </si>
  <si>
    <t>Oaktree Capital Management, L.P.</t>
  </si>
  <si>
    <t>Order47128968- 260501004</t>
  </si>
  <si>
    <t>AUD2026-12 Ally Capital Fund</t>
  </si>
  <si>
    <t>Shanghai Ally Capital Asset Management Co. Ltd</t>
  </si>
  <si>
    <t>47128968</t>
  </si>
  <si>
    <t>Order47128887- 260501003</t>
  </si>
  <si>
    <t>AUD2026-12 Fountainvest AMC</t>
  </si>
  <si>
    <t>Ningbo Meishan Bonded Port Area Fangyuan Zhiben Equity Shares Investment Managem ent Co., Ltd.</t>
  </si>
  <si>
    <t>47128887</t>
  </si>
  <si>
    <t>Order47128592- 260501004</t>
  </si>
  <si>
    <t>AUD2026-12 Fountainvest fund</t>
  </si>
  <si>
    <t>47128592</t>
  </si>
  <si>
    <t>Order47128548- 260501004</t>
  </si>
  <si>
    <t>AUD2026-12 Cathay Capital</t>
  </si>
  <si>
    <t>47128548</t>
  </si>
  <si>
    <t>Order47128359- 260501004</t>
  </si>
  <si>
    <t>AUD2026-12 Arrace Holding</t>
  </si>
  <si>
    <t>47128359</t>
  </si>
  <si>
    <t>Order47128355- 260501004</t>
  </si>
  <si>
    <t>AUD2026-12 Tianjin Ruby Ninja Alpha Xb Co.， Ltd</t>
  </si>
  <si>
    <t>47128355</t>
  </si>
  <si>
    <t>Order47128202- 260501004</t>
  </si>
  <si>
    <t>AUD2026-12 Hangzhou Huaxin</t>
  </si>
  <si>
    <t>Hangzhou Huaxin Yunkai Equity Shares Investment Partnership Enterprise (Limited Partnership)</t>
  </si>
  <si>
    <t>47128202</t>
  </si>
  <si>
    <t>Ant Unicorn Fund, L.P.</t>
  </si>
  <si>
    <t>Shanghai Lingyi Investment Partnership (limited partnership)</t>
  </si>
  <si>
    <t>EverYi Capital Asia Fund, L.P.</t>
  </si>
  <si>
    <t>Xinjian Yingshi Private Placement Fund Management (Beijing) Co., Ltd.</t>
  </si>
  <si>
    <t>Order47128349- 260501004</t>
  </si>
  <si>
    <t>AUD2026-12 Zhangke Herun Funds</t>
  </si>
  <si>
    <t>Shanghai Zhangke Herun Biological Medicine Venture Capital Partnership Enterprise (Limited Partnership)</t>
  </si>
  <si>
    <t>47128349</t>
  </si>
  <si>
    <t>Order47128257- 260501004</t>
  </si>
  <si>
    <t>AUD2026-12 CCB MGMT JV LLC</t>
  </si>
  <si>
    <t>47128257</t>
  </si>
  <si>
    <t>Order47128353- 260501004</t>
  </si>
  <si>
    <t>AUD2026-12 BOYU Fund I</t>
  </si>
  <si>
    <t>47128353</t>
  </si>
  <si>
    <t>Order47128317- 260501004</t>
  </si>
  <si>
    <t>AUD2026-12 Ant Unicorn</t>
  </si>
  <si>
    <t>47128317</t>
  </si>
  <si>
    <t>Order47128139- 260501004</t>
  </si>
  <si>
    <t>AUD2026-12 Shoreline Strategic</t>
  </si>
  <si>
    <t>47128139</t>
  </si>
  <si>
    <t>Order47127971- 260501004</t>
  </si>
  <si>
    <t>AUD2026-12 Xingze Fund</t>
  </si>
  <si>
    <t>Shanghai Xinze Sanhe Venture Investment LP</t>
  </si>
  <si>
    <t>47127971</t>
  </si>
  <si>
    <t>Order47128472- 260501003</t>
  </si>
  <si>
    <t>AUD2026-12 Xingze Management</t>
  </si>
  <si>
    <t>47128472</t>
  </si>
  <si>
    <t>Order47128835- 260501004</t>
  </si>
  <si>
    <t>AUD2026-12 01VC USD Fund</t>
  </si>
  <si>
    <t>47128835</t>
  </si>
  <si>
    <t>Order47128525- 260501004</t>
  </si>
  <si>
    <t>AUD2026-12 Kinzon US Fund</t>
  </si>
  <si>
    <t>47128525</t>
  </si>
  <si>
    <t>Lishui Huilian Ruitong Equity Investment Partnership Enterprise (limited Partnership)</t>
  </si>
  <si>
    <t>Order47128684- 260501004</t>
  </si>
  <si>
    <t>AUD2026-12 Vivo Capital</t>
  </si>
  <si>
    <t>47128684</t>
  </si>
  <si>
    <t>Order47128137- 260501004</t>
  </si>
  <si>
    <t>AUD2026-12 Kinzon</t>
  </si>
  <si>
    <t>47128137</t>
  </si>
  <si>
    <t>Order47128108- 260501005</t>
  </si>
  <si>
    <t>AUD2026-12 EverYi Capital</t>
  </si>
  <si>
    <t>47128108</t>
  </si>
  <si>
    <t>Order47128880- 260501004</t>
  </si>
  <si>
    <t>AUD2026-12 Wuhan Feixiang</t>
  </si>
  <si>
    <t>47128880</t>
  </si>
  <si>
    <t>Order47128886- 260501004</t>
  </si>
  <si>
    <t>AUD2026-12 Cecep WH Fund</t>
  </si>
  <si>
    <t>47128886</t>
  </si>
  <si>
    <t>Order47136337- 260504004</t>
  </si>
  <si>
    <t>AUD2026-12 Kinzon HK SPV</t>
  </si>
  <si>
    <t>KZ III QFLP (HK) Limited</t>
  </si>
  <si>
    <t>47136337</t>
  </si>
  <si>
    <t>Shanghai Kanghong Xingbang Private Equity Investment Fund Partnership Enterprise (limited Partnership)</t>
  </si>
  <si>
    <t>Order47136348- 260504004</t>
  </si>
  <si>
    <t>AUD2026-12 Warburg Pincus HK SPV JZ</t>
  </si>
  <si>
    <t>Jamesonite Gem (HK) Holdings Limited</t>
  </si>
  <si>
    <t>47136348</t>
  </si>
  <si>
    <t>Order47128477- 260501004</t>
  </si>
  <si>
    <t>AUD2026-12 Kinzon Capital</t>
  </si>
  <si>
    <t>47128477</t>
  </si>
  <si>
    <t>Order47128350- 260501005</t>
  </si>
  <si>
    <t>AUD2026-12 BOYU MC</t>
  </si>
  <si>
    <t>47128350</t>
  </si>
  <si>
    <t>Order47128028- 260501004</t>
  </si>
  <si>
    <t>AUD2026-12 Cathay Capital Fund</t>
  </si>
  <si>
    <t>47128028</t>
  </si>
  <si>
    <t>IPO2025-12 GZ Huangshanghuang</t>
  </si>
  <si>
    <t>Order47134379- 260327001</t>
  </si>
  <si>
    <t>Order47128513- 260501002</t>
  </si>
  <si>
    <t>AUD2026-12 Mingya Fund</t>
  </si>
  <si>
    <t>Mingya Fund Management Co., Ltd.</t>
  </si>
  <si>
    <t>47128513</t>
  </si>
  <si>
    <t>Marsh.Ma@cn.ey.com</t>
  </si>
  <si>
    <t>Yao.Y.Wang@cn.ey.com</t>
  </si>
  <si>
    <t>Order47136607- 260522001</t>
  </si>
  <si>
    <t>Sany Zhongyang - 2025 TVR &amp; RD</t>
  </si>
  <si>
    <t>Hunan Sany Zhongyang Machinery Co., Ltd.</t>
  </si>
  <si>
    <t>47136607</t>
  </si>
  <si>
    <t>Order47136283- 260522001</t>
  </si>
  <si>
    <t>CNGR-Pilliar II</t>
  </si>
  <si>
    <t>Cngr Advanced Material Co.,Ltd.</t>
  </si>
  <si>
    <t>47136283</t>
  </si>
  <si>
    <t>Order47136300- 260522001</t>
  </si>
  <si>
    <t xml:space="preserve"> Sany Heavy FY2025 R&amp;D TVR service</t>
  </si>
  <si>
    <t>Sany Heavy Industry Co., Ltd.</t>
  </si>
  <si>
    <t>47136300</t>
  </si>
  <si>
    <t>Order47129020- 260501003</t>
  </si>
  <si>
    <t>AUD2026-12 Alipay-AD</t>
  </si>
  <si>
    <t>Alipay.com Co., Ltd.</t>
  </si>
  <si>
    <t>47129020</t>
  </si>
  <si>
    <t>Order47128967- 260501005</t>
  </si>
  <si>
    <t>AUD2026-12 OB 审计-SW</t>
  </si>
  <si>
    <t>Beijing OceanBase Technology Co., Ltd.</t>
  </si>
  <si>
    <t>47128967</t>
  </si>
  <si>
    <t>Order47134379- 260616001</t>
  </si>
  <si>
    <t>Guangzhou Huangshanghuang Group Co., Ltd.</t>
  </si>
  <si>
    <t>47134379</t>
  </si>
  <si>
    <t>Order47128417- 260827001</t>
  </si>
  <si>
    <t>AUD2026-12 Aon-COFCO</t>
  </si>
  <si>
    <t>Aon-COFCO Insurance Brokers Co., Ltd.</t>
  </si>
  <si>
    <t>47128417</t>
  </si>
  <si>
    <t>Order47129017- 260705001</t>
  </si>
  <si>
    <t>AUD2026-12 CMBWM</t>
  </si>
  <si>
    <t>CMB Wealth Management Co., Ltd.</t>
  </si>
  <si>
    <t>47129017</t>
  </si>
  <si>
    <t>Order47147546- 260804001</t>
  </si>
  <si>
    <t>AUD2025-12 Investcorp Beijing</t>
  </si>
  <si>
    <t>Investcorp (Beijing) Advisors Co., Ltd.</t>
  </si>
  <si>
    <t>47147546</t>
  </si>
  <si>
    <t>Kairos.Li@cn.ey.com</t>
  </si>
  <si>
    <t>Order47128418- 260617002</t>
  </si>
  <si>
    <t>AUD2026-12 PAAMC</t>
  </si>
  <si>
    <t>Ping'an Assets Management Co., Ltd.</t>
  </si>
  <si>
    <t>47128418</t>
  </si>
  <si>
    <t>Order47128421- 260501003</t>
  </si>
  <si>
    <t>AUD2026-12 PA Funds</t>
  </si>
  <si>
    <t>Ping An Fund Management Company Limited</t>
  </si>
  <si>
    <t>47128421</t>
  </si>
  <si>
    <t>Yuan.Yuan.YY.Chen@cn.ey.com</t>
  </si>
  <si>
    <t>Yi.Xuan.Zuo@cn.ey.com</t>
  </si>
  <si>
    <t>Order47128522- 260501004</t>
  </si>
  <si>
    <t>AUD2026-12 Hubei Cathay Mgt</t>
  </si>
  <si>
    <t>Kaihui (quanzhou) Private Equity Fund Management Co., Ltd</t>
  </si>
  <si>
    <t>47128522</t>
  </si>
  <si>
    <t>Order47150107- 260910002</t>
  </si>
  <si>
    <t>AUD2026-12 Legend China GR_GW</t>
  </si>
  <si>
    <t>LEGEND BIOTECH CORPORATION</t>
  </si>
  <si>
    <t>47150107</t>
  </si>
  <si>
    <t>Order47128168- 260501003</t>
  </si>
  <si>
    <t>AUD2026-12 Kangjun Capital</t>
  </si>
  <si>
    <t>Kangjun Investment Management (Beijing) Co., Ltd.</t>
  </si>
  <si>
    <t>47128168</t>
  </si>
  <si>
    <t>Order47128022- 260501004</t>
  </si>
  <si>
    <t>AUD2026-12 Lyzz Capital Fund</t>
  </si>
  <si>
    <t>Lyzz Capital Healthcare Fund I, L.P.</t>
  </si>
  <si>
    <t>47128022</t>
  </si>
  <si>
    <t>Order47128024- 260501004</t>
  </si>
  <si>
    <t>AUD2026-12 Bits x Bites Fund</t>
  </si>
  <si>
    <t>Bits x Bites Growth Fund I, L.P.</t>
  </si>
  <si>
    <t>47128024</t>
  </si>
  <si>
    <t>Order47128427- 260501002</t>
  </si>
  <si>
    <t>AUD2026-12 Caitong Huike</t>
  </si>
  <si>
    <t>Qingdao Caitong Huike Venture Capital Fund Partnership (Limited Partnership)</t>
  </si>
  <si>
    <t>47128427</t>
  </si>
  <si>
    <t>Order47128489- 260501003</t>
  </si>
  <si>
    <t>AUD2026-12 SME CD LLP</t>
  </si>
  <si>
    <t>Small and Medium Enterprise Development Fund (Chengdu) Jiaozi Venture Capital</t>
  </si>
  <si>
    <t>47128489</t>
  </si>
  <si>
    <t>Order47128337- 260501005</t>
  </si>
  <si>
    <t>AUD2026-12 蚂蚁数科审计-FL</t>
  </si>
  <si>
    <t>AntChain Inc.</t>
  </si>
  <si>
    <t>47128337</t>
  </si>
  <si>
    <t>Order47149495- 260814002</t>
  </si>
  <si>
    <t xml:space="preserve">IPO2026-07 Techwinsemi </t>
  </si>
  <si>
    <t>Shenzhen Techwinsemi Technology Co., Ltd.</t>
  </si>
  <si>
    <t>47149495</t>
  </si>
  <si>
    <t>Order47129547- 260826001</t>
  </si>
  <si>
    <t>AUD2026-12 CEEF &amp; CREF audit</t>
  </si>
  <si>
    <t>Schroder Investment Management (Hong Kong) Limited</t>
  </si>
  <si>
    <t>47129547</t>
  </si>
  <si>
    <t>Order47128879- 260708001</t>
  </si>
  <si>
    <t>AUD2026-12 Aeon VC Fund</t>
  </si>
  <si>
    <t>Aeon Ventures Fund L.P.</t>
  </si>
  <si>
    <t>47128879</t>
  </si>
  <si>
    <t>Elinor.Yin@cn.ey.com</t>
  </si>
  <si>
    <t>Order47128944- 260501006</t>
  </si>
  <si>
    <t>AUD2026-12 PARKSIDE</t>
  </si>
  <si>
    <t>Parkside Partners Fund I</t>
  </si>
  <si>
    <t>47128944</t>
  </si>
  <si>
    <t>Order47128585- 260501004</t>
  </si>
  <si>
    <t>AUD2026-12 Cedarlake Capital Digital Future Fund</t>
  </si>
  <si>
    <t>Tianjin Haihe Cedarlake Capital Industrial Investment Fund Partnership LP.</t>
  </si>
  <si>
    <t>47128585</t>
  </si>
  <si>
    <t>Order47128800- 260501003</t>
  </si>
  <si>
    <t>AUD2026-12 ADVEQ BJ</t>
  </si>
  <si>
    <t>Schroders Capital Investment Management (Beijing) Co., Ltd.</t>
  </si>
  <si>
    <t>47128800</t>
  </si>
  <si>
    <t>Order47128729- 260501004</t>
  </si>
  <si>
    <t>AUD2026-12 D-Future Fund LP</t>
  </si>
  <si>
    <t>D-Future Fund LP</t>
  </si>
  <si>
    <t>47128729</t>
  </si>
  <si>
    <t>Order47128687- 260501004</t>
  </si>
  <si>
    <t>AUD2026-12 Asia Alternatives</t>
  </si>
  <si>
    <t>Asia Alternatives Shanghai Investment Management Limited</t>
  </si>
  <si>
    <t>47128687</t>
  </si>
  <si>
    <t>Order47128346- 260501003</t>
  </si>
  <si>
    <t>AUD2026-12 Mirae RQFII</t>
  </si>
  <si>
    <t>Mirae Asset QFII</t>
  </si>
  <si>
    <t>47128346</t>
  </si>
  <si>
    <t>Order47128336- 260501005</t>
  </si>
  <si>
    <t>AUD2026-12 蚂蚁数科审计-NL</t>
  </si>
  <si>
    <t>47128336</t>
  </si>
  <si>
    <t>Order47128633- 260501004</t>
  </si>
  <si>
    <t>AUD2026-12 HSQH Funds</t>
  </si>
  <si>
    <t>Hang Seng Qianhai Fund Management Company Limited</t>
  </si>
  <si>
    <t>47128633</t>
  </si>
  <si>
    <t>Order47128654- 260902001</t>
  </si>
  <si>
    <t>AUD2026-12 3H Health RMB Funds</t>
  </si>
  <si>
    <t>Nanjing Jianye Sanzheng Zhengzhi Venture Capital Partnership Enterprise L.P.</t>
  </si>
  <si>
    <t>47128654</t>
  </si>
  <si>
    <t>Order47147546- 260710001</t>
  </si>
  <si>
    <t>Order47128936- 260705001</t>
  </si>
  <si>
    <t>AUD2026-12 MS Royal Funds</t>
  </si>
  <si>
    <t>Minsheng Royal Fund Management Company Limited</t>
  </si>
  <si>
    <t>47128936</t>
  </si>
  <si>
    <t>Order47128118- 260501003</t>
  </si>
  <si>
    <t>AUD2026-12 Adveq QFLP SH</t>
  </si>
  <si>
    <t>Schroders Capital Private Fund Management (Shanghai) Co., Ltd.</t>
  </si>
  <si>
    <t>47146775</t>
  </si>
  <si>
    <t>Order47128333- 260501004</t>
  </si>
  <si>
    <t>AUD2026-12 Beijing Sherpa Phase III</t>
  </si>
  <si>
    <t>Beijing Sherpa Phase III Equity Investment Partnership Enterprise (Limited Partnership)</t>
  </si>
  <si>
    <t>47128333</t>
  </si>
  <si>
    <t>Order47128515- 260501002</t>
  </si>
  <si>
    <t>AUD2026-12 OFC Fund</t>
  </si>
  <si>
    <t>Xiamen Fuhai New Materials Phase Iii Venture Capital Partnership Enterprise(Limi ted Partnership)</t>
  </si>
  <si>
    <t>47128515</t>
  </si>
  <si>
    <t>Order47128710- 260501004</t>
  </si>
  <si>
    <t>AUD2026-12 Plateau Fund</t>
  </si>
  <si>
    <t>Plateau Consumer Fund,L.P.</t>
  </si>
  <si>
    <t>47128710</t>
  </si>
  <si>
    <t>Order47128833- 260501004</t>
  </si>
  <si>
    <t>AUD2026-12 Ocean Link Fund II</t>
  </si>
  <si>
    <t>Ocean Link Partners II,L.P.</t>
  </si>
  <si>
    <t>47128833</t>
  </si>
  <si>
    <t>Order47128572- 260501004</t>
  </si>
  <si>
    <t>AUD2026-12 ocean link funds</t>
  </si>
  <si>
    <t>ocean link funds</t>
  </si>
  <si>
    <t>47128572</t>
  </si>
  <si>
    <t>Order47128706- 260501003</t>
  </si>
  <si>
    <t>AUD2026-12 Invesco GW Funds</t>
  </si>
  <si>
    <t>Invesco Great Wall Fund Management Co.,Ltd.</t>
  </si>
  <si>
    <t>47128706</t>
  </si>
  <si>
    <t>Order47128169- 260501004</t>
  </si>
  <si>
    <t>AUD2026-12 Charisma Partner</t>
  </si>
  <si>
    <t>Charisma Partner Consumer Fund II, L.P.</t>
  </si>
  <si>
    <t>47128169</t>
  </si>
  <si>
    <t>Order47128555- 260501004</t>
  </si>
  <si>
    <t>AUD2026-12 BPC Shanghai</t>
  </si>
  <si>
    <t>Blue Pool Consulting (Shanghai) Limited</t>
  </si>
  <si>
    <t>47128555</t>
  </si>
  <si>
    <t>Order47136340- 260504004</t>
  </si>
  <si>
    <t>AUD2026-12 Cathay HK SPV JZ</t>
  </si>
  <si>
    <t>Euro Magic Limited</t>
  </si>
  <si>
    <t>47136340</t>
  </si>
  <si>
    <t>Order47133720- 260504002</t>
  </si>
  <si>
    <t>AUD2026-12 CMBILM</t>
  </si>
  <si>
    <t>CMB International Leasing Management Limited</t>
  </si>
  <si>
    <t>47133720</t>
  </si>
  <si>
    <t>Order47119674- 260514002</t>
  </si>
  <si>
    <t>IPO2025-12 Project Libra</t>
  </si>
  <si>
    <t>47119674</t>
  </si>
  <si>
    <t>Order47128939- 260501003</t>
  </si>
  <si>
    <t>AUD2026-12 永隆境内机构</t>
  </si>
  <si>
    <t>CMB WING LUNG BANK LIMITED Shenzhen Branch</t>
  </si>
  <si>
    <t>47128939</t>
  </si>
  <si>
    <t>Order47128566- 260807001</t>
  </si>
  <si>
    <t>AUD2026-12 Vstar Captal</t>
  </si>
  <si>
    <t>Shanghai Yuanxing Yinshi Equity Investment Partnership Enterprises (Limited Part</t>
  </si>
  <si>
    <t>47128566</t>
  </si>
  <si>
    <t>Order47128518- 260501005</t>
  </si>
  <si>
    <t>AUD2026-12 ABAX</t>
  </si>
  <si>
    <t>Abax(Suzhou)Investment Managment Company</t>
  </si>
  <si>
    <t>47128518</t>
  </si>
  <si>
    <t>Order47148279- 260908003</t>
  </si>
  <si>
    <t>AUD2026-12 CPIC Zhiyuan</t>
  </si>
  <si>
    <t>Taibao Zhiyuan (shanghai) Private Equity Fund Management Co., Ltd</t>
  </si>
  <si>
    <t>47148279</t>
  </si>
  <si>
    <t>Order47155978- 260929003</t>
  </si>
  <si>
    <t>AUD2026-12 Lishui Huilian</t>
  </si>
  <si>
    <t>47155978</t>
  </si>
  <si>
    <t>Order47128902- 260721001</t>
  </si>
  <si>
    <t>AUD2026-12 TDF Fund</t>
  </si>
  <si>
    <t>TDF Capital China II, LP</t>
  </si>
  <si>
    <t>47128902</t>
  </si>
  <si>
    <t>Order47127948- 260501005</t>
  </si>
  <si>
    <t>AUD2026-12 Alipay-SW</t>
  </si>
  <si>
    <t>47127948</t>
  </si>
  <si>
    <t>Yao.Y.Wang@cn.ey.com,Tobey.Luo@cn.ey.com</t>
  </si>
  <si>
    <t>Order47128781- 260501004</t>
  </si>
  <si>
    <t>AUD2026-12 Alipay-FL</t>
  </si>
  <si>
    <t>47128781</t>
  </si>
  <si>
    <t>Order47128490- 260501001</t>
  </si>
  <si>
    <t>AUD2026-12 Alipay-NL</t>
  </si>
  <si>
    <t>47128490</t>
  </si>
  <si>
    <t>Order47147554- 260820001</t>
  </si>
  <si>
    <t>AUD2026-12 CICC WMS</t>
  </si>
  <si>
    <t>47147554</t>
  </si>
  <si>
    <t>Order47128115- 260501009</t>
  </si>
  <si>
    <t>AUD2026-12 ICBC CSDC</t>
  </si>
  <si>
    <t>Industrial and Commercial Bank of China Limited</t>
  </si>
  <si>
    <t>47128115</t>
  </si>
  <si>
    <t>Order47128364- 260501004</t>
  </si>
  <si>
    <t>AUD2026-12 Great Wall Funds</t>
  </si>
  <si>
    <t>Great Wall Fund Management Co., Ltd</t>
  </si>
  <si>
    <t>47128364</t>
  </si>
  <si>
    <t>Order47129402- 260829001</t>
  </si>
  <si>
    <t>AUD2026-12 Hashkey OFC Funds</t>
  </si>
  <si>
    <t>HashKey Capital Limited</t>
  </si>
  <si>
    <t>47129402</t>
  </si>
  <si>
    <t>Order47129715- 260814001</t>
  </si>
  <si>
    <t>AUD2026-12 BOYU CAPITAL FUND</t>
  </si>
  <si>
    <t>Boyu Capital Advisory Co. Limited</t>
  </si>
  <si>
    <t>47129715</t>
  </si>
  <si>
    <t>Order47147658- 260710002</t>
  </si>
  <si>
    <t>AUD2027-03 GIO2</t>
  </si>
  <si>
    <t>Gio2 Hong Kong Holdings Limited</t>
  </si>
  <si>
    <t>47147658</t>
  </si>
  <si>
    <t>Order47128783- 260501004</t>
  </si>
  <si>
    <t>AUD2026-12 Keystone</t>
  </si>
  <si>
    <t>Kaishi Enterprise Consulting (Shanghai) Co., Ltd.</t>
  </si>
  <si>
    <t>47128783</t>
  </si>
  <si>
    <t>Order47128680- 260501004</t>
  </si>
  <si>
    <t>AUD2026-12 Ali Xinling Fund</t>
  </si>
  <si>
    <t>Hanyun Capital Investment Management Co., Ltd.</t>
  </si>
  <si>
    <t>47128680</t>
  </si>
  <si>
    <t>Order47155534- 260929003</t>
  </si>
  <si>
    <t>AUD2026-12 Orange Capital</t>
  </si>
  <si>
    <t>Orange Asset Management (Hong Kong) Limited</t>
  </si>
  <si>
    <t>47155534</t>
  </si>
  <si>
    <t>Order47128467- 260724001</t>
  </si>
  <si>
    <t>AUD2026-12 GL Capital-HaiNanFuMei</t>
  </si>
  <si>
    <t>Hainan Fumei Shibei Equity Investment Fund Partnership Enterprise (limited Partnership)</t>
  </si>
  <si>
    <t>47128467</t>
  </si>
  <si>
    <t>Order47128824- 260501002</t>
  </si>
  <si>
    <t>AUD2026-12 Shangqi Capital</t>
  </si>
  <si>
    <t>Henan Shangqihuirongshangcheng No.1 Industry Fund Partnership Enterprise (Limited Partnership)</t>
  </si>
  <si>
    <t>47128824</t>
  </si>
  <si>
    <t>Yuan.Yuan.YY.Chen@cn.ey.com,Craig.Gong@cn.ey.com</t>
  </si>
  <si>
    <t>Order47128181- 260501004</t>
  </si>
  <si>
    <t>AUD2026-12 GAW Capital QFLP</t>
  </si>
  <si>
    <t>Jihui Yuzhou (Guangzhou) Private Equity Fund Management Co., Ltd</t>
  </si>
  <si>
    <t>47128181</t>
  </si>
  <si>
    <t>Order47148880- 260820003</t>
  </si>
  <si>
    <t>AUD2026-12 SSAM Liquidation</t>
  </si>
  <si>
    <t>SOOCHOW SINGAPORE ASSET MANAGEMENT (ASIA) PTE. LTD.</t>
  </si>
  <si>
    <t>47148880</t>
  </si>
  <si>
    <t>Order47129702- 260814001</t>
  </si>
  <si>
    <t>AUD2026-12 Shinka Capital</t>
  </si>
  <si>
    <t>SHINKA CAPITAL MANAGEMENT LIMITED</t>
  </si>
  <si>
    <t>47129702</t>
  </si>
  <si>
    <t>Order47140251- 260522001</t>
  </si>
  <si>
    <t>Muro_AF_FY2025 Annual CIT Filing</t>
  </si>
  <si>
    <t>Muro Tech Xiaogan Hubei Co., Ltd.</t>
  </si>
  <si>
    <t>47140251</t>
  </si>
  <si>
    <t>Order47138698- 260522001</t>
  </si>
  <si>
    <t>Sany Renewable - 2025 TVR &amp; RD</t>
  </si>
  <si>
    <t>Sany Renewable Energy Co.,Ltd.</t>
  </si>
  <si>
    <t>47138698</t>
  </si>
  <si>
    <t>Order47129459- 260812001</t>
  </si>
  <si>
    <t>AUD2026-12 COS-CAPITAL HK INTL</t>
  </si>
  <si>
    <t>COS-Capital Hong Kong International Co. Limited</t>
  </si>
  <si>
    <t>47129459</t>
  </si>
  <si>
    <t>Order47129069- 260731001</t>
  </si>
  <si>
    <t>AUD2026-12 ICBCM</t>
  </si>
  <si>
    <t>Industrial And Commercial Bank of China (Macau) Limited</t>
  </si>
  <si>
    <t>47129069</t>
  </si>
  <si>
    <t>Order47128777- 260827001</t>
  </si>
  <si>
    <t>AUD2026-12 Cigna &amp; CMB AMC</t>
  </si>
  <si>
    <t>Cigna &amp; CMB Asset Management Company Limited</t>
  </si>
  <si>
    <t>47128777</t>
  </si>
  <si>
    <t>Order47128465- 260501002</t>
  </si>
  <si>
    <t>AUD2026-12 Schroder QFLP</t>
  </si>
  <si>
    <t>47128465</t>
  </si>
  <si>
    <t>Order47128109- 260501003</t>
  </si>
  <si>
    <t>AUD2026-12 DACSH</t>
  </si>
  <si>
    <t>Dymon Asia Consulting (Shanghai) Limited</t>
  </si>
  <si>
    <t>47128109</t>
  </si>
  <si>
    <t>Order47129548- 260501002</t>
  </si>
  <si>
    <t>AUD2026-12 ICBCA</t>
  </si>
  <si>
    <t>Industrial And Commercial Bank of China (Asia) Limited</t>
  </si>
  <si>
    <t>47129548</t>
  </si>
  <si>
    <t>Order47126335- 260806001</t>
  </si>
  <si>
    <t>IPO2025-12 Sany Truck</t>
  </si>
  <si>
    <t>Hunan Xingbida Network Technology Co., Ltd.</t>
  </si>
  <si>
    <t>47126335</t>
  </si>
  <si>
    <t>Yi.Xuan.Zuo@cn.ey.com,Tobey.Luo@cn.ey.com</t>
  </si>
  <si>
    <t>Order47128906- 260501005</t>
  </si>
  <si>
    <t>AUD2026-12 RUYI Fund</t>
  </si>
  <si>
    <t>RUYI Selected fund management L.P.</t>
  </si>
  <si>
    <t>47128906</t>
  </si>
  <si>
    <t>Order47129547- 260501003</t>
  </si>
  <si>
    <t>Order47115559- 260729002</t>
  </si>
  <si>
    <t>IPO2026-03 Project Voyage_CN</t>
  </si>
  <si>
    <t>Hisense Group Holdings Co., Ltd.</t>
  </si>
  <si>
    <t>47115559</t>
  </si>
  <si>
    <t>Tobey.Luo@cn.ey.com,Vivi.W.Yang@cn.ey.com,Maggie.YL.Cheng@cn.ey.com</t>
  </si>
  <si>
    <t>Order47108475- 250917001</t>
  </si>
  <si>
    <t>IPO2025-06 Project KOI</t>
  </si>
  <si>
    <t>BrightGene Bio-Medical Technology Co., Ltd.</t>
  </si>
  <si>
    <t>47108475</t>
  </si>
  <si>
    <t>Nancy.LL.Liu1@cn.ey.com</t>
  </si>
  <si>
    <t>Order47128449- 260501002</t>
  </si>
  <si>
    <t>AUD2026-12 Mingya Fund P</t>
  </si>
  <si>
    <t>47128449</t>
  </si>
  <si>
    <t>Order47128643- 260705001</t>
  </si>
  <si>
    <t>AUD2026-12 CR Yuanta Funds</t>
  </si>
  <si>
    <t>China Resources Yuanda Fund Management Co., Ltd.</t>
  </si>
  <si>
    <t>47128643</t>
  </si>
  <si>
    <t>Order47128429- 260701001</t>
  </si>
  <si>
    <t>AUD2026-12 Ocean Link AM Fund</t>
  </si>
  <si>
    <t>OCEAN ASSETS MANAGEMENT HK LIMITED</t>
  </si>
  <si>
    <t>47128429</t>
  </si>
  <si>
    <t>Order47146895- 260705001</t>
  </si>
  <si>
    <t>AUD2026-12 Qianhai Alliance Funds</t>
  </si>
  <si>
    <t>Xinjiang Qianhai Alliance Asset Management Co.,Ltd.</t>
  </si>
  <si>
    <t>47146895</t>
  </si>
  <si>
    <t>Order47128481- 260701001</t>
  </si>
  <si>
    <t>AUD2026-12 Oceanlink Mgt-US</t>
  </si>
  <si>
    <t>47128481</t>
  </si>
  <si>
    <t>Order47147546- 260722002</t>
  </si>
  <si>
    <t>Order47149346- 260908002</t>
  </si>
  <si>
    <t>IPO2025-12 Project Libra EC</t>
  </si>
  <si>
    <t>47149346</t>
  </si>
  <si>
    <t>Order47147556- 260825002</t>
  </si>
  <si>
    <t>AUD2026-12 Jinteng Tech</t>
  </si>
  <si>
    <t>47147556</t>
  </si>
  <si>
    <t>Order47128046- 260501004</t>
  </si>
  <si>
    <t>AUD2026-12 FR Funds</t>
  </si>
  <si>
    <t>FORTUNE &amp; ROYAL ASSET MANAGEMENT CORPORATION LIMITED</t>
  </si>
  <si>
    <t>47128046</t>
  </si>
  <si>
    <t>Order47128482- 260501004</t>
  </si>
  <si>
    <t>AUD2026-12 Ocean Link RMB Mgt</t>
  </si>
  <si>
    <t>Shanghai Ouling Bohui Investment L.P.</t>
  </si>
  <si>
    <t>47128482</t>
  </si>
  <si>
    <t>Order47128413- 260501003</t>
  </si>
  <si>
    <t>AUD2026-12 Ali US Fund</t>
  </si>
  <si>
    <t>New Retail Strategic Opportunities Fund, L.P.</t>
  </si>
  <si>
    <t>47128413</t>
  </si>
  <si>
    <t>Order47128430- 260501002</t>
  </si>
  <si>
    <t>AUD2026-12 BLC US Fund</t>
  </si>
  <si>
    <t>BLC Healthcare USD Fund I L.P.</t>
  </si>
  <si>
    <t>47128430</t>
  </si>
  <si>
    <t>Order47128039- 260501004</t>
  </si>
  <si>
    <t>AUD2026-12 Marshall Wace</t>
  </si>
  <si>
    <t>Shaowei Investment Management (Shanghai) Co., Ltd.</t>
  </si>
  <si>
    <t>47128039</t>
  </si>
  <si>
    <t>Order47128585- 260501005</t>
  </si>
  <si>
    <t>Order47071304- 260522001</t>
  </si>
  <si>
    <t>Master Kong- Tax benefits for specific populations_2024_CY</t>
  </si>
  <si>
    <t>Tianjin Dingyu Consulting Co., Ltd. Shanghai Branch</t>
  </si>
  <si>
    <t>47071304</t>
  </si>
  <si>
    <t>Order47084414- 260522001</t>
  </si>
  <si>
    <t>LVC tax compliance 2025_JZ</t>
  </si>
  <si>
    <t>LOUIS VUITTON CHINA LTD.</t>
  </si>
  <si>
    <t>47084414</t>
  </si>
  <si>
    <t>Order47134379- 260813001</t>
  </si>
  <si>
    <t>Order47128471- 260807001</t>
  </si>
  <si>
    <t>AUD2026-12 Oaktree Mgt</t>
  </si>
  <si>
    <t>47128471</t>
  </si>
  <si>
    <t>Order47129679- 260814001</t>
  </si>
  <si>
    <t>AUD2026-12 DST Investment Mgt</t>
  </si>
  <si>
    <t>DST Investment Management Limited</t>
  </si>
  <si>
    <t>47129679</t>
  </si>
  <si>
    <t>Order47128784- 260501004</t>
  </si>
  <si>
    <t>AUD2026-12 Hina Growth</t>
  </si>
  <si>
    <t>HinaGroup(Beijing) Inc.</t>
  </si>
  <si>
    <t>47128784</t>
  </si>
  <si>
    <t>Order47129473- 260501006</t>
  </si>
  <si>
    <t>AUD2026-12 Public Bank Group</t>
  </si>
  <si>
    <t>PUBLIC FINANCIAL HOLDINGS LIMITED</t>
  </si>
  <si>
    <t>47129473</t>
  </si>
  <si>
    <t>Order47129130- 260814001</t>
  </si>
  <si>
    <t>AUD2026-12 Taikang HK Comps</t>
  </si>
  <si>
    <t>Taikang Asset Management (Hong Kong) Company Limited</t>
  </si>
  <si>
    <t>47129130</t>
  </si>
  <si>
    <t>Order47146464- 260722004</t>
  </si>
  <si>
    <t>AUD2026-12 CBC RMB Fund</t>
  </si>
  <si>
    <t>47146464</t>
  </si>
  <si>
    <t>Order47146463- 260722005</t>
  </si>
  <si>
    <t>AUD2026-12 CBC RMB Fund-GP</t>
  </si>
  <si>
    <t>47146463</t>
  </si>
  <si>
    <t>Order47146132- 260708003</t>
  </si>
  <si>
    <t>AUD2026-12 Sunmed Fund II</t>
  </si>
  <si>
    <t>Sunmed Capital Fund II L.P.</t>
  </si>
  <si>
    <t>47146132</t>
  </si>
  <si>
    <t>Elinor.Yin@cn.ey.com,Dalia.Zhang@cn.ey.com,Rigel.He@cn.ey.com,Forrest.C.Gan@cn.ey.com,Freya.JY.Huang@cn.ey.com,Kayla.HL.Wu@cn.ey.com,Quinn.KB.Li@cn.ey.com,Nora.Z.Yu@cn.ey.com,Willow.L.Li@cn.ey.com</t>
  </si>
  <si>
    <t>Order47128977- 260501004</t>
  </si>
  <si>
    <t>AUD2026-12 UBS SDIC Funds-AMP</t>
  </si>
  <si>
    <t>UBS SDIC Fund Management Co., Ltd.</t>
  </si>
  <si>
    <t>47128977</t>
  </si>
  <si>
    <t>Order47128787- 260501003</t>
  </si>
  <si>
    <t>AUD2026-12 UBS SDIC Funds</t>
  </si>
  <si>
    <t>47128787</t>
  </si>
  <si>
    <t>Order47128840- 260501005</t>
  </si>
  <si>
    <t>AUD2026-12 Ocean Link RMB Fds.</t>
  </si>
  <si>
    <t>47128840</t>
  </si>
  <si>
    <t>Order47128665- 260902001</t>
  </si>
  <si>
    <t>AUD2026-12 3H Health USD Funds</t>
  </si>
  <si>
    <t>3H Health Investment Fund I, L.P.</t>
  </si>
  <si>
    <t>47128665</t>
  </si>
  <si>
    <t>Order47128418- 260723001</t>
  </si>
  <si>
    <t>Order47127955- 260709001</t>
  </si>
  <si>
    <t>AUD2026-12 Chinalink</t>
  </si>
  <si>
    <t>ChinaLink investment  L.P.</t>
  </si>
  <si>
    <t>47127955</t>
  </si>
  <si>
    <t>Order47129432- 260812001</t>
  </si>
  <si>
    <t>AUD2026-12 OCML HK</t>
  </si>
  <si>
    <t>Ortus Capital Management Limited</t>
  </si>
  <si>
    <t>47129432</t>
  </si>
  <si>
    <t>Order47153186- 260820001</t>
  </si>
  <si>
    <t>AUD2026-12 CICC Capital</t>
  </si>
  <si>
    <t>47153186</t>
  </si>
  <si>
    <t>Order47129692- 260814001</t>
  </si>
  <si>
    <t>AUD2026-12 E Fund IM</t>
  </si>
  <si>
    <t>E Fund International Holdings Limited</t>
  </si>
  <si>
    <t>47129692</t>
  </si>
  <si>
    <t>Order47148664- 260722001</t>
  </si>
  <si>
    <t>QTR2026-12 Ant Group</t>
  </si>
  <si>
    <t>47148664</t>
  </si>
  <si>
    <t>Order47129050- 260501002</t>
  </si>
  <si>
    <t>AUD2026-12 Delian Capital</t>
  </si>
  <si>
    <t>Shanghai Delian Bojian Venture Capital Partnership Enterprise (Limited Partnership)</t>
  </si>
  <si>
    <t>47129050</t>
  </si>
  <si>
    <t>Order47128133- 260501003</t>
  </si>
  <si>
    <t>INT2026-06 GF Securities</t>
  </si>
  <si>
    <t>GF Securities Co., Ltd.</t>
  </si>
  <si>
    <t>47128133</t>
  </si>
  <si>
    <t>Tobey.Luo@cn.ey.com</t>
  </si>
  <si>
    <t>Order47128570- 260710001</t>
  </si>
  <si>
    <t>AUD2026-12 Oaktree QDLP</t>
  </si>
  <si>
    <t>47128570</t>
  </si>
  <si>
    <t>Order47128518- 260501004</t>
  </si>
  <si>
    <t>Order47128316- 260807001</t>
  </si>
  <si>
    <t>AUD2026-12 Brookfield Renewable (Shanghai) Private Investment Fund (Limited Partnership)</t>
  </si>
  <si>
    <t>Bofeng Green Engergy (Shanghai) Private Placement Investment Fund Partnership Enterprise ( Limited Partnership )</t>
  </si>
  <si>
    <t>47128316</t>
  </si>
  <si>
    <t>Order47149346- 260901002</t>
  </si>
  <si>
    <t>Order47128115- 260501007</t>
  </si>
  <si>
    <t>Order47128115- 260501008</t>
  </si>
  <si>
    <t>Order47153262- 260827001</t>
  </si>
  <si>
    <t>AUD2026-12 NB QDLP</t>
  </si>
  <si>
    <t>Neuberger Berman Overseas Investment Fund Management (Shanghai) Co., Ltd.</t>
  </si>
  <si>
    <t>47153262</t>
  </si>
  <si>
    <t>Order47151576- 260803002</t>
  </si>
  <si>
    <t>AUD2026-12 Warburg Pincus Polarite Fund</t>
  </si>
  <si>
    <t>Polarite Gem Holdings Group Ltd</t>
  </si>
  <si>
    <t>47151576</t>
  </si>
  <si>
    <t>Order47128597- 260708001</t>
  </si>
  <si>
    <t>AUD2026-12 KAiA fund</t>
  </si>
  <si>
    <t>KAiA Capital Fund I L.P.</t>
  </si>
  <si>
    <t>47128597</t>
  </si>
  <si>
    <t>Order47128944- 260501003</t>
  </si>
  <si>
    <t>Piting Limited</t>
  </si>
  <si>
    <t>Order47146128- 260708003</t>
  </si>
  <si>
    <t>AUD2026-12 Shuzhou Yangyun</t>
  </si>
  <si>
    <t>Suzhou Yangyun Yaosheng Venture Capital Partnership Enterprise (limitedpartnership)</t>
  </si>
  <si>
    <t>47146128</t>
  </si>
  <si>
    <t>2027Week15-20260930-436</t>
  </si>
  <si>
    <t>Cher.Peng@cn.ey.com</t>
  </si>
  <si>
    <t>2027Week22-20260904-1441</t>
  </si>
  <si>
    <t>AUD2026-12 CMF FMC</t>
  </si>
  <si>
    <t>Order47128207- 260501006</t>
  </si>
  <si>
    <t>2027Week22-20260904-1450</t>
  </si>
  <si>
    <t>AUD2026-12 Essence Funds</t>
  </si>
  <si>
    <t>Order47128581- 260501005</t>
  </si>
  <si>
    <t>2027Week22-20260904-1454</t>
  </si>
  <si>
    <t>AUD2026-12 Lion Funds</t>
  </si>
  <si>
    <t>Order47127959- 260504005</t>
  </si>
  <si>
    <t>2027Week22-20260904-1627</t>
  </si>
  <si>
    <t>AUD2026-12 First Seafront AM Funds</t>
  </si>
  <si>
    <t>Order47128204- 260501004</t>
  </si>
  <si>
    <t>2027Week22-20260904-1717</t>
  </si>
  <si>
    <t>Order47128207- 260501005</t>
  </si>
  <si>
    <t>2027Week22-20260904-276</t>
  </si>
  <si>
    <t>2027Week22-20260907-316</t>
  </si>
  <si>
    <t>Order47127959- 260901001</t>
  </si>
  <si>
    <t>2027Week22-20260908-78</t>
  </si>
  <si>
    <t>Order47128581- 260826001</t>
  </si>
  <si>
    <t>2027Week23-20260904-1365</t>
  </si>
  <si>
    <t>2027Week23-20260904-1374</t>
  </si>
  <si>
    <t>2027Week23-20260904-1377</t>
  </si>
  <si>
    <t>2027Week23-20260904-1522</t>
  </si>
  <si>
    <t>2027Week23-20260904-1612</t>
  </si>
  <si>
    <t>2027Week23-20260904-316</t>
  </si>
  <si>
    <t>2027Week23-20260907-235</t>
  </si>
  <si>
    <t>2027Week23-20260908-75</t>
  </si>
  <si>
    <t>2027Week24-20260904-1373</t>
  </si>
  <si>
    <t>2027Week24-20260904-1382</t>
  </si>
  <si>
    <t>2027Week24-20260904-1385</t>
  </si>
  <si>
    <t>2027Week24-20260904-1536</t>
  </si>
  <si>
    <t>2027Week24-20260904-1629</t>
  </si>
  <si>
    <t>2027Week24-20260904-319</t>
  </si>
  <si>
    <t>2027Week24-20260907-260</t>
  </si>
  <si>
    <t>2027Week24-20260908-79</t>
  </si>
  <si>
    <t>2027Week25-20260904-1399</t>
  </si>
  <si>
    <t>2027Week25-20260904-1408</t>
  </si>
  <si>
    <t>2027Week25-20260904-1411</t>
  </si>
  <si>
    <t>2027Week25-20260904-1560</t>
  </si>
  <si>
    <t>2027Week25-20260904-1654</t>
  </si>
  <si>
    <t>2027Week25-20260904-357</t>
  </si>
  <si>
    <t>2027Week25-20260907-254</t>
  </si>
  <si>
    <t>2027Week25-20260908-72</t>
  </si>
  <si>
    <t>2027Week26-20260904-1691</t>
  </si>
  <si>
    <t>2027Week26-20260904-1709</t>
  </si>
  <si>
    <t>2027Week26-20260904-1714</t>
  </si>
  <si>
    <t>2027Week26-20260904-1901</t>
  </si>
  <si>
    <t>2027Week26-20260904-1996</t>
  </si>
  <si>
    <t>2027Week26-20260904-395</t>
  </si>
  <si>
    <t>2027Week26-20260907-284</t>
  </si>
  <si>
    <t>2027Week26-20260908-92</t>
  </si>
  <si>
    <t>2027Week27-20260904-1936</t>
  </si>
  <si>
    <t>2027Week27-20260904-1947</t>
  </si>
  <si>
    <t>2027Week27-20260904-1949</t>
  </si>
  <si>
    <t>2027Week27-20260904-2058</t>
  </si>
  <si>
    <t>2027Week27-20260904-2148</t>
  </si>
  <si>
    <t>2027Week27-20260904-456</t>
  </si>
  <si>
    <t>2027Week27-20260907-267</t>
  </si>
  <si>
    <t>2027Week27-20260908-81</t>
  </si>
  <si>
    <t>2027Week28-20260904-1960</t>
  </si>
  <si>
    <t>2027Week28-20260904-1972</t>
  </si>
  <si>
    <t>2027Week28-20260904-1974</t>
  </si>
  <si>
    <t>2027Week28-20260904-2081</t>
  </si>
  <si>
    <t>2027Week28-20260904-2171</t>
  </si>
  <si>
    <t>2027Week28-20260904-464</t>
  </si>
  <si>
    <t>2027Week28-20260907-265</t>
  </si>
  <si>
    <t>2027Week28-20260908-85</t>
  </si>
  <si>
    <t>2027Week29-20260904-2027</t>
  </si>
  <si>
    <t>2027Week29-20260904-2039</t>
  </si>
  <si>
    <t>2027Week29-20260904-2041</t>
  </si>
  <si>
    <t>2027Week29-20260904-2152</t>
  </si>
  <si>
    <t>2027Week29-20260904-2242</t>
  </si>
  <si>
    <t>2027Week29-20260904-482</t>
  </si>
  <si>
    <t>2027Week29-20260907-261</t>
  </si>
  <si>
    <t>2027Week29-20260908-84</t>
  </si>
  <si>
    <t>2027Week30-20260904-2039</t>
  </si>
  <si>
    <t>2027Week30-20260904-2050</t>
  </si>
  <si>
    <t>2027Week30-20260904-2052</t>
  </si>
  <si>
    <t>2027Week30-20260904-2166</t>
  </si>
  <si>
    <t>2027Week30-20260904-2261</t>
  </si>
  <si>
    <t>2027Week30-20260904-477</t>
  </si>
  <si>
    <t>2027Week30-20260907-259</t>
  </si>
  <si>
    <t>2027Week30-20260908-87</t>
  </si>
  <si>
    <t>2027Week31-20260904-2084</t>
  </si>
  <si>
    <t>2027Week31-20260904-2097</t>
  </si>
  <si>
    <t>2027Week31-20260904-2100</t>
  </si>
  <si>
    <t>2027Week31-20260904-2226</t>
  </si>
  <si>
    <t>2027Week31-20260904-2314</t>
  </si>
  <si>
    <t>2027Week31-20260904-463</t>
  </si>
  <si>
    <t>2027Week31-20260907-258</t>
  </si>
  <si>
    <t>2027Week31-20260908-86</t>
  </si>
  <si>
    <t>2027Week32-20260904-1927</t>
  </si>
  <si>
    <t>2027Week32-20260904-1936</t>
  </si>
  <si>
    <t>2027Week32-20260904-1939</t>
  </si>
  <si>
    <t>2027Week32-20260904-2044</t>
  </si>
  <si>
    <t>2027Week32-20260904-2140</t>
  </si>
  <si>
    <t>2027Week32-20260904-417</t>
  </si>
  <si>
    <t>2027Week32-20260907-260</t>
  </si>
  <si>
    <t>2027Week32-20260908-80</t>
  </si>
  <si>
    <t>2027Week33-20260904-1931</t>
  </si>
  <si>
    <t>2027Week33-20260904-1940</t>
  </si>
  <si>
    <t>2027Week33-20260904-1942</t>
  </si>
  <si>
    <t>2027Week33-20260904-2049</t>
  </si>
  <si>
    <t>2027Week33-20260904-2139</t>
  </si>
  <si>
    <t>2027Week33-20260904-420</t>
  </si>
  <si>
    <t>2027Week33-20260907-279</t>
  </si>
  <si>
    <t>2027Week33-20260908-87</t>
  </si>
  <si>
    <t>2027Week34-20260904-1937</t>
  </si>
  <si>
    <t>2027Week34-20260904-1946</t>
  </si>
  <si>
    <t>2027Week34-20260904-1948</t>
  </si>
  <si>
    <t>2027Week34-20260904-2055</t>
  </si>
  <si>
    <t>2027Week34-20260904-2129</t>
  </si>
  <si>
    <t>2027Week34-20260904-423</t>
  </si>
  <si>
    <t>2027Week34-20260907-262</t>
  </si>
  <si>
    <t>2027Week34-20260908-83</t>
  </si>
  <si>
    <t>2027Week35-20260904-2051</t>
  </si>
  <si>
    <t>2027Week35-20260904-2057</t>
  </si>
  <si>
    <t>2027Week35-20260904-2059</t>
  </si>
  <si>
    <t>2027Week35-20260904-2152</t>
  </si>
  <si>
    <t>2027Week35-20260904-2268</t>
  </si>
  <si>
    <t>2027Week35-20260904-467</t>
  </si>
  <si>
    <t>2027Week35-20260907-277</t>
  </si>
  <si>
    <t>2027Week35-20260908-74</t>
  </si>
  <si>
    <t>2027Week36-20260904-2994</t>
  </si>
  <si>
    <t>2027Week36-20260904-3005</t>
  </si>
  <si>
    <t>2027Week36-20260904-3009</t>
  </si>
  <si>
    <t>2027Week36-20260904-3019</t>
  </si>
  <si>
    <t>2027Week36-20260904-461</t>
  </si>
  <si>
    <t>2027Week36-20260907-323</t>
  </si>
  <si>
    <t>2027Week36-20260908-70</t>
  </si>
  <si>
    <t>2027Week36-20261009-2</t>
  </si>
  <si>
    <t>2027Week37-20260904-2955</t>
  </si>
  <si>
    <t>2027Week37-20260904-2969</t>
  </si>
  <si>
    <t>2027Week37-20260904-2973</t>
  </si>
  <si>
    <t>2027Week37-20260904-2985</t>
  </si>
  <si>
    <t>2027Week37-20260904-441</t>
  </si>
  <si>
    <t>2027Week37-20260907-311</t>
  </si>
  <si>
    <t>2027Week37-20260908-71</t>
  </si>
  <si>
    <t>2027Week37-20261009-2</t>
  </si>
  <si>
    <t>2027Week38-20260904-2936</t>
  </si>
  <si>
    <t>2027Week38-20260904-2950</t>
  </si>
  <si>
    <t>2027Week38-20260904-2954</t>
  </si>
  <si>
    <t>2027Week38-20260904-2964</t>
  </si>
  <si>
    <t>2027Week38-20260904-430</t>
  </si>
  <si>
    <t>2027Week38-20260907-303</t>
  </si>
  <si>
    <t>2027Week38-20260908-71</t>
  </si>
  <si>
    <t>2027Week38-20261009-2</t>
  </si>
  <si>
    <t>2027Week39-20260904-2924</t>
  </si>
  <si>
    <t>2027Week39-20260904-2938</t>
  </si>
  <si>
    <t>2027Week39-20260904-2942</t>
  </si>
  <si>
    <t>2027Week39-20260904-2957</t>
  </si>
  <si>
    <t>2027Week39-20260904-420</t>
  </si>
  <si>
    <t>2027Week39-20260907-351</t>
  </si>
  <si>
    <t>2027Week39-20260908-79</t>
  </si>
  <si>
    <t>2027Week39-20261009-2</t>
  </si>
  <si>
    <t>2027Week40-20260904-227</t>
  </si>
  <si>
    <t>2027Week40-20261009-2</t>
  </si>
  <si>
    <t>2027Week41-20260904-226</t>
  </si>
  <si>
    <t>2027Week41-20261009-2</t>
  </si>
  <si>
    <t>2027Week42-20260904-223</t>
  </si>
  <si>
    <t>2027Week42-20261009-2</t>
  </si>
  <si>
    <t>2027Week43-20260904-209</t>
  </si>
  <si>
    <t>2027Week43-20261009-2</t>
  </si>
  <si>
    <t>2027Week15-20260911-84</t>
  </si>
  <si>
    <t>2027Week15-20260930-728</t>
  </si>
  <si>
    <t>2027Week16-20260911-92</t>
  </si>
  <si>
    <t>2027Week17-20260911-91</t>
  </si>
  <si>
    <t>2027Week18-20260911-99</t>
  </si>
  <si>
    <t>2027Week19-20260911-104</t>
  </si>
  <si>
    <t>2027Week20-20260911-93</t>
  </si>
  <si>
    <t>2027Week21-20260911-95</t>
  </si>
  <si>
    <t>2027Week22-20260904-1003</t>
  </si>
  <si>
    <t>2027Week22-20260904-1016</t>
  </si>
  <si>
    <t>2027Week22-20260904-1022</t>
  </si>
  <si>
    <t>2027Week22-20260904-1214</t>
  </si>
  <si>
    <t>2027Week22-20260904-1227</t>
  </si>
  <si>
    <t>2027Week22-20260904-1339</t>
  </si>
  <si>
    <t>2027Week22-20260904-816</t>
  </si>
  <si>
    <t>2027Week22-20260904-822</t>
  </si>
  <si>
    <t>2027Week22-20260904-828</t>
  </si>
  <si>
    <t>2027Week22-20260904-839</t>
  </si>
  <si>
    <t>2027Week22-20260904-871</t>
  </si>
  <si>
    <t>2027Week22-20260904-889</t>
  </si>
  <si>
    <t>2027Week22-20260904-903</t>
  </si>
  <si>
    <t>2027Week22-20260904-907</t>
  </si>
  <si>
    <t>2027Week22-20260904-912</t>
  </si>
  <si>
    <t>2027Week22-20260904-916</t>
  </si>
  <si>
    <t>2027Week22-20260904-922</t>
  </si>
  <si>
    <t>2027Week22-20260904-927</t>
  </si>
  <si>
    <t>2027Week22-20260904-929</t>
  </si>
  <si>
    <t>2027Week22-20260904-938</t>
  </si>
  <si>
    <t>2027Week22-20260904-940</t>
  </si>
  <si>
    <t>2027Week22-20260904-941</t>
  </si>
  <si>
    <t>2027Week22-20260904-951</t>
  </si>
  <si>
    <t>2027Week22-20260904-955</t>
  </si>
  <si>
    <t>2027Week22-20260904-958</t>
  </si>
  <si>
    <t>2027Week22-20260904-986</t>
  </si>
  <si>
    <t>2027Week22-20260904-989</t>
  </si>
  <si>
    <t>2027Week22-20260904-991</t>
  </si>
  <si>
    <t>2027Week22-20260904-998</t>
  </si>
  <si>
    <t>2027Week22-20260911-95</t>
  </si>
  <si>
    <t>2027Week23-20260904-1168</t>
  </si>
  <si>
    <t>2027Week23-20260904-1181</t>
  </si>
  <si>
    <t>2027Week23-20260904-1274</t>
  </si>
  <si>
    <t>2027Week23-20260904-811</t>
  </si>
  <si>
    <t>2027Week23-20260904-817</t>
  </si>
  <si>
    <t>2027Week23-20260904-823</t>
  </si>
  <si>
    <t>2027Week23-20260904-825</t>
  </si>
  <si>
    <t>2027Week23-20260904-847</t>
  </si>
  <si>
    <t>2027Week23-20260904-862</t>
  </si>
  <si>
    <t>2027Week23-20260904-876</t>
  </si>
  <si>
    <t>2027Week23-20260904-881</t>
  </si>
  <si>
    <t>2027Week23-20260904-889</t>
  </si>
  <si>
    <t>2027Week23-20260904-893</t>
  </si>
  <si>
    <t>2027Week23-20260904-899</t>
  </si>
  <si>
    <t>2027Week23-20260904-903</t>
  </si>
  <si>
    <t>2027Week23-20260904-905</t>
  </si>
  <si>
    <t>2027Week23-20260904-913</t>
  </si>
  <si>
    <t>2027Week23-20260904-914</t>
  </si>
  <si>
    <t>2027Week23-20260904-915</t>
  </si>
  <si>
    <t>2027Week23-20260904-923</t>
  </si>
  <si>
    <t>2027Week23-20260904-926</t>
  </si>
  <si>
    <t>2027Week23-20260904-929</t>
  </si>
  <si>
    <t>2027Week23-20260904-953</t>
  </si>
  <si>
    <t>2027Week23-20260904-955</t>
  </si>
  <si>
    <t>2027Week23-20260904-957</t>
  </si>
  <si>
    <t>2027Week23-20260904-961</t>
  </si>
  <si>
    <t>2027Week23-20260904-963</t>
  </si>
  <si>
    <t>2027Week23-20260904-971</t>
  </si>
  <si>
    <t>2027Week23-20260904-977</t>
  </si>
  <si>
    <t>2027Week23-20260911-68</t>
  </si>
  <si>
    <t>2027Week24-20260904-1179</t>
  </si>
  <si>
    <t>2027Week24-20260904-1192</t>
  </si>
  <si>
    <t>2027Week24-20260904-1281</t>
  </si>
  <si>
    <t>2027Week24-20260904-824</t>
  </si>
  <si>
    <t>2027Week24-20260904-830</t>
  </si>
  <si>
    <t>2027Week24-20260904-836</t>
  </si>
  <si>
    <t>2027Week24-20260904-838</t>
  </si>
  <si>
    <t>2027Week24-20260904-854</t>
  </si>
  <si>
    <t>2027Week24-20260904-867</t>
  </si>
  <si>
    <t>2027Week24-20260904-880</t>
  </si>
  <si>
    <t>2027Week24-20260904-885</t>
  </si>
  <si>
    <t>2027Week24-20260904-893</t>
  </si>
  <si>
    <t>2027Week24-20260904-897</t>
  </si>
  <si>
    <t>2027Week24-20260904-903</t>
  </si>
  <si>
    <t>2027Week24-20260904-907</t>
  </si>
  <si>
    <t>2027Week24-20260904-909</t>
  </si>
  <si>
    <t>2027Week24-20260904-917</t>
  </si>
  <si>
    <t>2027Week24-20260904-918</t>
  </si>
  <si>
    <t>2027Week24-20260904-919</t>
  </si>
  <si>
    <t>2027Week24-20260904-927</t>
  </si>
  <si>
    <t>2027Week24-20260904-930</t>
  </si>
  <si>
    <t>2027Week24-20260904-933</t>
  </si>
  <si>
    <t>2027Week24-20260904-957</t>
  </si>
  <si>
    <t>2027Week24-20260904-960</t>
  </si>
  <si>
    <t>2027Week24-20260904-962</t>
  </si>
  <si>
    <t>2027Week24-20260904-966</t>
  </si>
  <si>
    <t>2027Week24-20260904-968</t>
  </si>
  <si>
    <t>2027Week24-20260904-976</t>
  </si>
  <si>
    <t>2027Week24-20260904-982</t>
  </si>
  <si>
    <t>2027Week24-20260911-68</t>
  </si>
  <si>
    <t>2027Week25-20260904-1004</t>
  </si>
  <si>
    <t>2027Week25-20260904-1010</t>
  </si>
  <si>
    <t>2027Week25-20260904-1204</t>
  </si>
  <si>
    <t>2027Week25-20260904-1217</t>
  </si>
  <si>
    <t>2027Week25-20260904-1308</t>
  </si>
  <si>
    <t>2027Week25-20260904-852</t>
  </si>
  <si>
    <t>2027Week25-20260904-858</t>
  </si>
  <si>
    <t>2027Week25-20260904-864</t>
  </si>
  <si>
    <t>2027Week25-20260904-866</t>
  </si>
  <si>
    <t>2027Week25-20260904-882</t>
  </si>
  <si>
    <t>2027Week25-20260904-895</t>
  </si>
  <si>
    <t>2027Week25-20260904-908</t>
  </si>
  <si>
    <t>2027Week25-20260904-913</t>
  </si>
  <si>
    <t>2027Week25-20260904-921</t>
  </si>
  <si>
    <t>2027Week25-20260904-925</t>
  </si>
  <si>
    <t>2027Week25-20260904-931</t>
  </si>
  <si>
    <t>2027Week25-20260904-935</t>
  </si>
  <si>
    <t>2027Week25-20260904-937</t>
  </si>
  <si>
    <t>2027Week25-20260904-945</t>
  </si>
  <si>
    <t>2027Week25-20260904-946</t>
  </si>
  <si>
    <t>2027Week25-20260904-947</t>
  </si>
  <si>
    <t>2027Week25-20260904-955</t>
  </si>
  <si>
    <t>2027Week25-20260904-958</t>
  </si>
  <si>
    <t>2027Week25-20260904-961</t>
  </si>
  <si>
    <t>2027Week25-20260904-985</t>
  </si>
  <si>
    <t>2027Week25-20260904-988</t>
  </si>
  <si>
    <t>2027Week25-20260904-990</t>
  </si>
  <si>
    <t>2027Week25-20260904-994</t>
  </si>
  <si>
    <t>2027Week25-20260904-996</t>
  </si>
  <si>
    <t>2027Week25-20260911-68</t>
  </si>
  <si>
    <t>2027Week26-20260904-1001</t>
  </si>
  <si>
    <t>2027Week26-20260904-1009</t>
  </si>
  <si>
    <t>2027Week26-20260904-1013</t>
  </si>
  <si>
    <t>2027Week26-20260904-1019</t>
  </si>
  <si>
    <t>2027Week26-20260904-1023</t>
  </si>
  <si>
    <t>2027Week26-20260904-1025</t>
  </si>
  <si>
    <t>2027Week26-20260904-1033</t>
  </si>
  <si>
    <t>2027Week26-20260904-1034</t>
  </si>
  <si>
    <t>2027Week26-20260904-1035</t>
  </si>
  <si>
    <t>2027Week26-20260904-1044</t>
  </si>
  <si>
    <t>2027Week26-20260904-1047</t>
  </si>
  <si>
    <t>2027Week26-20260904-1051</t>
  </si>
  <si>
    <t>2027Week26-20260904-1099</t>
  </si>
  <si>
    <t>2027Week26-20260904-1102</t>
  </si>
  <si>
    <t>2027Week26-20260904-1104</t>
  </si>
  <si>
    <t>2027Week26-20260904-1109</t>
  </si>
  <si>
    <t>2027Week26-20260904-1112</t>
  </si>
  <si>
    <t>2027Week26-20260904-1122</t>
  </si>
  <si>
    <t>2027Week26-20260904-1130</t>
  </si>
  <si>
    <t>2027Week26-20260904-1364</t>
  </si>
  <si>
    <t>2027Week26-20260904-1380</t>
  </si>
  <si>
    <t>2027Week26-20260904-1531</t>
  </si>
  <si>
    <t>2027Week26-20260904-943</t>
  </si>
  <si>
    <t>2027Week26-20260904-949</t>
  </si>
  <si>
    <t>2027Week26-20260904-953</t>
  </si>
  <si>
    <t>2027Week26-20260904-955</t>
  </si>
  <si>
    <t>2027Week26-20260904-971</t>
  </si>
  <si>
    <t>2027Week26-20260904-983</t>
  </si>
  <si>
    <t>2027Week26-20260904-996</t>
  </si>
  <si>
    <t>2027Week26-20260911-77</t>
  </si>
  <si>
    <t>2027Week27-20260904-1158</t>
  </si>
  <si>
    <t>2027Week27-20260904-1160</t>
  </si>
  <si>
    <t>2027Week27-20260904-1162</t>
  </si>
  <si>
    <t>2027Week27-20260904-1164</t>
  </si>
  <si>
    <t>2027Week27-20260904-1168</t>
  </si>
  <si>
    <t>2027Week27-20260904-1170</t>
  </si>
  <si>
    <t>2027Week27-20260904-1182</t>
  </si>
  <si>
    <t>2027Week27-20260904-1187</t>
  </si>
  <si>
    <t>2027Week27-20260904-1196</t>
  </si>
  <si>
    <t>2027Week27-20260904-1201</t>
  </si>
  <si>
    <t>2027Week27-20260904-1208</t>
  </si>
  <si>
    <t>2027Week27-20260904-1217</t>
  </si>
  <si>
    <t>2027Week27-20260904-1221</t>
  </si>
  <si>
    <t>2027Week27-20260904-1234</t>
  </si>
  <si>
    <t>2027Week27-20260904-1235</t>
  </si>
  <si>
    <t>2027Week27-20260904-1236</t>
  </si>
  <si>
    <t>2027Week27-20260904-1252</t>
  </si>
  <si>
    <t>2027Week27-20260904-1257</t>
  </si>
  <si>
    <t>2027Week27-20260904-1264</t>
  </si>
  <si>
    <t>2027Week27-20260904-1416</t>
  </si>
  <si>
    <t>2027Week27-20260904-1427</t>
  </si>
  <si>
    <t>2027Week27-20260904-1429</t>
  </si>
  <si>
    <t>2027Week27-20260904-1434</t>
  </si>
  <si>
    <t>2027Week27-20260904-1438</t>
  </si>
  <si>
    <t>2027Week27-20260904-1453</t>
  </si>
  <si>
    <t>2027Week27-20260904-1461</t>
  </si>
  <si>
    <t>2027Week27-20260904-1641</t>
  </si>
  <si>
    <t>2027Week27-20260904-1653</t>
  </si>
  <si>
    <t>2027Week27-20260904-1816</t>
  </si>
  <si>
    <t>2027Week28-20260904-1164</t>
  </si>
  <si>
    <t>2027Week28-20260904-1166</t>
  </si>
  <si>
    <t>2027Week28-20260904-1168</t>
  </si>
  <si>
    <t>2027Week28-20260904-1174</t>
  </si>
  <si>
    <t>2027Week28-20260904-1182</t>
  </si>
  <si>
    <t>2027Week28-20260904-1184</t>
  </si>
  <si>
    <t>2027Week28-20260904-1196</t>
  </si>
  <si>
    <t>2027Week28-20260904-1201</t>
  </si>
  <si>
    <t>2027Week28-20260904-1210</t>
  </si>
  <si>
    <t>2027Week28-20260904-1215</t>
  </si>
  <si>
    <t>2027Week28-20260904-1221</t>
  </si>
  <si>
    <t>2027Week28-20260904-1230</t>
  </si>
  <si>
    <t>2027Week28-20260904-1234</t>
  </si>
  <si>
    <t>2027Week28-20260904-1247</t>
  </si>
  <si>
    <t>2027Week28-20260904-1248</t>
  </si>
  <si>
    <t>2027Week28-20260904-1249</t>
  </si>
  <si>
    <t>2027Week28-20260904-1264</t>
  </si>
  <si>
    <t>2027Week28-20260904-1270</t>
  </si>
  <si>
    <t>2027Week28-20260904-1277</t>
  </si>
  <si>
    <t>2027Week28-20260904-1432</t>
  </si>
  <si>
    <t>2027Week28-20260904-1443</t>
  </si>
  <si>
    <t>2027Week28-20260904-1445</t>
  </si>
  <si>
    <t>2027Week28-20260904-1450</t>
  </si>
  <si>
    <t>2027Week28-20260904-1454</t>
  </si>
  <si>
    <t>2027Week28-20260904-1469</t>
  </si>
  <si>
    <t>2027Week28-20260904-1477</t>
  </si>
  <si>
    <t>2027Week28-20260904-1669</t>
  </si>
  <si>
    <t>2027Week28-20260904-1681</t>
  </si>
  <si>
    <t>2027Week28-20260904-1844</t>
  </si>
  <si>
    <t>2027Week29-20260904-1207</t>
  </si>
  <si>
    <t>2027Week29-20260904-1211</t>
  </si>
  <si>
    <t>2027Week29-20260904-1218</t>
  </si>
  <si>
    <t>2027Week29-20260904-1224</t>
  </si>
  <si>
    <t>2027Week29-20260904-1232</t>
  </si>
  <si>
    <t>2027Week29-20260904-1234</t>
  </si>
  <si>
    <t>2027Week29-20260904-1246</t>
  </si>
  <si>
    <t>2027Week29-20260904-1251</t>
  </si>
  <si>
    <t>2027Week29-20260904-1260</t>
  </si>
  <si>
    <t>2027Week29-20260904-1265</t>
  </si>
  <si>
    <t>2027Week29-20260904-1271</t>
  </si>
  <si>
    <t>2027Week29-20260904-1280</t>
  </si>
  <si>
    <t>2027Week29-20260904-1284</t>
  </si>
  <si>
    <t>2027Week29-20260904-1297</t>
  </si>
  <si>
    <t>2027Week29-20260904-1298</t>
  </si>
  <si>
    <t>2027Week29-20260904-1299</t>
  </si>
  <si>
    <t>2027Week29-20260904-1314</t>
  </si>
  <si>
    <t>2027Week29-20260904-1320</t>
  </si>
  <si>
    <t>2027Week29-20260904-1327</t>
  </si>
  <si>
    <t>2027Week29-20260904-1482</t>
  </si>
  <si>
    <t>2027Week29-20260904-1493</t>
  </si>
  <si>
    <t>2027Week29-20260904-1495</t>
  </si>
  <si>
    <t>2027Week29-20260904-1500</t>
  </si>
  <si>
    <t>2027Week29-20260904-1504</t>
  </si>
  <si>
    <t>2027Week29-20260904-1519</t>
  </si>
  <si>
    <t>2027Week29-20260904-1527</t>
  </si>
  <si>
    <t>2027Week29-20260904-1724</t>
  </si>
  <si>
    <t>2027Week29-20260904-1736</t>
  </si>
  <si>
    <t>2027Week29-20260904-1902</t>
  </si>
  <si>
    <t>2027Week30-20260904-1205</t>
  </si>
  <si>
    <t>2027Week30-20260904-1209</t>
  </si>
  <si>
    <t>2027Week30-20260904-1216</t>
  </si>
  <si>
    <t>2027Week30-20260904-1222</t>
  </si>
  <si>
    <t>2027Week30-20260904-1230</t>
  </si>
  <si>
    <t>2027Week30-20260904-1235</t>
  </si>
  <si>
    <t>2027Week30-20260904-1248</t>
  </si>
  <si>
    <t>2027Week30-20260904-1253</t>
  </si>
  <si>
    <t>2027Week30-20260904-1262</t>
  </si>
  <si>
    <t>2027Week30-20260904-1267</t>
  </si>
  <si>
    <t>2027Week30-20260904-1273</t>
  </si>
  <si>
    <t>2027Week30-20260904-1282</t>
  </si>
  <si>
    <t>2027Week30-20260904-1286</t>
  </si>
  <si>
    <t>2027Week30-20260904-1299</t>
  </si>
  <si>
    <t>2027Week30-20260904-1300</t>
  </si>
  <si>
    <t>2027Week30-20260904-1301</t>
  </si>
  <si>
    <t>2027Week30-20260904-1315</t>
  </si>
  <si>
    <t>2027Week30-20260904-1322</t>
  </si>
  <si>
    <t>2027Week30-20260904-1329</t>
  </si>
  <si>
    <t>2027Week30-20260904-1484</t>
  </si>
  <si>
    <t>2027Week30-20260904-1495</t>
  </si>
  <si>
    <t>2027Week30-20260904-1497</t>
  </si>
  <si>
    <t>2027Week30-20260904-1502</t>
  </si>
  <si>
    <t>2027Week30-20260904-1506</t>
  </si>
  <si>
    <t>2027Week30-20260904-1521</t>
  </si>
  <si>
    <t>2027Week30-20260904-1529</t>
  </si>
  <si>
    <t>2027Week30-20260904-1727</t>
  </si>
  <si>
    <t>2027Week30-20260904-1739</t>
  </si>
  <si>
    <t>2027Week30-20260904-1915</t>
  </si>
  <si>
    <t>2027Week31-20260904-1197</t>
  </si>
  <si>
    <t>2027Week31-20260904-1201</t>
  </si>
  <si>
    <t>2027Week31-20260904-1208</t>
  </si>
  <si>
    <t>2027Week31-20260904-1214</t>
  </si>
  <si>
    <t>2027Week31-20260904-1222</t>
  </si>
  <si>
    <t>2027Week31-20260904-1227</t>
  </si>
  <si>
    <t>2027Week31-20260904-1237</t>
  </si>
  <si>
    <t>2027Week31-20260904-1242</t>
  </si>
  <si>
    <t>2027Week31-20260904-1249</t>
  </si>
  <si>
    <t>2027Week31-20260904-1252</t>
  </si>
  <si>
    <t>2027Week31-20260904-1254</t>
  </si>
  <si>
    <t>2027Week31-20260904-1261</t>
  </si>
  <si>
    <t>2027Week31-20260904-1265</t>
  </si>
  <si>
    <t>2027Week31-20260904-1283</t>
  </si>
  <si>
    <t>2027Week31-20260904-1284</t>
  </si>
  <si>
    <t>2027Week31-20260904-1285</t>
  </si>
  <si>
    <t>2027Week31-20260904-1303</t>
  </si>
  <si>
    <t>2027Week31-20260904-1313</t>
  </si>
  <si>
    <t>2027Week31-20260904-1322</t>
  </si>
  <si>
    <t>2027Week31-20260904-1478</t>
  </si>
  <si>
    <t>2027Week31-20260904-1492</t>
  </si>
  <si>
    <t>2027Week31-20260904-1500</t>
  </si>
  <si>
    <t>2027Week31-20260904-1510</t>
  </si>
  <si>
    <t>2027Week31-20260904-1515</t>
  </si>
  <si>
    <t>2027Week31-20260904-1532</t>
  </si>
  <si>
    <t>2027Week31-20260904-1540</t>
  </si>
  <si>
    <t>2027Week31-20260904-1761</t>
  </si>
  <si>
    <t>2027Week31-20260904-1773</t>
  </si>
  <si>
    <t>2027Week31-20260904-1959</t>
  </si>
  <si>
    <t>2027Week32-20260904-1090</t>
  </si>
  <si>
    <t>2027Week32-20260904-1094</t>
  </si>
  <si>
    <t>2027Week32-20260904-1101</t>
  </si>
  <si>
    <t>2027Week32-20260904-1107</t>
  </si>
  <si>
    <t>2027Week32-20260904-1113</t>
  </si>
  <si>
    <t>2027Week32-20260904-1118</t>
  </si>
  <si>
    <t>2027Week32-20260904-1128</t>
  </si>
  <si>
    <t>2027Week32-20260904-1133</t>
  </si>
  <si>
    <t>2027Week32-20260904-1140</t>
  </si>
  <si>
    <t>2027Week32-20260904-1143</t>
  </si>
  <si>
    <t>2027Week32-20260904-1145</t>
  </si>
  <si>
    <t>2027Week32-20260904-1152</t>
  </si>
  <si>
    <t>2027Week32-20260904-1156</t>
  </si>
  <si>
    <t>2027Week32-20260904-1174</t>
  </si>
  <si>
    <t>2027Week32-20260904-1175</t>
  </si>
  <si>
    <t>2027Week32-20260904-1176</t>
  </si>
  <si>
    <t>2027Week32-20260904-1194</t>
  </si>
  <si>
    <t>2027Week32-20260904-1204</t>
  </si>
  <si>
    <t>2027Week32-20260904-1213</t>
  </si>
  <si>
    <t>2027Week32-20260904-1369</t>
  </si>
  <si>
    <t>2027Week32-20260904-1383</t>
  </si>
  <si>
    <t>2027Week32-20260904-1391</t>
  </si>
  <si>
    <t>2027Week32-20260904-1401</t>
  </si>
  <si>
    <t>2027Week32-20260904-1406</t>
  </si>
  <si>
    <t>2027Week32-20260904-1423</t>
  </si>
  <si>
    <t>2027Week32-20260904-1431</t>
  </si>
  <si>
    <t>2027Week32-20260904-1635</t>
  </si>
  <si>
    <t>2027Week32-20260904-1646</t>
  </si>
  <si>
    <t>2027Week32-20260904-1818</t>
  </si>
  <si>
    <t>2027Week33-20260904-1094</t>
  </si>
  <si>
    <t>2027Week33-20260904-1098</t>
  </si>
  <si>
    <t>2027Week33-20260904-1105</t>
  </si>
  <si>
    <t>2027Week33-20260904-1111</t>
  </si>
  <si>
    <t>2027Week33-20260904-1117</t>
  </si>
  <si>
    <t>2027Week33-20260904-1122</t>
  </si>
  <si>
    <t>2027Week33-20260904-1132</t>
  </si>
  <si>
    <t>2027Week33-20260904-1136</t>
  </si>
  <si>
    <t>2027Week33-20260904-1144</t>
  </si>
  <si>
    <t>2027Week33-20260904-1147</t>
  </si>
  <si>
    <t>2027Week33-20260904-1149</t>
  </si>
  <si>
    <t>2027Week33-20260904-1156</t>
  </si>
  <si>
    <t>2027Week33-20260904-1160</t>
  </si>
  <si>
    <t>2027Week33-20260904-1178</t>
  </si>
  <si>
    <t>2027Week33-20260904-1179</t>
  </si>
  <si>
    <t>2027Week33-20260904-1180</t>
  </si>
  <si>
    <t>2027Week33-20260904-1198</t>
  </si>
  <si>
    <t>2027Week33-20260904-1208</t>
  </si>
  <si>
    <t>2027Week33-20260904-1217</t>
  </si>
  <si>
    <t>2027Week33-20260904-1375</t>
  </si>
  <si>
    <t>2027Week33-20260904-1389</t>
  </si>
  <si>
    <t>2027Week33-20260904-1397</t>
  </si>
  <si>
    <t>2027Week33-20260904-1407</t>
  </si>
  <si>
    <t>2027Week33-20260904-1412</t>
  </si>
  <si>
    <t>2027Week33-20260904-1429</t>
  </si>
  <si>
    <t>2027Week33-20260904-1438</t>
  </si>
  <si>
    <t>2027Week33-20260904-1644</t>
  </si>
  <si>
    <t>2027Week33-20260904-1655</t>
  </si>
  <si>
    <t>2027Week33-20260904-1822</t>
  </si>
  <si>
    <t>2027Week34-20260904-1094</t>
  </si>
  <si>
    <t>2027Week34-20260904-1098</t>
  </si>
  <si>
    <t>2027Week34-20260904-1105</t>
  </si>
  <si>
    <t>2027Week34-20260904-1113</t>
  </si>
  <si>
    <t>2027Week34-20260904-1121</t>
  </si>
  <si>
    <t>2027Week34-20260904-1126</t>
  </si>
  <si>
    <t>2027Week34-20260904-1134</t>
  </si>
  <si>
    <t>2027Week34-20260904-1137</t>
  </si>
  <si>
    <t>2027Week34-20260904-1145</t>
  </si>
  <si>
    <t>2027Week34-20260904-1148</t>
  </si>
  <si>
    <t>2027Week34-20260904-1150</t>
  </si>
  <si>
    <t>2027Week34-20260904-1157</t>
  </si>
  <si>
    <t>2027Week34-20260904-1161</t>
  </si>
  <si>
    <t>2027Week34-20260904-1179</t>
  </si>
  <si>
    <t>2027Week34-20260904-1180</t>
  </si>
  <si>
    <t>2027Week34-20260904-1181</t>
  </si>
  <si>
    <t>2027Week34-20260904-1199</t>
  </si>
  <si>
    <t>2027Week34-20260904-1209</t>
  </si>
  <si>
    <t>2027Week34-20260904-1217</t>
  </si>
  <si>
    <t>2027Week34-20260904-1372</t>
  </si>
  <si>
    <t>2027Week34-20260904-1386</t>
  </si>
  <si>
    <t>2027Week34-20260904-1394</t>
  </si>
  <si>
    <t>2027Week34-20260904-1404</t>
  </si>
  <si>
    <t>2027Week34-20260904-1409</t>
  </si>
  <si>
    <t>2027Week34-20260904-1431</t>
  </si>
  <si>
    <t>2027Week34-20260904-1440</t>
  </si>
  <si>
    <t>2027Week34-20260904-1644</t>
  </si>
  <si>
    <t>2027Week34-20260904-1655</t>
  </si>
  <si>
    <t>2027Week34-20260904-1826</t>
  </si>
  <si>
    <t>2027Week35-20260904-1174</t>
  </si>
  <si>
    <t>2027Week35-20260904-1178</t>
  </si>
  <si>
    <t>2027Week35-20260904-1185</t>
  </si>
  <si>
    <t>2027Week35-20260904-1193</t>
  </si>
  <si>
    <t>2027Week35-20260904-1201</t>
  </si>
  <si>
    <t>2027Week35-20260904-1206</t>
  </si>
  <si>
    <t>2027Week35-20260904-1214</t>
  </si>
  <si>
    <t>2027Week35-20260904-1217</t>
  </si>
  <si>
    <t>2027Week35-20260904-1225</t>
  </si>
  <si>
    <t>2027Week35-20260904-1228</t>
  </si>
  <si>
    <t>2027Week35-20260904-1230</t>
  </si>
  <si>
    <t>2027Week35-20260904-1237</t>
  </si>
  <si>
    <t>2027Week35-20260904-1241</t>
  </si>
  <si>
    <t>2027Week35-20260904-1259</t>
  </si>
  <si>
    <t>2027Week35-20260904-1260</t>
  </si>
  <si>
    <t>2027Week35-20260904-1261</t>
  </si>
  <si>
    <t>2027Week35-20260904-1279</t>
  </si>
  <si>
    <t>2027Week35-20260904-1289</t>
  </si>
  <si>
    <t>2027Week35-20260904-1297</t>
  </si>
  <si>
    <t>2027Week35-20260904-1444</t>
  </si>
  <si>
    <t>2027Week35-20260904-1458</t>
  </si>
  <si>
    <t>2027Week35-20260904-1466</t>
  </si>
  <si>
    <t>2027Week35-20260904-1477</t>
  </si>
  <si>
    <t>2027Week35-20260904-1483</t>
  </si>
  <si>
    <t>2027Week35-20260904-1507</t>
  </si>
  <si>
    <t>2027Week35-20260904-1516</t>
  </si>
  <si>
    <t>2027Week35-20260904-1652</t>
  </si>
  <si>
    <t>2027Week35-20260904-1660</t>
  </si>
  <si>
    <t>2027Week35-20260904-1716</t>
  </si>
  <si>
    <t>2027Week35-20260904-1722</t>
  </si>
  <si>
    <t>2027Week35-20260904-1729</t>
  </si>
  <si>
    <t>2027Week35-20260904-1732</t>
  </si>
  <si>
    <t>2027Week35-20260904-1736</t>
  </si>
  <si>
    <t>2027Week35-20260904-1748</t>
  </si>
  <si>
    <t>2027Week35-20260904-1881</t>
  </si>
  <si>
    <t>2027Week35-20260904-1901</t>
  </si>
  <si>
    <t>2027Week35-20260904-1939</t>
  </si>
  <si>
    <t>2027Week36-20260904-1612</t>
  </si>
  <si>
    <t>2027Week36-20260904-1619</t>
  </si>
  <si>
    <t>2027Week36-20260904-1620</t>
  </si>
  <si>
    <t>2027Week36-20260904-1621</t>
  </si>
  <si>
    <t>2027Week36-20260904-1625</t>
  </si>
  <si>
    <t>2027Week36-20260904-1627</t>
  </si>
  <si>
    <t>2027Week36-20260904-1630</t>
  </si>
  <si>
    <t>2027Week36-20260904-1634</t>
  </si>
  <si>
    <t>2027Week36-20260904-1635</t>
  </si>
  <si>
    <t>2027Week36-20260904-1638</t>
  </si>
  <si>
    <t>2027Week36-20260904-1640</t>
  </si>
  <si>
    <t>2027Week36-20260904-1641</t>
  </si>
  <si>
    <t>2027Week36-20260904-1644</t>
  </si>
  <si>
    <t>2027Week36-20260904-1649</t>
  </si>
  <si>
    <t>2027Week36-20260904-1689</t>
  </si>
  <si>
    <t>2027Week36-20260904-1695</t>
  </si>
  <si>
    <t>2027Week36-20260904-1702</t>
  </si>
  <si>
    <t>2027Week36-20260904-1705</t>
  </si>
  <si>
    <t>2027Week36-20260904-1715</t>
  </si>
  <si>
    <t>2027Week36-20260904-1735</t>
  </si>
  <si>
    <t>2027Week36-20260904-1738</t>
  </si>
  <si>
    <t>2027Week36-20260904-1739</t>
  </si>
  <si>
    <t>2027Week36-20260904-1740</t>
  </si>
  <si>
    <t>2027Week36-20260904-1747</t>
  </si>
  <si>
    <t>2027Week36-20260904-1755</t>
  </si>
  <si>
    <t>2027Week36-20260904-1831</t>
  </si>
  <si>
    <t>2027Week36-20260904-1851</t>
  </si>
  <si>
    <t>2027Week36-20260904-1910</t>
  </si>
  <si>
    <t>2027Week36-20261009-1</t>
  </si>
  <si>
    <t>2027Week37-20260904-1585</t>
  </si>
  <si>
    <t>2027Week37-20260904-1592</t>
  </si>
  <si>
    <t>2027Week37-20260904-1593</t>
  </si>
  <si>
    <t>2027Week37-20260904-1594</t>
  </si>
  <si>
    <t>2027Week37-20260904-1598</t>
  </si>
  <si>
    <t>2027Week37-20260904-1599</t>
  </si>
  <si>
    <t>2027Week37-20260904-1602</t>
  </si>
  <si>
    <t>2027Week37-20260904-1606</t>
  </si>
  <si>
    <t>2027Week37-20260904-1607</t>
  </si>
  <si>
    <t>2027Week37-20260904-1610</t>
  </si>
  <si>
    <t>2027Week37-20260904-1612</t>
  </si>
  <si>
    <t>2027Week37-20260904-1613</t>
  </si>
  <si>
    <t>2027Week37-20260904-1616</t>
  </si>
  <si>
    <t>2027Week37-20260904-1621</t>
  </si>
  <si>
    <t>2027Week37-20260904-1659</t>
  </si>
  <si>
    <t>2027Week37-20260904-1666</t>
  </si>
  <si>
    <t>2027Week37-20260904-1673</t>
  </si>
  <si>
    <t>2027Week37-20260904-1679</t>
  </si>
  <si>
    <t>2027Week37-20260904-1691</t>
  </si>
  <si>
    <t>2027Week37-20260904-1711</t>
  </si>
  <si>
    <t>2027Week37-20260904-1714</t>
  </si>
  <si>
    <t>2027Week37-20260904-1715</t>
  </si>
  <si>
    <t>2027Week37-20260904-1716</t>
  </si>
  <si>
    <t>2027Week37-20260904-1723</t>
  </si>
  <si>
    <t>2027Week37-20260904-1731</t>
  </si>
  <si>
    <t>2027Week37-20260904-1801</t>
  </si>
  <si>
    <t>2027Week37-20260904-1827</t>
  </si>
  <si>
    <t>2027Week37-20260904-1892</t>
  </si>
  <si>
    <t>2027Week37-20261009-1</t>
  </si>
  <si>
    <t>2027Week38-20260904-1564</t>
  </si>
  <si>
    <t>2027Week38-20260904-1571</t>
  </si>
  <si>
    <t>2027Week38-20260904-1572</t>
  </si>
  <si>
    <t>2027Week38-20260904-1573</t>
  </si>
  <si>
    <t>2027Week38-20260904-1577</t>
  </si>
  <si>
    <t>2027Week38-20260904-1578</t>
  </si>
  <si>
    <t>2027Week38-20260904-1581</t>
  </si>
  <si>
    <t>2027Week38-20260904-1585</t>
  </si>
  <si>
    <t>2027Week38-20260904-1586</t>
  </si>
  <si>
    <t>2027Week38-20260904-1589</t>
  </si>
  <si>
    <t>2027Week38-20260904-1591</t>
  </si>
  <si>
    <t>2027Week38-20260904-1592</t>
  </si>
  <si>
    <t>2027Week38-20260904-1595</t>
  </si>
  <si>
    <t>2027Week38-20260904-1600</t>
  </si>
  <si>
    <t>2027Week38-20260904-1633</t>
  </si>
  <si>
    <t>2027Week38-20260904-1639</t>
  </si>
  <si>
    <t>2027Week38-20260904-1646</t>
  </si>
  <si>
    <t>2027Week38-20260904-1649</t>
  </si>
  <si>
    <t>2027Week38-20260904-1668</t>
  </si>
  <si>
    <t>2027Week38-20260904-1704</t>
  </si>
  <si>
    <t>2027Week38-20260904-1707</t>
  </si>
  <si>
    <t>2027Week38-20260904-1708</t>
  </si>
  <si>
    <t>2027Week38-20260904-1709</t>
  </si>
  <si>
    <t>2027Week38-20260904-1716</t>
  </si>
  <si>
    <t>2027Week38-20260904-1724</t>
  </si>
  <si>
    <t>2027Week38-20260904-1794</t>
  </si>
  <si>
    <t>2027Week38-20260904-1813</t>
  </si>
  <si>
    <t>2027Week38-20260904-1878</t>
  </si>
  <si>
    <t>2027Week38-20261009-1</t>
  </si>
  <si>
    <t>2027Week39-20260904-1555</t>
  </si>
  <si>
    <t>2027Week39-20260904-1562</t>
  </si>
  <si>
    <t>2027Week39-20260904-1563</t>
  </si>
  <si>
    <t>2027Week39-20260904-1564</t>
  </si>
  <si>
    <t>2027Week39-20260904-1568</t>
  </si>
  <si>
    <t>2027Week39-20260904-1569</t>
  </si>
  <si>
    <t>2027Week39-20260904-1572</t>
  </si>
  <si>
    <t>2027Week39-20260904-1576</t>
  </si>
  <si>
    <t>2027Week39-20260904-1577</t>
  </si>
  <si>
    <t>2027Week39-20260904-1580</t>
  </si>
  <si>
    <t>2027Week39-20260904-1582</t>
  </si>
  <si>
    <t>2027Week39-20260904-1583</t>
  </si>
  <si>
    <t>2027Week39-20260904-1586</t>
  </si>
  <si>
    <t>2027Week39-20260904-1593</t>
  </si>
  <si>
    <t>2027Week39-20260904-1626</t>
  </si>
  <si>
    <t>2027Week39-20260904-1632</t>
  </si>
  <si>
    <t>2027Week39-20260904-1639</t>
  </si>
  <si>
    <t>2027Week39-20260904-1642</t>
  </si>
  <si>
    <t>2027Week39-20260904-1658</t>
  </si>
  <si>
    <t>2027Week39-20260904-1697</t>
  </si>
  <si>
    <t>2027Week39-20260904-1700</t>
  </si>
  <si>
    <t>2027Week39-20260904-1701</t>
  </si>
  <si>
    <t>2027Week39-20260904-1702</t>
  </si>
  <si>
    <t>2027Week39-20260904-1710</t>
  </si>
  <si>
    <t>2027Week39-20260904-1718</t>
  </si>
  <si>
    <t>2027Week39-20260904-1796</t>
  </si>
  <si>
    <t>2027Week39-20260904-1819</t>
  </si>
  <si>
    <t>2027Week39-20260904-1888</t>
  </si>
  <si>
    <t>2027Week39-20261009-1</t>
  </si>
  <si>
    <t>2027Week40-20260904-693</t>
  </si>
  <si>
    <t>2027Week40-20260904-695</t>
  </si>
  <si>
    <t>2027Week40-20260904-696</t>
  </si>
  <si>
    <t>2027Week40-20260904-697</t>
  </si>
  <si>
    <t>2027Week40-20260904-701</t>
  </si>
  <si>
    <t>2027Week40-20260904-702</t>
  </si>
  <si>
    <t>2027Week40-20260904-704</t>
  </si>
  <si>
    <t>2027Week40-20260904-707</t>
  </si>
  <si>
    <t>2027Week40-20260904-708</t>
  </si>
  <si>
    <t>2027Week40-20260904-711</t>
  </si>
  <si>
    <t>2027Week40-20260904-713</t>
  </si>
  <si>
    <t>2027Week40-20260904-714</t>
  </si>
  <si>
    <t>2027Week40-20260904-717</t>
  </si>
  <si>
    <t>2027Week40-20260904-721</t>
  </si>
  <si>
    <t>2027Week40-20260904-738</t>
  </si>
  <si>
    <t>2027Week40-20260904-741</t>
  </si>
  <si>
    <t>2027Week40-20260904-746</t>
  </si>
  <si>
    <t>2027Week40-20260904-748</t>
  </si>
  <si>
    <t>2027Week40-20260904-750</t>
  </si>
  <si>
    <t>2027Week40-20260904-756</t>
  </si>
  <si>
    <t>2027Week40-20260904-758</t>
  </si>
  <si>
    <t>2027Week40-20260904-759</t>
  </si>
  <si>
    <t>2027Week40-20260904-760</t>
  </si>
  <si>
    <t>2027Week40-20260904-764</t>
  </si>
  <si>
    <t>2027Week40-20260904-766</t>
  </si>
  <si>
    <t>2027Week40-20260904-787</t>
  </si>
  <si>
    <t>2027Week40-20260904-793</t>
  </si>
  <si>
    <t>2027Week40-20260904-802</t>
  </si>
  <si>
    <t>2027Week40-20261009-1</t>
  </si>
  <si>
    <t>2027Week41-20260904-665</t>
  </si>
  <si>
    <t>2027Week41-20260904-667</t>
  </si>
  <si>
    <t>2027Week41-20260904-668</t>
  </si>
  <si>
    <t>2027Week41-20260904-669</t>
  </si>
  <si>
    <t>2027Week41-20260904-673</t>
  </si>
  <si>
    <t>2027Week41-20260904-674</t>
  </si>
  <si>
    <t>2027Week41-20260904-676</t>
  </si>
  <si>
    <t>2027Week41-20260904-679</t>
  </si>
  <si>
    <t>2027Week41-20260904-680</t>
  </si>
  <si>
    <t>2027Week41-20260904-683</t>
  </si>
  <si>
    <t>2027Week41-20260904-685</t>
  </si>
  <si>
    <t>2027Week41-20260904-686</t>
  </si>
  <si>
    <t>2027Week41-20260904-689</t>
  </si>
  <si>
    <t>2027Week41-20260904-693</t>
  </si>
  <si>
    <t>2027Week41-20260904-710</t>
  </si>
  <si>
    <t>2027Week41-20260904-713</t>
  </si>
  <si>
    <t>2027Week41-20260904-718</t>
  </si>
  <si>
    <t>2027Week41-20260904-720</t>
  </si>
  <si>
    <t>2027Week41-20260904-722</t>
  </si>
  <si>
    <t>2027Week41-20260904-728</t>
  </si>
  <si>
    <t>2027Week41-20260904-730</t>
  </si>
  <si>
    <t>2027Week41-20260904-731</t>
  </si>
  <si>
    <t>2027Week41-20260904-732</t>
  </si>
  <si>
    <t>2027Week41-20260904-736</t>
  </si>
  <si>
    <t>2027Week41-20260904-738</t>
  </si>
  <si>
    <t>2027Week41-20260904-759</t>
  </si>
  <si>
    <t>2027Week41-20260904-765</t>
  </si>
  <si>
    <t>2027Week41-20260904-774</t>
  </si>
  <si>
    <t>2027Week41-20261009-1</t>
  </si>
  <si>
    <t>2027Week42-20260904-643</t>
  </si>
  <si>
    <t>2027Week42-20260904-645</t>
  </si>
  <si>
    <t>2027Week42-20260904-646</t>
  </si>
  <si>
    <t>2027Week42-20260904-647</t>
  </si>
  <si>
    <t>2027Week42-20260904-651</t>
  </si>
  <si>
    <t>2027Week42-20260904-652</t>
  </si>
  <si>
    <t>2027Week42-20260904-654</t>
  </si>
  <si>
    <t>2027Week42-20260904-657</t>
  </si>
  <si>
    <t>2027Week42-20260904-658</t>
  </si>
  <si>
    <t>2027Week42-20260904-661</t>
  </si>
  <si>
    <t>2027Week42-20260904-663</t>
  </si>
  <si>
    <t>2027Week42-20260904-664</t>
  </si>
  <si>
    <t>2027Week42-20260904-667</t>
  </si>
  <si>
    <t>2027Week42-20260904-671</t>
  </si>
  <si>
    <t>2027Week42-20260904-688</t>
  </si>
  <si>
    <t>2027Week42-20260904-691</t>
  </si>
  <si>
    <t>2027Week42-20260904-696</t>
  </si>
  <si>
    <t>2027Week42-20260904-698</t>
  </si>
  <si>
    <t>2027Week42-20260904-700</t>
  </si>
  <si>
    <t>2027Week42-20260904-706</t>
  </si>
  <si>
    <t>2027Week42-20260904-708</t>
  </si>
  <si>
    <t>2027Week42-20260904-709</t>
  </si>
  <si>
    <t>2027Week42-20260904-710</t>
  </si>
  <si>
    <t>2027Week42-20260904-714</t>
  </si>
  <si>
    <t>2027Week42-20260904-716</t>
  </si>
  <si>
    <t>2027Week42-20260904-737</t>
  </si>
  <si>
    <t>2027Week42-20260904-743</t>
  </si>
  <si>
    <t>2027Week42-20260904-752</t>
  </si>
  <si>
    <t>2027Week42-20261009-1</t>
  </si>
  <si>
    <t>2027Week43-20260904-626</t>
  </si>
  <si>
    <t>2027Week43-20260904-628</t>
  </si>
  <si>
    <t>2027Week43-20260904-629</t>
  </si>
  <si>
    <t>2027Week43-20260904-630</t>
  </si>
  <si>
    <t>2027Week43-20260904-634</t>
  </si>
  <si>
    <t>2027Week43-20260904-635</t>
  </si>
  <si>
    <t>2027Week43-20260904-639</t>
  </si>
  <si>
    <t>2027Week43-20260904-642</t>
  </si>
  <si>
    <t>2027Week43-20260904-643</t>
  </si>
  <si>
    <t>2027Week43-20260904-646</t>
  </si>
  <si>
    <t>2027Week43-20260904-648</t>
  </si>
  <si>
    <t>2027Week43-20260904-649</t>
  </si>
  <si>
    <t>2027Week43-20260904-652</t>
  </si>
  <si>
    <t>2027Week43-20260904-656</t>
  </si>
  <si>
    <t>2027Week43-20260904-673</t>
  </si>
  <si>
    <t>2027Week43-20260904-676</t>
  </si>
  <si>
    <t>2027Week43-20260904-681</t>
  </si>
  <si>
    <t>2027Week43-20260904-683</t>
  </si>
  <si>
    <t>2027Week43-20260904-685</t>
  </si>
  <si>
    <t>2027Week43-20260904-691</t>
  </si>
  <si>
    <t>2027Week43-20260904-693</t>
  </si>
  <si>
    <t>2027Week43-20260904-694</t>
  </si>
  <si>
    <t>2027Week43-20260904-695</t>
  </si>
  <si>
    <t>2027Week43-20260904-699</t>
  </si>
  <si>
    <t>2027Week43-20260904-701</t>
  </si>
  <si>
    <t>2027Week43-20260904-722</t>
  </si>
  <si>
    <t>2027Week43-20260904-728</t>
  </si>
  <si>
    <t>2027Week43-20260904-737</t>
  </si>
  <si>
    <t>2027Week43-20261009-1</t>
  </si>
  <si>
    <t>2027Week15-20260910-87</t>
  </si>
  <si>
    <t>Hedy.HM.Wu@cn.ey.com</t>
  </si>
  <si>
    <t>2027Week15-20260930-960</t>
  </si>
  <si>
    <t>2027Week18-20260907-303</t>
  </si>
  <si>
    <t>Fullgoal Asset Management (HK) Limited-RQFII</t>
  </si>
  <si>
    <t>Order47140037- 260525002</t>
  </si>
  <si>
    <t>2027Week18-20260908-24</t>
  </si>
  <si>
    <t>AUD2026-12 CICC Culture</t>
  </si>
  <si>
    <t>Order47128216- 260501004</t>
  </si>
  <si>
    <t>2027Week18-20260908-39</t>
  </si>
  <si>
    <t>AUD2026-12 CICC Qiyuan</t>
  </si>
  <si>
    <t>Order47128208- 260501004</t>
  </si>
  <si>
    <t>2027Week19-20260907-318</t>
  </si>
  <si>
    <t>2027Week19-20260908-24</t>
  </si>
  <si>
    <t>2027Week19-20260908-39</t>
  </si>
  <si>
    <t>2027Week20-20260907-336</t>
  </si>
  <si>
    <t>2027Week20-20260908-24</t>
  </si>
  <si>
    <t>2027Week20-20260908-39</t>
  </si>
  <si>
    <t>2027Week20-20260908-42</t>
  </si>
  <si>
    <t>AUD2026-12 CICC Qizhi</t>
  </si>
  <si>
    <t>Order47128377- 260501004</t>
  </si>
  <si>
    <t>2027Week21-20260907-327</t>
  </si>
  <si>
    <t>2027Week21-20260908-24</t>
  </si>
  <si>
    <t>2027Week21-20260908-39</t>
  </si>
  <si>
    <t>2027Week21-20260908-42</t>
  </si>
  <si>
    <t>2027Week22-20260907-378</t>
  </si>
  <si>
    <t>2027Week22-20260908-27</t>
  </si>
  <si>
    <t>2027Week22-20260908-43</t>
  </si>
  <si>
    <t>2027Week22-20260908-46</t>
  </si>
  <si>
    <t>2027Week23-20260907-286</t>
  </si>
  <si>
    <t>2027Week23-20260908-23</t>
  </si>
  <si>
    <t>2027Week23-20260908-39</t>
  </si>
  <si>
    <t>2027Week23-20260908-46</t>
  </si>
  <si>
    <t>2027Week24-20260907-309</t>
  </si>
  <si>
    <t>2027Week24-20260908-23</t>
  </si>
  <si>
    <t>2027Week24-20260908-42</t>
  </si>
  <si>
    <t>2027Week24-20260908-50</t>
  </si>
  <si>
    <t>2027Week25-20260907-303</t>
  </si>
  <si>
    <t>2027Week25-20260908-19</t>
  </si>
  <si>
    <t>2027Week25-20260908-38</t>
  </si>
  <si>
    <t>2027Week25-20260908-43</t>
  </si>
  <si>
    <t>2027Week26-20260907-350</t>
  </si>
  <si>
    <t>2027Week26-20260908-166</t>
  </si>
  <si>
    <t>AUD2026-12 Beijing HouSheng</t>
  </si>
  <si>
    <t>Order47128769- 260501004</t>
  </si>
  <si>
    <t>2027Week26-20260908-17</t>
  </si>
  <si>
    <t>2027Week26-20260908-41</t>
  </si>
  <si>
    <t>2027Week26-20260908-44</t>
  </si>
  <si>
    <t>2027Week26-20260908-51</t>
  </si>
  <si>
    <t>AUD2026-12 CICC Astrazeneca</t>
  </si>
  <si>
    <t>Order47128378- 260501005</t>
  </si>
  <si>
    <t>2027Week26-20260908-69</t>
  </si>
  <si>
    <t>AUD2026-12 Greenwoods RMB fund</t>
  </si>
  <si>
    <t>Order47128020- 260501004</t>
  </si>
  <si>
    <t>2027Week26-20260908-84</t>
  </si>
  <si>
    <t>AUD2026-12 NEW HOPE Fund</t>
  </si>
  <si>
    <t>Order47128459- 260501004</t>
  </si>
  <si>
    <t>2027Week27-20260907-331</t>
  </si>
  <si>
    <t>2027Week27-20260908-139</t>
  </si>
  <si>
    <t>2027Week27-20260908-36</t>
  </si>
  <si>
    <t>2027Week27-20260908-54</t>
  </si>
  <si>
    <t>2027Week27-20260908-68</t>
  </si>
  <si>
    <t>2027Week28-20260907-329</t>
  </si>
  <si>
    <t>2027Week28-20260908-149</t>
  </si>
  <si>
    <t>2027Week28-20260908-172</t>
  </si>
  <si>
    <t>AUD2026-12 GTJA Energy Heating REIT</t>
  </si>
  <si>
    <t>Order47129006- 260501003</t>
  </si>
  <si>
    <t>2027Week28-20260908-179</t>
  </si>
  <si>
    <t>AUD2026-12 MS Private Fund QDLP</t>
  </si>
  <si>
    <t>Order47128820- 260501004</t>
  </si>
  <si>
    <t>2027Week28-20260908-36</t>
  </si>
  <si>
    <t>2027Week28-20260908-54</t>
  </si>
  <si>
    <t>2027Week28-20260908-72</t>
  </si>
  <si>
    <t>2027Week29-20260907-325</t>
  </si>
  <si>
    <t>2027Week29-20260908-173</t>
  </si>
  <si>
    <t>2027Week29-20260908-40</t>
  </si>
  <si>
    <t>2027Week29-20260908-55</t>
  </si>
  <si>
    <t>2027Week29-20260908-71</t>
  </si>
  <si>
    <t>2027Week30-20260907-328</t>
  </si>
  <si>
    <t>2027Week30-20260908-175</t>
  </si>
  <si>
    <t>2027Week30-20260908-43</t>
  </si>
  <si>
    <t>2027Week30-20260908-58</t>
  </si>
  <si>
    <t>2027Week30-20260908-74</t>
  </si>
  <si>
    <t>2027Week31-20260907-331</t>
  </si>
  <si>
    <t>2027Week31-20260908-173</t>
  </si>
  <si>
    <t>2027Week31-20260908-41</t>
  </si>
  <si>
    <t>2027Week31-20260908-56</t>
  </si>
  <si>
    <t>2027Week31-20260908-78</t>
  </si>
  <si>
    <t>2027Week32-20260908-163</t>
  </si>
  <si>
    <t>2027Week32-20260908-38</t>
  </si>
  <si>
    <t>2027Week32-20260908-53</t>
  </si>
  <si>
    <t>2027Week32-20260908-72</t>
  </si>
  <si>
    <t>2027Week33-20260908-170</t>
  </si>
  <si>
    <t>2027Week33-20260908-42</t>
  </si>
  <si>
    <t>2027Week33-20260908-57</t>
  </si>
  <si>
    <t>2027Week33-20260908-79</t>
  </si>
  <si>
    <t>2027Week34-20260908-164</t>
  </si>
  <si>
    <t>2027Week34-20260908-38</t>
  </si>
  <si>
    <t>2027Week34-20260908-53</t>
  </si>
  <si>
    <t>2027Week34-20260908-75</t>
  </si>
  <si>
    <t>2027Week16-20260930-29</t>
  </si>
  <si>
    <t>Hmily.Zeng@cn.ey.com</t>
  </si>
  <si>
    <t>2027Week16-20260930-455</t>
  </si>
  <si>
    <t>2027Week22-20260904-268</t>
  </si>
  <si>
    <t>AUD2026-12 CSAM Funds</t>
  </si>
  <si>
    <t>Order47128006- 260501002</t>
  </si>
  <si>
    <t>2027Week22-20260904-577</t>
  </si>
  <si>
    <t>AUD2026-12 Rongtong Funds</t>
  </si>
  <si>
    <t>Order47128667- 260501003</t>
  </si>
  <si>
    <t>2027Week22-20260904-584</t>
  </si>
  <si>
    <t>AUD2026-12 China Galaxy</t>
  </si>
  <si>
    <t>Order47129262- 260501004</t>
  </si>
  <si>
    <t>2027Week22-20260904-586</t>
  </si>
  <si>
    <t>AUD2026-12 TruValue AM Funds</t>
  </si>
  <si>
    <t>Order47128213- 260501003</t>
  </si>
  <si>
    <t>2027Week22-20260904-614</t>
  </si>
  <si>
    <t>AUD2026-12 GF Holdings (HK)</t>
  </si>
  <si>
    <t>Order47129222- 260501012</t>
  </si>
  <si>
    <t>2027Week22-20260904-647</t>
  </si>
  <si>
    <t>AUD2026-12 Hyacinth Multi</t>
  </si>
  <si>
    <t>Order47128561- 260501003</t>
  </si>
  <si>
    <t>2027Week22-20260904-655</t>
  </si>
  <si>
    <t>AUD2026-12 Primas Capital</t>
  </si>
  <si>
    <t>Order47129727- 260814001</t>
  </si>
  <si>
    <t>2027Week22-20260904-664</t>
  </si>
  <si>
    <t>AUD2026-12 SGA</t>
  </si>
  <si>
    <t>Order47132096- 260708001</t>
  </si>
  <si>
    <t>2027Week22-20260904-689</t>
  </si>
  <si>
    <t>AUD2026-12 Dacheng Funds</t>
  </si>
  <si>
    <t>Order47128300- 260501004</t>
  </si>
  <si>
    <t>2027Week22-20260904-699</t>
  </si>
  <si>
    <t>AUD2026-12 First Seafront AM FMC</t>
  </si>
  <si>
    <t>Order47128655- 260717001</t>
  </si>
  <si>
    <t>2027Week22-20260904-717</t>
  </si>
  <si>
    <t>AUD2026-12 Cinda Funds</t>
  </si>
  <si>
    <t>Order47128179- 260501004</t>
  </si>
  <si>
    <t>2027Week22-20260904-733</t>
  </si>
  <si>
    <t>AUD2026-12 YXFH &amp; CHB FY24</t>
  </si>
  <si>
    <t>Order47129558- 260501008</t>
  </si>
  <si>
    <t>2027Week22-20260904-788</t>
  </si>
  <si>
    <t>AUD2026-12 OPTIMAS CAPITAL LIMITED</t>
  </si>
  <si>
    <t>Order47129273- 260501001</t>
  </si>
  <si>
    <t>2027Week22-20260904-795</t>
  </si>
  <si>
    <t>AUD2026-12 Optimas Funds</t>
  </si>
  <si>
    <t>Order47129274- 260501001</t>
  </si>
  <si>
    <t>2027Week22-20260907-11</t>
  </si>
  <si>
    <t>AUD2026-12 Boshi Funds</t>
  </si>
  <si>
    <t>Order47128587- 260831001</t>
  </si>
  <si>
    <t>2027Week22-20260907-63</t>
  </si>
  <si>
    <t>AUD2026-12 PA Fund FMC</t>
  </si>
  <si>
    <t>Order47128247- 260904001</t>
  </si>
  <si>
    <t>2027Week23-20260904-308</t>
  </si>
  <si>
    <t>2027Week23-20260904-593</t>
  </si>
  <si>
    <t>2027Week23-20260904-601</t>
  </si>
  <si>
    <t>2027Week23-20260904-603</t>
  </si>
  <si>
    <t>2027Week23-20260904-631</t>
  </si>
  <si>
    <t>2027Week23-20260904-669</t>
  </si>
  <si>
    <t>2027Week23-20260904-678</t>
  </si>
  <si>
    <t>2027Week23-20260904-687</t>
  </si>
  <si>
    <t>2027Week23-20260904-710</t>
  </si>
  <si>
    <t>2027Week23-20260904-720</t>
  </si>
  <si>
    <t>2027Week23-20260904-738</t>
  </si>
  <si>
    <t>2027Week23-20260904-746</t>
  </si>
  <si>
    <t>2027Week23-20260904-785</t>
  </si>
  <si>
    <t>2027Week23-20260904-792</t>
  </si>
  <si>
    <t>2027Week23-20260907-11</t>
  </si>
  <si>
    <t>2027Week23-20260907-60</t>
  </si>
  <si>
    <t>2027Week24-20260904-311</t>
  </si>
  <si>
    <t>2027Week24-20260904-606</t>
  </si>
  <si>
    <t>2027Week24-20260904-614</t>
  </si>
  <si>
    <t>2027Week24-20260904-616</t>
  </si>
  <si>
    <t>2027Week24-20260904-644</t>
  </si>
  <si>
    <t>2027Week24-20260904-682</t>
  </si>
  <si>
    <t>2027Week24-20260904-691</t>
  </si>
  <si>
    <t>2027Week24-20260904-700</t>
  </si>
  <si>
    <t>2027Week24-20260904-723</t>
  </si>
  <si>
    <t>2027Week24-20260904-733</t>
  </si>
  <si>
    <t>2027Week24-20260904-751</t>
  </si>
  <si>
    <t>2027Week24-20260904-759</t>
  </si>
  <si>
    <t>2027Week24-20260904-798</t>
  </si>
  <si>
    <t>2027Week24-20260904-805</t>
  </si>
  <si>
    <t>2027Week24-20260907-64</t>
  </si>
  <si>
    <t>2027Week24-20260907-9</t>
  </si>
  <si>
    <t>2027Week25-20260904-349</t>
  </si>
  <si>
    <t>2027Week25-20260904-635</t>
  </si>
  <si>
    <t>2027Week25-20260904-643</t>
  </si>
  <si>
    <t>2027Week25-20260904-645</t>
  </si>
  <si>
    <t>2027Week25-20260904-673</t>
  </si>
  <si>
    <t>2027Week25-20260904-711</t>
  </si>
  <si>
    <t>2027Week25-20260904-720</t>
  </si>
  <si>
    <t>2027Week25-20260904-729</t>
  </si>
  <si>
    <t>2027Week25-20260904-752</t>
  </si>
  <si>
    <t>2027Week25-20260904-762</t>
  </si>
  <si>
    <t>2027Week25-20260904-780</t>
  </si>
  <si>
    <t>2027Week25-20260904-788</t>
  </si>
  <si>
    <t>2027Week25-20260904-826</t>
  </si>
  <si>
    <t>2027Week25-20260904-833</t>
  </si>
  <si>
    <t>2027Week25-20260907-64</t>
  </si>
  <si>
    <t>2027Week25-20260907-9</t>
  </si>
  <si>
    <t>2027Week26-20260904-384</t>
  </si>
  <si>
    <t>2027Week26-20260904-714</t>
  </si>
  <si>
    <t>2027Week26-20260904-722</t>
  </si>
  <si>
    <t>2027Week26-20260904-724</t>
  </si>
  <si>
    <t>2027Week26-20260904-750</t>
  </si>
  <si>
    <t>2027Week26-20260904-788</t>
  </si>
  <si>
    <t>2027Week26-20260904-798</t>
  </si>
  <si>
    <t>2027Week26-20260904-809</t>
  </si>
  <si>
    <t>2027Week26-20260904-837</t>
  </si>
  <si>
    <t>2027Week26-20260904-847</t>
  </si>
  <si>
    <t>2027Week26-20260904-863</t>
  </si>
  <si>
    <t>2027Week26-20260904-874</t>
  </si>
  <si>
    <t>2027Week26-20260904-916</t>
  </si>
  <si>
    <t>2027Week26-20260904-926</t>
  </si>
  <si>
    <t>2027Week26-20260907-15</t>
  </si>
  <si>
    <t>2027Week26-20260907-67</t>
  </si>
  <si>
    <t>2027Week27-20260904-1213</t>
  </si>
  <si>
    <t>2027Week27-20260904-1337</t>
  </si>
  <si>
    <t>2027Week27-20260904-1342</t>
  </si>
  <si>
    <t>2027Week27-20260904-1346</t>
  </si>
  <si>
    <t>2027Week27-20260904-1353</t>
  </si>
  <si>
    <t>2027Week27-20260904-1356</t>
  </si>
  <si>
    <t>2027Week27-20260904-1399</t>
  </si>
  <si>
    <t>2027Week27-20260904-1400</t>
  </si>
  <si>
    <t>2027Week27-20260904-1405</t>
  </si>
  <si>
    <t>2027Week27-20260904-1475</t>
  </si>
  <si>
    <t>2027Week27-20260904-1478</t>
  </si>
  <si>
    <t>2027Week27-20260904-1498</t>
  </si>
  <si>
    <t>2027Week27-20260904-1520</t>
  </si>
  <si>
    <t>2027Week27-20260904-1523</t>
  </si>
  <si>
    <t>2027Week27-20260907-19</t>
  </si>
  <si>
    <t>2027Week27-20260907-78</t>
  </si>
  <si>
    <t>2027Week28-20260904-1226</t>
  </si>
  <si>
    <t>2027Week28-20260904-1350</t>
  </si>
  <si>
    <t>2027Week28-20260904-1355</t>
  </si>
  <si>
    <t>2027Week28-20260904-1359</t>
  </si>
  <si>
    <t>2027Week28-20260904-1366</t>
  </si>
  <si>
    <t>2027Week28-20260904-1369</t>
  </si>
  <si>
    <t>2027Week28-20260904-1415</t>
  </si>
  <si>
    <t>2027Week28-20260904-1416</t>
  </si>
  <si>
    <t>2027Week28-20260904-1421</t>
  </si>
  <si>
    <t>2027Week28-20260904-1491</t>
  </si>
  <si>
    <t>2027Week28-20260904-1494</t>
  </si>
  <si>
    <t>2027Week28-20260904-1516</t>
  </si>
  <si>
    <t>2027Week28-20260904-1538</t>
  </si>
  <si>
    <t>2027Week28-20260904-1541</t>
  </si>
  <si>
    <t>2027Week28-20260907-24</t>
  </si>
  <si>
    <t>2027Week28-20260907-75</t>
  </si>
  <si>
    <t>2027Week29-20260904-1276</t>
  </si>
  <si>
    <t>2027Week29-20260904-1400</t>
  </si>
  <si>
    <t>2027Week29-20260904-1405</t>
  </si>
  <si>
    <t>2027Week29-20260904-1409</t>
  </si>
  <si>
    <t>2027Week29-20260904-1416</t>
  </si>
  <si>
    <t>2027Week29-20260904-1419</t>
  </si>
  <si>
    <t>2027Week29-20260904-1465</t>
  </si>
  <si>
    <t>2027Week29-20260904-1466</t>
  </si>
  <si>
    <t>2027Week29-20260904-1471</t>
  </si>
  <si>
    <t>2027Week29-20260904-1541</t>
  </si>
  <si>
    <t>2027Week29-20260904-1544</t>
  </si>
  <si>
    <t>2027Week29-20260904-1570</t>
  </si>
  <si>
    <t>2027Week29-20260904-1592</t>
  </si>
  <si>
    <t>2027Week29-20260904-1595</t>
  </si>
  <si>
    <t>2027Week29-20260907-26</t>
  </si>
  <si>
    <t>2027Week29-20260907-80</t>
  </si>
  <si>
    <t>2027Week30-20260904-1278</t>
  </si>
  <si>
    <t>2027Week30-20260904-1402</t>
  </si>
  <si>
    <t>2027Week30-20260904-1407</t>
  </si>
  <si>
    <t>2027Week30-20260904-1411</t>
  </si>
  <si>
    <t>2027Week30-20260904-1418</t>
  </si>
  <si>
    <t>2027Week30-20260904-1421</t>
  </si>
  <si>
    <t>2027Week30-20260904-1467</t>
  </si>
  <si>
    <t>2027Week30-20260904-1468</t>
  </si>
  <si>
    <t>2027Week30-20260904-1473</t>
  </si>
  <si>
    <t>2027Week30-20260904-1543</t>
  </si>
  <si>
    <t>2027Week30-20260904-1546</t>
  </si>
  <si>
    <t>2027Week30-20260904-1572</t>
  </si>
  <si>
    <t>2027Week30-20260904-1594</t>
  </si>
  <si>
    <t>2027Week30-20260904-1597</t>
  </si>
  <si>
    <t>2027Week30-20260907-24</t>
  </si>
  <si>
    <t>2027Week30-20260907-78</t>
  </si>
  <si>
    <t>2027Week31-20260904-1257</t>
  </si>
  <si>
    <t>2027Week31-20260904-1395</t>
  </si>
  <si>
    <t>2027Week31-20260904-1401</t>
  </si>
  <si>
    <t>2027Week31-20260904-1405</t>
  </si>
  <si>
    <t>2027Week31-20260904-1412</t>
  </si>
  <si>
    <t>2027Week31-20260904-1415</t>
  </si>
  <si>
    <t>2027Week31-20260904-1461</t>
  </si>
  <si>
    <t>2027Week31-20260904-1462</t>
  </si>
  <si>
    <t>2027Week31-20260904-1467</t>
  </si>
  <si>
    <t>2027Week31-20260904-1556</t>
  </si>
  <si>
    <t>2027Week31-20260904-1560</t>
  </si>
  <si>
    <t>2027Week31-20260904-1597</t>
  </si>
  <si>
    <t>2027Week31-20260904-1619</t>
  </si>
  <si>
    <t>2027Week31-20260904-1622</t>
  </si>
  <si>
    <t>2027Week31-20260907-20</t>
  </si>
  <si>
    <t>2027Week31-20260907-75</t>
  </si>
  <si>
    <t>2027Week32-20260904-1148</t>
  </si>
  <si>
    <t>2027Week32-20260904-1286</t>
  </si>
  <si>
    <t>2027Week32-20260904-1292</t>
  </si>
  <si>
    <t>2027Week32-20260904-1296</t>
  </si>
  <si>
    <t>2027Week32-20260904-1303</t>
  </si>
  <si>
    <t>2027Week32-20260904-1306</t>
  </si>
  <si>
    <t>2027Week32-20260904-1352</t>
  </si>
  <si>
    <t>2027Week32-20260904-1353</t>
  </si>
  <si>
    <t>2027Week32-20260904-1358</t>
  </si>
  <si>
    <t>2027Week32-20260904-1447</t>
  </si>
  <si>
    <t>2027Week32-20260904-1451</t>
  </si>
  <si>
    <t>2027Week32-20260904-1486</t>
  </si>
  <si>
    <t>2027Week32-20260904-1508</t>
  </si>
  <si>
    <t>2027Week32-20260904-1511</t>
  </si>
  <si>
    <t>2027Week32-20260907-20</t>
  </si>
  <si>
    <t>2027Week32-20260907-79</t>
  </si>
  <si>
    <t>2027Week33-20260904-1152</t>
  </si>
  <si>
    <t>2027Week33-20260904-1290</t>
  </si>
  <si>
    <t>2027Week33-20260904-1298</t>
  </si>
  <si>
    <t>2027Week33-20260904-1302</t>
  </si>
  <si>
    <t>2027Week33-20260904-1309</t>
  </si>
  <si>
    <t>2027Week33-20260904-1312</t>
  </si>
  <si>
    <t>2027Week33-20260904-1358</t>
  </si>
  <si>
    <t>2027Week33-20260904-1359</t>
  </si>
  <si>
    <t>2027Week33-20260904-1364</t>
  </si>
  <si>
    <t>2027Week33-20260904-1454</t>
  </si>
  <si>
    <t>2027Week33-20260904-1458</t>
  </si>
  <si>
    <t>2027Week33-20260904-1493</t>
  </si>
  <si>
    <t>2027Week33-20260904-1515</t>
  </si>
  <si>
    <t>2027Week33-20260904-1518</t>
  </si>
  <si>
    <t>2027Week33-20260907-100</t>
  </si>
  <si>
    <t>2027Week33-20260907-20</t>
  </si>
  <si>
    <t>2027Week34-20260904-1153</t>
  </si>
  <si>
    <t>2027Week34-20260904-1288</t>
  </si>
  <si>
    <t>2027Week34-20260904-1295</t>
  </si>
  <si>
    <t>2027Week34-20260904-1299</t>
  </si>
  <si>
    <t>2027Week34-20260904-1306</t>
  </si>
  <si>
    <t>2027Week34-20260904-1309</t>
  </si>
  <si>
    <t>2027Week34-20260904-1355</t>
  </si>
  <si>
    <t>2027Week34-20260904-1356</t>
  </si>
  <si>
    <t>2027Week34-20260904-1361</t>
  </si>
  <si>
    <t>2027Week34-20260904-1456</t>
  </si>
  <si>
    <t>2027Week34-20260904-1460</t>
  </si>
  <si>
    <t>2027Week34-20260904-1494</t>
  </si>
  <si>
    <t>2027Week34-20260904-1516</t>
  </si>
  <si>
    <t>2027Week34-20260904-1519</t>
  </si>
  <si>
    <t>2027Week34-20260907-100</t>
  </si>
  <si>
    <t>2027Week34-20260907-13</t>
  </si>
  <si>
    <t>2027Week35-20260904-1233</t>
  </si>
  <si>
    <t>2027Week35-20260904-1368</t>
  </si>
  <si>
    <t>2027Week35-20260904-1373</t>
  </si>
  <si>
    <t>2027Week35-20260904-1377</t>
  </si>
  <si>
    <t>2027Week35-20260904-1384</t>
  </si>
  <si>
    <t>2027Week35-20260904-1387</t>
  </si>
  <si>
    <t>2027Week35-20260904-1427</t>
  </si>
  <si>
    <t>2027Week35-20260904-1428</t>
  </si>
  <si>
    <t>2027Week35-20260904-1433</t>
  </si>
  <si>
    <t>2027Week35-20260904-1532</t>
  </si>
  <si>
    <t>2027Week35-20260904-1536</t>
  </si>
  <si>
    <t>2027Week35-20260904-1564</t>
  </si>
  <si>
    <t>2027Week35-20260904-1586</t>
  </si>
  <si>
    <t>2027Week35-20260904-1589</t>
  </si>
  <si>
    <t>2027Week35-20260907-114</t>
  </si>
  <si>
    <t>2027Week35-20260907-13</t>
  </si>
  <si>
    <t>2027Week36-20260904-1280</t>
  </si>
  <si>
    <t>2027Week36-20260904-1380</t>
  </si>
  <si>
    <t>2027Week36-20260904-1385</t>
  </si>
  <si>
    <t>2027Week36-20260904-1389</t>
  </si>
  <si>
    <t>2027Week36-20260904-1396</t>
  </si>
  <si>
    <t>2027Week36-20260904-1399</t>
  </si>
  <si>
    <t>2027Week36-20260904-1439</t>
  </si>
  <si>
    <t>2027Week36-20260904-1440</t>
  </si>
  <si>
    <t>2027Week36-20260904-1445</t>
  </si>
  <si>
    <t>2027Week36-20260904-1509</t>
  </si>
  <si>
    <t>2027Week36-20260904-1511</t>
  </si>
  <si>
    <t>2027Week36-20260904-1537</t>
  </si>
  <si>
    <t>2027Week36-20260904-1548</t>
  </si>
  <si>
    <t>2027Week36-20260904-1551</t>
  </si>
  <si>
    <t>2027Week36-20260907-113</t>
  </si>
  <si>
    <t>2027Week36-20260907-21</t>
  </si>
  <si>
    <t>2027Week36-20261009-3</t>
  </si>
  <si>
    <t>2027Week37-20260904-1247</t>
  </si>
  <si>
    <t>2027Week37-20260904-1347</t>
  </si>
  <si>
    <t>2027Week37-20260904-1352</t>
  </si>
  <si>
    <t>2027Week37-20260904-1356</t>
  </si>
  <si>
    <t>2027Week37-20260904-1363</t>
  </si>
  <si>
    <t>2027Week37-20260904-1365</t>
  </si>
  <si>
    <t>2027Week37-20260904-1406</t>
  </si>
  <si>
    <t>2027Week37-20260904-1407</t>
  </si>
  <si>
    <t>2027Week37-20260904-1413</t>
  </si>
  <si>
    <t>2027Week37-20260904-1478</t>
  </si>
  <si>
    <t>2027Week37-20260904-1480</t>
  </si>
  <si>
    <t>2027Week37-20260904-1506</t>
  </si>
  <si>
    <t>2027Week37-20260904-1517</t>
  </si>
  <si>
    <t>2027Week37-20260904-1520</t>
  </si>
  <si>
    <t>2027Week37-20260907-100</t>
  </si>
  <si>
    <t>2027Week37-20260907-27</t>
  </si>
  <si>
    <t>2027Week37-20261009-3</t>
  </si>
  <si>
    <t>2027Week38-20260904-1233</t>
  </si>
  <si>
    <t>2027Week38-20260904-1330</t>
  </si>
  <si>
    <t>2027Week38-20260904-1335</t>
  </si>
  <si>
    <t>2027Week38-20260904-1339</t>
  </si>
  <si>
    <t>2027Week38-20260904-1346</t>
  </si>
  <si>
    <t>2027Week38-20260904-1348</t>
  </si>
  <si>
    <t>2027Week38-20260904-1389</t>
  </si>
  <si>
    <t>2027Week38-20260904-1390</t>
  </si>
  <si>
    <t>2027Week38-20260904-1396</t>
  </si>
  <si>
    <t>2027Week38-20260904-1460</t>
  </si>
  <si>
    <t>2027Week38-20260904-1462</t>
  </si>
  <si>
    <t>2027Week38-20260904-1488</t>
  </si>
  <si>
    <t>2027Week38-20260904-1499</t>
  </si>
  <si>
    <t>2027Week38-20260904-1502</t>
  </si>
  <si>
    <t>2027Week38-20260907-24</t>
  </si>
  <si>
    <t>2027Week38-20260907-97</t>
  </si>
  <si>
    <t>2027Week38-20261009-3</t>
  </si>
  <si>
    <t>2027Week39-20260904-1231</t>
  </si>
  <si>
    <t>2027Week39-20260904-1319</t>
  </si>
  <si>
    <t>2027Week39-20260904-1324</t>
  </si>
  <si>
    <t>2027Week39-20260904-1328</t>
  </si>
  <si>
    <t>2027Week39-20260904-1335</t>
  </si>
  <si>
    <t>2027Week39-20260904-1337</t>
  </si>
  <si>
    <t>2027Week39-20260904-1378</t>
  </si>
  <si>
    <t>2027Week39-20260904-1379</t>
  </si>
  <si>
    <t>2027Week39-20260904-1385</t>
  </si>
  <si>
    <t>2027Week39-20260904-1449</t>
  </si>
  <si>
    <t>2027Week39-20260904-1451</t>
  </si>
  <si>
    <t>2027Week39-20260904-1477</t>
  </si>
  <si>
    <t>2027Week39-20260904-1488</t>
  </si>
  <si>
    <t>2027Week39-20260904-1491</t>
  </si>
  <si>
    <t>2027Week39-20260907-123</t>
  </si>
  <si>
    <t>2027Week39-20260907-33</t>
  </si>
  <si>
    <t>2027Week39-20261009-3</t>
  </si>
  <si>
    <t>2027Week40-20260907-28</t>
  </si>
  <si>
    <t>2027Week40-20260907-72</t>
  </si>
  <si>
    <t>2027Week40-20261009-3</t>
  </si>
  <si>
    <t>2027Week41-20260907-19</t>
  </si>
  <si>
    <t>2027Week41-20260907-67</t>
  </si>
  <si>
    <t>2027Week41-20261009-3</t>
  </si>
  <si>
    <t>2027Week42-20260907-21</t>
  </si>
  <si>
    <t>2027Week42-20260907-69</t>
  </si>
  <si>
    <t>2027Week42-20261009-3</t>
  </si>
  <si>
    <t>2027Week43-20260907-17</t>
  </si>
  <si>
    <t>2027Week43-20260907-65</t>
  </si>
  <si>
    <t>2027Week43-20261009-3</t>
  </si>
  <si>
    <t>2027Week15-20260930-647</t>
  </si>
  <si>
    <t>Jocelyn.He@cn.ey.com</t>
  </si>
  <si>
    <t>2027Week22-20260904-271</t>
  </si>
  <si>
    <t>2027Week22-20260904-583</t>
  </si>
  <si>
    <t>2027Week22-20260904-593</t>
  </si>
  <si>
    <t>2027Week22-20260904-596</t>
  </si>
  <si>
    <t>2027Week22-20260904-621</t>
  </si>
  <si>
    <t>2027Week22-20260904-654</t>
  </si>
  <si>
    <t>2027Week22-20260904-662</t>
  </si>
  <si>
    <t>2027Week22-20260904-670</t>
  </si>
  <si>
    <t>2027Week22-20260904-694</t>
  </si>
  <si>
    <t>2027Week22-20260904-705</t>
  </si>
  <si>
    <t>2027Week22-20260904-721</t>
  </si>
  <si>
    <t>2027Week22-20260904-740</t>
  </si>
  <si>
    <t>2027Week22-20260904-791</t>
  </si>
  <si>
    <t>2027Week22-20260904-800</t>
  </si>
  <si>
    <t>2027Week22-20260907-13</t>
  </si>
  <si>
    <t>2027Week22-20260907-67</t>
  </si>
  <si>
    <t>2027Week23-20260904-311</t>
  </si>
  <si>
    <t>2027Week23-20260904-600</t>
  </si>
  <si>
    <t>2027Week23-20260904-610</t>
  </si>
  <si>
    <t>2027Week23-20260904-615</t>
  </si>
  <si>
    <t>2027Week23-20260904-639</t>
  </si>
  <si>
    <t>2027Week23-20260904-677</t>
  </si>
  <si>
    <t>2027Week23-20260904-685</t>
  </si>
  <si>
    <t>2027Week23-20260904-693</t>
  </si>
  <si>
    <t>2027Week23-20260904-715</t>
  </si>
  <si>
    <t>2027Week23-20260904-726</t>
  </si>
  <si>
    <t>2027Week23-20260904-740</t>
  </si>
  <si>
    <t>2027Week23-20260904-750</t>
  </si>
  <si>
    <t>2027Week23-20260904-788</t>
  </si>
  <si>
    <t>2027Week23-20260904-797</t>
  </si>
  <si>
    <t>2027Week23-20260907-13</t>
  </si>
  <si>
    <t>2027Week23-20260907-64</t>
  </si>
  <si>
    <t>2027Week24-20260904-314</t>
  </si>
  <si>
    <t>2027Week24-20260904-613</t>
  </si>
  <si>
    <t>2027Week24-20260904-623</t>
  </si>
  <si>
    <t>2027Week24-20260904-628</t>
  </si>
  <si>
    <t>2027Week24-20260904-652</t>
  </si>
  <si>
    <t>2027Week24-20260904-690</t>
  </si>
  <si>
    <t>2027Week24-20260904-698</t>
  </si>
  <si>
    <t>2027Week24-20260904-706</t>
  </si>
  <si>
    <t>2027Week24-20260904-728</t>
  </si>
  <si>
    <t>2027Week24-20260904-739</t>
  </si>
  <si>
    <t>2027Week24-20260904-753</t>
  </si>
  <si>
    <t>2027Week24-20260904-763</t>
  </si>
  <si>
    <t>2027Week24-20260904-801</t>
  </si>
  <si>
    <t>2027Week24-20260904-810</t>
  </si>
  <si>
    <t>2027Week24-20260907-11</t>
  </si>
  <si>
    <t>2027Week24-20260907-68</t>
  </si>
  <si>
    <t>2027Week25-20260904-352</t>
  </si>
  <si>
    <t>2027Week25-20260904-642</t>
  </si>
  <si>
    <t>2027Week25-20260904-652</t>
  </si>
  <si>
    <t>2027Week25-20260904-657</t>
  </si>
  <si>
    <t>2027Week25-20260904-681</t>
  </si>
  <si>
    <t>2027Week25-20260904-719</t>
  </si>
  <si>
    <t>2027Week25-20260904-726</t>
  </si>
  <si>
    <t>2027Week25-20260904-735</t>
  </si>
  <si>
    <t>2027Week25-20260904-757</t>
  </si>
  <si>
    <t>2027Week25-20260904-768</t>
  </si>
  <si>
    <t>2027Week25-20260904-782</t>
  </si>
  <si>
    <t>2027Week25-20260904-792</t>
  </si>
  <si>
    <t>2027Week25-20260904-829</t>
  </si>
  <si>
    <t>2027Week25-20260904-838</t>
  </si>
  <si>
    <t>2027Week25-20260907-11</t>
  </si>
  <si>
    <t>2027Week25-20260907-68</t>
  </si>
  <si>
    <t>2027Week26-20260904-387</t>
  </si>
  <si>
    <t>2027Week26-20260904-721</t>
  </si>
  <si>
    <t>2027Week26-20260904-731</t>
  </si>
  <si>
    <t>2027Week26-20260904-735</t>
  </si>
  <si>
    <t>2027Week26-20260904-758</t>
  </si>
  <si>
    <t>2027Week26-20260904-797</t>
  </si>
  <si>
    <t>2027Week26-20260904-807</t>
  </si>
  <si>
    <t>2027Week26-20260904-818</t>
  </si>
  <si>
    <t>2027Week26-20260904-842</t>
  </si>
  <si>
    <t>2027Week26-20260904-853</t>
  </si>
  <si>
    <t>2027Week26-20260904-865</t>
  </si>
  <si>
    <t>2027Week26-20260904-879</t>
  </si>
  <si>
    <t>2027Week26-20260904-920</t>
  </si>
  <si>
    <t>2027Week26-20260904-931</t>
  </si>
  <si>
    <t>2027Week26-20260907-17</t>
  </si>
  <si>
    <t>2027Week26-20260907-71</t>
  </si>
  <si>
    <t>2027Week27-20260904-1215</t>
  </si>
  <si>
    <t>2027Week27-20260904-1344</t>
  </si>
  <si>
    <t>2027Week27-20260904-1351</t>
  </si>
  <si>
    <t>2027Week27-20260904-1359</t>
  </si>
  <si>
    <t>2027Week27-20260904-1370</t>
  </si>
  <si>
    <t>2027Week27-20260904-1375</t>
  </si>
  <si>
    <t>2027Week27-20260904-1406</t>
  </si>
  <si>
    <t>2027Week27-20260904-1407</t>
  </si>
  <si>
    <t>2027Week27-20260904-1412</t>
  </si>
  <si>
    <t>2027Week27-20260904-1482</t>
  </si>
  <si>
    <t>2027Week27-20260904-1484</t>
  </si>
  <si>
    <t>2027Week27-20260904-1500</t>
  </si>
  <si>
    <t>2027Week27-20260904-1524</t>
  </si>
  <si>
    <t>2027Week27-20260904-1527</t>
  </si>
  <si>
    <t>2027Week27-20260907-21</t>
  </si>
  <si>
    <t>2027Week27-20260907-81</t>
  </si>
  <si>
    <t>2027Week28-20260904-1228</t>
  </si>
  <si>
    <t>2027Week28-20260904-1357</t>
  </si>
  <si>
    <t>2027Week28-20260904-1364</t>
  </si>
  <si>
    <t>2027Week28-20260904-1372</t>
  </si>
  <si>
    <t>2027Week28-20260904-1383</t>
  </si>
  <si>
    <t>2027Week28-20260904-1388</t>
  </si>
  <si>
    <t>2027Week28-20260904-1422</t>
  </si>
  <si>
    <t>2027Week28-20260904-1423</t>
  </si>
  <si>
    <t>2027Week28-20260904-1428</t>
  </si>
  <si>
    <t>2027Week28-20260904-1500</t>
  </si>
  <si>
    <t>2027Week28-20260904-1502</t>
  </si>
  <si>
    <t>2027Week28-20260904-1518</t>
  </si>
  <si>
    <t>2027Week28-20260904-1542</t>
  </si>
  <si>
    <t>2027Week28-20260904-1545</t>
  </si>
  <si>
    <t>2027Week28-20260907-26</t>
  </si>
  <si>
    <t>2027Week28-20260907-78</t>
  </si>
  <si>
    <t>2027Week29-20260904-1278</t>
  </si>
  <si>
    <t>2027Week29-20260904-1407</t>
  </si>
  <si>
    <t>2027Week29-20260904-1414</t>
  </si>
  <si>
    <t>2027Week29-20260904-1422</t>
  </si>
  <si>
    <t>2027Week29-20260904-1433</t>
  </si>
  <si>
    <t>2027Week29-20260904-1438</t>
  </si>
  <si>
    <t>2027Week29-20260904-1472</t>
  </si>
  <si>
    <t>2027Week29-20260904-1473</t>
  </si>
  <si>
    <t>2027Week29-20260904-1478</t>
  </si>
  <si>
    <t>2027Week29-20260904-1550</t>
  </si>
  <si>
    <t>2027Week29-20260904-1552</t>
  </si>
  <si>
    <t>2027Week29-20260904-1572</t>
  </si>
  <si>
    <t>2027Week29-20260904-1596</t>
  </si>
  <si>
    <t>2027Week29-20260904-1599</t>
  </si>
  <si>
    <t>2027Week29-20260907-28</t>
  </si>
  <si>
    <t>2027Week29-20260907-83</t>
  </si>
  <si>
    <t>2027Week30-20260904-1280</t>
  </si>
  <si>
    <t>2027Week30-20260904-1409</t>
  </si>
  <si>
    <t>2027Week30-20260904-1416</t>
  </si>
  <si>
    <t>2027Week30-20260904-1424</t>
  </si>
  <si>
    <t>2027Week30-20260904-1435</t>
  </si>
  <si>
    <t>2027Week30-20260904-1440</t>
  </si>
  <si>
    <t>2027Week30-20260904-1474</t>
  </si>
  <si>
    <t>2027Week30-20260904-1475</t>
  </si>
  <si>
    <t>2027Week30-20260904-1480</t>
  </si>
  <si>
    <t>2027Week30-20260904-1552</t>
  </si>
  <si>
    <t>2027Week30-20260904-1554</t>
  </si>
  <si>
    <t>2027Week30-20260904-1574</t>
  </si>
  <si>
    <t>2027Week30-20260904-1598</t>
  </si>
  <si>
    <t>2027Week30-20260904-1601</t>
  </si>
  <si>
    <t>2027Week30-20260907-27</t>
  </si>
  <si>
    <t>2027Week30-20260907-81</t>
  </si>
  <si>
    <t>2027Week31-20260904-1259</t>
  </si>
  <si>
    <t>2027Week31-20260904-1403</t>
  </si>
  <si>
    <t>2027Week31-20260904-1410</t>
  </si>
  <si>
    <t>2027Week31-20260904-1418</t>
  </si>
  <si>
    <t>2027Week31-20260904-1429</t>
  </si>
  <si>
    <t>2027Week31-20260904-1434</t>
  </si>
  <si>
    <t>2027Week31-20260904-1468</t>
  </si>
  <si>
    <t>2027Week31-20260904-1469</t>
  </si>
  <si>
    <t>2027Week31-20260904-1474</t>
  </si>
  <si>
    <t>2027Week31-20260904-1568</t>
  </si>
  <si>
    <t>2027Week31-20260904-1571</t>
  </si>
  <si>
    <t>2027Week31-20260904-1599</t>
  </si>
  <si>
    <t>2027Week31-20260904-1623</t>
  </si>
  <si>
    <t>2027Week31-20260904-1626</t>
  </si>
  <si>
    <t>2027Week31-20260907-23</t>
  </si>
  <si>
    <t>2027Week31-20260907-78</t>
  </si>
  <si>
    <t>2027Week32-20260904-1150</t>
  </si>
  <si>
    <t>2027Week32-20260904-1294</t>
  </si>
  <si>
    <t>2027Week32-20260904-1301</t>
  </si>
  <si>
    <t>2027Week32-20260904-1309</t>
  </si>
  <si>
    <t>2027Week32-20260904-1320</t>
  </si>
  <si>
    <t>2027Week32-20260904-1325</t>
  </si>
  <si>
    <t>2027Week32-20260904-1359</t>
  </si>
  <si>
    <t>2027Week32-20260904-1360</t>
  </si>
  <si>
    <t>2027Week32-20260904-1365</t>
  </si>
  <si>
    <t>2027Week32-20260904-1457</t>
  </si>
  <si>
    <t>2027Week32-20260904-1460</t>
  </si>
  <si>
    <t>2027Week32-20260904-1488</t>
  </si>
  <si>
    <t>2027Week32-20260904-1512</t>
  </si>
  <si>
    <t>2027Week32-20260904-1515</t>
  </si>
  <si>
    <t>2027Week32-20260907-23</t>
  </si>
  <si>
    <t>2027Week32-20260907-82</t>
  </si>
  <si>
    <t>2027Week33-20260904-1154</t>
  </si>
  <si>
    <t>2027Week33-20260904-1300</t>
  </si>
  <si>
    <t>2027Week33-20260904-1307</t>
  </si>
  <si>
    <t>2027Week33-20260904-1315</t>
  </si>
  <si>
    <t>2027Week33-20260904-1326</t>
  </si>
  <si>
    <t>2027Week33-20260904-1331</t>
  </si>
  <si>
    <t>2027Week33-20260904-1365</t>
  </si>
  <si>
    <t>2027Week33-20260904-1366</t>
  </si>
  <si>
    <t>2027Week33-20260904-1371</t>
  </si>
  <si>
    <t>2027Week33-20260904-1464</t>
  </si>
  <si>
    <t>2027Week33-20260904-1467</t>
  </si>
  <si>
    <t>2027Week33-20260904-1495</t>
  </si>
  <si>
    <t>2027Week33-20260904-1519</t>
  </si>
  <si>
    <t>2027Week33-20260904-1522</t>
  </si>
  <si>
    <t>2027Week33-20260907-103</t>
  </si>
  <si>
    <t>2027Week33-20260907-23</t>
  </si>
  <si>
    <t>2027Week34-20260904-1155</t>
  </si>
  <si>
    <t>2027Week34-20260904-1297</t>
  </si>
  <si>
    <t>2027Week34-20260904-1304</t>
  </si>
  <si>
    <t>2027Week34-20260904-1312</t>
  </si>
  <si>
    <t>2027Week34-20260904-1323</t>
  </si>
  <si>
    <t>2027Week34-20260904-1328</t>
  </si>
  <si>
    <t>2027Week34-20260904-1362</t>
  </si>
  <si>
    <t>2027Week34-20260904-1363</t>
  </si>
  <si>
    <t>2027Week34-20260904-1368</t>
  </si>
  <si>
    <t>2027Week34-20260904-1466</t>
  </si>
  <si>
    <t>2027Week34-20260904-1469</t>
  </si>
  <si>
    <t>2027Week34-20260904-1496</t>
  </si>
  <si>
    <t>2027Week34-20260904-1520</t>
  </si>
  <si>
    <t>2027Week34-20260904-1523</t>
  </si>
  <si>
    <t>2027Week34-20260907-103</t>
  </si>
  <si>
    <t>2027Week34-20260907-15</t>
  </si>
  <si>
    <t>2027Week35-20260904-1235</t>
  </si>
  <si>
    <t>2027Week35-20260904-1375</t>
  </si>
  <si>
    <t>2027Week35-20260904-1382</t>
  </si>
  <si>
    <t>2027Week35-20260904-1390</t>
  </si>
  <si>
    <t>2027Week35-20260904-1400</t>
  </si>
  <si>
    <t>2027Week35-20260904-1404</t>
  </si>
  <si>
    <t>2027Week35-20260904-1434</t>
  </si>
  <si>
    <t>2027Week35-20260904-1435</t>
  </si>
  <si>
    <t>2027Week35-20260904-1440</t>
  </si>
  <si>
    <t>2027Week35-20260904-1542</t>
  </si>
  <si>
    <t>2027Week35-20260904-1545</t>
  </si>
  <si>
    <t>2027Week35-20260904-1566</t>
  </si>
  <si>
    <t>2027Week35-20260904-1590</t>
  </si>
  <si>
    <t>2027Week35-20260904-1593</t>
  </si>
  <si>
    <t>2027Week35-20260907-117</t>
  </si>
  <si>
    <t>2027Week35-20260907-15</t>
  </si>
  <si>
    <t>2027Week36-20260904-1282</t>
  </si>
  <si>
    <t>2027Week36-20260904-1387</t>
  </si>
  <si>
    <t>2027Week36-20260904-1394</t>
  </si>
  <si>
    <t>2027Week36-20260904-1402</t>
  </si>
  <si>
    <t>2027Week36-20260904-1412</t>
  </si>
  <si>
    <t>2027Week36-20260904-1416</t>
  </si>
  <si>
    <t>2027Week36-20260904-1446</t>
  </si>
  <si>
    <t>2027Week36-20260904-1447</t>
  </si>
  <si>
    <t>2027Week36-20260904-1451</t>
  </si>
  <si>
    <t>2027Week36-20260904-1516</t>
  </si>
  <si>
    <t>2027Week36-20260904-1518</t>
  </si>
  <si>
    <t>2027Week36-20260904-1539</t>
  </si>
  <si>
    <t>2027Week36-20260904-1552</t>
  </si>
  <si>
    <t>2027Week36-20260904-1555</t>
  </si>
  <si>
    <t>2027Week36-20260907-116</t>
  </si>
  <si>
    <t>2027Week36-20260907-25</t>
  </si>
  <si>
    <t>2027Week36-20261009-4</t>
  </si>
  <si>
    <t>2027Week37-20260904-1249</t>
  </si>
  <si>
    <t>2027Week37-20260904-1354</t>
  </si>
  <si>
    <t>2027Week37-20260904-1361</t>
  </si>
  <si>
    <t>2027Week37-20260904-1368</t>
  </si>
  <si>
    <t>2027Week37-20260904-1376</t>
  </si>
  <si>
    <t>2027Week37-20260904-1381</t>
  </si>
  <si>
    <t>2027Week37-20260904-1415</t>
  </si>
  <si>
    <t>2027Week37-20260904-1416</t>
  </si>
  <si>
    <t>2027Week37-20260904-1422</t>
  </si>
  <si>
    <t>2027Week37-20260904-1485</t>
  </si>
  <si>
    <t>2027Week37-20260904-1487</t>
  </si>
  <si>
    <t>2027Week37-20260904-1508</t>
  </si>
  <si>
    <t>2027Week37-20260904-1521</t>
  </si>
  <si>
    <t>2027Week37-20260904-1524</t>
  </si>
  <si>
    <t>2027Week37-20260907-103</t>
  </si>
  <si>
    <t>2027Week37-20260907-31</t>
  </si>
  <si>
    <t>2027Week37-20261009-4</t>
  </si>
  <si>
    <t>2027Week38-20260904-1235</t>
  </si>
  <si>
    <t>2027Week38-20260904-1337</t>
  </si>
  <si>
    <t>2027Week38-20260904-1344</t>
  </si>
  <si>
    <t>2027Week38-20260904-1351</t>
  </si>
  <si>
    <t>2027Week38-20260904-1359</t>
  </si>
  <si>
    <t>2027Week38-20260904-1364</t>
  </si>
  <si>
    <t>2027Week38-20260904-1398</t>
  </si>
  <si>
    <t>2027Week38-20260904-1399</t>
  </si>
  <si>
    <t>2027Week38-20260904-1405</t>
  </si>
  <si>
    <t>2027Week38-20260904-1467</t>
  </si>
  <si>
    <t>2027Week38-20260904-1469</t>
  </si>
  <si>
    <t>2027Week38-20260904-1490</t>
  </si>
  <si>
    <t>2027Week38-20260904-1503</t>
  </si>
  <si>
    <t>2027Week38-20260904-1506</t>
  </si>
  <si>
    <t>2027Week38-20260907-100</t>
  </si>
  <si>
    <t>2027Week38-20260907-28</t>
  </si>
  <si>
    <t>2027Week38-20261009-4</t>
  </si>
  <si>
    <t>2027Week39-20260904-1233</t>
  </si>
  <si>
    <t>2027Week39-20260904-1326</t>
  </si>
  <si>
    <t>2027Week39-20260904-1333</t>
  </si>
  <si>
    <t>2027Week39-20260904-1340</t>
  </si>
  <si>
    <t>2027Week39-20260904-1348</t>
  </si>
  <si>
    <t>2027Week39-20260904-1353</t>
  </si>
  <si>
    <t>2027Week39-20260904-1387</t>
  </si>
  <si>
    <t>2027Week39-20260904-1388</t>
  </si>
  <si>
    <t>2027Week39-20260904-1394</t>
  </si>
  <si>
    <t>2027Week39-20260904-1456</t>
  </si>
  <si>
    <t>2027Week39-20260904-1458</t>
  </si>
  <si>
    <t>2027Week39-20260904-1479</t>
  </si>
  <si>
    <t>2027Week39-20260904-1492</t>
  </si>
  <si>
    <t>2027Week39-20260904-1495</t>
  </si>
  <si>
    <t>2027Week39-20260907-126</t>
  </si>
  <si>
    <t>2027Week39-20260907-37</t>
  </si>
  <si>
    <t>2027Week39-20261009-4</t>
  </si>
  <si>
    <t>2027Week40-20260907-32</t>
  </si>
  <si>
    <t>2027Week40-20260907-74</t>
  </si>
  <si>
    <t>2027Week40-20261009-4</t>
  </si>
  <si>
    <t>2027Week41-20260907-23</t>
  </si>
  <si>
    <t>2027Week41-20260907-69</t>
  </si>
  <si>
    <t>2027Week41-20261009-4</t>
  </si>
  <si>
    <t>2027Week42-20260907-25</t>
  </si>
  <si>
    <t>2027Week42-20260907-71</t>
  </si>
  <si>
    <t>2027Week42-20261009-4</t>
  </si>
  <si>
    <t>2027Week43-20260907-21</t>
  </si>
  <si>
    <t>2027Week43-20260907-67</t>
  </si>
  <si>
    <t>2027Week43-20261009-4</t>
  </si>
  <si>
    <t>2027Week15-20261009-28</t>
  </si>
  <si>
    <t>2027Week15-20261009-39</t>
  </si>
  <si>
    <t>2027Week16-20260930-464</t>
  </si>
  <si>
    <t>2027Week16-20261009-29</t>
  </si>
  <si>
    <t>2027Week16-20261009-40</t>
  </si>
  <si>
    <t>2027Week17-20261009-27</t>
  </si>
  <si>
    <t>2027Week17-20261009-38</t>
  </si>
  <si>
    <t>2027Week18-20261009-33</t>
  </si>
  <si>
    <t>2027Week18-20261009-44</t>
  </si>
  <si>
    <t>2027Week19-20261009-33</t>
  </si>
  <si>
    <t>2027Week19-20261009-45</t>
  </si>
  <si>
    <t>2027Week20-20261009-54</t>
  </si>
  <si>
    <t>2027Week20-20261009-66</t>
  </si>
  <si>
    <t>2027Week21-20261009-58</t>
  </si>
  <si>
    <t>2027Week21-20261009-71</t>
  </si>
  <si>
    <t>2027Week22-20260904-1004</t>
  </si>
  <si>
    <t>2027Week22-20260904-1006</t>
  </si>
  <si>
    <t>2027Week22-20260904-1017</t>
  </si>
  <si>
    <t>2027Week22-20260904-1027</t>
  </si>
  <si>
    <t>2027Week22-20260904-1217</t>
  </si>
  <si>
    <t>2027Week22-20260904-1230</t>
  </si>
  <si>
    <t>2027Week22-20260904-1343</t>
  </si>
  <si>
    <t>2027Week22-20260904-779</t>
  </si>
  <si>
    <t>2027Week22-20260904-819</t>
  </si>
  <si>
    <t>2027Week22-20260904-826</t>
  </si>
  <si>
    <t>2027Week22-20260904-829</t>
  </si>
  <si>
    <t>2027Week22-20260904-842</t>
  </si>
  <si>
    <t>2027Week22-20260904-881</t>
  </si>
  <si>
    <t>2027Week22-20260904-894</t>
  </si>
  <si>
    <t>2027Week22-20260904-906</t>
  </si>
  <si>
    <t>2027Week22-20260904-908</t>
  </si>
  <si>
    <t>2027Week22-20260904-909</t>
  </si>
  <si>
    <t>2027Week22-20260904-914</t>
  </si>
  <si>
    <t>2027Week22-20260904-918</t>
  </si>
  <si>
    <t>2027Week22-20260904-925</t>
  </si>
  <si>
    <t>2027Week22-20260904-928</t>
  </si>
  <si>
    <t>2027Week22-20260904-930</t>
  </si>
  <si>
    <t>2027Week22-20260904-945</t>
  </si>
  <si>
    <t>2027Week22-20260904-946</t>
  </si>
  <si>
    <t>2027Week22-20260904-947</t>
  </si>
  <si>
    <t>2027Week22-20260904-956</t>
  </si>
  <si>
    <t>2027Week22-20260904-961</t>
  </si>
  <si>
    <t>2027Week22-20260904-964</t>
  </si>
  <si>
    <t>2027Week22-20260904-987</t>
  </si>
  <si>
    <t>2027Week22-20260904-990</t>
  </si>
  <si>
    <t>2027Week22-20260904-995</t>
  </si>
  <si>
    <t>2027Week23-20260904-1171</t>
  </si>
  <si>
    <t>2027Week23-20260904-1184</t>
  </si>
  <si>
    <t>2027Week23-20260904-1278</t>
  </si>
  <si>
    <t>2027Week23-20260904-776</t>
  </si>
  <si>
    <t>2027Week23-20260904-814</t>
  </si>
  <si>
    <t>2027Week23-20260904-821</t>
  </si>
  <si>
    <t>2027Week23-20260904-824</t>
  </si>
  <si>
    <t>2027Week23-20260904-826</t>
  </si>
  <si>
    <t>2027Week23-20260904-854</t>
  </si>
  <si>
    <t>2027Week23-20260904-867</t>
  </si>
  <si>
    <t>2027Week23-20260904-879</t>
  </si>
  <si>
    <t>2027Week23-20260904-885</t>
  </si>
  <si>
    <t>2027Week23-20260904-886</t>
  </si>
  <si>
    <t>2027Week23-20260904-891</t>
  </si>
  <si>
    <t>2027Week23-20260904-895</t>
  </si>
  <si>
    <t>2027Week23-20260904-901</t>
  </si>
  <si>
    <t>2027Week23-20260904-904</t>
  </si>
  <si>
    <t>2027Week23-20260904-906</t>
  </si>
  <si>
    <t>2027Week23-20260904-918</t>
  </si>
  <si>
    <t>2027Week23-20260904-919</t>
  </si>
  <si>
    <t>2027Week23-20260904-920</t>
  </si>
  <si>
    <t>2027Week23-20260904-927</t>
  </si>
  <si>
    <t>2027Week23-20260904-932</t>
  </si>
  <si>
    <t>2027Week23-20260904-935</t>
  </si>
  <si>
    <t>2027Week23-20260904-954</t>
  </si>
  <si>
    <t>2027Week23-20260904-956</t>
  </si>
  <si>
    <t>2027Week23-20260904-959</t>
  </si>
  <si>
    <t>2027Week23-20260904-964</t>
  </si>
  <si>
    <t>2027Week23-20260904-966</t>
  </si>
  <si>
    <t>2027Week23-20260904-972</t>
  </si>
  <si>
    <t>2027Week23-20260904-982</t>
  </si>
  <si>
    <t>2027Week24-20260904-1182</t>
  </si>
  <si>
    <t>2027Week24-20260904-1195</t>
  </si>
  <si>
    <t>2027Week24-20260904-1285</t>
  </si>
  <si>
    <t>2027Week24-20260904-789</t>
  </si>
  <si>
    <t>2027Week24-20260904-827</t>
  </si>
  <si>
    <t>2027Week24-20260904-834</t>
  </si>
  <si>
    <t>2027Week24-20260904-837</t>
  </si>
  <si>
    <t>2027Week24-20260904-839</t>
  </si>
  <si>
    <t>2027Week24-20260904-860</t>
  </si>
  <si>
    <t>2027Week24-20260904-871</t>
  </si>
  <si>
    <t>2027Week24-20260904-883</t>
  </si>
  <si>
    <t>2027Week24-20260904-889</t>
  </si>
  <si>
    <t>2027Week24-20260904-890</t>
  </si>
  <si>
    <t>2027Week24-20260904-895</t>
  </si>
  <si>
    <t>2027Week24-20260904-899</t>
  </si>
  <si>
    <t>2027Week24-20260904-905</t>
  </si>
  <si>
    <t>2027Week24-20260904-908</t>
  </si>
  <si>
    <t>2027Week24-20260904-910</t>
  </si>
  <si>
    <t>2027Week24-20260904-922</t>
  </si>
  <si>
    <t>2027Week24-20260904-923</t>
  </si>
  <si>
    <t>2027Week24-20260904-924</t>
  </si>
  <si>
    <t>2027Week24-20260904-931</t>
  </si>
  <si>
    <t>2027Week24-20260904-936</t>
  </si>
  <si>
    <t>2027Week24-20260904-939</t>
  </si>
  <si>
    <t>2027Week24-20260904-959</t>
  </si>
  <si>
    <t>2027Week24-20260904-961</t>
  </si>
  <si>
    <t>2027Week24-20260904-964</t>
  </si>
  <si>
    <t>2027Week24-20260904-969</t>
  </si>
  <si>
    <t>2027Week24-20260904-971</t>
  </si>
  <si>
    <t>2027Week24-20260904-977</t>
  </si>
  <si>
    <t>2027Week24-20260904-987</t>
  </si>
  <si>
    <t>2027Week25-20260904-1005</t>
  </si>
  <si>
    <t>2027Week25-20260904-1015</t>
  </si>
  <si>
    <t>2027Week25-20260904-1207</t>
  </si>
  <si>
    <t>2027Week25-20260904-1220</t>
  </si>
  <si>
    <t>2027Week25-20260904-1312</t>
  </si>
  <si>
    <t>2027Week25-20260904-817</t>
  </si>
  <si>
    <t>2027Week25-20260904-855</t>
  </si>
  <si>
    <t>2027Week25-20260904-862</t>
  </si>
  <si>
    <t>2027Week25-20260904-865</t>
  </si>
  <si>
    <t>2027Week25-20260904-867</t>
  </si>
  <si>
    <t>2027Week25-20260904-888</t>
  </si>
  <si>
    <t>2027Week25-20260904-899</t>
  </si>
  <si>
    <t>2027Week25-20260904-911</t>
  </si>
  <si>
    <t>2027Week25-20260904-917</t>
  </si>
  <si>
    <t>2027Week25-20260904-918</t>
  </si>
  <si>
    <t>2027Week25-20260904-923</t>
  </si>
  <si>
    <t>2027Week25-20260904-927</t>
  </si>
  <si>
    <t>2027Week25-20260904-933</t>
  </si>
  <si>
    <t>2027Week25-20260904-936</t>
  </si>
  <si>
    <t>2027Week25-20260904-938</t>
  </si>
  <si>
    <t>2027Week25-20260904-950</t>
  </si>
  <si>
    <t>2027Week25-20260904-951</t>
  </si>
  <si>
    <t>2027Week25-20260904-952</t>
  </si>
  <si>
    <t>2027Week25-20260904-959</t>
  </si>
  <si>
    <t>2027Week25-20260904-964</t>
  </si>
  <si>
    <t>2027Week25-20260904-967</t>
  </si>
  <si>
    <t>2027Week25-20260904-987</t>
  </si>
  <si>
    <t>2027Week25-20260904-989</t>
  </si>
  <si>
    <t>2027Week25-20260904-992</t>
  </si>
  <si>
    <t>2027Week25-20260904-997</t>
  </si>
  <si>
    <t>2027Week25-20260904-999</t>
  </si>
  <si>
    <t>2027Week26-20260904-1005</t>
  </si>
  <si>
    <t>2027Week26-20260904-1006</t>
  </si>
  <si>
    <t>2027Week26-20260904-1011</t>
  </si>
  <si>
    <t>2027Week26-20260904-1015</t>
  </si>
  <si>
    <t>2027Week26-20260904-1021</t>
  </si>
  <si>
    <t>2027Week26-20260904-1024</t>
  </si>
  <si>
    <t>2027Week26-20260904-1026</t>
  </si>
  <si>
    <t>2027Week26-20260904-1038</t>
  </si>
  <si>
    <t>2027Week26-20260904-1039</t>
  </si>
  <si>
    <t>2027Week26-20260904-1040</t>
  </si>
  <si>
    <t>2027Week26-20260904-1048</t>
  </si>
  <si>
    <t>2027Week26-20260904-1055</t>
  </si>
  <si>
    <t>2027Week26-20260904-1058</t>
  </si>
  <si>
    <t>2027Week26-20260904-1101</t>
  </si>
  <si>
    <t>2027Week26-20260904-1103</t>
  </si>
  <si>
    <t>2027Week26-20260904-1107</t>
  </si>
  <si>
    <t>2027Week26-20260904-1113</t>
  </si>
  <si>
    <t>2027Week26-20260904-1115</t>
  </si>
  <si>
    <t>2027Week26-20260904-1123</t>
  </si>
  <si>
    <t>2027Week26-20260904-1136</t>
  </si>
  <si>
    <t>2027Week26-20260904-1367</t>
  </si>
  <si>
    <t>2027Week26-20260904-1385</t>
  </si>
  <si>
    <t>2027Week26-20260904-1537</t>
  </si>
  <si>
    <t>2027Week26-20260904-907</t>
  </si>
  <si>
    <t>2027Week26-20260904-946</t>
  </si>
  <si>
    <t>2027Week26-20260904-951</t>
  </si>
  <si>
    <t>2027Week26-20260904-954</t>
  </si>
  <si>
    <t>2027Week26-20260904-956</t>
  </si>
  <si>
    <t>2027Week26-20260904-977</t>
  </si>
  <si>
    <t>2027Week26-20260904-987</t>
  </si>
  <si>
    <t>2027Week26-20260904-999</t>
  </si>
  <si>
    <t>2027Week27-20260904-1146</t>
  </si>
  <si>
    <t>2027Week27-20260904-1159</t>
  </si>
  <si>
    <t>2027Week27-20260904-1161</t>
  </si>
  <si>
    <t>2027Week27-20260904-1163</t>
  </si>
  <si>
    <t>2027Week27-20260904-1165</t>
  </si>
  <si>
    <t>2027Week27-20260904-1169</t>
  </si>
  <si>
    <t>2027Week27-20260904-1173</t>
  </si>
  <si>
    <t>2027Week27-20260904-1185</t>
  </si>
  <si>
    <t>2027Week27-20260904-1189</t>
  </si>
  <si>
    <t>2027Week27-20260904-1191</t>
  </si>
  <si>
    <t>2027Week27-20260904-1199</t>
  </si>
  <si>
    <t>2027Week27-20260904-1204</t>
  </si>
  <si>
    <t>2027Week27-20260904-1211</t>
  </si>
  <si>
    <t>2027Week27-20260904-1219</t>
  </si>
  <si>
    <t>2027Week27-20260904-1223</t>
  </si>
  <si>
    <t>2027Week27-20260904-1240</t>
  </si>
  <si>
    <t>2027Week27-20260904-1241</t>
  </si>
  <si>
    <t>2027Week27-20260904-1244</t>
  </si>
  <si>
    <t>2027Week27-20260904-1260</t>
  </si>
  <si>
    <t>2027Week27-20260904-1271</t>
  </si>
  <si>
    <t>2027Week27-20260904-1277</t>
  </si>
  <si>
    <t>2027Week27-20260904-1422</t>
  </si>
  <si>
    <t>2027Week27-20260904-1428</t>
  </si>
  <si>
    <t>2027Week27-20260904-1432</t>
  </si>
  <si>
    <t>2027Week27-20260904-1439</t>
  </si>
  <si>
    <t>2027Week27-20260904-1442</t>
  </si>
  <si>
    <t>2027Week27-20260904-1457</t>
  </si>
  <si>
    <t>2027Week27-20260904-1463</t>
  </si>
  <si>
    <t>2027Week27-20260904-1644</t>
  </si>
  <si>
    <t>2027Week27-20260904-1659</t>
  </si>
  <si>
    <t>2027Week27-20260904-1819</t>
  </si>
  <si>
    <t>2027Week28-20260904-1151</t>
  </si>
  <si>
    <t>2027Week28-20260904-1165</t>
  </si>
  <si>
    <t>2027Week28-20260904-1167</t>
  </si>
  <si>
    <t>2027Week28-20260904-1169</t>
  </si>
  <si>
    <t>2027Week28-20260904-1175</t>
  </si>
  <si>
    <t>2027Week28-20260904-1183</t>
  </si>
  <si>
    <t>2027Week28-20260904-1187</t>
  </si>
  <si>
    <t>2027Week28-20260904-1199</t>
  </si>
  <si>
    <t>2027Week28-20260904-1203</t>
  </si>
  <si>
    <t>2027Week28-20260904-1205</t>
  </si>
  <si>
    <t>2027Week28-20260904-1213</t>
  </si>
  <si>
    <t>2027Week28-20260904-1217</t>
  </si>
  <si>
    <t>2027Week28-20260904-1224</t>
  </si>
  <si>
    <t>2027Week28-20260904-1232</t>
  </si>
  <si>
    <t>2027Week28-20260904-1236</t>
  </si>
  <si>
    <t>2027Week28-20260904-1253</t>
  </si>
  <si>
    <t>2027Week28-20260904-1254</t>
  </si>
  <si>
    <t>2027Week28-20260904-1257</t>
  </si>
  <si>
    <t>2027Week28-20260904-1273</t>
  </si>
  <si>
    <t>2027Week28-20260904-1284</t>
  </si>
  <si>
    <t>2027Week28-20260904-1290</t>
  </si>
  <si>
    <t>2027Week28-20260904-1437</t>
  </si>
  <si>
    <t>2027Week28-20260904-1444</t>
  </si>
  <si>
    <t>2027Week28-20260904-1448</t>
  </si>
  <si>
    <t>2027Week28-20260904-1455</t>
  </si>
  <si>
    <t>2027Week28-20260904-1458</t>
  </si>
  <si>
    <t>2027Week28-20260904-1473</t>
  </si>
  <si>
    <t>2027Week28-20260904-1479</t>
  </si>
  <si>
    <t>2027Week28-20260904-1672</t>
  </si>
  <si>
    <t>2027Week28-20260904-1687</t>
  </si>
  <si>
    <t>2027Week28-20260904-1847</t>
  </si>
  <si>
    <t>2027Week29-20260904-1193</t>
  </si>
  <si>
    <t>2027Week29-20260904-1209</t>
  </si>
  <si>
    <t>2027Week29-20260904-1214</t>
  </si>
  <si>
    <t>2027Week29-20260904-1219</t>
  </si>
  <si>
    <t>2027Week29-20260904-1225</t>
  </si>
  <si>
    <t>2027Week29-20260904-1233</t>
  </si>
  <si>
    <t>2027Week29-20260904-1237</t>
  </si>
  <si>
    <t>2027Week29-20260904-1249</t>
  </si>
  <si>
    <t>2027Week29-20260904-1253</t>
  </si>
  <si>
    <t>2027Week29-20260904-1255</t>
  </si>
  <si>
    <t>2027Week29-20260904-1263</t>
  </si>
  <si>
    <t>2027Week29-20260904-1267</t>
  </si>
  <si>
    <t>2027Week29-20260904-1274</t>
  </si>
  <si>
    <t>2027Week29-20260904-1282</t>
  </si>
  <si>
    <t>2027Week29-20260904-1286</t>
  </si>
  <si>
    <t>2027Week29-20260904-1303</t>
  </si>
  <si>
    <t>2027Week29-20260904-1304</t>
  </si>
  <si>
    <t>2027Week29-20260904-1305</t>
  </si>
  <si>
    <t>2027Week29-20260904-1323</t>
  </si>
  <si>
    <t>2027Week29-20260904-1334</t>
  </si>
  <si>
    <t>2027Week29-20260904-1340</t>
  </si>
  <si>
    <t>2027Week29-20260904-1488</t>
  </si>
  <si>
    <t>2027Week29-20260904-1494</t>
  </si>
  <si>
    <t>2027Week29-20260904-1498</t>
  </si>
  <si>
    <t>2027Week29-20260904-1505</t>
  </si>
  <si>
    <t>2027Week29-20260904-1508</t>
  </si>
  <si>
    <t>2027Week29-20260904-1523</t>
  </si>
  <si>
    <t>2027Week29-20260904-1529</t>
  </si>
  <si>
    <t>2027Week29-20260904-1727</t>
  </si>
  <si>
    <t>2027Week29-20260904-1741</t>
  </si>
  <si>
    <t>2027Week29-20260904-1905</t>
  </si>
  <si>
    <t>2027Week30-20260904-1192</t>
  </si>
  <si>
    <t>2027Week30-20260904-1207</t>
  </si>
  <si>
    <t>2027Week30-20260904-1212</t>
  </si>
  <si>
    <t>2027Week30-20260904-1217</t>
  </si>
  <si>
    <t>2027Week30-20260904-1223</t>
  </si>
  <si>
    <t>2027Week30-20260904-1231</t>
  </si>
  <si>
    <t>2027Week30-20260904-1239</t>
  </si>
  <si>
    <t>2027Week30-20260904-1251</t>
  </si>
  <si>
    <t>2027Week30-20260904-1255</t>
  </si>
  <si>
    <t>2027Week30-20260904-1257</t>
  </si>
  <si>
    <t>2027Week30-20260904-1265</t>
  </si>
  <si>
    <t>2027Week30-20260904-1269</t>
  </si>
  <si>
    <t>2027Week30-20260904-1276</t>
  </si>
  <si>
    <t>2027Week30-20260904-1284</t>
  </si>
  <si>
    <t>2027Week30-20260904-1288</t>
  </si>
  <si>
    <t>2027Week30-20260904-1305</t>
  </si>
  <si>
    <t>2027Week30-20260904-1306</t>
  </si>
  <si>
    <t>2027Week30-20260904-1307</t>
  </si>
  <si>
    <t>2027Week30-20260904-1325</t>
  </si>
  <si>
    <t>2027Week30-20260904-1336</t>
  </si>
  <si>
    <t>2027Week30-20260904-1342</t>
  </si>
  <si>
    <t>2027Week30-20260904-1490</t>
  </si>
  <si>
    <t>2027Week30-20260904-1496</t>
  </si>
  <si>
    <t>2027Week30-20260904-1500</t>
  </si>
  <si>
    <t>2027Week30-20260904-1507</t>
  </si>
  <si>
    <t>2027Week30-20260904-1510</t>
  </si>
  <si>
    <t>2027Week30-20260904-1525</t>
  </si>
  <si>
    <t>2027Week30-20260904-1531</t>
  </si>
  <si>
    <t>2027Week30-20260904-1730</t>
  </si>
  <si>
    <t>2027Week30-20260904-1744</t>
  </si>
  <si>
    <t>2027Week30-20260904-1917</t>
  </si>
  <si>
    <t>2027Week31-20260904-1184</t>
  </si>
  <si>
    <t>2027Week31-20260904-1199</t>
  </si>
  <si>
    <t>2027Week31-20260904-1204</t>
  </si>
  <si>
    <t>2027Week31-20260904-1209</t>
  </si>
  <si>
    <t>2027Week31-20260904-1215</t>
  </si>
  <si>
    <t>2027Week31-20260904-1223</t>
  </si>
  <si>
    <t>2027Week31-20260904-1230</t>
  </si>
  <si>
    <t>2027Week31-20260904-1240</t>
  </si>
  <si>
    <t>2027Week31-20260904-1244</t>
  </si>
  <si>
    <t>2027Week31-20260904-1246</t>
  </si>
  <si>
    <t>2027Week31-20260904-1251</t>
  </si>
  <si>
    <t>2027Week31-20260904-1253</t>
  </si>
  <si>
    <t>2027Week31-20260904-1256</t>
  </si>
  <si>
    <t>2027Week31-20260904-1263</t>
  </si>
  <si>
    <t>2027Week31-20260904-1268</t>
  </si>
  <si>
    <t>2027Week31-20260904-1289</t>
  </si>
  <si>
    <t>2027Week31-20260904-1291</t>
  </si>
  <si>
    <t>2027Week31-20260904-1292</t>
  </si>
  <si>
    <t>2027Week31-20260904-1316</t>
  </si>
  <si>
    <t>2027Week31-20260904-1329</t>
  </si>
  <si>
    <t>2027Week31-20260904-1334</t>
  </si>
  <si>
    <t>2027Week31-20260904-1484</t>
  </si>
  <si>
    <t>2027Week31-20260904-1499</t>
  </si>
  <si>
    <t>2027Week31-20260904-1507</t>
  </si>
  <si>
    <t>2027Week31-20260904-1517</t>
  </si>
  <si>
    <t>2027Week31-20260904-1521</t>
  </si>
  <si>
    <t>2027Week31-20260904-1536</t>
  </si>
  <si>
    <t>2027Week31-20260904-1542</t>
  </si>
  <si>
    <t>2027Week31-20260904-1764</t>
  </si>
  <si>
    <t>2027Week31-20260904-1778</t>
  </si>
  <si>
    <t>2027Week31-20260904-1961</t>
  </si>
  <si>
    <t>2027Week32-20260904-1083</t>
  </si>
  <si>
    <t>2027Week32-20260904-1091</t>
  </si>
  <si>
    <t>2027Week32-20260904-1097</t>
  </si>
  <si>
    <t>2027Week32-20260904-1102</t>
  </si>
  <si>
    <t>2027Week32-20260904-1108</t>
  </si>
  <si>
    <t>2027Week32-20260904-1114</t>
  </si>
  <si>
    <t>2027Week32-20260904-1121</t>
  </si>
  <si>
    <t>2027Week32-20260904-1131</t>
  </si>
  <si>
    <t>2027Week32-20260904-1135</t>
  </si>
  <si>
    <t>2027Week32-20260904-1137</t>
  </si>
  <si>
    <t>2027Week32-20260904-1142</t>
  </si>
  <si>
    <t>2027Week32-20260904-1144</t>
  </si>
  <si>
    <t>2027Week32-20260904-1147</t>
  </si>
  <si>
    <t>2027Week32-20260904-1154</t>
  </si>
  <si>
    <t>2027Week32-20260904-1159</t>
  </si>
  <si>
    <t>2027Week32-20260904-1180</t>
  </si>
  <si>
    <t>2027Week32-20260904-1182</t>
  </si>
  <si>
    <t>2027Week32-20260904-1183</t>
  </si>
  <si>
    <t>2027Week32-20260904-1207</t>
  </si>
  <si>
    <t>2027Week32-20260904-1220</t>
  </si>
  <si>
    <t>2027Week32-20260904-1225</t>
  </si>
  <si>
    <t>2027Week32-20260904-1375</t>
  </si>
  <si>
    <t>2027Week32-20260904-1390</t>
  </si>
  <si>
    <t>2027Week32-20260904-1398</t>
  </si>
  <si>
    <t>2027Week32-20260904-1408</t>
  </si>
  <si>
    <t>2027Week32-20260904-1412</t>
  </si>
  <si>
    <t>2027Week32-20260904-1427</t>
  </si>
  <si>
    <t>2027Week32-20260904-1433</t>
  </si>
  <si>
    <t>2027Week32-20260904-1637</t>
  </si>
  <si>
    <t>2027Week32-20260904-1651</t>
  </si>
  <si>
    <t>2027Week32-20260904-1819</t>
  </si>
  <si>
    <t>2027Week33-20260904-1088</t>
  </si>
  <si>
    <t>2027Week33-20260904-1095</t>
  </si>
  <si>
    <t>2027Week33-20260904-1101</t>
  </si>
  <si>
    <t>2027Week33-20260904-1106</t>
  </si>
  <si>
    <t>2027Week33-20260904-1112</t>
  </si>
  <si>
    <t>2027Week33-20260904-1118</t>
  </si>
  <si>
    <t>2027Week33-20260904-1125</t>
  </si>
  <si>
    <t>2027Week33-20260904-1135</t>
  </si>
  <si>
    <t>2027Week33-20260904-1139</t>
  </si>
  <si>
    <t>2027Week33-20260904-1141</t>
  </si>
  <si>
    <t>2027Week33-20260904-1146</t>
  </si>
  <si>
    <t>2027Week33-20260904-1148</t>
  </si>
  <si>
    <t>2027Week33-20260904-1151</t>
  </si>
  <si>
    <t>2027Week33-20260904-1158</t>
  </si>
  <si>
    <t>2027Week33-20260904-1163</t>
  </si>
  <si>
    <t>2027Week33-20260904-1184</t>
  </si>
  <si>
    <t>2027Week33-20260904-1186</t>
  </si>
  <si>
    <t>2027Week33-20260904-1187</t>
  </si>
  <si>
    <t>2027Week33-20260904-1211</t>
  </si>
  <si>
    <t>2027Week33-20260904-1224</t>
  </si>
  <si>
    <t>2027Week33-20260904-1229</t>
  </si>
  <si>
    <t>2027Week33-20260904-1381</t>
  </si>
  <si>
    <t>2027Week33-20260904-1396</t>
  </si>
  <si>
    <t>2027Week33-20260904-1404</t>
  </si>
  <si>
    <t>2027Week33-20260904-1414</t>
  </si>
  <si>
    <t>2027Week33-20260904-1418</t>
  </si>
  <si>
    <t>2027Week33-20260904-1433</t>
  </si>
  <si>
    <t>2027Week33-20260904-1440</t>
  </si>
  <si>
    <t>2027Week33-20260904-1646</t>
  </si>
  <si>
    <t>2027Week33-20260904-1660</t>
  </si>
  <si>
    <t>2027Week33-20260904-1823</t>
  </si>
  <si>
    <t>2027Week34-20260904-1085</t>
  </si>
  <si>
    <t>2027Week34-20260904-1095</t>
  </si>
  <si>
    <t>2027Week34-20260904-1101</t>
  </si>
  <si>
    <t>2027Week34-20260904-1106</t>
  </si>
  <si>
    <t>2027Week34-20260904-1116</t>
  </si>
  <si>
    <t>2027Week34-20260904-1122</t>
  </si>
  <si>
    <t>2027Week34-20260904-1129</t>
  </si>
  <si>
    <t>2027Week34-20260904-1136</t>
  </si>
  <si>
    <t>2027Week34-20260904-1140</t>
  </si>
  <si>
    <t>2027Week34-20260904-1142</t>
  </si>
  <si>
    <t>2027Week34-20260904-1147</t>
  </si>
  <si>
    <t>2027Week34-20260904-1149</t>
  </si>
  <si>
    <t>2027Week34-20260904-1152</t>
  </si>
  <si>
    <t>2027Week34-20260904-1159</t>
  </si>
  <si>
    <t>2027Week34-20260904-1164</t>
  </si>
  <si>
    <t>2027Week34-20260904-1185</t>
  </si>
  <si>
    <t>2027Week34-20260904-1187</t>
  </si>
  <si>
    <t>2027Week34-20260904-1188</t>
  </si>
  <si>
    <t>2027Week34-20260904-1212</t>
  </si>
  <si>
    <t>2027Week34-20260904-1223</t>
  </si>
  <si>
    <t>2027Week34-20260904-1227</t>
  </si>
  <si>
    <t>2027Week34-20260904-1378</t>
  </si>
  <si>
    <t>2027Week34-20260904-1393</t>
  </si>
  <si>
    <t>2027Week34-20260904-1401</t>
  </si>
  <si>
    <t>2027Week34-20260904-1411</t>
  </si>
  <si>
    <t>2027Week34-20260904-1415</t>
  </si>
  <si>
    <t>2027Week34-20260904-1435</t>
  </si>
  <si>
    <t>2027Week34-20260904-1442</t>
  </si>
  <si>
    <t>2027Week34-20260904-1646</t>
  </si>
  <si>
    <t>2027Week34-20260904-1660</t>
  </si>
  <si>
    <t>2027Week34-20260904-1827</t>
  </si>
  <si>
    <t>2027Week35-20260904-1168</t>
  </si>
  <si>
    <t>2027Week35-20260904-1175</t>
  </si>
  <si>
    <t>2027Week35-20260904-1181</t>
  </si>
  <si>
    <t>2027Week35-20260904-1186</t>
  </si>
  <si>
    <t>2027Week35-20260904-1196</t>
  </si>
  <si>
    <t>2027Week35-20260904-1202</t>
  </si>
  <si>
    <t>2027Week35-20260904-1209</t>
  </si>
  <si>
    <t>2027Week35-20260904-1216</t>
  </si>
  <si>
    <t>2027Week35-20260904-1220</t>
  </si>
  <si>
    <t>2027Week35-20260904-1222</t>
  </si>
  <si>
    <t>2027Week35-20260904-1227</t>
  </si>
  <si>
    <t>2027Week35-20260904-1229</t>
  </si>
  <si>
    <t>2027Week35-20260904-1232</t>
  </si>
  <si>
    <t>2027Week35-20260904-1239</t>
  </si>
  <si>
    <t>2027Week35-20260904-1244</t>
  </si>
  <si>
    <t>2027Week35-20260904-1265</t>
  </si>
  <si>
    <t>2027Week35-20260904-1267</t>
  </si>
  <si>
    <t>2027Week35-20260904-1268</t>
  </si>
  <si>
    <t>2027Week35-20260904-1292</t>
  </si>
  <si>
    <t>2027Week35-20260904-1303</t>
  </si>
  <si>
    <t>2027Week35-20260904-1307</t>
  </si>
  <si>
    <t>2027Week35-20260904-1450</t>
  </si>
  <si>
    <t>2027Week35-20260904-1465</t>
  </si>
  <si>
    <t>2027Week35-20260904-1473</t>
  </si>
  <si>
    <t>2027Week35-20260904-1485</t>
  </si>
  <si>
    <t>2027Week35-20260904-1491</t>
  </si>
  <si>
    <t>2027Week35-20260904-1511</t>
  </si>
  <si>
    <t>2027Week35-20260904-1518</t>
  </si>
  <si>
    <t>2027Week35-20260904-1656</t>
  </si>
  <si>
    <t>2027Week35-20260904-1662</t>
  </si>
  <si>
    <t>2027Week35-20260904-1721</t>
  </si>
  <si>
    <t>2027Week35-20260904-1725</t>
  </si>
  <si>
    <t>2027Week35-20260904-1731</t>
  </si>
  <si>
    <t>2027Week35-20260904-1734</t>
  </si>
  <si>
    <t>2027Week35-20260904-1738</t>
  </si>
  <si>
    <t>2027Week35-20260904-1755</t>
  </si>
  <si>
    <t>2027Week35-20260904-1885</t>
  </si>
  <si>
    <t>2027Week35-20260904-1905</t>
  </si>
  <si>
    <t>2027Week35-20260904-1940</t>
  </si>
  <si>
    <t>2027Week36-20260904-1613</t>
  </si>
  <si>
    <t>2027Week36-20260904-1622</t>
  </si>
  <si>
    <t>2027Week36-20260904-1623</t>
  </si>
  <si>
    <t>2027Week36-20260904-1624</t>
  </si>
  <si>
    <t>2027Week36-20260904-1628</t>
  </si>
  <si>
    <t>2027Week36-20260904-1631</t>
  </si>
  <si>
    <t>2027Week36-20260904-1633</t>
  </si>
  <si>
    <t>2027Week36-20260904-1636</t>
  </si>
  <si>
    <t>2027Week36-20260904-1637</t>
  </si>
  <si>
    <t>2027Week36-20260904-1639</t>
  </si>
  <si>
    <t>2027Week36-20260904-1642</t>
  </si>
  <si>
    <t>2027Week36-20260904-1643</t>
  </si>
  <si>
    <t>2027Week36-20260904-1646</t>
  </si>
  <si>
    <t>2027Week36-20260904-1651</t>
  </si>
  <si>
    <t>2027Week36-20260904-1694</t>
  </si>
  <si>
    <t>2027Week36-20260904-1698</t>
  </si>
  <si>
    <t>2027Week36-20260904-1704</t>
  </si>
  <si>
    <t>2027Week36-20260904-1707</t>
  </si>
  <si>
    <t>2027Week36-20260904-1720</t>
  </si>
  <si>
    <t>2027Week36-20260904-1736</t>
  </si>
  <si>
    <t>2027Week36-20260904-1741</t>
  </si>
  <si>
    <t>2027Week36-20260904-1742</t>
  </si>
  <si>
    <t>2027Week36-20260904-1743</t>
  </si>
  <si>
    <t>2027Week36-20260904-1748</t>
  </si>
  <si>
    <t>2027Week36-20260904-1761</t>
  </si>
  <si>
    <t>2027Week36-20260904-1835</t>
  </si>
  <si>
    <t>2027Week36-20260904-1855</t>
  </si>
  <si>
    <t>2027Week36-20260904-1913</t>
  </si>
  <si>
    <t>2027Week36-20261009-5</t>
  </si>
  <si>
    <t>2027Week36-20261009-53</t>
  </si>
  <si>
    <t>2027Week37-20260904-1586</t>
  </si>
  <si>
    <t>2027Week37-20260904-1595</t>
  </si>
  <si>
    <t>2027Week37-20260904-1596</t>
  </si>
  <si>
    <t>2027Week37-20260904-1597</t>
  </si>
  <si>
    <t>2027Week37-20260904-1600</t>
  </si>
  <si>
    <t>2027Week37-20260904-1603</t>
  </si>
  <si>
    <t>2027Week37-20260904-1605</t>
  </si>
  <si>
    <t>2027Week37-20260904-1608</t>
  </si>
  <si>
    <t>2027Week37-20260904-1609</t>
  </si>
  <si>
    <t>2027Week37-20260904-1611</t>
  </si>
  <si>
    <t>2027Week37-20260904-1614</t>
  </si>
  <si>
    <t>2027Week37-20260904-1615</t>
  </si>
  <si>
    <t>2027Week37-20260904-1618</t>
  </si>
  <si>
    <t>2027Week37-20260904-1623</t>
  </si>
  <si>
    <t>2027Week37-20260904-1665</t>
  </si>
  <si>
    <t>2027Week37-20260904-1669</t>
  </si>
  <si>
    <t>2027Week37-20260904-1675</t>
  </si>
  <si>
    <t>2027Week37-20260904-1682</t>
  </si>
  <si>
    <t>2027Week37-20260904-1696</t>
  </si>
  <si>
    <t>2027Week37-20260904-1712</t>
  </si>
  <si>
    <t>2027Week37-20260904-1717</t>
  </si>
  <si>
    <t>2027Week37-20260904-1718</t>
  </si>
  <si>
    <t>2027Week37-20260904-1719</t>
  </si>
  <si>
    <t>2027Week37-20260904-1724</t>
  </si>
  <si>
    <t>2027Week37-20260904-1737</t>
  </si>
  <si>
    <t>2027Week37-20260904-1805</t>
  </si>
  <si>
    <t>2027Week37-20260904-1831</t>
  </si>
  <si>
    <t>2027Week37-20260904-1895</t>
  </si>
  <si>
    <t>2027Week37-20261009-45</t>
  </si>
  <si>
    <t>2027Week37-20261009-5</t>
  </si>
  <si>
    <t>2027Week38-20260904-1565</t>
  </si>
  <si>
    <t>2027Week38-20260904-1574</t>
  </si>
  <si>
    <t>2027Week38-20260904-1575</t>
  </si>
  <si>
    <t>2027Week38-20260904-1576</t>
  </si>
  <si>
    <t>2027Week38-20260904-1579</t>
  </si>
  <si>
    <t>2027Week38-20260904-1582</t>
  </si>
  <si>
    <t>2027Week38-20260904-1584</t>
  </si>
  <si>
    <t>2027Week38-20260904-1587</t>
  </si>
  <si>
    <t>2027Week38-20260904-1588</t>
  </si>
  <si>
    <t>2027Week38-20260904-1590</t>
  </si>
  <si>
    <t>2027Week38-20260904-1593</t>
  </si>
  <si>
    <t>2027Week38-20260904-1594</t>
  </si>
  <si>
    <t>2027Week38-20260904-1597</t>
  </si>
  <si>
    <t>2027Week38-20260904-1602</t>
  </si>
  <si>
    <t>2027Week38-20260904-1638</t>
  </si>
  <si>
    <t>2027Week38-20260904-1642</t>
  </si>
  <si>
    <t>2027Week38-20260904-1648</t>
  </si>
  <si>
    <t>2027Week38-20260904-1651</t>
  </si>
  <si>
    <t>2027Week38-20260904-1673</t>
  </si>
  <si>
    <t>2027Week38-20260904-1705</t>
  </si>
  <si>
    <t>2027Week38-20260904-1710</t>
  </si>
  <si>
    <t>2027Week38-20260904-1711</t>
  </si>
  <si>
    <t>2027Week38-20260904-1712</t>
  </si>
  <si>
    <t>2027Week38-20260904-1717</t>
  </si>
  <si>
    <t>2027Week38-20260904-1730</t>
  </si>
  <si>
    <t>2027Week38-20260904-1798</t>
  </si>
  <si>
    <t>2027Week38-20260904-1817</t>
  </si>
  <si>
    <t>2027Week38-20260904-1881</t>
  </si>
  <si>
    <t>2027Week38-20261009-36</t>
  </si>
  <si>
    <t>2027Week38-20261009-5</t>
  </si>
  <si>
    <t>2027Week39-20260904-1556</t>
  </si>
  <si>
    <t>2027Week39-20260904-1565</t>
  </si>
  <si>
    <t>2027Week39-20260904-1566</t>
  </si>
  <si>
    <t>2027Week39-20260904-1567</t>
  </si>
  <si>
    <t>2027Week39-20260904-1570</t>
  </si>
  <si>
    <t>2027Week39-20260904-1573</t>
  </si>
  <si>
    <t>2027Week39-20260904-1575</t>
  </si>
  <si>
    <t>2027Week39-20260904-1578</t>
  </si>
  <si>
    <t>2027Week39-20260904-1579</t>
  </si>
  <si>
    <t>2027Week39-20260904-1581</t>
  </si>
  <si>
    <t>2027Week39-20260904-1584</t>
  </si>
  <si>
    <t>2027Week39-20260904-1585</t>
  </si>
  <si>
    <t>2027Week39-20260904-1588</t>
  </si>
  <si>
    <t>2027Week39-20260904-1595</t>
  </si>
  <si>
    <t>2027Week39-20260904-1631</t>
  </si>
  <si>
    <t>2027Week39-20260904-1635</t>
  </si>
  <si>
    <t>2027Week39-20260904-1641</t>
  </si>
  <si>
    <t>2027Week39-20260904-1644</t>
  </si>
  <si>
    <t>2027Week39-20260904-1662</t>
  </si>
  <si>
    <t>2027Week39-20260904-1698</t>
  </si>
  <si>
    <t>2027Week39-20260904-1703</t>
  </si>
  <si>
    <t>2027Week39-20260904-1704</t>
  </si>
  <si>
    <t>2027Week39-20260904-1706</t>
  </si>
  <si>
    <t>2027Week39-20260904-1711</t>
  </si>
  <si>
    <t>2027Week39-20260904-1725</t>
  </si>
  <si>
    <t>2027Week39-20260904-1800</t>
  </si>
  <si>
    <t>2027Week39-20260904-1823</t>
  </si>
  <si>
    <t>2027Week39-20260904-1891</t>
  </si>
  <si>
    <t>2027Week39-20261009-41</t>
  </si>
  <si>
    <t>2027Week39-20261009-5</t>
  </si>
  <si>
    <t>2027Week40-20260904-694</t>
  </si>
  <si>
    <t>2027Week40-20260904-698</t>
  </si>
  <si>
    <t>2027Week40-20260904-699</t>
  </si>
  <si>
    <t>2027Week40-20260904-700</t>
  </si>
  <si>
    <t>2027Week40-20260904-703</t>
  </si>
  <si>
    <t>2027Week40-20260904-705</t>
  </si>
  <si>
    <t>2027Week40-20260904-706</t>
  </si>
  <si>
    <t>2027Week40-20260904-709</t>
  </si>
  <si>
    <t>2027Week40-20260904-710</t>
  </si>
  <si>
    <t>2027Week40-20260904-712</t>
  </si>
  <si>
    <t>2027Week40-20260904-715</t>
  </si>
  <si>
    <t>2027Week40-20260904-716</t>
  </si>
  <si>
    <t>2027Week40-20260904-718</t>
  </si>
  <si>
    <t>2027Week40-20260904-722</t>
  </si>
  <si>
    <t>2027Week40-20260904-740</t>
  </si>
  <si>
    <t>2027Week40-20260904-743</t>
  </si>
  <si>
    <t>2027Week40-20260904-747</t>
  </si>
  <si>
    <t>2027Week40-20260904-749</t>
  </si>
  <si>
    <t>2027Week40-20260904-752</t>
  </si>
  <si>
    <t>2027Week40-20260904-757</t>
  </si>
  <si>
    <t>2027Week40-20260904-761</t>
  </si>
  <si>
    <t>2027Week40-20260904-762</t>
  </si>
  <si>
    <t>2027Week40-20260904-763</t>
  </si>
  <si>
    <t>2027Week40-20260904-765</t>
  </si>
  <si>
    <t>2027Week40-20260904-768</t>
  </si>
  <si>
    <t>2027Week40-20260904-788</t>
  </si>
  <si>
    <t>2027Week40-20260904-794</t>
  </si>
  <si>
    <t>2027Week40-20260904-804</t>
  </si>
  <si>
    <t>2027Week40-20261009-5</t>
  </si>
  <si>
    <t>2027Week41-20260904-666</t>
  </si>
  <si>
    <t>2027Week41-20260904-670</t>
  </si>
  <si>
    <t>2027Week41-20260904-671</t>
  </si>
  <si>
    <t>2027Week41-20260904-672</t>
  </si>
  <si>
    <t>2027Week41-20260904-675</t>
  </si>
  <si>
    <t>2027Week41-20260904-677</t>
  </si>
  <si>
    <t>2027Week41-20260904-678</t>
  </si>
  <si>
    <t>2027Week41-20260904-681</t>
  </si>
  <si>
    <t>2027Week41-20260904-682</t>
  </si>
  <si>
    <t>2027Week41-20260904-684</t>
  </si>
  <si>
    <t>2027Week41-20260904-687</t>
  </si>
  <si>
    <t>2027Week41-20260904-688</t>
  </si>
  <si>
    <t>2027Week41-20260904-690</t>
  </si>
  <si>
    <t>2027Week41-20260904-694</t>
  </si>
  <si>
    <t>2027Week41-20260904-712</t>
  </si>
  <si>
    <t>2027Week41-20260904-715</t>
  </si>
  <si>
    <t>2027Week41-20260904-719</t>
  </si>
  <si>
    <t>2027Week41-20260904-721</t>
  </si>
  <si>
    <t>2027Week41-20260904-724</t>
  </si>
  <si>
    <t>2027Week41-20260904-729</t>
  </si>
  <si>
    <t>2027Week41-20260904-733</t>
  </si>
  <si>
    <t>2027Week41-20260904-734</t>
  </si>
  <si>
    <t>2027Week41-20260904-735</t>
  </si>
  <si>
    <t>2027Week41-20260904-737</t>
  </si>
  <si>
    <t>2027Week41-20260904-739</t>
  </si>
  <si>
    <t>2027Week41-20260904-760</t>
  </si>
  <si>
    <t>2027Week41-20260904-766</t>
  </si>
  <si>
    <t>2027Week41-20260904-776</t>
  </si>
  <si>
    <t>2027Week41-20261009-5</t>
  </si>
  <si>
    <t>2027Week42-20260904-644</t>
  </si>
  <si>
    <t>2027Week42-20260904-648</t>
  </si>
  <si>
    <t>2027Week42-20260904-649</t>
  </si>
  <si>
    <t>2027Week42-20260904-650</t>
  </si>
  <si>
    <t>2027Week42-20260904-653</t>
  </si>
  <si>
    <t>2027Week42-20260904-655</t>
  </si>
  <si>
    <t>2027Week42-20260904-656</t>
  </si>
  <si>
    <t>2027Week42-20260904-659</t>
  </si>
  <si>
    <t>2027Week42-20260904-660</t>
  </si>
  <si>
    <t>2027Week42-20260904-662</t>
  </si>
  <si>
    <t>2027Week42-20260904-665</t>
  </si>
  <si>
    <t>2027Week42-20260904-666</t>
  </si>
  <si>
    <t>2027Week42-20260904-668</t>
  </si>
  <si>
    <t>2027Week42-20260904-672</t>
  </si>
  <si>
    <t>2027Week42-20260904-690</t>
  </si>
  <si>
    <t>2027Week42-20260904-693</t>
  </si>
  <si>
    <t>2027Week42-20260904-697</t>
  </si>
  <si>
    <t>2027Week42-20260904-699</t>
  </si>
  <si>
    <t>2027Week42-20260904-702</t>
  </si>
  <si>
    <t>2027Week42-20260904-707</t>
  </si>
  <si>
    <t>2027Week42-20260904-711</t>
  </si>
  <si>
    <t>2027Week42-20260904-712</t>
  </si>
  <si>
    <t>2027Week42-20260904-713</t>
  </si>
  <si>
    <t>2027Week42-20260904-715</t>
  </si>
  <si>
    <t>2027Week42-20260904-717</t>
  </si>
  <si>
    <t>2027Week42-20260904-738</t>
  </si>
  <si>
    <t>2027Week42-20260904-744</t>
  </si>
  <si>
    <t>2027Week42-20260904-754</t>
  </si>
  <si>
    <t>2027Week42-20261009-5</t>
  </si>
  <si>
    <t>2027Week43-20260904-627</t>
  </si>
  <si>
    <t>2027Week43-20260904-631</t>
  </si>
  <si>
    <t>2027Week43-20260904-632</t>
  </si>
  <si>
    <t>2027Week43-20260904-633</t>
  </si>
  <si>
    <t>2027Week43-20260904-636</t>
  </si>
  <si>
    <t>2027Week43-20260904-640</t>
  </si>
  <si>
    <t>2027Week43-20260904-641</t>
  </si>
  <si>
    <t>2027Week43-20260904-644</t>
  </si>
  <si>
    <t>2027Week43-20260904-645</t>
  </si>
  <si>
    <t>2027Week43-20260904-647</t>
  </si>
  <si>
    <t>2027Week43-20260904-650</t>
  </si>
  <si>
    <t>2027Week43-20260904-651</t>
  </si>
  <si>
    <t>2027Week43-20260904-653</t>
  </si>
  <si>
    <t>2027Week43-20260904-657</t>
  </si>
  <si>
    <t>2027Week43-20260904-675</t>
  </si>
  <si>
    <t>2027Week43-20260904-678</t>
  </si>
  <si>
    <t>2027Week43-20260904-682</t>
  </si>
  <si>
    <t>2027Week43-20260904-684</t>
  </si>
  <si>
    <t>2027Week43-20260904-687</t>
  </si>
  <si>
    <t>2027Week43-20260904-692</t>
  </si>
  <si>
    <t>2027Week43-20260904-696</t>
  </si>
  <si>
    <t>2027Week43-20260904-697</t>
  </si>
  <si>
    <t>2027Week43-20260904-698</t>
  </si>
  <si>
    <t>2027Week43-20260904-700</t>
  </si>
  <si>
    <t>2027Week43-20260904-702</t>
  </si>
  <si>
    <t>2027Week43-20260904-723</t>
  </si>
  <si>
    <t>2027Week43-20260904-729</t>
  </si>
  <si>
    <t>2027Week43-20260904-739</t>
  </si>
  <si>
    <t>2027Week43-20261009-5</t>
  </si>
  <si>
    <t>2027Week15-20260910-66</t>
  </si>
  <si>
    <t>Order67676767- 260820003</t>
  </si>
  <si>
    <t>2027Week15-20260910-72</t>
  </si>
  <si>
    <t>Order67676767- 260903001</t>
  </si>
  <si>
    <t>2027Week15-20260910-86</t>
  </si>
  <si>
    <t>2027Week16-20260930-31</t>
  </si>
  <si>
    <t>2027Week16-20260930-543</t>
  </si>
  <si>
    <t>2027Week18-20251218-2</t>
  </si>
  <si>
    <t>AUD2025-12 BOYU Fund IV</t>
  </si>
  <si>
    <t>Order47100498- 250626006</t>
  </si>
  <si>
    <t>2027Week18-20260907-302</t>
  </si>
  <si>
    <t>2027Week18-20260908-23</t>
  </si>
  <si>
    <t>2027Week18-20260908-38</t>
  </si>
  <si>
    <t>2027Week19-20251218-2</t>
  </si>
  <si>
    <t>2027Week19-20260907-317</t>
  </si>
  <si>
    <t>2027Week19-20260908-23</t>
  </si>
  <si>
    <t>2027Week19-20260908-38</t>
  </si>
  <si>
    <t>2027Week20-20251218-2</t>
  </si>
  <si>
    <t>2027Week20-20260907-335</t>
  </si>
  <si>
    <t>2027Week20-20260908-23</t>
  </si>
  <si>
    <t>2027Week20-20260908-38</t>
  </si>
  <si>
    <t>2027Week20-20260908-41</t>
  </si>
  <si>
    <t>2027Week21-20251218-2</t>
  </si>
  <si>
    <t>2027Week21-20260907-326</t>
  </si>
  <si>
    <t>2027Week21-20260908-23</t>
  </si>
  <si>
    <t>2027Week21-20260908-38</t>
  </si>
  <si>
    <t>2027Week21-20260908-41</t>
  </si>
  <si>
    <t>2027Week22-20260907-377</t>
  </si>
  <si>
    <t>2027Week22-20260908-26</t>
  </si>
  <si>
    <t>2027Week22-20260908-42</t>
  </si>
  <si>
    <t>2027Week22-20260908-45</t>
  </si>
  <si>
    <t>2027Week23-20260907-285</t>
  </si>
  <si>
    <t>2027Week23-20260908-22</t>
  </si>
  <si>
    <t>2027Week23-20260908-38</t>
  </si>
  <si>
    <t>2027Week23-20260908-45</t>
  </si>
  <si>
    <t>2027Week24-20260907-308</t>
  </si>
  <si>
    <t>2027Week24-20260908-22</t>
  </si>
  <si>
    <t>2027Week24-20260908-41</t>
  </si>
  <si>
    <t>2027Week24-20260908-49</t>
  </si>
  <si>
    <t>2027Week25-20260907-302</t>
  </si>
  <si>
    <t>2027Week25-20260908-18</t>
  </si>
  <si>
    <t>2027Week25-20260908-37</t>
  </si>
  <si>
    <t>2027Week25-20260908-42</t>
  </si>
  <si>
    <t>2027Week26-20260907-348</t>
  </si>
  <si>
    <t>2027Week26-20260908-16</t>
  </si>
  <si>
    <t>2027Week26-20260908-165</t>
  </si>
  <si>
    <t>2027Week26-20260908-40</t>
  </si>
  <si>
    <t>2027Week26-20260908-43</t>
  </si>
  <si>
    <t>2027Week26-20260908-50</t>
  </si>
  <si>
    <t>2027Week26-20260908-67</t>
  </si>
  <si>
    <t>2027Week26-20260908-82</t>
  </si>
  <si>
    <t>2027Week27-20260907-329</t>
  </si>
  <si>
    <t>2027Week27-20260908-138</t>
  </si>
  <si>
    <t>2027Week27-20260908-35</t>
  </si>
  <si>
    <t>2027Week27-20260908-52</t>
  </si>
  <si>
    <t>2027Week27-20260908-67</t>
  </si>
  <si>
    <t>2027Week28-20260907-327</t>
  </si>
  <si>
    <t>2027Week28-20260908-148</t>
  </si>
  <si>
    <t>2027Week28-20260908-171</t>
  </si>
  <si>
    <t>2027Week28-20260908-178</t>
  </si>
  <si>
    <t>2027Week28-20260908-35</t>
  </si>
  <si>
    <t>2027Week28-20260908-52</t>
  </si>
  <si>
    <t>2027Week28-20260908-71</t>
  </si>
  <si>
    <t>2027Week29-20260907-323</t>
  </si>
  <si>
    <t>2027Week29-20260908-172</t>
  </si>
  <si>
    <t>2027Week29-20260908-39</t>
  </si>
  <si>
    <t>2027Week29-20260908-54</t>
  </si>
  <si>
    <t>2027Week29-20260908-70</t>
  </si>
  <si>
    <t>2027Week30-20260907-326</t>
  </si>
  <si>
    <t>2027Week30-20260908-174</t>
  </si>
  <si>
    <t>2027Week30-20260908-42</t>
  </si>
  <si>
    <t>2027Week30-20260908-57</t>
  </si>
  <si>
    <t>2027Week30-20260908-73</t>
  </si>
  <si>
    <t>2027Week31-20260907-330</t>
  </si>
  <si>
    <t>2027Week31-20260908-172</t>
  </si>
  <si>
    <t>2027Week31-20260908-40</t>
  </si>
  <si>
    <t>2027Week31-20260908-55</t>
  </si>
  <si>
    <t>2027Week31-20260908-77</t>
  </si>
  <si>
    <t>2027Week32-20260908-162</t>
  </si>
  <si>
    <t>2027Week32-20260908-37</t>
  </si>
  <si>
    <t>2027Week32-20260908-52</t>
  </si>
  <si>
    <t>2027Week32-20260908-71</t>
  </si>
  <si>
    <t>2027Week33-20260908-169</t>
  </si>
  <si>
    <t>2027Week33-20260908-41</t>
  </si>
  <si>
    <t>2027Week33-20260908-56</t>
  </si>
  <si>
    <t>2027Week33-20260908-78</t>
  </si>
  <si>
    <t>2027Week34-20260908-163</t>
  </si>
  <si>
    <t>2027Week34-20260908-37</t>
  </si>
  <si>
    <t>2027Week34-20260908-52</t>
  </si>
  <si>
    <t>2027Week34-20260908-74</t>
  </si>
  <si>
    <t>2027Week16-20260930-159</t>
  </si>
  <si>
    <t>2027Week22-20260907-125</t>
  </si>
  <si>
    <t>2027Week22-20260907-127</t>
  </si>
  <si>
    <t>2027Week22-20260907-128</t>
  </si>
  <si>
    <t>2027Week23-20260907-94</t>
  </si>
  <si>
    <t>2027Week23-20260907-96</t>
  </si>
  <si>
    <t>2027Week23-20260907-97</t>
  </si>
  <si>
    <t>2027Week24-20260907-100</t>
  </si>
  <si>
    <t>2027Week24-20260907-97</t>
  </si>
  <si>
    <t>2027Week24-20260907-99</t>
  </si>
  <si>
    <t>2027Week25-20260907-100</t>
  </si>
  <si>
    <t>2027Week25-20260907-97</t>
  </si>
  <si>
    <t>2027Week25-20260907-99</t>
  </si>
  <si>
    <t>2027Week26-20260907-109</t>
  </si>
  <si>
    <t>2027Week26-20260907-111</t>
  </si>
  <si>
    <t>2027Week26-20260907-112</t>
  </si>
  <si>
    <t>2027Week27-20260907-130</t>
  </si>
  <si>
    <t>2027Week27-20260907-133</t>
  </si>
  <si>
    <t>2027Week27-20260907-134</t>
  </si>
  <si>
    <t>2027Week28-20260907-125</t>
  </si>
  <si>
    <t>2027Week28-20260907-128</t>
  </si>
  <si>
    <t>2027Week28-20260907-129</t>
  </si>
  <si>
    <t>2027Week29-20260907-133</t>
  </si>
  <si>
    <t>2027Week29-20260907-136</t>
  </si>
  <si>
    <t>2027Week29-20260907-137</t>
  </si>
  <si>
    <t>2027Week30-20260907-131</t>
  </si>
  <si>
    <t>2027Week30-20260907-134</t>
  </si>
  <si>
    <t>2027Week30-20260907-135</t>
  </si>
  <si>
    <t>2027Week31-20260907-128</t>
  </si>
  <si>
    <t>2027Week31-20260907-131</t>
  </si>
  <si>
    <t>2027Week31-20260907-132</t>
  </si>
  <si>
    <t>2027Week32-20260907-141</t>
  </si>
  <si>
    <t>2027Week32-20260907-142</t>
  </si>
  <si>
    <t>2027Week32-20260907-143</t>
  </si>
  <si>
    <t>2027Week33-20260907-162</t>
  </si>
  <si>
    <t>2027Week33-20260907-163</t>
  </si>
  <si>
    <t>2027Week33-20260907-164</t>
  </si>
  <si>
    <t>2027Week34-20260907-154</t>
  </si>
  <si>
    <t>2027Week34-20260907-155</t>
  </si>
  <si>
    <t>2027Week34-20260907-156</t>
  </si>
  <si>
    <t>2027Week35-20260907-169</t>
  </si>
  <si>
    <t>2027Week35-20260907-170</t>
  </si>
  <si>
    <t>2027Week35-20260907-171</t>
  </si>
  <si>
    <t>2027Week35-20260907-172</t>
  </si>
  <si>
    <t>2027Week35-20260907-173</t>
  </si>
  <si>
    <t>2027Week36-20260907-159</t>
  </si>
  <si>
    <t>2027Week36-20260907-160</t>
  </si>
  <si>
    <t>2027Week36-20260907-175</t>
  </si>
  <si>
    <t>2027Week37-20260907-148</t>
  </si>
  <si>
    <t>2027Week37-20260907-149</t>
  </si>
  <si>
    <t>2027Week37-20260907-161</t>
  </si>
  <si>
    <t>2027Week38-20260907-145</t>
  </si>
  <si>
    <t>2027Week38-20260907-146</t>
  </si>
  <si>
    <t>2027Week38-20260907-158</t>
  </si>
  <si>
    <t>2027Week39-20260904-1759</t>
  </si>
  <si>
    <t>2027Week39-20260907-175</t>
  </si>
  <si>
    <t>2027Week39-20260907-176</t>
  </si>
  <si>
    <t>2027Week39-20260907-192</t>
  </si>
  <si>
    <t>2027Week40-20260904-773</t>
  </si>
  <si>
    <t>2027Week40-20260907-119</t>
  </si>
  <si>
    <t>2027Week41-20260904-745</t>
  </si>
  <si>
    <t>2027Week41-20260907-114</t>
  </si>
  <si>
    <t>2027Week42-20260904-723</t>
  </si>
  <si>
    <t>2027Week42-20260907-118</t>
  </si>
  <si>
    <t>2027Week43-20260904-708</t>
  </si>
  <si>
    <t>2027Week43-20260907-112</t>
  </si>
  <si>
    <t>2027Week15-20260930-764</t>
  </si>
  <si>
    <t>2027Week15-20260910-85</t>
  </si>
  <si>
    <t>Rae.JX.Yuan@cn.ey.com</t>
  </si>
  <si>
    <t>2027Week15-20260930-790</t>
  </si>
  <si>
    <t>2027Week18-20260907-301</t>
  </si>
  <si>
    <t>2027Week18-20260908-22</t>
  </si>
  <si>
    <t>2027Week18-20260908-37</t>
  </si>
  <si>
    <t>2027Week19-20260907-316</t>
  </si>
  <si>
    <t>2027Week19-20260908-22</t>
  </si>
  <si>
    <t>2027Week19-20260908-37</t>
  </si>
  <si>
    <t>2027Week20-20260907-334</t>
  </si>
  <si>
    <t>2027Week20-20260908-22</t>
  </si>
  <si>
    <t>2027Week20-20260908-37</t>
  </si>
  <si>
    <t>2027Week20-20260908-40</t>
  </si>
  <si>
    <t>2027Week21-20260907-325</t>
  </si>
  <si>
    <t>2027Week21-20260908-22</t>
  </si>
  <si>
    <t>2027Week21-20260908-37</t>
  </si>
  <si>
    <t>2027Week21-20260908-40</t>
  </si>
  <si>
    <t>2027Week22-20260907-376</t>
  </si>
  <si>
    <t>2027Week22-20260908-25</t>
  </si>
  <si>
    <t>2027Week22-20260908-41</t>
  </si>
  <si>
    <t>2027Week22-20260908-44</t>
  </si>
  <si>
    <t>2027Week23-20260907-284</t>
  </si>
  <si>
    <t>2027Week23-20260908-21</t>
  </si>
  <si>
    <t>2027Week23-20260908-37</t>
  </si>
  <si>
    <t>2027Week23-20260908-43</t>
  </si>
  <si>
    <t>2027Week24-20260907-307</t>
  </si>
  <si>
    <t>2027Week24-20260908-21</t>
  </si>
  <si>
    <t>2027Week24-20260908-40</t>
  </si>
  <si>
    <t>2027Week24-20260908-47</t>
  </si>
  <si>
    <t>2027Week25-20260907-301</t>
  </si>
  <si>
    <t>2027Week25-20260908-17</t>
  </si>
  <si>
    <t>2027Week25-20260908-36</t>
  </si>
  <si>
    <t>2027Week25-20260908-40</t>
  </si>
  <si>
    <t>2027Week26-20260907-347</t>
  </si>
  <si>
    <t>2027Week26-20260908-15</t>
  </si>
  <si>
    <t>2027Week26-20260908-164</t>
  </si>
  <si>
    <t>2027Week26-20260908-39</t>
  </si>
  <si>
    <t>2027Week26-20260908-42</t>
  </si>
  <si>
    <t>2027Week26-20260908-49</t>
  </si>
  <si>
    <t>2027Week26-20260908-65</t>
  </si>
  <si>
    <t>2027Week26-20260908-81</t>
  </si>
  <si>
    <t>2027Week27-20260907-328</t>
  </si>
  <si>
    <t>2027Week27-20260908-136</t>
  </si>
  <si>
    <t>2027Week27-20260908-34</t>
  </si>
  <si>
    <t>2027Week27-20260908-50</t>
  </si>
  <si>
    <t>2027Week27-20260908-66</t>
  </si>
  <si>
    <t>2027Week28-20260907-326</t>
  </si>
  <si>
    <t>2027Week28-20260908-146</t>
  </si>
  <si>
    <t>2027Week28-20260908-170</t>
  </si>
  <si>
    <t>2027Week28-20260908-177</t>
  </si>
  <si>
    <t>2027Week28-20260908-34</t>
  </si>
  <si>
    <t>2027Week28-20260908-50</t>
  </si>
  <si>
    <t>2027Week28-20260908-70</t>
  </si>
  <si>
    <t>2027Week29-20260907-322</t>
  </si>
  <si>
    <t>2027Week29-20260908-171</t>
  </si>
  <si>
    <t>2027Week29-20260908-38</t>
  </si>
  <si>
    <t>2027Week29-20260908-53</t>
  </si>
  <si>
    <t>2027Week29-20260908-69</t>
  </si>
  <si>
    <t>2027Week30-20260907-325</t>
  </si>
  <si>
    <t>2027Week30-20260908-173</t>
  </si>
  <si>
    <t>2027Week30-20260908-41</t>
  </si>
  <si>
    <t>2027Week30-20260908-56</t>
  </si>
  <si>
    <t>2027Week30-20260908-72</t>
  </si>
  <si>
    <t>2027Week31-20260907-329</t>
  </si>
  <si>
    <t>2027Week31-20260908-171</t>
  </si>
  <si>
    <t>2027Week31-20260908-39</t>
  </si>
  <si>
    <t>2027Week31-20260908-54</t>
  </si>
  <si>
    <t>2027Week31-20260908-76</t>
  </si>
  <si>
    <t>2027Week32-20260908-161</t>
  </si>
  <si>
    <t>2027Week32-20260908-36</t>
  </si>
  <si>
    <t>2027Week32-20260908-51</t>
  </si>
  <si>
    <t>2027Week32-20260908-70</t>
  </si>
  <si>
    <t>2027Week33-20260908-168</t>
  </si>
  <si>
    <t>2027Week33-20260908-40</t>
  </si>
  <si>
    <t>2027Week33-20260908-55</t>
  </si>
  <si>
    <t>2027Week33-20260908-77</t>
  </si>
  <si>
    <t>2027Week34-20260908-162</t>
  </si>
  <si>
    <t>2027Week34-20260908-36</t>
  </si>
  <si>
    <t>2027Week34-20260908-51</t>
  </si>
  <si>
    <t>2027Week34-20260908-73</t>
  </si>
  <si>
    <t>2027Week15-20260904-984</t>
  </si>
  <si>
    <t>2027Week15-20260930-77</t>
  </si>
  <si>
    <t>2027Week15-20261009-27</t>
  </si>
  <si>
    <t>2027Week15-20261009-35</t>
  </si>
  <si>
    <t>2027Week16-20260904-969</t>
  </si>
  <si>
    <t>2027Week16-20260930-292</t>
  </si>
  <si>
    <t>2027Week16-20261009-28</t>
  </si>
  <si>
    <t>2027Week16-20261009-36</t>
  </si>
  <si>
    <t>2027Week17-20260904-979</t>
  </si>
  <si>
    <t>2027Week17-20261009-26</t>
  </si>
  <si>
    <t>2027Week17-20261009-34</t>
  </si>
  <si>
    <t>2027Week18-20260904-1127</t>
  </si>
  <si>
    <t>2027Week18-20261009-32</t>
  </si>
  <si>
    <t>2027Week18-20261009-40</t>
  </si>
  <si>
    <t>2027Week19-20260904-1006</t>
  </si>
  <si>
    <t>2027Week19-20261009-32</t>
  </si>
  <si>
    <t>2027Week19-20261009-41</t>
  </si>
  <si>
    <t>2027Week20-20260904-1033</t>
  </si>
  <si>
    <t>2027Week20-20261009-53</t>
  </si>
  <si>
    <t>2027Week20-20261009-62</t>
  </si>
  <si>
    <t>2027Week21-20260904-1047</t>
  </si>
  <si>
    <t>2027Week21-20261009-57</t>
  </si>
  <si>
    <t>2027Week21-20261009-67</t>
  </si>
  <si>
    <t>2027Week22-20260904-1321</t>
  </si>
  <si>
    <t>2027Week22-20260904-1362</t>
  </si>
  <si>
    <t>2027Week22-20260904-1394</t>
  </si>
  <si>
    <t>2027Week22-20261009-63</t>
  </si>
  <si>
    <t>2027Week22-20261009-78</t>
  </si>
  <si>
    <t>2027Week23-20260904-1259</t>
  </si>
  <si>
    <t>2027Week23-20260904-1294</t>
  </si>
  <si>
    <t>2027Week23-20260904-1325</t>
  </si>
  <si>
    <t>2027Week23-20261009-72</t>
  </si>
  <si>
    <t>2027Week23-20261009-87</t>
  </si>
  <si>
    <t>2027Week24-20260904-1266</t>
  </si>
  <si>
    <t>2027Week24-20260904-1301</t>
  </si>
  <si>
    <t>2027Week24-20260904-1332</t>
  </si>
  <si>
    <t>2027Week24-20261009-83</t>
  </si>
  <si>
    <t>2027Week24-20261009-98</t>
  </si>
  <si>
    <t>2027Week25-20260904-1293</t>
  </si>
  <si>
    <t>2027Week25-20260904-1328</t>
  </si>
  <si>
    <t>2027Week25-20260904-1359</t>
  </si>
  <si>
    <t>2027Week25-20261009-101</t>
  </si>
  <si>
    <t>2027Week25-20261009-86</t>
  </si>
  <si>
    <t>2027Week26-20260904-1489</t>
  </si>
  <si>
    <t>2027Week26-20260904-1507</t>
  </si>
  <si>
    <t>2027Week26-20260904-1566</t>
  </si>
  <si>
    <t>2027Week26-20260904-1604</t>
  </si>
  <si>
    <t>2027Week26-20260904-1715</t>
  </si>
  <si>
    <t>2027Week26-20261009-107</t>
  </si>
  <si>
    <t>2027Week26-20261009-122</t>
  </si>
  <si>
    <t>2027Week27-20260904-1777</t>
  </si>
  <si>
    <t>2027Week27-20260904-1804</t>
  </si>
  <si>
    <t>2027Week27-20260904-1857</t>
  </si>
  <si>
    <t>2027Week27-20260904-1950</t>
  </si>
  <si>
    <t>2027Week27-20261009-121</t>
  </si>
  <si>
    <t>2027Week28-20260904-1806</t>
  </si>
  <si>
    <t>2027Week28-20260904-1832</t>
  </si>
  <si>
    <t>2027Week28-20260904-1885</t>
  </si>
  <si>
    <t>2027Week28-20260904-1976</t>
  </si>
  <si>
    <t>2027Week28-20261009-124</t>
  </si>
  <si>
    <t>2027Week29-20260904-1864</t>
  </si>
  <si>
    <t>2027Week29-20260904-1890</t>
  </si>
  <si>
    <t>2027Week29-20260904-1945</t>
  </si>
  <si>
    <t>2027Week29-20260904-2043</t>
  </si>
  <si>
    <t>2027Week29-20261009-134</t>
  </si>
  <si>
    <t>2027Week30-20260904-1872</t>
  </si>
  <si>
    <t>2027Week30-20260904-1903</t>
  </si>
  <si>
    <t>2027Week30-20260904-1956</t>
  </si>
  <si>
    <t>2027Week30-20260904-2054</t>
  </si>
  <si>
    <t>2027Week30-20261009-130</t>
  </si>
  <si>
    <t>2027Week31-20260904-1915</t>
  </si>
  <si>
    <t>2027Week31-20260904-1945</t>
  </si>
  <si>
    <t>2027Week31-20260904-2004</t>
  </si>
  <si>
    <t>2027Week31-20260904-2102</t>
  </si>
  <si>
    <t>2027Week31-20261009-137</t>
  </si>
  <si>
    <t>2027Week32-20260904-1859</t>
  </si>
  <si>
    <t>2027Week32-20260904-1941</t>
  </si>
  <si>
    <t>2027Week32-20261009-109</t>
  </si>
  <si>
    <t>2027Week33-20260904-1863</t>
  </si>
  <si>
    <t>2027Week33-20260904-1944</t>
  </si>
  <si>
    <t>2027Week33-20261009-99</t>
  </si>
  <si>
    <t>2027Week34-20260904-1867</t>
  </si>
  <si>
    <t>2027Week34-20260904-1950</t>
  </si>
  <si>
    <t>2027Week34-20261009-82</t>
  </si>
  <si>
    <t>2027Week35-20260904-1980</t>
  </si>
  <si>
    <t>2027Week35-20260904-2061</t>
  </si>
  <si>
    <t>2027Week35-20261009-82</t>
  </si>
  <si>
    <t>2027Week36-20260904-1995</t>
  </si>
  <si>
    <t>2027Week36-20261009-51</t>
  </si>
  <si>
    <t>2027Week37-20260904-1979</t>
  </si>
  <si>
    <t>2027Week37-20261009-44</t>
  </si>
  <si>
    <t>2027Week38-20260904-1961</t>
  </si>
  <si>
    <t>2027Week38-20261009-35</t>
  </si>
  <si>
    <t>2027Week39-20260904-1772</t>
  </si>
  <si>
    <t>2027Week39-20260904-1955</t>
  </si>
  <si>
    <t>2027Week39-20260904-1984</t>
  </si>
  <si>
    <t>2027Week39-20261009-40</t>
  </si>
  <si>
    <t>2027Week40-20260904-779</t>
  </si>
  <si>
    <t>2027Week40-20260904-820</t>
  </si>
  <si>
    <t>2027Week41-20260904-751</t>
  </si>
  <si>
    <t>2027Week41-20260904-792</t>
  </si>
  <si>
    <t>2027Week42-20260904-729</t>
  </si>
  <si>
    <t>2027Week42-20260904-767</t>
  </si>
  <si>
    <t>2027Week43-20260904-714</t>
  </si>
  <si>
    <t>2027Week43-20260904-751</t>
  </si>
  <si>
    <t>2027Week15-20260908-126</t>
  </si>
  <si>
    <t>2027Week15-20260908-185</t>
  </si>
  <si>
    <t>2027Week16-20260908-129</t>
  </si>
  <si>
    <t>2027Week16-20260908-187</t>
  </si>
  <si>
    <t>2027Week16-20260930-371</t>
  </si>
  <si>
    <t>2027Week17-20260908-138</t>
  </si>
  <si>
    <t>2027Week17-20260908-206</t>
  </si>
  <si>
    <t>2027Week18-20260908-153</t>
  </si>
  <si>
    <t>2027Week18-20260908-226</t>
  </si>
  <si>
    <t>2027Week19-20260908-144</t>
  </si>
  <si>
    <t>2027Week19-20260908-210</t>
  </si>
  <si>
    <t>2027Week20-20260908-155</t>
  </si>
  <si>
    <t>2027Week20-20260908-231</t>
  </si>
  <si>
    <t>2027Week21-20260908-148</t>
  </si>
  <si>
    <t>2027Week21-20260908-166</t>
  </si>
  <si>
    <t>2027Week21-20260908-217</t>
  </si>
  <si>
    <t>2027Week22-20260904-1393</t>
  </si>
  <si>
    <t>2027Week22-20260904-1402</t>
  </si>
  <si>
    <t>2027Week22-20260904-1529</t>
  </si>
  <si>
    <t>2027Week22-20260904-1541</t>
  </si>
  <si>
    <t>2027Week22-20260904-1603</t>
  </si>
  <si>
    <t>2027Week22-20260908-169</t>
  </si>
  <si>
    <t>2027Week22-20260908-182</t>
  </si>
  <si>
    <t>2027Week22-20260908-244</t>
  </si>
  <si>
    <t>2027Week23-20260904-1323</t>
  </si>
  <si>
    <t>2027Week23-20260904-1333</t>
  </si>
  <si>
    <t>2027Week23-20260904-1427</t>
  </si>
  <si>
    <t>2027Week23-20260904-1432</t>
  </si>
  <si>
    <t>2027Week23-20260904-1490</t>
  </si>
  <si>
    <t>2027Week23-20260908-144</t>
  </si>
  <si>
    <t>2027Week23-20260908-151</t>
  </si>
  <si>
    <t>2027Week23-20260908-230</t>
  </si>
  <si>
    <t>2027Week24-20260904-1330</t>
  </si>
  <si>
    <t>2027Week24-20260904-1340</t>
  </si>
  <si>
    <t>2027Week24-20260904-1438</t>
  </si>
  <si>
    <t>2027Week24-20260904-1443</t>
  </si>
  <si>
    <t>2027Week24-20260904-1498</t>
  </si>
  <si>
    <t>2027Week24-20260908-145</t>
  </si>
  <si>
    <t>2027Week24-20260908-152</t>
  </si>
  <si>
    <t>2027Week24-20260908-229</t>
  </si>
  <si>
    <t>2027Week25-20260904-1357</t>
  </si>
  <si>
    <t>2027Week25-20260904-1367</t>
  </si>
  <si>
    <t>2027Week25-20260904-1462</t>
  </si>
  <si>
    <t>2027Week25-20260904-1467</t>
  </si>
  <si>
    <t>2027Week25-20260904-1524</t>
  </si>
  <si>
    <t>2027Week25-20260908-136</t>
  </si>
  <si>
    <t>2027Week25-20260908-143</t>
  </si>
  <si>
    <t>2027Week25-20260908-216</t>
  </si>
  <si>
    <t>2027Week26-20260904-1602</t>
  </si>
  <si>
    <t>2027Week26-20260904-1616</t>
  </si>
  <si>
    <t>2027Week26-20260904-1806</t>
  </si>
  <si>
    <t>2027Week26-20260904-1813</t>
  </si>
  <si>
    <t>2027Week26-20260904-1867</t>
  </si>
  <si>
    <t>2027Week26-20260908-199</t>
  </si>
  <si>
    <t>2027Week26-20260908-206</t>
  </si>
  <si>
    <t>2027Week26-20260908-303</t>
  </si>
  <si>
    <t>2027Week27-20260904-1855</t>
  </si>
  <si>
    <t>2027Week27-20260904-1868</t>
  </si>
  <si>
    <t>2027Week27-20260904-2003</t>
  </si>
  <si>
    <t>2027Week27-20260904-2007</t>
  </si>
  <si>
    <t>2027Week27-20260904-2034</t>
  </si>
  <si>
    <t>2027Week27-20260908-272</t>
  </si>
  <si>
    <t>2027Week27-20260908-273</t>
  </si>
  <si>
    <t>2027Week27-20260908-276</t>
  </si>
  <si>
    <t>2027Week27-20260908-277</t>
  </si>
  <si>
    <t>AUD2026-12 CICC US Funds</t>
  </si>
  <si>
    <t>Order47128788- 260501006</t>
  </si>
  <si>
    <t>2027Week27-20260909-233</t>
  </si>
  <si>
    <t>2027Week27-20260909-237</t>
  </si>
  <si>
    <t>AUD2026-12 HZ Riverbank</t>
  </si>
  <si>
    <t>Order47135083- 260504004</t>
  </si>
  <si>
    <t>2027Week27-20260909-239</t>
  </si>
  <si>
    <t>2027Week27-20260909-245</t>
  </si>
  <si>
    <t>2027Week27-20260910-114</t>
  </si>
  <si>
    <t>2027Week27-20260910-115</t>
  </si>
  <si>
    <t>2027Week27-20260910-118</t>
  </si>
  <si>
    <t>2027Week27-20260910-119</t>
  </si>
  <si>
    <t>2027Week27-20260910-131</t>
  </si>
  <si>
    <t>2027Week28-20260904-1883</t>
  </si>
  <si>
    <t>2027Week28-20260904-1896</t>
  </si>
  <si>
    <t>2027Week28-20260904-2030</t>
  </si>
  <si>
    <t>2027Week28-20260904-2034</t>
  </si>
  <si>
    <t>2027Week28-20260904-2061</t>
  </si>
  <si>
    <t>2027Week28-20260908-290</t>
  </si>
  <si>
    <t>2027Week28-20260908-291</t>
  </si>
  <si>
    <t>2027Week28-20260908-294</t>
  </si>
  <si>
    <t>2027Week28-20260908-295</t>
  </si>
  <si>
    <t>2027Week28-20260909-254</t>
  </si>
  <si>
    <t>2027Week28-20260909-258</t>
  </si>
  <si>
    <t>2027Week28-20260909-259</t>
  </si>
  <si>
    <t>2027Week28-20260909-262</t>
  </si>
  <si>
    <t>2027Week28-20260910-134</t>
  </si>
  <si>
    <t>2027Week28-20260910-135</t>
  </si>
  <si>
    <t>2027Week28-20260910-138</t>
  </si>
  <si>
    <t>2027Week28-20260910-139</t>
  </si>
  <si>
    <t>2027Week28-20260910-160</t>
  </si>
  <si>
    <t>2027Week29-20260904-1943</t>
  </si>
  <si>
    <t>2027Week29-20260904-1956</t>
  </si>
  <si>
    <t>2027Week29-20260904-2097</t>
  </si>
  <si>
    <t>2027Week29-20260904-2100</t>
  </si>
  <si>
    <t>2027Week29-20260904-2132</t>
  </si>
  <si>
    <t>2027Week29-20260908-288</t>
  </si>
  <si>
    <t>2027Week29-20260908-289</t>
  </si>
  <si>
    <t>2027Week29-20260908-292</t>
  </si>
  <si>
    <t>2027Week29-20260908-293</t>
  </si>
  <si>
    <t>2027Week29-20260909-257</t>
  </si>
  <si>
    <t>2027Week29-20260909-261</t>
  </si>
  <si>
    <t>2027Week29-20260909-262</t>
  </si>
  <si>
    <t>2027Week29-20260909-265</t>
  </si>
  <si>
    <t>2027Week29-20260910-141</t>
  </si>
  <si>
    <t>2027Week29-20260910-142</t>
  </si>
  <si>
    <t>2027Week29-20260910-145</t>
  </si>
  <si>
    <t>2027Week29-20260910-146</t>
  </si>
  <si>
    <t>2027Week29-20260910-167</t>
  </si>
  <si>
    <t>2027Week30-20260904-1954</t>
  </si>
  <si>
    <t>2027Week30-20260904-1967</t>
  </si>
  <si>
    <t>2027Week30-20260904-2108</t>
  </si>
  <si>
    <t>2027Week30-20260904-2112</t>
  </si>
  <si>
    <t>2027Week30-20260904-2144</t>
  </si>
  <si>
    <t>2027Week30-20260908-286</t>
  </si>
  <si>
    <t>2027Week30-20260908-287</t>
  </si>
  <si>
    <t>2027Week30-20260908-291</t>
  </si>
  <si>
    <t>2027Week30-20260908-292</t>
  </si>
  <si>
    <t>2027Week30-20260909-260</t>
  </si>
  <si>
    <t>2027Week30-20260909-264</t>
  </si>
  <si>
    <t>2027Week30-20260909-265</t>
  </si>
  <si>
    <t>2027Week30-20260909-268</t>
  </si>
  <si>
    <t>2027Week30-20260910-140</t>
  </si>
  <si>
    <t>2027Week30-20260910-141</t>
  </si>
  <si>
    <t>2027Week30-20260910-144</t>
  </si>
  <si>
    <t>2027Week30-20260910-145</t>
  </si>
  <si>
    <t>2027Week30-20260910-168</t>
  </si>
  <si>
    <t>2027Week31-20260904-2002</t>
  </si>
  <si>
    <t>2027Week31-20260904-2015</t>
  </si>
  <si>
    <t>2027Week31-20260904-2159</t>
  </si>
  <si>
    <t>2027Week31-20260904-2163</t>
  </si>
  <si>
    <t>2027Week31-20260904-2201</t>
  </si>
  <si>
    <t>2027Week31-20260908-294</t>
  </si>
  <si>
    <t>2027Week31-20260908-296</t>
  </si>
  <si>
    <t>2027Week31-20260908-300</t>
  </si>
  <si>
    <t>2027Week31-20260908-301</t>
  </si>
  <si>
    <t>2027Week31-20260909-271</t>
  </si>
  <si>
    <t>2027Week31-20260909-275</t>
  </si>
  <si>
    <t>2027Week31-20260909-276</t>
  </si>
  <si>
    <t>2027Week31-20260909-279</t>
  </si>
  <si>
    <t>2027Week31-20260910-143</t>
  </si>
  <si>
    <t>2027Week31-20260910-144</t>
  </si>
  <si>
    <t>2027Week31-20260910-148</t>
  </si>
  <si>
    <t>2027Week31-20260910-149</t>
  </si>
  <si>
    <t>2027Week31-20260910-174</t>
  </si>
  <si>
    <t>2027Week32-20260904-1857</t>
  </si>
  <si>
    <t>2027Week32-20260904-1868</t>
  </si>
  <si>
    <t>2027Week32-20260904-1982</t>
  </si>
  <si>
    <t>2027Week32-20260904-1986</t>
  </si>
  <si>
    <t>2027Week32-20260904-2020</t>
  </si>
  <si>
    <t>2027Week32-20260908-277</t>
  </si>
  <si>
    <t>2027Week32-20260908-279</t>
  </si>
  <si>
    <t>2027Week32-20260908-283</t>
  </si>
  <si>
    <t>2027Week32-20260908-284</t>
  </si>
  <si>
    <t>2027Week32-20260909-257</t>
  </si>
  <si>
    <t>2027Week32-20260909-261</t>
  </si>
  <si>
    <t>2027Week32-20260909-262</t>
  </si>
  <si>
    <t>2027Week32-20260909-265</t>
  </si>
  <si>
    <t>2027Week32-20260910-126</t>
  </si>
  <si>
    <t>2027Week32-20260910-127</t>
  </si>
  <si>
    <t>2027Week32-20260910-131</t>
  </si>
  <si>
    <t>2027Week32-20260910-132</t>
  </si>
  <si>
    <t>2027Week32-20260910-152</t>
  </si>
  <si>
    <t>2027Week33-20260904-1861</t>
  </si>
  <si>
    <t>2027Week33-20260904-1872</t>
  </si>
  <si>
    <t>2027Week33-20260904-1986</t>
  </si>
  <si>
    <t>2027Week33-20260904-1990</t>
  </si>
  <si>
    <t>2027Week33-20260904-2021</t>
  </si>
  <si>
    <t>2027Week33-20260908-301</t>
  </si>
  <si>
    <t>2027Week33-20260908-303</t>
  </si>
  <si>
    <t>2027Week33-20260908-307</t>
  </si>
  <si>
    <t>2027Week33-20260908-308</t>
  </si>
  <si>
    <t>2027Week33-20260909-264</t>
  </si>
  <si>
    <t>2027Week33-20260909-268</t>
  </si>
  <si>
    <t>2027Week33-20260909-269</t>
  </si>
  <si>
    <t>2027Week33-20260909-272</t>
  </si>
  <si>
    <t>2027Week33-20260910-126</t>
  </si>
  <si>
    <t>2027Week33-20260910-127</t>
  </si>
  <si>
    <t>2027Week33-20260910-131</t>
  </si>
  <si>
    <t>2027Week33-20260910-132</t>
  </si>
  <si>
    <t>2027Week33-20260910-152</t>
  </si>
  <si>
    <t>2027Week34-20260904-1865</t>
  </si>
  <si>
    <t>2027Week34-20260904-1876</t>
  </si>
  <si>
    <t>2027Week34-20260904-1992</t>
  </si>
  <si>
    <t>2027Week34-20260904-1996</t>
  </si>
  <si>
    <t>2027Week34-20260904-2027</t>
  </si>
  <si>
    <t>2027Week34-20260908-292</t>
  </si>
  <si>
    <t>2027Week34-20260908-294</t>
  </si>
  <si>
    <t>2027Week34-20260908-298</t>
  </si>
  <si>
    <t>2027Week34-20260908-299</t>
  </si>
  <si>
    <t>2027Week34-20260909-271</t>
  </si>
  <si>
    <t>2027Week34-20260909-275</t>
  </si>
  <si>
    <t>2027Week34-20260909-276</t>
  </si>
  <si>
    <t>2027Week34-20260909-279</t>
  </si>
  <si>
    <t>2027Week34-20260910-117</t>
  </si>
  <si>
    <t>2027Week34-20260910-118</t>
  </si>
  <si>
    <t>2027Week34-20260910-121</t>
  </si>
  <si>
    <t>2027Week34-20260910-122</t>
  </si>
  <si>
    <t>2027Week34-20260910-140</t>
  </si>
  <si>
    <t>2027Week35-20260904-1978</t>
  </si>
  <si>
    <t>2027Week35-20260904-1989</t>
  </si>
  <si>
    <t>2027Week35-20260904-2097</t>
  </si>
  <si>
    <t>2027Week35-20260904-2100</t>
  </si>
  <si>
    <t>2027Week35-20260904-2126</t>
  </si>
  <si>
    <t>2027Week35-20260908-262</t>
  </si>
  <si>
    <t>2027Week35-20260908-264</t>
  </si>
  <si>
    <t>2027Week35-20260908-270</t>
  </si>
  <si>
    <t>2027Week35-20260908-271</t>
  </si>
  <si>
    <t>2027Week35-20260909-236</t>
  </si>
  <si>
    <t>2027Week35-20260909-240</t>
  </si>
  <si>
    <t>2027Week35-20260909-241</t>
  </si>
  <si>
    <t>2027Week35-20260909-244</t>
  </si>
  <si>
    <t>2027Week35-20260910-129</t>
  </si>
  <si>
    <t>2027Week35-20260910-130</t>
  </si>
  <si>
    <t>2027Week35-20260910-133</t>
  </si>
  <si>
    <t>2027Week35-20260910-134</t>
  </si>
  <si>
    <t>2027Week35-20260910-148</t>
  </si>
  <si>
    <t>2027Week36-20260904-2666</t>
  </si>
  <si>
    <t>2027Week36-20260904-2728</t>
  </si>
  <si>
    <t>2027Week36-20260904-2729</t>
  </si>
  <si>
    <t>2027Week36-20260907-5</t>
  </si>
  <si>
    <t>2027Week36-20260908-222</t>
  </si>
  <si>
    <t>2027Week36-20260908-223</t>
  </si>
  <si>
    <t>2027Week36-20260908-229</t>
  </si>
  <si>
    <t>2027Week36-20260908-230</t>
  </si>
  <si>
    <t>2027Week36-20260909-226</t>
  </si>
  <si>
    <t>2027Week36-20260909-230</t>
  </si>
  <si>
    <t>2027Week36-20260909-231</t>
  </si>
  <si>
    <t>2027Week36-20260909-234</t>
  </si>
  <si>
    <t>2027Week36-20260910-115</t>
  </si>
  <si>
    <t>2027Week36-20260910-116</t>
  </si>
  <si>
    <t>2027Week36-20260910-119</t>
  </si>
  <si>
    <t>2027Week36-20260910-120</t>
  </si>
  <si>
    <t>2027Week36-20260910-133</t>
  </si>
  <si>
    <t>2027Week37-20260904-2642</t>
  </si>
  <si>
    <t>2027Week37-20260904-2695</t>
  </si>
  <si>
    <t>2027Week37-20260904-2696</t>
  </si>
  <si>
    <t>2027Week37-20260907-5</t>
  </si>
  <si>
    <t>2027Week37-20260908-228</t>
  </si>
  <si>
    <t>2027Week37-20260908-229</t>
  </si>
  <si>
    <t>2027Week37-20260908-235</t>
  </si>
  <si>
    <t>2027Week37-20260908-236</t>
  </si>
  <si>
    <t>2027Week37-20260909-229</t>
  </si>
  <si>
    <t>2027Week37-20260909-233</t>
  </si>
  <si>
    <t>2027Week37-20260909-234</t>
  </si>
  <si>
    <t>2027Week37-20260909-237</t>
  </si>
  <si>
    <t>2027Week37-20260910-110</t>
  </si>
  <si>
    <t>2027Week37-20260910-111</t>
  </si>
  <si>
    <t>2027Week37-20260910-114</t>
  </si>
  <si>
    <t>2027Week37-20260910-115</t>
  </si>
  <si>
    <t>2027Week37-20260910-125</t>
  </si>
  <si>
    <t>2027Week38-20260904-2604</t>
  </si>
  <si>
    <t>2027Week38-20260904-2659</t>
  </si>
  <si>
    <t>2027Week38-20260904-2660</t>
  </si>
  <si>
    <t>2027Week38-20260907-5</t>
  </si>
  <si>
    <t>2027Week38-20260908-230</t>
  </si>
  <si>
    <t>2027Week38-20260908-231</t>
  </si>
  <si>
    <t>2027Week38-20260908-236</t>
  </si>
  <si>
    <t>2027Week38-20260908-237</t>
  </si>
  <si>
    <t>2027Week38-20260909-241</t>
  </si>
  <si>
    <t>2027Week38-20260909-245</t>
  </si>
  <si>
    <t>2027Week38-20260909-246</t>
  </si>
  <si>
    <t>2027Week38-20260909-249</t>
  </si>
  <si>
    <t>2027Week38-20260910-108</t>
  </si>
  <si>
    <t>2027Week38-20260910-109</t>
  </si>
  <si>
    <t>2027Week38-20260910-112</t>
  </si>
  <si>
    <t>2027Week38-20260910-113</t>
  </si>
  <si>
    <t>2027Week38-20260910-122</t>
  </si>
  <si>
    <t>2027Week39-20260904-1783</t>
  </si>
  <si>
    <t>2027Week39-20260904-2632</t>
  </si>
  <si>
    <t>2027Week39-20260904-2686</t>
  </si>
  <si>
    <t>2027Week39-20260904-2687</t>
  </si>
  <si>
    <t>2027Week39-20260907-5</t>
  </si>
  <si>
    <t>2027Week39-20260908-256</t>
  </si>
  <si>
    <t>2027Week39-20260908-257</t>
  </si>
  <si>
    <t>2027Week39-20260908-262</t>
  </si>
  <si>
    <t>2027Week39-20260908-263</t>
  </si>
  <si>
    <t>2027Week39-20260909-250</t>
  </si>
  <si>
    <t>2027Week39-20260909-253</t>
  </si>
  <si>
    <t>2027Week39-20260909-254</t>
  </si>
  <si>
    <t>2027Week39-20260909-257</t>
  </si>
  <si>
    <t>2027Week39-20260910-100</t>
  </si>
  <si>
    <t>2027Week39-20260910-101</t>
  </si>
  <si>
    <t>2027Week39-20260910-104</t>
  </si>
  <si>
    <t>2027Week39-20260910-105</t>
  </si>
  <si>
    <t>2027Week39-20260910-119</t>
  </si>
  <si>
    <t>2027Week39-20260911-72</t>
  </si>
  <si>
    <t>2027Week40-20260904-784</t>
  </si>
  <si>
    <t>2027Week40-20260907-111</t>
  </si>
  <si>
    <t>2027Week40-20260911-30</t>
  </si>
  <si>
    <t>2027Week41-20260904-756</t>
  </si>
  <si>
    <t>2027Week41-20260907-106</t>
  </si>
  <si>
    <t>2027Week41-20260911-30</t>
  </si>
  <si>
    <t>2027Week42-20260904-734</t>
  </si>
  <si>
    <t>2027Week42-20260907-110</t>
  </si>
  <si>
    <t>2027Week42-20260911-30</t>
  </si>
  <si>
    <t>2027Week43-20260904-719</t>
  </si>
  <si>
    <t>2027Week43-20260907-104</t>
  </si>
  <si>
    <t>2027Week43-20260911-26</t>
  </si>
  <si>
    <t>2027Week26-20260911-78</t>
  </si>
  <si>
    <t>WPInternRobot92@cn.ey.com</t>
  </si>
  <si>
    <t>AUD2026-12 CPIC PE Funds</t>
  </si>
  <si>
    <t>Order47128132- 260501004</t>
  </si>
  <si>
    <t>2027Week27-20260911-64</t>
  </si>
  <si>
    <t>2027Week28-20260911-64</t>
  </si>
  <si>
    <t>2027Week29-20260911-64</t>
  </si>
  <si>
    <t>2027Week30-20260911-64</t>
  </si>
  <si>
    <t>2027Week31-20260911-73</t>
  </si>
  <si>
    <t>2027Week32-20260911-69</t>
  </si>
  <si>
    <t>2027Week33-20260911-69</t>
  </si>
  <si>
    <t>2027Week34-20260911-69</t>
  </si>
  <si>
    <t>2027Week35-20260911-77</t>
  </si>
  <si>
    <t>2027Week36-20260911-74</t>
  </si>
  <si>
    <t>2027Week37-20260911-75</t>
  </si>
  <si>
    <t>2027Week38-20260911-78</t>
  </si>
  <si>
    <t>2027Week39-20260911-74</t>
  </si>
  <si>
    <t>2027Week15-20260907-255</t>
  </si>
  <si>
    <t>Wynn.J.Wang@cn.ey.com</t>
  </si>
  <si>
    <t>AUD2026-12 BOCHK FH</t>
  </si>
  <si>
    <t>Order47129711- 260502004</t>
  </si>
  <si>
    <t>2027Week15-20260907-278</t>
  </si>
  <si>
    <t>AUD2026-12 CICCHK</t>
  </si>
  <si>
    <t>Order47129228- 260501003</t>
  </si>
  <si>
    <t>2027Week15-20260930-702</t>
  </si>
  <si>
    <t>2027Week16-20260907-258</t>
  </si>
  <si>
    <t>2027Week16-20260907-280</t>
  </si>
  <si>
    <t>2027Week17-20260907-249</t>
  </si>
  <si>
    <t>2027Week17-20260907-271</t>
  </si>
  <si>
    <t>2027Week18-20260907-282</t>
  </si>
  <si>
    <t>2027Week18-20260907-313</t>
  </si>
  <si>
    <t>2027Week19-20260907-297</t>
  </si>
  <si>
    <t>2027Week19-20260907-328</t>
  </si>
  <si>
    <t>2027Week20-20260907-314</t>
  </si>
  <si>
    <t>2027Week20-20260907-346</t>
  </si>
  <si>
    <t>2027Week21-20260907-305</t>
  </si>
  <si>
    <t>2027Week21-20260907-337</t>
  </si>
  <si>
    <t>2027Week22-20260907-348</t>
  </si>
  <si>
    <t>2027Week22-20260907-388</t>
  </si>
  <si>
    <t>2027Week23-20260907-266</t>
  </si>
  <si>
    <t>2027Week23-20260907-296</t>
  </si>
  <si>
    <t>2027Week24-20260907-291</t>
  </si>
  <si>
    <t>2027Week24-20260907-319</t>
  </si>
  <si>
    <t>2027Week25-20260907-285</t>
  </si>
  <si>
    <t>2027Week25-20260907-313</t>
  </si>
  <si>
    <t>2027Week26-20260907-316</t>
  </si>
  <si>
    <t>2027Week26-20260907-365</t>
  </si>
  <si>
    <t>2027Week27-20260907-312</t>
  </si>
  <si>
    <t>2027Week27-20260907-390</t>
  </si>
  <si>
    <t>2027Week28-20260907-310</t>
  </si>
  <si>
    <t>2027Week28-20260907-388</t>
  </si>
  <si>
    <t>2027Week29-20260907-306</t>
  </si>
  <si>
    <t>2027Week29-20260907-384</t>
  </si>
  <si>
    <t>2027Week30-20260907-309</t>
  </si>
  <si>
    <t>2027Week30-20260907-387</t>
  </si>
  <si>
    <t>2027Week31-20260907-311</t>
  </si>
  <si>
    <t>2027Week31-20260907-380</t>
  </si>
  <si>
    <t>2027Week32-20260907-311</t>
  </si>
  <si>
    <t>2027Week32-20260907-375</t>
  </si>
  <si>
    <t>2027Week33-20260907-329</t>
  </si>
  <si>
    <t>2027Week33-20260907-394</t>
  </si>
  <si>
    <t>2027Week34-20260907-312</t>
  </si>
  <si>
    <t>2027Week34-20260907-377</t>
  </si>
  <si>
    <t>2027Week35-20260907-327</t>
  </si>
  <si>
    <t>2027Week35-20260907-397</t>
  </si>
  <si>
    <t>2027Week36-20260907-297</t>
  </si>
  <si>
    <t>2027Week36-20260907-373</t>
  </si>
  <si>
    <t>2027Week37-20260907-285</t>
  </si>
  <si>
    <t>2027Week37-20260907-358</t>
  </si>
  <si>
    <t>2027Week38-20260907-279</t>
  </si>
  <si>
    <t>2027Week38-20260907-350</t>
  </si>
  <si>
    <t>2027Week39-20260907-327</t>
  </si>
  <si>
    <t>2027Week39-20260907-405</t>
  </si>
  <si>
    <t>2027Week15-20260904-956</t>
  </si>
  <si>
    <t>2027Week15-20260904-974</t>
  </si>
  <si>
    <t>2027Week15-20260904-976</t>
  </si>
  <si>
    <t>2027Week15-20260910-214</t>
  </si>
  <si>
    <t>2027Week15-20260922-92</t>
  </si>
  <si>
    <t>2027Week15-20260930-289</t>
  </si>
  <si>
    <t>2027Week16-20260904-941</t>
  </si>
  <si>
    <t>2027Week16-20260904-959</t>
  </si>
  <si>
    <t>2027Week16-20260904-961</t>
  </si>
  <si>
    <t>2027Week16-20260922-92</t>
  </si>
  <si>
    <t>2027Week17-20260904-951</t>
  </si>
  <si>
    <t>2027Week17-20260904-969</t>
  </si>
  <si>
    <t>2027Week17-20260904-971</t>
  </si>
  <si>
    <t>2027Week17-20260922-93</t>
  </si>
  <si>
    <t>2027Week18-20260904-1099</t>
  </si>
  <si>
    <t>2027Week18-20260904-1117</t>
  </si>
  <si>
    <t>2027Week18-20260904-1119</t>
  </si>
  <si>
    <t>2027Week18-20260922-86</t>
  </si>
  <si>
    <t>2027Week19-20260904-978</t>
  </si>
  <si>
    <t>2027Week19-20260904-996</t>
  </si>
  <si>
    <t>2027Week19-20260904-998</t>
  </si>
  <si>
    <t>2027Week19-20260922-86</t>
  </si>
  <si>
    <t>2027Week20-20260904-1005</t>
  </si>
  <si>
    <t>2027Week20-20260904-1023</t>
  </si>
  <si>
    <t>2027Week20-20260904-1025</t>
  </si>
  <si>
    <t>2027Week20-20260922-91</t>
  </si>
  <si>
    <t>2027Week21-20260904-1018</t>
  </si>
  <si>
    <t>2027Week21-20260904-1036</t>
  </si>
  <si>
    <t>2027Week21-20260904-1038</t>
  </si>
  <si>
    <t>2027Week21-20260922-88</t>
  </si>
  <si>
    <t>2027Week22-20260904-1318</t>
  </si>
  <si>
    <t>2027Week22-20260904-1330</t>
  </si>
  <si>
    <t>2027Week22-20260904-1351</t>
  </si>
  <si>
    <t>2027Week22-20260904-1353</t>
  </si>
  <si>
    <t>2027Week22-20260904-1378</t>
  </si>
  <si>
    <t>2027Week22-20260904-1388</t>
  </si>
  <si>
    <t>2027Week22-20260904-1396</t>
  </si>
  <si>
    <t>2027Week22-20260904-1563</t>
  </si>
  <si>
    <t>2027Week22-20260904-1583</t>
  </si>
  <si>
    <t>2027Week23-20260904-1256</t>
  </si>
  <si>
    <t>2027Week23-20260904-1287</t>
  </si>
  <si>
    <t>2027Week23-20260904-1308</t>
  </si>
  <si>
    <t>2027Week23-20260904-1319</t>
  </si>
  <si>
    <t>2027Week23-20260904-1327</t>
  </si>
  <si>
    <t>2027Week23-20260904-1449</t>
  </si>
  <si>
    <t>2027Week23-20260904-1469</t>
  </si>
  <si>
    <t>2027Week23-20260904-1824</t>
  </si>
  <si>
    <t>2027Week24-20260904-1263</t>
  </si>
  <si>
    <t>2027Week24-20260904-1294</t>
  </si>
  <si>
    <t>2027Week24-20260904-1315</t>
  </si>
  <si>
    <t>2027Week24-20260904-1326</t>
  </si>
  <si>
    <t>2027Week24-20260904-1334</t>
  </si>
  <si>
    <t>2027Week24-20260904-1460</t>
  </si>
  <si>
    <t>2027Week24-20260904-1478</t>
  </si>
  <si>
    <t>2027Week24-20260904-1857</t>
  </si>
  <si>
    <t>2027Week25-20260904-1290</t>
  </si>
  <si>
    <t>2027Week25-20260904-1321</t>
  </si>
  <si>
    <t>2027Week25-20260904-1342</t>
  </si>
  <si>
    <t>2027Week25-20260904-1353</t>
  </si>
  <si>
    <t>2027Week25-20260904-1361</t>
  </si>
  <si>
    <t>2027Week25-20260904-1486</t>
  </si>
  <si>
    <t>2027Week25-20260904-1504</t>
  </si>
  <si>
    <t>2027Week25-20260904-1885</t>
  </si>
  <si>
    <t>2027Week26-20260904-1487</t>
  </si>
  <si>
    <t>2027Week26-20260904-1504</t>
  </si>
  <si>
    <t>2027Week26-20260904-1555</t>
  </si>
  <si>
    <t>2027Week26-20260904-1586</t>
  </si>
  <si>
    <t>2027Week26-20260904-1597</t>
  </si>
  <si>
    <t>2027Week26-20260904-1606</t>
  </si>
  <si>
    <t>2027Week26-20260904-1649</t>
  </si>
  <si>
    <t>2027Week26-20260904-1651</t>
  </si>
  <si>
    <t>2027Week26-20260904-1707</t>
  </si>
  <si>
    <t>2027Week26-20260904-1832</t>
  </si>
  <si>
    <t>2027Week26-20260904-1849</t>
  </si>
  <si>
    <t>2027Week26-20260904-2283</t>
  </si>
  <si>
    <t>2027Week26-20260909-280</t>
  </si>
  <si>
    <t>2027Week26-20260909-283</t>
  </si>
  <si>
    <t>2027Week27-20260904-1774</t>
  </si>
  <si>
    <t>2027Week27-20260904-1803</t>
  </si>
  <si>
    <t>2027Week27-20260904-1851</t>
  </si>
  <si>
    <t>2027Week27-20260904-1859</t>
  </si>
  <si>
    <t>2027Week27-20260904-1902</t>
  </si>
  <si>
    <t>2027Week27-20260904-1904</t>
  </si>
  <si>
    <t>2027Week27-20260904-1946</t>
  </si>
  <si>
    <t>2027Week27-20260904-2015</t>
  </si>
  <si>
    <t>2027Week27-20260904-2025</t>
  </si>
  <si>
    <t>2027Week27-20260904-2410</t>
  </si>
  <si>
    <t>2027Week27-20260904-2515</t>
  </si>
  <si>
    <t>2027Week27-20260909-214</t>
  </si>
  <si>
    <t>2027Week27-20260909-217</t>
  </si>
  <si>
    <t>2027Week28-20260904-1803</t>
  </si>
  <si>
    <t>2027Week28-20260904-1831</t>
  </si>
  <si>
    <t>2027Week28-20260904-1879</t>
  </si>
  <si>
    <t>2027Week28-20260904-1887</t>
  </si>
  <si>
    <t>2027Week28-20260904-1925</t>
  </si>
  <si>
    <t>2027Week28-20260904-1927</t>
  </si>
  <si>
    <t>2027Week28-20260904-1971</t>
  </si>
  <si>
    <t>2027Week28-20260904-2042</t>
  </si>
  <si>
    <t>2027Week28-20260904-2052</t>
  </si>
  <si>
    <t>2027Week28-20260904-2444</t>
  </si>
  <si>
    <t>2027Week28-20260904-2547</t>
  </si>
  <si>
    <t>2027Week28-20260909-237</t>
  </si>
  <si>
    <t>2027Week28-20260909-240</t>
  </si>
  <si>
    <t>2027Week29-20260904-1861</t>
  </si>
  <si>
    <t>2027Week29-20260904-1889</t>
  </si>
  <si>
    <t>2027Week29-20260904-1939</t>
  </si>
  <si>
    <t>2027Week29-20260904-1947</t>
  </si>
  <si>
    <t>2027Week29-20260904-1989</t>
  </si>
  <si>
    <t>2027Week29-20260904-1991</t>
  </si>
  <si>
    <t>2027Week29-20260904-2038</t>
  </si>
  <si>
    <t>2027Week29-20260904-2109</t>
  </si>
  <si>
    <t>2027Week29-20260904-2119</t>
  </si>
  <si>
    <t>2027Week29-20260904-2515</t>
  </si>
  <si>
    <t>2027Week29-20260904-2616</t>
  </si>
  <si>
    <t>2027Week29-20260909-240</t>
  </si>
  <si>
    <t>2027Week29-20260909-243</t>
  </si>
  <si>
    <t>2027Week30-20260904-1869</t>
  </si>
  <si>
    <t>2027Week30-20260904-1902</t>
  </si>
  <si>
    <t>2027Week30-20260904-1950</t>
  </si>
  <si>
    <t>2027Week30-20260904-1958</t>
  </si>
  <si>
    <t>2027Week30-20260904-1997</t>
  </si>
  <si>
    <t>2027Week30-20260904-1999</t>
  </si>
  <si>
    <t>2027Week30-20260904-2049</t>
  </si>
  <si>
    <t>2027Week30-20260904-2121</t>
  </si>
  <si>
    <t>2027Week30-20260904-2131</t>
  </si>
  <si>
    <t>2027Week30-20260904-2527</t>
  </si>
  <si>
    <t>2027Week30-20260904-2623</t>
  </si>
  <si>
    <t>2027Week30-20260909-243</t>
  </si>
  <si>
    <t>2027Week30-20260909-246</t>
  </si>
  <si>
    <t>2027Week31-20260904-1912</t>
  </si>
  <si>
    <t>2027Week31-20260904-1944</t>
  </si>
  <si>
    <t>2027Week31-20260904-1997</t>
  </si>
  <si>
    <t>2027Week31-20260904-2006</t>
  </si>
  <si>
    <t>2027Week31-20260904-2045</t>
  </si>
  <si>
    <t>2027Week31-20260904-2047</t>
  </si>
  <si>
    <t>2027Week31-20260904-2095</t>
  </si>
  <si>
    <t>2027Week31-20260904-2175</t>
  </si>
  <si>
    <t>2027Week31-20260904-2190</t>
  </si>
  <si>
    <t>2027Week31-20260904-2578</t>
  </si>
  <si>
    <t>2027Week31-20260904-2690</t>
  </si>
  <si>
    <t>2027Week31-20260909-254</t>
  </si>
  <si>
    <t>2027Week31-20260909-257</t>
  </si>
  <si>
    <t>2027Week32-20260904-1852</t>
  </si>
  <si>
    <t>2027Week32-20260904-1861</t>
  </si>
  <si>
    <t>2027Week32-20260904-1888</t>
  </si>
  <si>
    <t>2027Week32-20260904-1890</t>
  </si>
  <si>
    <t>2027Week32-20260904-1934</t>
  </si>
  <si>
    <t>2027Week32-20260904-1998</t>
  </si>
  <si>
    <t>2027Week32-20260904-2009</t>
  </si>
  <si>
    <t>2027Week32-20260904-2454</t>
  </si>
  <si>
    <t>2027Week32-20260909-240</t>
  </si>
  <si>
    <t>2027Week32-20260909-243</t>
  </si>
  <si>
    <t>2027Week33-20260904-1856</t>
  </si>
  <si>
    <t>2027Week33-20260904-1865</t>
  </si>
  <si>
    <t>2027Week33-20260904-1892</t>
  </si>
  <si>
    <t>2027Week33-20260904-1894</t>
  </si>
  <si>
    <t>2027Week33-20260904-1939</t>
  </si>
  <si>
    <t>2027Week33-20260904-1999</t>
  </si>
  <si>
    <t>2027Week33-20260904-2010</t>
  </si>
  <si>
    <t>2027Week33-20260904-2449</t>
  </si>
  <si>
    <t>2027Week33-20260909-247</t>
  </si>
  <si>
    <t>2027Week33-20260909-250</t>
  </si>
  <si>
    <t>2027Week34-20260904-1860</t>
  </si>
  <si>
    <t>2027Week34-20260904-1869</t>
  </si>
  <si>
    <t>2027Week34-20260904-1896</t>
  </si>
  <si>
    <t>2027Week34-20260904-1898</t>
  </si>
  <si>
    <t>2027Week34-20260904-1945</t>
  </si>
  <si>
    <t>2027Week34-20260904-2005</t>
  </si>
  <si>
    <t>2027Week34-20260904-2016</t>
  </si>
  <si>
    <t>2027Week34-20260904-2433</t>
  </si>
  <si>
    <t>2027Week34-20260909-254</t>
  </si>
  <si>
    <t>2027Week34-20260909-257</t>
  </si>
  <si>
    <t>2027Week35-20260904-1973</t>
  </si>
  <si>
    <t>2027Week35-20260904-1982</t>
  </si>
  <si>
    <t>2027Week35-20260904-2010</t>
  </si>
  <si>
    <t>2027Week35-20260904-2011</t>
  </si>
  <si>
    <t>2027Week35-20260904-2012</t>
  </si>
  <si>
    <t>2027Week35-20260904-2056</t>
  </si>
  <si>
    <t>2027Week35-20260904-2107</t>
  </si>
  <si>
    <t>2027Week35-20260904-2118</t>
  </si>
  <si>
    <t>2027Week35-20260904-2197</t>
  </si>
  <si>
    <t>2027Week35-20260904-2198</t>
  </si>
  <si>
    <t>2027Week35-20260904-2222</t>
  </si>
  <si>
    <t>2027Week35-20260904-2619</t>
  </si>
  <si>
    <t>2027Week35-20260904-2701</t>
  </si>
  <si>
    <t>2027Week35-20260909-219</t>
  </si>
  <si>
    <t>2027Week35-20260909-222</t>
  </si>
  <si>
    <t>2027Week36-20260904-1949</t>
  </si>
  <si>
    <t>2027Week36-20260904-1950</t>
  </si>
  <si>
    <t>2027Week36-20260904-1951</t>
  </si>
  <si>
    <t>2027Week36-20260904-1992</t>
  </si>
  <si>
    <t>2027Week36-20260904-2069</t>
  </si>
  <si>
    <t>2027Week36-20260904-2070</t>
  </si>
  <si>
    <t>2027Week36-20260904-2084</t>
  </si>
  <si>
    <t>2027Week36-20260904-2374</t>
  </si>
  <si>
    <t>2027Week36-20260904-2416</t>
  </si>
  <si>
    <t>2027Week36-20260904-2490</t>
  </si>
  <si>
    <t>2027Week36-20260909-212</t>
  </si>
  <si>
    <t>2027Week36-20260909-215</t>
  </si>
  <si>
    <t>2027Week37-20260904-1931</t>
  </si>
  <si>
    <t>2027Week37-20260904-1932</t>
  </si>
  <si>
    <t>2027Week37-20260904-1933</t>
  </si>
  <si>
    <t>2027Week37-20260904-1976</t>
  </si>
  <si>
    <t>2027Week37-20260904-2054</t>
  </si>
  <si>
    <t>2027Week37-20260904-2055</t>
  </si>
  <si>
    <t>2027Week37-20260904-2070</t>
  </si>
  <si>
    <t>2027Week37-20260904-2350</t>
  </si>
  <si>
    <t>2027Week37-20260904-2392</t>
  </si>
  <si>
    <t>2027Week37-20260904-2468</t>
  </si>
  <si>
    <t>2027Week37-20260909-215</t>
  </si>
  <si>
    <t>2027Week37-20260909-218</t>
  </si>
  <si>
    <t>2027Week38-20260904-1917</t>
  </si>
  <si>
    <t>2027Week38-20260904-1918</t>
  </si>
  <si>
    <t>2027Week38-20260904-1919</t>
  </si>
  <si>
    <t>2027Week38-20260904-1958</t>
  </si>
  <si>
    <t>2027Week38-20260904-2024</t>
  </si>
  <si>
    <t>2027Week38-20260904-2025</t>
  </si>
  <si>
    <t>2027Week38-20260904-2039</t>
  </si>
  <si>
    <t>2027Week38-20260904-2315</t>
  </si>
  <si>
    <t>2027Week38-20260904-2355</t>
  </si>
  <si>
    <t>2027Week38-20260904-2432</t>
  </si>
  <si>
    <t>2027Week38-20260909-227</t>
  </si>
  <si>
    <t>2027Week38-20260909-230</t>
  </si>
  <si>
    <t>2027Week39-20260904-1766</t>
  </si>
  <si>
    <t>2027Week39-20260904-1926</t>
  </si>
  <si>
    <t>2027Week39-20260904-1927</t>
  </si>
  <si>
    <t>2027Week39-20260904-1928</t>
  </si>
  <si>
    <t>2027Week39-20260904-1947</t>
  </si>
  <si>
    <t>2027Week39-20260904-1980</t>
  </si>
  <si>
    <t>2027Week39-20260904-2063</t>
  </si>
  <si>
    <t>2027Week39-20260904-2064</t>
  </si>
  <si>
    <t>2027Week39-20260904-2078</t>
  </si>
  <si>
    <t>2027Week39-20260904-2363</t>
  </si>
  <si>
    <t>2027Week39-20260904-2394</t>
  </si>
  <si>
    <t>2027Week39-20260904-2803</t>
  </si>
  <si>
    <t>2027Week39-20260907-10</t>
  </si>
  <si>
    <t>2027Week39-20260907-6</t>
  </si>
  <si>
    <t>2027Week39-20260907-7</t>
  </si>
  <si>
    <t>2027Week39-20260909-236</t>
  </si>
  <si>
    <t>2027Week39-20260909-239</t>
  </si>
  <si>
    <t>2027Week40-20260904-1120</t>
  </si>
  <si>
    <t>2027Week40-20260904-776</t>
  </si>
  <si>
    <t>2027Week40-20260904-810</t>
  </si>
  <si>
    <t>2027Week40-20260904-816</t>
  </si>
  <si>
    <t>2027Week40-20260904-862</t>
  </si>
  <si>
    <t>2027Week40-20260904-863</t>
  </si>
  <si>
    <t>2027Week40-20260904-869</t>
  </si>
  <si>
    <t>2027Week40-20260904-951</t>
  </si>
  <si>
    <t>2027Week40-20260907-11</t>
  </si>
  <si>
    <t>2027Week40-20260907-7</t>
  </si>
  <si>
    <t>2027Week40-20260907-8</t>
  </si>
  <si>
    <t>2027Week41-20260904-1087</t>
  </si>
  <si>
    <t>2027Week41-20260904-748</t>
  </si>
  <si>
    <t>2027Week41-20260904-782</t>
  </si>
  <si>
    <t>2027Week41-20260904-788</t>
  </si>
  <si>
    <t>2027Week41-20260904-833</t>
  </si>
  <si>
    <t>2027Week41-20260904-834</t>
  </si>
  <si>
    <t>2027Week41-20260904-845</t>
  </si>
  <si>
    <t>2027Week41-20260904-916</t>
  </si>
  <si>
    <t>2027Week41-20260907-4</t>
  </si>
  <si>
    <t>2027Week41-20260907-5</t>
  </si>
  <si>
    <t>2027Week41-20260907-8</t>
  </si>
  <si>
    <t>2027Week42-20260904-1056</t>
  </si>
  <si>
    <t>2027Week42-20260904-726</t>
  </si>
  <si>
    <t>2027Week42-20260904-759</t>
  </si>
  <si>
    <t>2027Week42-20260904-763</t>
  </si>
  <si>
    <t>2027Week42-20260904-805</t>
  </si>
  <si>
    <t>2027Week42-20260904-806</t>
  </si>
  <si>
    <t>2027Week42-20260904-817</t>
  </si>
  <si>
    <t>2027Week42-20260904-892</t>
  </si>
  <si>
    <t>2027Week42-20260907-4</t>
  </si>
  <si>
    <t>2027Week42-20260907-5</t>
  </si>
  <si>
    <t>2027Week42-20260907-8</t>
  </si>
  <si>
    <t>2027Week43-20260904-1031</t>
  </si>
  <si>
    <t>2027Week43-20260904-711</t>
  </si>
  <si>
    <t>2027Week43-20260904-743</t>
  </si>
  <si>
    <t>2027Week43-20260904-747</t>
  </si>
  <si>
    <t>2027Week43-20260904-777</t>
  </si>
  <si>
    <t>2027Week43-20260904-778</t>
  </si>
  <si>
    <t>2027Week43-20260904-789</t>
  </si>
  <si>
    <t>2027Week43-20260904-865</t>
  </si>
  <si>
    <t>2027Week43-20260907-1</t>
  </si>
  <si>
    <t>2027Week43-20260907-2</t>
  </si>
  <si>
    <t>2027Week43-20260907-5</t>
  </si>
  <si>
    <t>2027Week15-20260910-205</t>
  </si>
  <si>
    <t>2027Week15-20260930-275</t>
  </si>
  <si>
    <t>2027Week18-20260908-47</t>
  </si>
  <si>
    <t>2027Week18-20260908-48</t>
  </si>
  <si>
    <t>2027Week18-20260908-53</t>
  </si>
  <si>
    <t>2027Week19-20260908-47</t>
  </si>
  <si>
    <t>2027Week19-20260908-48</t>
  </si>
  <si>
    <t>2027Week19-20260908-52</t>
  </si>
  <si>
    <t>2027Week20-20260908-102</t>
  </si>
  <si>
    <t>2027Week20-20260908-104</t>
  </si>
  <si>
    <t>2027Week20-20260908-105</t>
  </si>
  <si>
    <t>2027Week20-20260908-107</t>
  </si>
  <si>
    <t>2027Week20-20260908-55</t>
  </si>
  <si>
    <t>2027Week20-20260908-59</t>
  </si>
  <si>
    <t>2027Week21-20260908-100</t>
  </si>
  <si>
    <t>2027Week21-20260908-95</t>
  </si>
  <si>
    <t>2027Week21-20260908-97</t>
  </si>
  <si>
    <t>2027Week21-20260908-98</t>
  </si>
  <si>
    <t>2027Week22-20260908-109</t>
  </si>
  <si>
    <t>2027Week22-20260908-117</t>
  </si>
  <si>
    <t>2027Week22-20260908-119</t>
  </si>
  <si>
    <t>2027Week22-20260908-76</t>
  </si>
  <si>
    <t>2027Week22-20260908-80</t>
  </si>
  <si>
    <t>2027Week22-20260908-81</t>
  </si>
  <si>
    <t>2027Week23-20260908-105</t>
  </si>
  <si>
    <t>2027Week23-20260908-112</t>
  </si>
  <si>
    <t>2027Week23-20260908-113</t>
  </si>
  <si>
    <t>2027Week23-20260908-73</t>
  </si>
  <si>
    <t>2027Week23-20260908-78</t>
  </si>
  <si>
    <t>2027Week23-20260908-79</t>
  </si>
  <si>
    <t>2027Week24-20260908-107</t>
  </si>
  <si>
    <t>2027Week24-20260908-114</t>
  </si>
  <si>
    <t>2027Week24-20260908-115</t>
  </si>
  <si>
    <t>2027Week24-20260908-77</t>
  </si>
  <si>
    <t>2027Week24-20260908-80</t>
  </si>
  <si>
    <t>2027Week24-20260908-81</t>
  </si>
  <si>
    <t>2027Week25-20260908-106</t>
  </si>
  <si>
    <t>2027Week25-20260908-107</t>
  </si>
  <si>
    <t>2027Week25-20260908-70</t>
  </si>
  <si>
    <t>2027Week25-20260908-73</t>
  </si>
  <si>
    <t>2027Week25-20260908-74</t>
  </si>
  <si>
    <t>2027Week25-20260908-99</t>
  </si>
  <si>
    <t>2027Week26-20260908-100</t>
  </si>
  <si>
    <t>2027Week26-20260908-157</t>
  </si>
  <si>
    <t>2027Week26-20260908-167</t>
  </si>
  <si>
    <t>2027Week26-20260908-168</t>
  </si>
  <si>
    <t>2027Week26-20260908-90</t>
  </si>
  <si>
    <t>2027Week26-20260908-95</t>
  </si>
  <si>
    <t>2027Week26-20260909-241</t>
  </si>
  <si>
    <t>2027Week26-20260909-242</t>
  </si>
  <si>
    <t>2027Week26-20260909-243</t>
  </si>
  <si>
    <t>2027Week26-20260909-245</t>
  </si>
  <si>
    <t>2027Week26-20260909-247</t>
  </si>
  <si>
    <t>2027Week26-20260909-249</t>
  </si>
  <si>
    <t>2027Week26-20260909-251</t>
  </si>
  <si>
    <t>2027Week26-20260909-252</t>
  </si>
  <si>
    <t>2027Week26-20260909-255</t>
  </si>
  <si>
    <t>2027Week26-20260909-256</t>
  </si>
  <si>
    <t>2027Week26-20260909-257</t>
  </si>
  <si>
    <t>2027Week26-20260909-258</t>
  </si>
  <si>
    <t>2027Week26-20260909-259</t>
  </si>
  <si>
    <t>2027Week26-20260909-260</t>
  </si>
  <si>
    <t>2027Week26-20260909-261</t>
  </si>
  <si>
    <t>2027Week26-20260909-262</t>
  </si>
  <si>
    <t>2027Week26-20260909-263</t>
  </si>
  <si>
    <t>2027Week26-20260909-264</t>
  </si>
  <si>
    <t>2027Week26-20260909-265</t>
  </si>
  <si>
    <t>2027Week26-20260909-266</t>
  </si>
  <si>
    <t>2027Week26-20260909-267</t>
  </si>
  <si>
    <t>2027Week26-20260909-271</t>
  </si>
  <si>
    <t>2027Week26-20260909-36</t>
  </si>
  <si>
    <t>2027Week27-20260908-133</t>
  </si>
  <si>
    <t>2027Week27-20260908-134</t>
  </si>
  <si>
    <t>2027Week27-20260908-146</t>
  </si>
  <si>
    <t>2027Week27-20260908-148</t>
  </si>
  <si>
    <t>2027Week27-20260909-182</t>
  </si>
  <si>
    <t>2027Week27-20260909-184</t>
  </si>
  <si>
    <t>2027Week27-20260909-185</t>
  </si>
  <si>
    <t>2027Week27-20260909-187</t>
  </si>
  <si>
    <t>2027Week27-20260909-189</t>
  </si>
  <si>
    <t>2027Week27-20260909-191</t>
  </si>
  <si>
    <t>2027Week27-20260909-193</t>
  </si>
  <si>
    <t>2027Week27-20260909-194</t>
  </si>
  <si>
    <t>2027Week27-20260909-197</t>
  </si>
  <si>
    <t>2027Week27-20260909-198</t>
  </si>
  <si>
    <t>2027Week27-20260909-199</t>
  </si>
  <si>
    <t>2027Week27-20260909-200</t>
  </si>
  <si>
    <t>2027Week27-20260909-201</t>
  </si>
  <si>
    <t>2027Week27-20260909-202</t>
  </si>
  <si>
    <t>2027Week27-20260909-203</t>
  </si>
  <si>
    <t>2027Week27-20260909-204</t>
  </si>
  <si>
    <t>2027Week27-20260909-205</t>
  </si>
  <si>
    <t>2027Week27-20260909-206</t>
  </si>
  <si>
    <t>2027Week27-20260909-207</t>
  </si>
  <si>
    <t>2027Week27-20260909-208</t>
  </si>
  <si>
    <t>2027Week27-20260909-209</t>
  </si>
  <si>
    <t>2027Week27-20260909-210</t>
  </si>
  <si>
    <t>2027Week27-20260909-23</t>
  </si>
  <si>
    <t>2027Week28-20260908-142</t>
  </si>
  <si>
    <t>2027Week28-20260908-143</t>
  </si>
  <si>
    <t>2027Week28-20260908-157</t>
  </si>
  <si>
    <t>2027Week28-20260908-159</t>
  </si>
  <si>
    <t>2027Week28-20260909-194</t>
  </si>
  <si>
    <t>2027Week28-20260909-196</t>
  </si>
  <si>
    <t>2027Week28-20260909-197</t>
  </si>
  <si>
    <t>2027Week28-20260909-200</t>
  </si>
  <si>
    <t>2027Week28-20260909-203</t>
  </si>
  <si>
    <t>2027Week28-20260909-206</t>
  </si>
  <si>
    <t>2027Week28-20260909-209</t>
  </si>
  <si>
    <t>2027Week28-20260909-210</t>
  </si>
  <si>
    <t>2027Week28-20260909-215</t>
  </si>
  <si>
    <t>2027Week28-20260909-217</t>
  </si>
  <si>
    <t>2027Week28-20260909-219</t>
  </si>
  <si>
    <t>2027Week28-20260909-221</t>
  </si>
  <si>
    <t>2027Week28-20260909-224</t>
  </si>
  <si>
    <t>2027Week28-20260909-225</t>
  </si>
  <si>
    <t>2027Week28-20260909-226</t>
  </si>
  <si>
    <t>2027Week28-20260909-227</t>
  </si>
  <si>
    <t>2027Week28-20260909-228</t>
  </si>
  <si>
    <t>2027Week28-20260909-229</t>
  </si>
  <si>
    <t>2027Week28-20260909-23</t>
  </si>
  <si>
    <t>2027Week28-20260909-230</t>
  </si>
  <si>
    <t>2027Week28-20260909-231</t>
  </si>
  <si>
    <t>2027Week28-20260909-232</t>
  </si>
  <si>
    <t>2027Week28-20260909-233</t>
  </si>
  <si>
    <t>2027Week29-20260908-138</t>
  </si>
  <si>
    <t>2027Week29-20260908-139</t>
  </si>
  <si>
    <t>2027Week29-20260908-150</t>
  </si>
  <si>
    <t>2027Week29-20260908-152</t>
  </si>
  <si>
    <t>2027Week29-20260908-153</t>
  </si>
  <si>
    <t>2027Week29-20260908-154</t>
  </si>
  <si>
    <t>2027Week29-20260908-155</t>
  </si>
  <si>
    <t>2027Week29-20260908-158</t>
  </si>
  <si>
    <t>2027Week29-20260909-197</t>
  </si>
  <si>
    <t>2027Week29-20260909-199</t>
  </si>
  <si>
    <t>2027Week29-20260909-20</t>
  </si>
  <si>
    <t>2027Week29-20260909-200</t>
  </si>
  <si>
    <t>2027Week29-20260909-203</t>
  </si>
  <si>
    <t>2027Week29-20260909-206</t>
  </si>
  <si>
    <t>2027Week29-20260909-209</t>
  </si>
  <si>
    <t>2027Week29-20260909-212</t>
  </si>
  <si>
    <t>2027Week29-20260909-213</t>
  </si>
  <si>
    <t>2027Week29-20260909-218</t>
  </si>
  <si>
    <t>2027Week29-20260909-220</t>
  </si>
  <si>
    <t>2027Week29-20260909-222</t>
  </si>
  <si>
    <t>2027Week29-20260909-224</t>
  </si>
  <si>
    <t>2027Week29-20260909-227</t>
  </si>
  <si>
    <t>2027Week29-20260909-228</t>
  </si>
  <si>
    <t>2027Week29-20260909-229</t>
  </si>
  <si>
    <t>2027Week29-20260909-230</t>
  </si>
  <si>
    <t>2027Week29-20260909-231</t>
  </si>
  <si>
    <t>2027Week29-20260909-232</t>
  </si>
  <si>
    <t>2027Week29-20260909-233</t>
  </si>
  <si>
    <t>2027Week29-20260909-234</t>
  </si>
  <si>
    <t>2027Week29-20260909-235</t>
  </si>
  <si>
    <t>2027Week29-20260909-236</t>
  </si>
  <si>
    <t>2027Week30-20260908-141</t>
  </si>
  <si>
    <t>2027Week30-20260908-142</t>
  </si>
  <si>
    <t>2027Week30-20260908-152</t>
  </si>
  <si>
    <t>2027Week30-20260908-154</t>
  </si>
  <si>
    <t>2027Week30-20260908-155</t>
  </si>
  <si>
    <t>2027Week30-20260908-156</t>
  </si>
  <si>
    <t>2027Week30-20260908-157</t>
  </si>
  <si>
    <t>2027Week30-20260908-160</t>
  </si>
  <si>
    <t>2027Week30-20260909-200</t>
  </si>
  <si>
    <t>2027Week30-20260909-202</t>
  </si>
  <si>
    <t>2027Week30-20260909-203</t>
  </si>
  <si>
    <t>2027Week30-20260909-206</t>
  </si>
  <si>
    <t>2027Week30-20260909-209</t>
  </si>
  <si>
    <t>2027Week30-20260909-212</t>
  </si>
  <si>
    <t>2027Week30-20260909-215</t>
  </si>
  <si>
    <t>2027Week30-20260909-216</t>
  </si>
  <si>
    <t>2027Week30-20260909-22</t>
  </si>
  <si>
    <t>2027Week30-20260909-221</t>
  </si>
  <si>
    <t>2027Week30-20260909-223</t>
  </si>
  <si>
    <t>2027Week30-20260909-225</t>
  </si>
  <si>
    <t>2027Week30-20260909-227</t>
  </si>
  <si>
    <t>2027Week30-20260909-230</t>
  </si>
  <si>
    <t>2027Week30-20260909-231</t>
  </si>
  <si>
    <t>2027Week30-20260909-232</t>
  </si>
  <si>
    <t>2027Week30-20260909-233</t>
  </si>
  <si>
    <t>2027Week30-20260909-234</t>
  </si>
  <si>
    <t>2027Week30-20260909-235</t>
  </si>
  <si>
    <t>2027Week30-20260909-236</t>
  </si>
  <si>
    <t>2027Week30-20260909-237</t>
  </si>
  <si>
    <t>2027Week30-20260909-238</t>
  </si>
  <si>
    <t>2027Week30-20260909-239</t>
  </si>
  <si>
    <t>2027Week31-20260908-139</t>
  </si>
  <si>
    <t>2027Week31-20260908-140</t>
  </si>
  <si>
    <t>2027Week31-20260908-150</t>
  </si>
  <si>
    <t>2027Week31-20260908-152</t>
  </si>
  <si>
    <t>2027Week31-20260908-153</t>
  </si>
  <si>
    <t>2027Week31-20260908-154</t>
  </si>
  <si>
    <t>2027Week31-20260908-155</t>
  </si>
  <si>
    <t>2027Week31-20260908-158</t>
  </si>
  <si>
    <t>2027Week31-20260909-211</t>
  </si>
  <si>
    <t>2027Week31-20260909-213</t>
  </si>
  <si>
    <t>2027Week31-20260909-214</t>
  </si>
  <si>
    <t>2027Week31-20260909-217</t>
  </si>
  <si>
    <t>2027Week31-20260909-220</t>
  </si>
  <si>
    <t>2027Week31-20260909-223</t>
  </si>
  <si>
    <t>2027Week31-20260909-226</t>
  </si>
  <si>
    <t>2027Week31-20260909-227</t>
  </si>
  <si>
    <t>2027Week31-20260909-232</t>
  </si>
  <si>
    <t>2027Week31-20260909-234</t>
  </si>
  <si>
    <t>2027Week31-20260909-236</t>
  </si>
  <si>
    <t>2027Week31-20260909-238</t>
  </si>
  <si>
    <t>2027Week31-20260909-241</t>
  </si>
  <si>
    <t>2027Week31-20260909-242</t>
  </si>
  <si>
    <t>2027Week31-20260909-243</t>
  </si>
  <si>
    <t>2027Week31-20260909-244</t>
  </si>
  <si>
    <t>2027Week31-20260909-245</t>
  </si>
  <si>
    <t>2027Week31-20260909-246</t>
  </si>
  <si>
    <t>2027Week31-20260909-247</t>
  </si>
  <si>
    <t>2027Week31-20260909-248</t>
  </si>
  <si>
    <t>2027Week31-20260909-249</t>
  </si>
  <si>
    <t>2027Week31-20260909-250</t>
  </si>
  <si>
    <t>2027Week31-20260909-29</t>
  </si>
  <si>
    <t>2027Week32-20260908-147</t>
  </si>
  <si>
    <t>2027Week32-20260908-148</t>
  </si>
  <si>
    <t>2027Week32-20260908-149</t>
  </si>
  <si>
    <t>2027Week32-20260908-150</t>
  </si>
  <si>
    <t>2027Week32-20260909-197</t>
  </si>
  <si>
    <t>2027Week32-20260909-199</t>
  </si>
  <si>
    <t>2027Week32-20260909-200</t>
  </si>
  <si>
    <t>2027Week32-20260909-203</t>
  </si>
  <si>
    <t>2027Week32-20260909-206</t>
  </si>
  <si>
    <t>2027Week32-20260909-209</t>
  </si>
  <si>
    <t>2027Week32-20260909-212</t>
  </si>
  <si>
    <t>2027Week32-20260909-213</t>
  </si>
  <si>
    <t>2027Week32-20260909-218</t>
  </si>
  <si>
    <t>2027Week32-20260909-220</t>
  </si>
  <si>
    <t>2027Week32-20260909-222</t>
  </si>
  <si>
    <t>2027Week32-20260909-224</t>
  </si>
  <si>
    <t>2027Week32-20260909-227</t>
  </si>
  <si>
    <t>2027Week32-20260909-228</t>
  </si>
  <si>
    <t>2027Week32-20260909-229</t>
  </si>
  <si>
    <t>2027Week32-20260909-230</t>
  </si>
  <si>
    <t>2027Week32-20260909-231</t>
  </si>
  <si>
    <t>2027Week32-20260909-232</t>
  </si>
  <si>
    <t>2027Week32-20260909-233</t>
  </si>
  <si>
    <t>2027Week32-20260909-234</t>
  </si>
  <si>
    <t>2027Week32-20260909-235</t>
  </si>
  <si>
    <t>2027Week32-20260909-236</t>
  </si>
  <si>
    <t>2027Week32-20260909-29</t>
  </si>
  <si>
    <t>2027Week33-20260908-154</t>
  </si>
  <si>
    <t>2027Week33-20260908-155</t>
  </si>
  <si>
    <t>2027Week33-20260908-156</t>
  </si>
  <si>
    <t>2027Week33-20260908-157</t>
  </si>
  <si>
    <t>2027Week33-20260909-204</t>
  </si>
  <si>
    <t>2027Week33-20260909-206</t>
  </si>
  <si>
    <t>2027Week33-20260909-207</t>
  </si>
  <si>
    <t>2027Week33-20260909-210</t>
  </si>
  <si>
    <t>2027Week33-20260909-213</t>
  </si>
  <si>
    <t>2027Week33-20260909-216</t>
  </si>
  <si>
    <t>2027Week33-20260909-219</t>
  </si>
  <si>
    <t>2027Week33-20260909-220</t>
  </si>
  <si>
    <t>2027Week33-20260909-225</t>
  </si>
  <si>
    <t>2027Week33-20260909-227</t>
  </si>
  <si>
    <t>2027Week33-20260909-229</t>
  </si>
  <si>
    <t>2027Week33-20260909-231</t>
  </si>
  <si>
    <t>2027Week33-20260909-234</t>
  </si>
  <si>
    <t>2027Week33-20260909-235</t>
  </si>
  <si>
    <t>2027Week33-20260909-236</t>
  </si>
  <si>
    <t>2027Week33-20260909-237</t>
  </si>
  <si>
    <t>2027Week33-20260909-238</t>
  </si>
  <si>
    <t>2027Week33-20260909-239</t>
  </si>
  <si>
    <t>2027Week33-20260909-240</t>
  </si>
  <si>
    <t>2027Week33-20260909-241</t>
  </si>
  <si>
    <t>2027Week33-20260909-242</t>
  </si>
  <si>
    <t>2027Week33-20260909-243</t>
  </si>
  <si>
    <t>2027Week33-20260909-29</t>
  </si>
  <si>
    <t>2027Week34-20260908-145</t>
  </si>
  <si>
    <t>2027Week34-20260908-146</t>
  </si>
  <si>
    <t>2027Week34-20260908-147</t>
  </si>
  <si>
    <t>2027Week34-20260908-148</t>
  </si>
  <si>
    <t>2027Week34-20260909-205</t>
  </si>
  <si>
    <t>2027Week34-20260909-207</t>
  </si>
  <si>
    <t>2027Week34-20260909-208</t>
  </si>
  <si>
    <t>2027Week34-20260909-211</t>
  </si>
  <si>
    <t>2027Week34-20260909-214</t>
  </si>
  <si>
    <t>2027Week34-20260909-217</t>
  </si>
  <si>
    <t>2027Week34-20260909-220</t>
  </si>
  <si>
    <t>2027Week34-20260909-221</t>
  </si>
  <si>
    <t>2027Week34-20260909-226</t>
  </si>
  <si>
    <t>2027Week34-20260909-228</t>
  </si>
  <si>
    <t>2027Week34-20260909-231</t>
  </si>
  <si>
    <t>2027Week34-20260909-233</t>
  </si>
  <si>
    <t>2027Week34-20260909-236</t>
  </si>
  <si>
    <t>2027Week34-20260909-237</t>
  </si>
  <si>
    <t>2027Week34-20260909-238</t>
  </si>
  <si>
    <t>2027Week34-20260909-239</t>
  </si>
  <si>
    <t>2027Week34-20260909-240</t>
  </si>
  <si>
    <t>2027Week34-20260909-241</t>
  </si>
  <si>
    <t>2027Week34-20260909-242</t>
  </si>
  <si>
    <t>2027Week34-20260909-243</t>
  </si>
  <si>
    <t>2027Week34-20260909-244</t>
  </si>
  <si>
    <t>2027Week34-20260909-245</t>
  </si>
  <si>
    <t>2027Week34-20260909-29</t>
  </si>
  <si>
    <t>2027Week35-20260908-136</t>
  </si>
  <si>
    <t>2027Week35-20260908-137</t>
  </si>
  <si>
    <t>2027Week35-20260908-138</t>
  </si>
  <si>
    <t>2027Week35-20260908-139</t>
  </si>
  <si>
    <t>2027Week35-20260909-169</t>
  </si>
  <si>
    <t>2027Week35-20260909-171</t>
  </si>
  <si>
    <t>2027Week35-20260909-172</t>
  </si>
  <si>
    <t>2027Week35-20260909-175</t>
  </si>
  <si>
    <t>2027Week35-20260909-178</t>
  </si>
  <si>
    <t>2027Week35-20260909-181</t>
  </si>
  <si>
    <t>2027Week35-20260909-184</t>
  </si>
  <si>
    <t>2027Week35-20260909-185</t>
  </si>
  <si>
    <t>2027Week35-20260909-190</t>
  </si>
  <si>
    <t>2027Week35-20260909-192</t>
  </si>
  <si>
    <t>2027Week35-20260909-195</t>
  </si>
  <si>
    <t>2027Week35-20260909-197</t>
  </si>
  <si>
    <t>2027Week35-20260909-200</t>
  </si>
  <si>
    <t>2027Week35-20260909-201</t>
  </si>
  <si>
    <t>2027Week35-20260909-202</t>
  </si>
  <si>
    <t>2027Week35-20260909-203</t>
  </si>
  <si>
    <t>2027Week35-20260909-204</t>
  </si>
  <si>
    <t>2027Week35-20260909-205</t>
  </si>
  <si>
    <t>2027Week35-20260909-206</t>
  </si>
  <si>
    <t>2027Week35-20260909-207</t>
  </si>
  <si>
    <t>2027Week35-20260909-208</t>
  </si>
  <si>
    <t>2027Week35-20260909-209</t>
  </si>
  <si>
    <t>2027Week35-20260909-28</t>
  </si>
  <si>
    <t>2027Week36-20260909-168</t>
  </si>
  <si>
    <t>2027Week36-20260909-170</t>
  </si>
  <si>
    <t>2027Week36-20260909-171</t>
  </si>
  <si>
    <t>2027Week36-20260909-174</t>
  </si>
  <si>
    <t>2027Week36-20260909-177</t>
  </si>
  <si>
    <t>2027Week36-20260909-180</t>
  </si>
  <si>
    <t>2027Week36-20260909-183</t>
  </si>
  <si>
    <t>2027Week36-20260909-184</t>
  </si>
  <si>
    <t>2027Week36-20260909-189</t>
  </si>
  <si>
    <t>2027Week36-20260909-191</t>
  </si>
  <si>
    <t>2027Week36-20260909-193</t>
  </si>
  <si>
    <t>2027Week36-20260909-195</t>
  </si>
  <si>
    <t>2027Week36-20260909-198</t>
  </si>
  <si>
    <t>2027Week36-20260909-199</t>
  </si>
  <si>
    <t>2027Week36-20260909-200</t>
  </si>
  <si>
    <t>2027Week36-20260909-201</t>
  </si>
  <si>
    <t>2027Week36-20260909-202</t>
  </si>
  <si>
    <t>2027Week36-20260909-203</t>
  </si>
  <si>
    <t>2027Week36-20260909-204</t>
  </si>
  <si>
    <t>2027Week36-20260909-205</t>
  </si>
  <si>
    <t>2027Week36-20260909-206</t>
  </si>
  <si>
    <t>2027Week36-20260909-207</t>
  </si>
  <si>
    <t>2027Week37-20260909-172</t>
  </si>
  <si>
    <t>2027Week37-20260909-174</t>
  </si>
  <si>
    <t>2027Week37-20260909-175</t>
  </si>
  <si>
    <t>2027Week37-20260909-178</t>
  </si>
  <si>
    <t>2027Week37-20260909-181</t>
  </si>
  <si>
    <t>2027Week37-20260909-184</t>
  </si>
  <si>
    <t>2027Week37-20260909-187</t>
  </si>
  <si>
    <t>2027Week37-20260909-188</t>
  </si>
  <si>
    <t>2027Week37-20260909-193</t>
  </si>
  <si>
    <t>2027Week37-20260909-195</t>
  </si>
  <si>
    <t>2027Week37-20260909-197</t>
  </si>
  <si>
    <t>2027Week37-20260909-199</t>
  </si>
  <si>
    <t>2027Week37-20260909-202</t>
  </si>
  <si>
    <t>2027Week37-20260909-203</t>
  </si>
  <si>
    <t>2027Week37-20260909-204</t>
  </si>
  <si>
    <t>2027Week37-20260909-205</t>
  </si>
  <si>
    <t>2027Week37-20260909-206</t>
  </si>
  <si>
    <t>2027Week37-20260909-207</t>
  </si>
  <si>
    <t>2027Week37-20260909-208</t>
  </si>
  <si>
    <t>2027Week37-20260909-209</t>
  </si>
  <si>
    <t>2027Week37-20260909-210</t>
  </si>
  <si>
    <t>2027Week37-20260909-211</t>
  </si>
  <si>
    <t>2027Week38-20260909-184</t>
  </si>
  <si>
    <t>2027Week38-20260909-186</t>
  </si>
  <si>
    <t>2027Week38-20260909-187</t>
  </si>
  <si>
    <t>2027Week38-20260909-190</t>
  </si>
  <si>
    <t>2027Week38-20260909-193</t>
  </si>
  <si>
    <t>2027Week38-20260909-196</t>
  </si>
  <si>
    <t>2027Week38-20260909-199</t>
  </si>
  <si>
    <t>2027Week38-20260909-200</t>
  </si>
  <si>
    <t>2027Week38-20260909-205</t>
  </si>
  <si>
    <t>2027Week38-20260909-206</t>
  </si>
  <si>
    <t>2027Week38-20260909-209</t>
  </si>
  <si>
    <t>2027Week38-20260909-211</t>
  </si>
  <si>
    <t>2027Week38-20260909-214</t>
  </si>
  <si>
    <t>2027Week38-20260909-215</t>
  </si>
  <si>
    <t>2027Week38-20260909-216</t>
  </si>
  <si>
    <t>2027Week38-20260909-217</t>
  </si>
  <si>
    <t>2027Week38-20260909-218</t>
  </si>
  <si>
    <t>2027Week38-20260909-219</t>
  </si>
  <si>
    <t>2027Week38-20260909-220</t>
  </si>
  <si>
    <t>2027Week38-20260909-221</t>
  </si>
  <si>
    <t>2027Week38-20260909-222</t>
  </si>
  <si>
    <t>2027Week38-20260909-223</t>
  </si>
  <si>
    <t>2027Week39-20260909-193</t>
  </si>
  <si>
    <t>2027Week39-20260909-195</t>
  </si>
  <si>
    <t>2027Week39-20260909-196</t>
  </si>
  <si>
    <t>2027Week39-20260909-198</t>
  </si>
  <si>
    <t>2027Week39-20260909-200</t>
  </si>
  <si>
    <t>2027Week39-20260909-202</t>
  </si>
  <si>
    <t>2027Week39-20260909-204</t>
  </si>
  <si>
    <t>2027Week39-20260909-205</t>
  </si>
  <si>
    <t>2027Week39-20260909-208</t>
  </si>
  <si>
    <t>2027Week39-20260909-209</t>
  </si>
  <si>
    <t>2027Week39-20260909-210</t>
  </si>
  <si>
    <t>2027Week39-20260909-211</t>
  </si>
  <si>
    <t>2027Week39-20260909-212</t>
  </si>
  <si>
    <t>2027Week39-20260909-213</t>
  </si>
  <si>
    <t>2027Week39-20260909-214</t>
  </si>
  <si>
    <t>2027Week39-20260909-215</t>
  </si>
  <si>
    <t>2027Week39-20260909-216</t>
  </si>
  <si>
    <t>2027Week39-20260909-217</t>
  </si>
  <si>
    <t>2027Week39-20260909-218</t>
  </si>
  <si>
    <t>2027Week39-20260909-219</t>
  </si>
  <si>
    <t>2027Week39-20260909-220</t>
  </si>
  <si>
    <t>2027Week39-20260909-221</t>
  </si>
  <si>
    <t>2027Week15-20260908-186</t>
  </si>
  <si>
    <t>2027Week15-20260930-413</t>
  </si>
  <si>
    <t>2027Week16-20260908-188</t>
  </si>
  <si>
    <t>2027Week17-20260908-207</t>
  </si>
  <si>
    <t>2027Week18-20260908-227</t>
  </si>
  <si>
    <t>2027Week19-20260908-211</t>
  </si>
  <si>
    <t>2027Week20-20260908-232</t>
  </si>
  <si>
    <t>2027Week21-20260908-218</t>
  </si>
  <si>
    <t>2027Week22-20260904-1387</t>
  </si>
  <si>
    <t>2027Week22-20260904-1395</t>
  </si>
  <si>
    <t>2027Week22-20260904-1508</t>
  </si>
  <si>
    <t>2027Week22-20260904-1522</t>
  </si>
  <si>
    <t>2027Week22-20260904-1587</t>
  </si>
  <si>
    <t>2027Week22-20260908-245</t>
  </si>
  <si>
    <t>2027Week23-20260904-1318</t>
  </si>
  <si>
    <t>2027Week23-20260904-1326</t>
  </si>
  <si>
    <t>2027Week23-20260904-1417</t>
  </si>
  <si>
    <t>2027Week23-20260904-1422</t>
  </si>
  <si>
    <t>2027Week23-20260904-1473</t>
  </si>
  <si>
    <t>2027Week23-20260908-231</t>
  </si>
  <si>
    <t>2027Week24-20260904-1325</t>
  </si>
  <si>
    <t>2027Week24-20260904-1333</t>
  </si>
  <si>
    <t>2027Week24-20260904-1428</t>
  </si>
  <si>
    <t>2027Week24-20260904-1433</t>
  </si>
  <si>
    <t>2027Week24-20260904-1482</t>
  </si>
  <si>
    <t>2027Week24-20260908-230</t>
  </si>
  <si>
    <t>2027Week25-20260904-1352</t>
  </si>
  <si>
    <t>2027Week25-20260904-1360</t>
  </si>
  <si>
    <t>2027Week25-20260904-1452</t>
  </si>
  <si>
    <t>2027Week25-20260904-1457</t>
  </si>
  <si>
    <t>2027Week25-20260904-1508</t>
  </si>
  <si>
    <t>2027Week25-20260908-217</t>
  </si>
  <si>
    <t>2027Week26-20260904-1596</t>
  </si>
  <si>
    <t>2027Week26-20260904-1605</t>
  </si>
  <si>
    <t>2027Week26-20260904-1794</t>
  </si>
  <si>
    <t>2027Week26-20260904-1801</t>
  </si>
  <si>
    <t>2027Week26-20260904-1853</t>
  </si>
  <si>
    <t>2027Week26-20260908-304</t>
  </si>
  <si>
    <t>2027Week27-20260904-1850</t>
  </si>
  <si>
    <t>2027Week27-20260904-1858</t>
  </si>
  <si>
    <t>2027Week27-20260904-1997</t>
  </si>
  <si>
    <t>2027Week27-20260904-2001</t>
  </si>
  <si>
    <t>2027Week27-20260904-2027</t>
  </si>
  <si>
    <t>2027Week27-20260908-274</t>
  </si>
  <si>
    <t>2027Week27-20260908-275</t>
  </si>
  <si>
    <t>2027Week27-20260908-278</t>
  </si>
  <si>
    <t>2027Week27-20260909-234</t>
  </si>
  <si>
    <t>2027Week27-20260909-235</t>
  </si>
  <si>
    <t>2027Week27-20260909-243</t>
  </si>
  <si>
    <t>2027Week27-20260909-244</t>
  </si>
  <si>
    <t>2027Week27-20260910-116</t>
  </si>
  <si>
    <t>2027Week27-20260910-117</t>
  </si>
  <si>
    <t>2027Week27-20260910-120</t>
  </si>
  <si>
    <t>2027Week28-20260904-1878</t>
  </si>
  <si>
    <t>2027Week28-20260904-1886</t>
  </si>
  <si>
    <t>2027Week28-20260904-2024</t>
  </si>
  <si>
    <t>2027Week28-20260904-2028</t>
  </si>
  <si>
    <t>2027Week28-20260904-2054</t>
  </si>
  <si>
    <t>2027Week28-20260908-292</t>
  </si>
  <si>
    <t>2027Week28-20260908-293</t>
  </si>
  <si>
    <t>2027Week28-20260908-296</t>
  </si>
  <si>
    <t>2027Week28-20260909-255</t>
  </si>
  <si>
    <t>2027Week28-20260909-256</t>
  </si>
  <si>
    <t>2027Week28-20260909-260</t>
  </si>
  <si>
    <t>2027Week28-20260909-261</t>
  </si>
  <si>
    <t>2027Week28-20260910-136</t>
  </si>
  <si>
    <t>2027Week28-20260910-137</t>
  </si>
  <si>
    <t>2027Week28-20260910-140</t>
  </si>
  <si>
    <t>2027Week29-20260904-1938</t>
  </si>
  <si>
    <t>2027Week29-20260904-1946</t>
  </si>
  <si>
    <t>2027Week29-20260904-2091</t>
  </si>
  <si>
    <t>2027Week29-20260904-2095</t>
  </si>
  <si>
    <t>2027Week29-20260904-2121</t>
  </si>
  <si>
    <t>2027Week29-20260908-290</t>
  </si>
  <si>
    <t>2027Week29-20260908-291</t>
  </si>
  <si>
    <t>2027Week29-20260908-294</t>
  </si>
  <si>
    <t>2027Week29-20260909-258</t>
  </si>
  <si>
    <t>2027Week29-20260909-259</t>
  </si>
  <si>
    <t>2027Week29-20260909-263</t>
  </si>
  <si>
    <t>2027Week29-20260909-264</t>
  </si>
  <si>
    <t>2027Week29-20260910-143</t>
  </si>
  <si>
    <t>2027Week29-20260910-144</t>
  </si>
  <si>
    <t>2027Week29-20260910-147</t>
  </si>
  <si>
    <t>2027Week30-20260904-1949</t>
  </si>
  <si>
    <t>2027Week30-20260904-1957</t>
  </si>
  <si>
    <t>2027Week30-20260904-2102</t>
  </si>
  <si>
    <t>2027Week30-20260904-2106</t>
  </si>
  <si>
    <t>2027Week30-20260904-2133</t>
  </si>
  <si>
    <t>2027Week30-20260908-288</t>
  </si>
  <si>
    <t>2027Week30-20260908-290</t>
  </si>
  <si>
    <t>2027Week30-20260908-293</t>
  </si>
  <si>
    <t>2027Week30-20260909-261</t>
  </si>
  <si>
    <t>2027Week30-20260909-262</t>
  </si>
  <si>
    <t>2027Week30-20260909-266</t>
  </si>
  <si>
    <t>2027Week30-20260909-267</t>
  </si>
  <si>
    <t>2027Week30-20260910-142</t>
  </si>
  <si>
    <t>2027Week30-20260910-143</t>
  </si>
  <si>
    <t>2027Week30-20260910-146</t>
  </si>
  <si>
    <t>2027Week31-20260904-1996</t>
  </si>
  <si>
    <t>2027Week31-20260904-2005</t>
  </si>
  <si>
    <t>2027Week31-20260904-2153</t>
  </si>
  <si>
    <t>2027Week31-20260904-2157</t>
  </si>
  <si>
    <t>2027Week31-20260904-2191</t>
  </si>
  <si>
    <t>2027Week31-20260908-297</t>
  </si>
  <si>
    <t>2027Week31-20260908-299</t>
  </si>
  <si>
    <t>2027Week31-20260908-302</t>
  </si>
  <si>
    <t>2027Week31-20260909-272</t>
  </si>
  <si>
    <t>2027Week31-20260909-273</t>
  </si>
  <si>
    <t>2027Week31-20260909-277</t>
  </si>
  <si>
    <t>2027Week31-20260909-278</t>
  </si>
  <si>
    <t>2027Week31-20260910-146</t>
  </si>
  <si>
    <t>2027Week31-20260910-147</t>
  </si>
  <si>
    <t>2027Week31-20260910-152</t>
  </si>
  <si>
    <t>2027Week32-20260904-1851</t>
  </si>
  <si>
    <t>2027Week32-20260904-1860</t>
  </si>
  <si>
    <t>2027Week32-20260904-1976</t>
  </si>
  <si>
    <t>2027Week32-20260904-1980</t>
  </si>
  <si>
    <t>2027Week32-20260904-2010</t>
  </si>
  <si>
    <t>2027Week32-20260908-280</t>
  </si>
  <si>
    <t>2027Week32-20260908-282</t>
  </si>
  <si>
    <t>2027Week32-20260908-286</t>
  </si>
  <si>
    <t>2027Week32-20260909-258</t>
  </si>
  <si>
    <t>2027Week32-20260909-259</t>
  </si>
  <si>
    <t>2027Week32-20260909-263</t>
  </si>
  <si>
    <t>2027Week32-20260909-264</t>
  </si>
  <si>
    <t>2027Week32-20260910-129</t>
  </si>
  <si>
    <t>2027Week32-20260910-130</t>
  </si>
  <si>
    <t>2027Week32-20260910-135</t>
  </si>
  <si>
    <t>2027Week33-20260904-1855</t>
  </si>
  <si>
    <t>2027Week33-20260904-1864</t>
  </si>
  <si>
    <t>2027Week33-20260904-1980</t>
  </si>
  <si>
    <t>2027Week33-20260904-1984</t>
  </si>
  <si>
    <t>2027Week33-20260904-2011</t>
  </si>
  <si>
    <t>2027Week33-20260908-304</t>
  </si>
  <si>
    <t>2027Week33-20260908-306</t>
  </si>
  <si>
    <t>2027Week33-20260908-310</t>
  </si>
  <si>
    <t>2027Week33-20260909-265</t>
  </si>
  <si>
    <t>2027Week33-20260909-266</t>
  </si>
  <si>
    <t>2027Week33-20260909-270</t>
  </si>
  <si>
    <t>2027Week33-20260909-271</t>
  </si>
  <si>
    <t>2027Week33-20260910-129</t>
  </si>
  <si>
    <t>2027Week33-20260910-130</t>
  </si>
  <si>
    <t>2027Week33-20260910-135</t>
  </si>
  <si>
    <t>2027Week34-20260904-1859</t>
  </si>
  <si>
    <t>2027Week34-20260904-1868</t>
  </si>
  <si>
    <t>2027Week34-20260904-1986</t>
  </si>
  <si>
    <t>2027Week34-20260904-1990</t>
  </si>
  <si>
    <t>2027Week34-20260904-2017</t>
  </si>
  <si>
    <t>2027Week34-20260908-295</t>
  </si>
  <si>
    <t>2027Week34-20260908-297</t>
  </si>
  <si>
    <t>2027Week34-20260908-301</t>
  </si>
  <si>
    <t>2027Week34-20260909-272</t>
  </si>
  <si>
    <t>2027Week34-20260909-273</t>
  </si>
  <si>
    <t>2027Week34-20260909-277</t>
  </si>
  <si>
    <t>2027Week34-20260909-278</t>
  </si>
  <si>
    <t>2027Week34-20260910-119</t>
  </si>
  <si>
    <t>2027Week34-20260910-120</t>
  </si>
  <si>
    <t>2027Week34-20260910-123</t>
  </si>
  <si>
    <t>2027Week35-20260904-1972</t>
  </si>
  <si>
    <t>2027Week35-20260904-1981</t>
  </si>
  <si>
    <t>2027Week35-20260904-2093</t>
  </si>
  <si>
    <t>2027Week35-20260904-2096</t>
  </si>
  <si>
    <t>2027Week35-20260904-2119</t>
  </si>
  <si>
    <t>2027Week35-20260908-265</t>
  </si>
  <si>
    <t>2027Week35-20260908-269</t>
  </si>
  <si>
    <t>2027Week35-20260908-273</t>
  </si>
  <si>
    <t>2027Week35-20260909-237</t>
  </si>
  <si>
    <t>2027Week35-20260909-238</t>
  </si>
  <si>
    <t>2027Week35-20260909-242</t>
  </si>
  <si>
    <t>2027Week35-20260909-243</t>
  </si>
  <si>
    <t>2027Week35-20260910-131</t>
  </si>
  <si>
    <t>2027Week35-20260910-132</t>
  </si>
  <si>
    <t>2027Week35-20260910-136</t>
  </si>
  <si>
    <t>2027Week36-20260904-2664</t>
  </si>
  <si>
    <t>2027Week36-20260904-2725</t>
  </si>
  <si>
    <t>2027Week36-20260904-2726</t>
  </si>
  <si>
    <t>2027Week36-20260907-4</t>
  </si>
  <si>
    <t>2027Week36-20260908-224</t>
  </si>
  <si>
    <t>2027Week36-20260908-228</t>
  </si>
  <si>
    <t>2027Week36-20260908-232</t>
  </si>
  <si>
    <t>2027Week36-20260909-227</t>
  </si>
  <si>
    <t>2027Week36-20260909-228</t>
  </si>
  <si>
    <t>2027Week36-20260909-232</t>
  </si>
  <si>
    <t>2027Week36-20260909-233</t>
  </si>
  <si>
    <t>2027Week36-20260910-117</t>
  </si>
  <si>
    <t>2027Week36-20260910-118</t>
  </si>
  <si>
    <t>2027Week36-20260910-122</t>
  </si>
  <si>
    <t>2027Week37-20260904-2640</t>
  </si>
  <si>
    <t>2027Week37-20260904-2692</t>
  </si>
  <si>
    <t>2027Week37-20260904-2693</t>
  </si>
  <si>
    <t>2027Week37-20260907-4</t>
  </si>
  <si>
    <t>2027Week37-20260908-230</t>
  </si>
  <si>
    <t>2027Week37-20260908-234</t>
  </si>
  <si>
    <t>2027Week37-20260908-238</t>
  </si>
  <si>
    <t>2027Week37-20260909-230</t>
  </si>
  <si>
    <t>2027Week37-20260909-231</t>
  </si>
  <si>
    <t>2027Week37-20260909-235</t>
  </si>
  <si>
    <t>2027Week37-20260909-236</t>
  </si>
  <si>
    <t>2027Week37-20260910-112</t>
  </si>
  <si>
    <t>2027Week37-20260910-113</t>
  </si>
  <si>
    <t>2027Week37-20260910-117</t>
  </si>
  <si>
    <t>2027Week38-20260904-2602</t>
  </si>
  <si>
    <t>2027Week38-20260904-2656</t>
  </si>
  <si>
    <t>2027Week38-20260904-2657</t>
  </si>
  <si>
    <t>2027Week38-20260907-4</t>
  </si>
  <si>
    <t>2027Week38-20260908-232</t>
  </si>
  <si>
    <t>2027Week38-20260908-235</t>
  </si>
  <si>
    <t>2027Week38-20260908-239</t>
  </si>
  <si>
    <t>2027Week38-20260909-242</t>
  </si>
  <si>
    <t>2027Week38-20260909-243</t>
  </si>
  <si>
    <t>2027Week38-20260909-247</t>
  </si>
  <si>
    <t>2027Week38-20260909-248</t>
  </si>
  <si>
    <t>2027Week38-20260910-110</t>
  </si>
  <si>
    <t>2027Week38-20260910-111</t>
  </si>
  <si>
    <t>2027Week38-20260910-115</t>
  </si>
  <si>
    <t>2027Week39-20260904-1755</t>
  </si>
  <si>
    <t>2027Week39-20260904-2630</t>
  </si>
  <si>
    <t>2027Week39-20260904-2684</t>
  </si>
  <si>
    <t>2027Week39-20260904-2685</t>
  </si>
  <si>
    <t>2027Week39-20260907-4</t>
  </si>
  <si>
    <t>2027Week39-20260908-258</t>
  </si>
  <si>
    <t>2027Week39-20260908-261</t>
  </si>
  <si>
    <t>2027Week39-20260908-265</t>
  </si>
  <si>
    <t>2027Week39-20260909-251</t>
  </si>
  <si>
    <t>2027Week39-20260909-252</t>
  </si>
  <si>
    <t>2027Week39-20260909-255</t>
  </si>
  <si>
    <t>2027Week39-20260909-256</t>
  </si>
  <si>
    <t>2027Week39-20260910-102</t>
  </si>
  <si>
    <t>2027Week39-20260910-103</t>
  </si>
  <si>
    <t>2027Week39-20260910-107</t>
  </si>
  <si>
    <t>2027Week40-20260904-771</t>
  </si>
  <si>
    <t>2027Week40-20260907-110</t>
  </si>
  <si>
    <t>2027Week41-20260904-743</t>
  </si>
  <si>
    <t>2027Week41-20260907-105</t>
  </si>
  <si>
    <t>2027Week42-20260904-721</t>
  </si>
  <si>
    <t>2027Week42-20260907-109</t>
  </si>
  <si>
    <t>2027Week43-20260904-706</t>
  </si>
  <si>
    <t>2027Week43-20260907-103</t>
  </si>
  <si>
    <t>2027Week15-20260904-960</t>
  </si>
  <si>
    <t>Yulanda.Peng@cn.ey.com</t>
  </si>
  <si>
    <t>2027Week15-20260904-980</t>
  </si>
  <si>
    <t>2027Week15-20260904-990</t>
  </si>
  <si>
    <t>2027Week15-20260930-785</t>
  </si>
  <si>
    <t>2027Week16-20260904-945</t>
  </si>
  <si>
    <t>2027Week16-20260904-965</t>
  </si>
  <si>
    <t>2027Week16-20260904-975</t>
  </si>
  <si>
    <t>2027Week17-20260904-955</t>
  </si>
  <si>
    <t>2027Week17-20260904-975</t>
  </si>
  <si>
    <t>2027Week17-20260904-985</t>
  </si>
  <si>
    <t>2027Week18-20260904-1103</t>
  </si>
  <si>
    <t>2027Week18-20260904-1123</t>
  </si>
  <si>
    <t>2027Week18-20260904-1133</t>
  </si>
  <si>
    <t>2027Week18-20260904-1198</t>
  </si>
  <si>
    <t>2027Week19-20260904-1002</t>
  </si>
  <si>
    <t>2027Week19-20260904-1012</t>
  </si>
  <si>
    <t>2027Week19-20260904-1076</t>
  </si>
  <si>
    <t>2027Week19-20260904-982</t>
  </si>
  <si>
    <t>2027Week20-20260904-1009</t>
  </si>
  <si>
    <t>2027Week20-20260904-1029</t>
  </si>
  <si>
    <t>2027Week20-20260904-1039</t>
  </si>
  <si>
    <t>2027Week20-20260904-1103</t>
  </si>
  <si>
    <t>2027Week21-20260904-1022</t>
  </si>
  <si>
    <t>2027Week21-20260904-1042</t>
  </si>
  <si>
    <t>2027Week21-20260904-1052</t>
  </si>
  <si>
    <t>2027Week21-20260904-1116</t>
  </si>
  <si>
    <t>2027Week22-20260904-1334</t>
  </si>
  <si>
    <t>2027Week22-20260904-1357</t>
  </si>
  <si>
    <t>2027Week22-20260904-1367</t>
  </si>
  <si>
    <t>2027Week22-20260904-1381</t>
  </si>
  <si>
    <t>2027Week22-20260904-1401</t>
  </si>
  <si>
    <t>2027Week22-20260904-1403</t>
  </si>
  <si>
    <t>2027Week22-20260904-1460</t>
  </si>
  <si>
    <t>2027Week22-20260904-1572</t>
  </si>
  <si>
    <t>2027Week22-20260904-1599</t>
  </si>
  <si>
    <t>2027Week23-20260904-1299</t>
  </si>
  <si>
    <t>2027Week23-20260904-1312</t>
  </si>
  <si>
    <t>2027Week23-20260904-1331</t>
  </si>
  <si>
    <t>2027Week23-20260904-1332</t>
  </si>
  <si>
    <t>2027Week23-20260904-1384</t>
  </si>
  <si>
    <t>2027Week23-20260904-1459</t>
  </si>
  <si>
    <t>2027Week23-20260904-1485</t>
  </si>
  <si>
    <t>2027Week23-20260904-1825</t>
  </si>
  <si>
    <t>2027Week24-20260904-1306</t>
  </si>
  <si>
    <t>2027Week24-20260904-1319</t>
  </si>
  <si>
    <t>2027Week24-20260904-1338</t>
  </si>
  <si>
    <t>2027Week24-20260904-1339</t>
  </si>
  <si>
    <t>2027Week24-20260904-1391</t>
  </si>
  <si>
    <t>2027Week24-20260904-1469</t>
  </si>
  <si>
    <t>2027Week24-20260904-1494</t>
  </si>
  <si>
    <t>2027Week24-20260904-1858</t>
  </si>
  <si>
    <t>2027Week25-20260904-1333</t>
  </si>
  <si>
    <t>2027Week25-20260904-1346</t>
  </si>
  <si>
    <t>2027Week25-20260904-1365</t>
  </si>
  <si>
    <t>2027Week25-20260904-1366</t>
  </si>
  <si>
    <t>2027Week25-20260904-1417</t>
  </si>
  <si>
    <t>2027Week25-20260904-1495</t>
  </si>
  <si>
    <t>2027Week25-20260904-1520</t>
  </si>
  <si>
    <t>2027Week25-20260904-1886</t>
  </si>
  <si>
    <t>2027Week26-20260904-1490</t>
  </si>
  <si>
    <t>2027Week26-20260904-1574</t>
  </si>
  <si>
    <t>2027Week26-20260904-1590</t>
  </si>
  <si>
    <t>2027Week26-20260904-1614</t>
  </si>
  <si>
    <t>2027Week26-20260904-1615</t>
  </si>
  <si>
    <t>2027Week26-20260904-1653</t>
  </si>
  <si>
    <t>2027Week26-20260904-1654</t>
  </si>
  <si>
    <t>2027Week26-20260904-1722</t>
  </si>
  <si>
    <t>2027Week26-20260904-1723</t>
  </si>
  <si>
    <t>2027Week26-20260904-1840</t>
  </si>
  <si>
    <t>2027Week26-20260904-1863</t>
  </si>
  <si>
    <t>2027Week26-20260904-2284</t>
  </si>
  <si>
    <t>2027Week26-20260909-281</t>
  </si>
  <si>
    <t>2027Week26-20260909-284</t>
  </si>
  <si>
    <t>2027Week27-20260904-1780</t>
  </si>
  <si>
    <t>2027Week27-20260904-1866</t>
  </si>
  <si>
    <t>2027Week27-20260904-1867</t>
  </si>
  <si>
    <t>2027Week27-20260904-1907</t>
  </si>
  <si>
    <t>2027Week27-20260904-1908</t>
  </si>
  <si>
    <t>2027Week27-20260904-1953</t>
  </si>
  <si>
    <t>2027Week27-20260904-1954</t>
  </si>
  <si>
    <t>2027Week27-20260904-2020</t>
  </si>
  <si>
    <t>2027Week27-20260904-2031</t>
  </si>
  <si>
    <t>2027Week27-20260904-2411</t>
  </si>
  <si>
    <t>2027Week27-20260904-2521</t>
  </si>
  <si>
    <t>2027Week27-20260909-215</t>
  </si>
  <si>
    <t>2027Week27-20260909-218</t>
  </si>
  <si>
    <t>2027Week28-20260904-1809</t>
  </si>
  <si>
    <t>2027Week28-20260904-1894</t>
  </si>
  <si>
    <t>2027Week28-20260904-1895</t>
  </si>
  <si>
    <t>2027Week28-20260904-1929</t>
  </si>
  <si>
    <t>2027Week28-20260904-1930</t>
  </si>
  <si>
    <t>2027Week28-20260904-1980</t>
  </si>
  <si>
    <t>2027Week28-20260904-1981</t>
  </si>
  <si>
    <t>2027Week28-20260904-2047</t>
  </si>
  <si>
    <t>2027Week28-20260904-2058</t>
  </si>
  <si>
    <t>2027Week28-20260904-2445</t>
  </si>
  <si>
    <t>2027Week28-20260904-2553</t>
  </si>
  <si>
    <t>2027Week28-20260909-238</t>
  </si>
  <si>
    <t>2027Week28-20260909-241</t>
  </si>
  <si>
    <t>2027Week29-20260904-1867</t>
  </si>
  <si>
    <t>2027Week29-20260904-1954</t>
  </si>
  <si>
    <t>2027Week29-20260904-1955</t>
  </si>
  <si>
    <t>2027Week29-20260904-1994</t>
  </si>
  <si>
    <t>2027Week29-20260904-1995</t>
  </si>
  <si>
    <t>2027Week29-20260904-2047</t>
  </si>
  <si>
    <t>2027Week29-20260904-2048</t>
  </si>
  <si>
    <t>2027Week29-20260904-2114</t>
  </si>
  <si>
    <t>2027Week29-20260904-2129</t>
  </si>
  <si>
    <t>2027Week29-20260904-2516</t>
  </si>
  <si>
    <t>2027Week29-20260904-2622</t>
  </si>
  <si>
    <t>2027Week29-20260909-241</t>
  </si>
  <si>
    <t>2027Week29-20260909-244</t>
  </si>
  <si>
    <t>2027Week30-20260904-1875</t>
  </si>
  <si>
    <t>2027Week30-20260904-1965</t>
  </si>
  <si>
    <t>2027Week30-20260904-1966</t>
  </si>
  <si>
    <t>2027Week30-20260904-2002</t>
  </si>
  <si>
    <t>2027Week30-20260904-2003</t>
  </si>
  <si>
    <t>2027Week30-20260904-2058</t>
  </si>
  <si>
    <t>2027Week30-20260904-2059</t>
  </si>
  <si>
    <t>2027Week30-20260904-2126</t>
  </si>
  <si>
    <t>2027Week30-20260904-2141</t>
  </si>
  <si>
    <t>2027Week30-20260904-2528</t>
  </si>
  <si>
    <t>2027Week30-20260904-2629</t>
  </si>
  <si>
    <t>2027Week30-20260909-244</t>
  </si>
  <si>
    <t>2027Week30-20260909-247</t>
  </si>
  <si>
    <t>2027Week31-20260904-1918</t>
  </si>
  <si>
    <t>2027Week31-20260904-2013</t>
  </si>
  <si>
    <t>2027Week31-20260904-2014</t>
  </si>
  <si>
    <t>2027Week31-20260904-2050</t>
  </si>
  <si>
    <t>2027Week31-20260904-2051</t>
  </si>
  <si>
    <t>2027Week31-20260904-2106</t>
  </si>
  <si>
    <t>2027Week31-20260904-2107</t>
  </si>
  <si>
    <t>2027Week31-20260904-2182</t>
  </si>
  <si>
    <t>2027Week31-20260904-2199</t>
  </si>
  <si>
    <t>2027Week31-20260904-2579</t>
  </si>
  <si>
    <t>2027Week31-20260904-2696</t>
  </si>
  <si>
    <t>2027Week31-20260909-255</t>
  </si>
  <si>
    <t>2027Week31-20260909-258</t>
  </si>
  <si>
    <t>2027Week32-20260904-1866</t>
  </si>
  <si>
    <t>2027Week32-20260904-1867</t>
  </si>
  <si>
    <t>2027Week32-20260904-1893</t>
  </si>
  <si>
    <t>2027Week32-20260904-1894</t>
  </si>
  <si>
    <t>2027Week32-20260904-1945</t>
  </si>
  <si>
    <t>2027Week32-20260904-2003</t>
  </si>
  <si>
    <t>2027Week32-20260904-2018</t>
  </si>
  <si>
    <t>2027Week32-20260904-2460</t>
  </si>
  <si>
    <t>2027Week32-20260909-241</t>
  </si>
  <si>
    <t>2027Week32-20260909-244</t>
  </si>
  <si>
    <t>2027Week33-20260904-1870</t>
  </si>
  <si>
    <t>2027Week33-20260904-1871</t>
  </si>
  <si>
    <t>2027Week33-20260904-1897</t>
  </si>
  <si>
    <t>2027Week33-20260904-1898</t>
  </si>
  <si>
    <t>2027Week33-20260904-1948</t>
  </si>
  <si>
    <t>2027Week33-20260904-2004</t>
  </si>
  <si>
    <t>2027Week33-20260904-2019</t>
  </si>
  <si>
    <t>2027Week33-20260904-2455</t>
  </si>
  <si>
    <t>2027Week33-20260909-248</t>
  </si>
  <si>
    <t>2027Week33-20260909-251</t>
  </si>
  <si>
    <t>2027Week34-20260904-1874</t>
  </si>
  <si>
    <t>2027Week34-20260904-1875</t>
  </si>
  <si>
    <t>2027Week34-20260904-1901</t>
  </si>
  <si>
    <t>2027Week34-20260904-1902</t>
  </si>
  <si>
    <t>2027Week34-20260904-1954</t>
  </si>
  <si>
    <t>2027Week34-20260904-2010</t>
  </si>
  <si>
    <t>2027Week34-20260904-2024</t>
  </si>
  <si>
    <t>2027Week34-20260904-2439</t>
  </si>
  <si>
    <t>2027Week34-20260909-255</t>
  </si>
  <si>
    <t>2027Week34-20260909-258</t>
  </si>
  <si>
    <t>2027Week35-20260904-1987</t>
  </si>
  <si>
    <t>2027Week35-20260904-1988</t>
  </si>
  <si>
    <t>2027Week35-20260904-2015</t>
  </si>
  <si>
    <t>2027Week35-20260904-2016</t>
  </si>
  <si>
    <t>2027Week35-20260904-2017</t>
  </si>
  <si>
    <t>2027Week35-20260904-2064</t>
  </si>
  <si>
    <t>2027Week35-20260904-2114</t>
  </si>
  <si>
    <t>2027Week35-20260904-2124</t>
  </si>
  <si>
    <t>2027Week35-20260904-2203</t>
  </si>
  <si>
    <t>2027Week35-20260904-2208</t>
  </si>
  <si>
    <t>2027Week35-20260904-2230</t>
  </si>
  <si>
    <t>2027Week35-20260904-2625</t>
  </si>
  <si>
    <t>2027Week35-20260904-2704</t>
  </si>
  <si>
    <t>2027Week35-20260909-220</t>
  </si>
  <si>
    <t>2027Week35-20260909-223</t>
  </si>
  <si>
    <t>2027Week36-20260904-1954</t>
  </si>
  <si>
    <t>2027Week36-20260904-1955</t>
  </si>
  <si>
    <t>2027Week36-20260904-1956</t>
  </si>
  <si>
    <t>2027Week36-20260904-1997</t>
  </si>
  <si>
    <t>2027Week36-20260904-2073</t>
  </si>
  <si>
    <t>2027Week36-20260904-2075</t>
  </si>
  <si>
    <t>2027Week36-20260904-2090</t>
  </si>
  <si>
    <t>2027Week36-20260904-2375</t>
  </si>
  <si>
    <t>2027Week36-20260904-2422</t>
  </si>
  <si>
    <t>2027Week36-20260904-2493</t>
  </si>
  <si>
    <t>2027Week36-20260909-213</t>
  </si>
  <si>
    <t>2027Week36-20260909-216</t>
  </si>
  <si>
    <t>2027Week37-20260904-1936</t>
  </si>
  <si>
    <t>2027Week37-20260904-1937</t>
  </si>
  <si>
    <t>2027Week37-20260904-1938</t>
  </si>
  <si>
    <t>2027Week37-20260904-1981</t>
  </si>
  <si>
    <t>2027Week37-20260904-2058</t>
  </si>
  <si>
    <t>2027Week37-20260904-2060</t>
  </si>
  <si>
    <t>2027Week37-20260904-2076</t>
  </si>
  <si>
    <t>2027Week37-20260904-2351</t>
  </si>
  <si>
    <t>2027Week37-20260904-2398</t>
  </si>
  <si>
    <t>2027Week37-20260904-2471</t>
  </si>
  <si>
    <t>2027Week37-20260909-216</t>
  </si>
  <si>
    <t>2027Week37-20260909-219</t>
  </si>
  <si>
    <t>2027Week38-20260904-1922</t>
  </si>
  <si>
    <t>2027Week38-20260904-1923</t>
  </si>
  <si>
    <t>2027Week38-20260904-1924</t>
  </si>
  <si>
    <t>2027Week38-20260904-1963</t>
  </si>
  <si>
    <t>2027Week38-20260904-2028</t>
  </si>
  <si>
    <t>2027Week38-20260904-2029</t>
  </si>
  <si>
    <t>2027Week38-20260904-2045</t>
  </si>
  <si>
    <t>2027Week38-20260904-2316</t>
  </si>
  <si>
    <t>2027Week38-20260904-2361</t>
  </si>
  <si>
    <t>2027Week38-20260904-2435</t>
  </si>
  <si>
    <t>2027Week38-20260909-228</t>
  </si>
  <si>
    <t>2027Week38-20260909-231</t>
  </si>
  <si>
    <t>2027Week39-20260904-1777</t>
  </si>
  <si>
    <t>2027Week39-20260904-1931</t>
  </si>
  <si>
    <t>2027Week39-20260904-1932</t>
  </si>
  <si>
    <t>2027Week39-20260904-1933</t>
  </si>
  <si>
    <t>2027Week39-20260904-1961</t>
  </si>
  <si>
    <t>2027Week39-20260904-1986</t>
  </si>
  <si>
    <t>2027Week39-20260904-2067</t>
  </si>
  <si>
    <t>2027Week39-20260904-2068</t>
  </si>
  <si>
    <t>2027Week39-20260904-2084</t>
  </si>
  <si>
    <t>2027Week39-20260904-2364</t>
  </si>
  <si>
    <t>2027Week39-20260904-2399</t>
  </si>
  <si>
    <t>2027Week39-20260907-13</t>
  </si>
  <si>
    <t>2027Week39-20260907-8</t>
  </si>
  <si>
    <t>2027Week39-20260907-9</t>
  </si>
  <si>
    <t>2027Week39-20260909-237</t>
  </si>
  <si>
    <t>2027Week39-20260909-240</t>
  </si>
  <si>
    <t>2027Week40-20260904-782</t>
  </si>
  <si>
    <t>2027Week40-20260904-812</t>
  </si>
  <si>
    <t>2027Week40-20260904-822</t>
  </si>
  <si>
    <t>2027Week40-20260904-864</t>
  </si>
  <si>
    <t>2027Week40-20260904-865</t>
  </si>
  <si>
    <t>2027Week40-20260904-870</t>
  </si>
  <si>
    <t>2027Week40-20260904-952</t>
  </si>
  <si>
    <t>2027Week40-20260907-10</t>
  </si>
  <si>
    <t>2027Week40-20260907-14</t>
  </si>
  <si>
    <t>2027Week40-20260907-9</t>
  </si>
  <si>
    <t>2027Week41-20260904-754</t>
  </si>
  <si>
    <t>2027Week41-20260904-784</t>
  </si>
  <si>
    <t>2027Week41-20260904-794</t>
  </si>
  <si>
    <t>2027Week41-20260904-837</t>
  </si>
  <si>
    <t>2027Week41-20260904-839</t>
  </si>
  <si>
    <t>2027Week41-20260904-846</t>
  </si>
  <si>
    <t>2027Week41-20260904-917</t>
  </si>
  <si>
    <t>2027Week41-20260907-11</t>
  </si>
  <si>
    <t>2027Week41-20260907-6</t>
  </si>
  <si>
    <t>2027Week41-20260907-7</t>
  </si>
  <si>
    <t>2027Week42-20260904-732</t>
  </si>
  <si>
    <t>2027Week42-20260904-760</t>
  </si>
  <si>
    <t>2027Week42-20260904-769</t>
  </si>
  <si>
    <t>2027Week42-20260904-809</t>
  </si>
  <si>
    <t>2027Week42-20260904-811</t>
  </si>
  <si>
    <t>2027Week42-20260904-818</t>
  </si>
  <si>
    <t>2027Week42-20260904-893</t>
  </si>
  <si>
    <t>2027Week42-20260907-11</t>
  </si>
  <si>
    <t>2027Week42-20260907-6</t>
  </si>
  <si>
    <t>2027Week42-20260907-7</t>
  </si>
  <si>
    <t>2027Week43-20260904-717</t>
  </si>
  <si>
    <t>2027Week43-20260904-744</t>
  </si>
  <si>
    <t>2027Week43-20260904-753</t>
  </si>
  <si>
    <t>2027Week43-20260904-781</t>
  </si>
  <si>
    <t>2027Week43-20260904-783</t>
  </si>
  <si>
    <t>2027Week43-20260904-790</t>
  </si>
  <si>
    <t>2027Week43-20260904-866</t>
  </si>
  <si>
    <t>2027Week43-20260907-3</t>
  </si>
  <si>
    <t>2027Week43-20260907-4</t>
  </si>
  <si>
    <t>2027Week43-20260907-8</t>
  </si>
  <si>
    <t>Week15
2026.10.10-2026.10.16</t>
  </si>
  <si>
    <t>Week16
2026.10.17-2026.10.23</t>
  </si>
  <si>
    <t>Week17
2026.10.24-2026.10.30</t>
  </si>
  <si>
    <t>Week18
2026.10.31-2026.11.6</t>
  </si>
  <si>
    <t>Week19
2026.11.7-2026.11.13</t>
  </si>
  <si>
    <t>Week20
2026.11.14-2026.11.20</t>
  </si>
  <si>
    <t>Week21
2026.11.21-2026.11.27</t>
  </si>
  <si>
    <t>Week22
2026.11.28-2026.12.4</t>
  </si>
  <si>
    <t>Week23
2026.12.5-2026.12.11</t>
  </si>
  <si>
    <t>Week24
2026.12.12-2026.12.18</t>
  </si>
  <si>
    <t>Week25
2026.12.19-2026.12.25</t>
  </si>
  <si>
    <t>Week26
2026.12.26-2027.1.1</t>
  </si>
  <si>
    <t>Week27
2027.1.2-2027.1.8</t>
  </si>
  <si>
    <t>Week28
2027.1.9-2027.1.15</t>
  </si>
  <si>
    <t>Week29
2027.1.16-2027.1.22</t>
  </si>
  <si>
    <t>Week30
2027.1.23-2027.1.29</t>
  </si>
  <si>
    <t>Week31
2027.1.30-2027.2.5</t>
  </si>
  <si>
    <t>Week32
2027.2.6-2027.2.12</t>
  </si>
  <si>
    <t>Week33
2027.2.13-2027.2.19</t>
  </si>
  <si>
    <t>Week34
2027.2.20-2027.2.26</t>
  </si>
  <si>
    <t>Week35
2027.2.27-2027.3.5</t>
  </si>
  <si>
    <t>Week36
2027.3.6-2027.3.12</t>
  </si>
  <si>
    <t>Week37
2027.3.13-2027.3.19</t>
  </si>
  <si>
    <t>Week38
2027.3.20-2027.3.26</t>
  </si>
  <si>
    <t>Week39
2027.3.27-2027.4.2</t>
  </si>
  <si>
    <t>Week40
2027.4.3-2027.4.9</t>
  </si>
  <si>
    <t>Week41
2027.4.10-2027.4.16</t>
  </si>
  <si>
    <t>Week42
2027.4.17-2027.4.23</t>
  </si>
  <si>
    <t>Week43
2027.4.24-2027.4.30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</si>
  <si>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</si>
  <si>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</si>
  <si>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</si>
  <si>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</si>
  <si>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</si>
  <si>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</si>
  <si>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</si>
  <si>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</si>
  <si>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</si>
  <si>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</si>
  <si>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</si>
  <si>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</si>
  <si>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</si>
  <si>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</si>
  <si>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</si>
  <si>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</si>
  <si>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</si>
  <si>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</si>
  <si>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</si>
  <si>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</si>
  <si>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</si>
  <si>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</si>
  <si>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</si>
  <si>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</si>
  <si>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</si>
  <si>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</si>
  <si>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</si>
  <si>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</si>
  <si>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</si>
  <si>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</si>
  <si>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H44</t>
  </si>
  <si>
    <t>H45</t>
  </si>
  <si>
    <t>H46</t>
  </si>
  <si>
    <t>I47</t>
  </si>
  <si>
    <t>I48</t>
  </si>
  <si>
    <t>I49</t>
  </si>
  <si>
    <t>I16</t>
  </si>
  <si>
    <t>I17</t>
  </si>
  <si>
    <t>I50</t>
  </si>
  <si>
    <t>I51</t>
  </si>
  <si>
    <t>I52</t>
  </si>
  <si>
    <t>I24</t>
  </si>
  <si>
    <t>I25</t>
  </si>
  <si>
    <t>I26</t>
  </si>
  <si>
    <t>I27</t>
  </si>
  <si>
    <t>I28</t>
  </si>
  <si>
    <t>I29</t>
  </si>
  <si>
    <t>I53</t>
  </si>
  <si>
    <t>I30</t>
  </si>
  <si>
    <t>I31</t>
  </si>
  <si>
    <t>I33</t>
  </si>
  <si>
    <t>I34</t>
  </si>
  <si>
    <t>I35</t>
  </si>
  <si>
    <t>I37</t>
  </si>
  <si>
    <t>I41</t>
  </si>
  <si>
    <t>I43</t>
  </si>
  <si>
    <t>I44</t>
  </si>
  <si>
    <t>I45</t>
  </si>
  <si>
    <t>J16</t>
  </si>
  <si>
    <t>J17</t>
  </si>
  <si>
    <t>J24</t>
  </si>
  <si>
    <t>J26</t>
  </si>
  <si>
    <t>J27</t>
  </si>
  <si>
    <t>J28</t>
  </si>
  <si>
    <t>J29</t>
  </si>
  <si>
    <t>J30</t>
  </si>
  <si>
    <t>J31</t>
  </si>
  <si>
    <t>J33</t>
  </si>
  <si>
    <t>J34</t>
  </si>
  <si>
    <t>J35</t>
  </si>
  <si>
    <t>J37</t>
  </si>
  <si>
    <t>J41</t>
  </si>
  <si>
    <t>J43</t>
  </si>
  <si>
    <t>J44</t>
  </si>
  <si>
    <t>J45</t>
  </si>
  <si>
    <t>K54</t>
  </si>
  <si>
    <t>K55</t>
  </si>
  <si>
    <t>K56</t>
  </si>
  <si>
    <t>K16</t>
  </si>
  <si>
    <t>K17</t>
  </si>
  <si>
    <t>K57</t>
  </si>
  <si>
    <t>K58</t>
  </si>
  <si>
    <t>K59</t>
  </si>
  <si>
    <t>K60</t>
  </si>
  <si>
    <t>K61</t>
  </si>
  <si>
    <t>K62</t>
  </si>
  <si>
    <t>K63</t>
  </si>
  <si>
    <t>K24</t>
  </si>
  <si>
    <t>K26</t>
  </si>
  <si>
    <t>K27</t>
  </si>
  <si>
    <t>K28</t>
  </si>
  <si>
    <t>K29</t>
  </si>
  <si>
    <t>K30</t>
  </si>
  <si>
    <t>K31</t>
  </si>
  <si>
    <t>K33</t>
  </si>
  <si>
    <t>K34</t>
  </si>
  <si>
    <t>K35</t>
  </si>
  <si>
    <t>K37</t>
  </si>
  <si>
    <t>K64</t>
  </si>
  <si>
    <t>K65</t>
  </si>
  <si>
    <t>K66</t>
  </si>
  <si>
    <t>K41</t>
  </si>
  <si>
    <t>K43</t>
  </si>
  <si>
    <t>K44</t>
  </si>
  <si>
    <t>K45</t>
  </si>
  <si>
    <t>K67</t>
  </si>
  <si>
    <t>L54</t>
  </si>
  <si>
    <t>L55</t>
  </si>
  <si>
    <t>L56</t>
  </si>
  <si>
    <t>L16</t>
  </si>
  <si>
    <t>L17</t>
  </si>
  <si>
    <t>L57</t>
  </si>
  <si>
    <t>L58</t>
  </si>
  <si>
    <t>L59</t>
  </si>
  <si>
    <t>L60</t>
  </si>
  <si>
    <t>L61</t>
  </si>
  <si>
    <t>L62</t>
  </si>
  <si>
    <t>L63</t>
  </si>
  <si>
    <t>L24</t>
  </si>
  <si>
    <t>L26</t>
  </si>
  <si>
    <t>L27</t>
  </si>
  <si>
    <t>L28</t>
  </si>
  <si>
    <t>L29</t>
  </si>
  <si>
    <t>L30</t>
  </si>
  <si>
    <t>L31</t>
  </si>
  <si>
    <t>L33</t>
  </si>
  <si>
    <t>L34</t>
  </si>
  <si>
    <t>L35</t>
  </si>
  <si>
    <t>L37</t>
  </si>
  <si>
    <t>L64</t>
  </si>
  <si>
    <t>L65</t>
  </si>
  <si>
    <t>L66</t>
  </si>
  <si>
    <t>L41</t>
  </si>
  <si>
    <t>L44</t>
  </si>
  <si>
    <t>L45</t>
  </si>
  <si>
    <t>L67</t>
  </si>
  <si>
    <t>L43</t>
  </si>
  <si>
    <t>M11</t>
  </si>
  <si>
    <t>M54</t>
  </si>
  <si>
    <t>M55</t>
  </si>
  <si>
    <t>M56</t>
  </si>
  <si>
    <t>M68</t>
  </si>
  <si>
    <t>M16</t>
  </si>
  <si>
    <t>M17</t>
  </si>
  <si>
    <t>M57</t>
  </si>
  <si>
    <t>M58</t>
  </si>
  <si>
    <t>M59</t>
  </si>
  <si>
    <t>M60</t>
  </si>
  <si>
    <t>M69</t>
  </si>
  <si>
    <t>M61</t>
  </si>
  <si>
    <t>M62</t>
  </si>
  <si>
    <t>M63</t>
  </si>
  <si>
    <t>M70</t>
  </si>
  <si>
    <t>M24</t>
  </si>
  <si>
    <t>M26</t>
  </si>
  <si>
    <t>M27</t>
  </si>
  <si>
    <t>M28</t>
  </si>
  <si>
    <t>M29</t>
  </si>
  <si>
    <t>M30</t>
  </si>
  <si>
    <t>M31</t>
  </si>
  <si>
    <t>M33</t>
  </si>
  <si>
    <t>M34</t>
  </si>
  <si>
    <t>M35</t>
  </si>
  <si>
    <t>M37</t>
  </si>
  <si>
    <t>M71</t>
  </si>
  <si>
    <t>M72</t>
  </si>
  <si>
    <t>M73</t>
  </si>
  <si>
    <t>M74</t>
  </si>
  <si>
    <t>M65</t>
  </si>
  <si>
    <t>M66</t>
  </si>
  <si>
    <t>M41</t>
  </si>
  <si>
    <t>M43</t>
  </si>
  <si>
    <t>M44</t>
  </si>
  <si>
    <t>M45</t>
  </si>
  <si>
    <t>M67</t>
  </si>
  <si>
    <t>N11</t>
  </si>
  <si>
    <t>N54</t>
  </si>
  <si>
    <t>N55</t>
  </si>
  <si>
    <t>N56</t>
  </si>
  <si>
    <t>N68</t>
  </si>
  <si>
    <t>N16</t>
  </si>
  <si>
    <t>N17</t>
  </si>
  <si>
    <t>N57</t>
  </si>
  <si>
    <t>N58</t>
  </si>
  <si>
    <t>N59</t>
  </si>
  <si>
    <t>N60</t>
  </si>
  <si>
    <t>N69</t>
  </si>
  <si>
    <t>N61</t>
  </si>
  <si>
    <t>N62</t>
  </si>
  <si>
    <t>N63</t>
  </si>
  <si>
    <t>N70</t>
  </si>
  <si>
    <t>N24</t>
  </si>
  <si>
    <t>N26</t>
  </si>
  <si>
    <t>N27</t>
  </si>
  <si>
    <t>N28</t>
  </si>
  <si>
    <t>N75</t>
  </si>
  <si>
    <t>N29</t>
  </si>
  <si>
    <t>N30</t>
  </si>
  <si>
    <t>N31</t>
  </si>
  <si>
    <t>N33</t>
  </si>
  <si>
    <t>N34</t>
  </si>
  <si>
    <t>N35</t>
  </si>
  <si>
    <t>N37</t>
  </si>
  <si>
    <t>N74</t>
  </si>
  <si>
    <t>N71</t>
  </si>
  <si>
    <t>N72</t>
  </si>
  <si>
    <t>N73</t>
  </si>
  <si>
    <t>N41</t>
  </si>
  <si>
    <t>N43</t>
  </si>
  <si>
    <t>N44</t>
  </si>
  <si>
    <t>N45</t>
  </si>
  <si>
    <t>N67</t>
  </si>
  <si>
    <t>O76</t>
  </si>
  <si>
    <t>O77</t>
  </si>
  <si>
    <t>O78</t>
  </si>
  <si>
    <t>O79</t>
  </si>
  <si>
    <t>O80</t>
  </si>
  <si>
    <t>O81</t>
  </si>
  <si>
    <t>O82</t>
  </si>
  <si>
    <t>O83</t>
  </si>
  <si>
    <t>O84</t>
  </si>
  <si>
    <t>O85</t>
  </si>
  <si>
    <t>O86</t>
  </si>
  <si>
    <t>O87</t>
  </si>
  <si>
    <t>O88</t>
  </si>
  <si>
    <t>O89</t>
  </si>
  <si>
    <t>O90</t>
  </si>
  <si>
    <t>O91</t>
  </si>
  <si>
    <t>O92</t>
  </si>
  <si>
    <t>O93</t>
  </si>
  <si>
    <t>O94</t>
  </si>
  <si>
    <t>O95</t>
  </si>
  <si>
    <t>O96</t>
  </si>
  <si>
    <t>O97</t>
  </si>
  <si>
    <t>O98</t>
  </si>
  <si>
    <t>O99</t>
  </si>
  <si>
    <t>O100</t>
  </si>
  <si>
    <t>O101</t>
  </si>
  <si>
    <t>O102</t>
  </si>
  <si>
    <t>O103</t>
  </si>
  <si>
    <t>O104</t>
  </si>
  <si>
    <t>O105</t>
  </si>
  <si>
    <t>O106</t>
  </si>
  <si>
    <t>O107</t>
  </si>
  <si>
    <t>O108</t>
  </si>
  <si>
    <t>O109</t>
  </si>
  <si>
    <t>O110</t>
  </si>
  <si>
    <t>O111</t>
  </si>
  <si>
    <t>O112</t>
  </si>
  <si>
    <t>O11</t>
  </si>
  <si>
    <t>O54</t>
  </si>
  <si>
    <t>O55</t>
  </si>
  <si>
    <t>O56</t>
  </si>
  <si>
    <t>O68</t>
  </si>
  <si>
    <t>O113</t>
  </si>
  <si>
    <t>O114</t>
  </si>
  <si>
    <t>O115</t>
  </si>
  <si>
    <t>O116</t>
  </si>
  <si>
    <t>O117</t>
  </si>
  <si>
    <t>O118</t>
  </si>
  <si>
    <t>O119</t>
  </si>
  <si>
    <t>O120</t>
  </si>
  <si>
    <t>O121</t>
  </si>
  <si>
    <t>O122</t>
  </si>
  <si>
    <t>O123</t>
  </si>
  <si>
    <t>O124</t>
  </si>
  <si>
    <t>O125</t>
  </si>
  <si>
    <t>O126</t>
  </si>
  <si>
    <t>O127</t>
  </si>
  <si>
    <t>O128</t>
  </si>
  <si>
    <t>O129</t>
  </si>
  <si>
    <t>O130</t>
  </si>
  <si>
    <t>O131</t>
  </si>
  <si>
    <t>O132</t>
  </si>
  <si>
    <t>O133</t>
  </si>
  <si>
    <t>O134</t>
  </si>
  <si>
    <t>O135</t>
  </si>
  <si>
    <t>O136</t>
  </si>
  <si>
    <t>O137</t>
  </si>
  <si>
    <t>O138</t>
  </si>
  <si>
    <t>O139</t>
  </si>
  <si>
    <t>O140</t>
  </si>
  <si>
    <t>O141</t>
  </si>
  <si>
    <t>O142</t>
  </si>
  <si>
    <t>O143</t>
  </si>
  <si>
    <t>O144</t>
  </si>
  <si>
    <t>O145</t>
  </si>
  <si>
    <t>O146</t>
  </si>
  <si>
    <t>O147</t>
  </si>
  <si>
    <t>O148</t>
  </si>
  <si>
    <t>O149</t>
  </si>
  <si>
    <t>O150</t>
  </si>
  <si>
    <t>O151</t>
  </si>
  <si>
    <t>O16</t>
  </si>
  <si>
    <t>O152</t>
  </si>
  <si>
    <t>O153</t>
  </si>
  <si>
    <t>O154</t>
  </si>
  <si>
    <t>O155</t>
  </si>
  <si>
    <t>O156</t>
  </si>
  <si>
    <t>O157</t>
  </si>
  <si>
    <t>O158</t>
  </si>
  <si>
    <t>O159</t>
  </si>
  <si>
    <t>O17</t>
  </si>
  <si>
    <t>O160</t>
  </si>
  <si>
    <t>O161</t>
  </si>
  <si>
    <t>O162</t>
  </si>
  <si>
    <t>O163</t>
  </si>
  <si>
    <t>O164</t>
  </si>
  <si>
    <t>O165</t>
  </si>
  <si>
    <t>O166</t>
  </si>
  <si>
    <t>O167</t>
  </si>
  <si>
    <t>O168</t>
  </si>
  <si>
    <t>O169</t>
  </si>
  <si>
    <t>O170</t>
  </si>
  <si>
    <t>O171</t>
  </si>
  <si>
    <t>O172</t>
  </si>
  <si>
    <t>O173</t>
  </si>
  <si>
    <t>O58</t>
  </si>
  <si>
    <t>O59</t>
  </si>
  <si>
    <t>O60</t>
  </si>
  <si>
    <t>O69</t>
  </si>
  <si>
    <t>O174</t>
  </si>
  <si>
    <t>O175</t>
  </si>
  <si>
    <t>O176</t>
  </si>
  <si>
    <t>O61</t>
  </si>
  <si>
    <t>O62</t>
  </si>
  <si>
    <t>O63</t>
  </si>
  <si>
    <t>O70</t>
  </si>
  <si>
    <t>O177</t>
  </si>
  <si>
    <t>O24</t>
  </si>
  <si>
    <t>O178</t>
  </si>
  <si>
    <t>O26</t>
  </si>
  <si>
    <t>O27</t>
  </si>
  <si>
    <t>O179</t>
  </si>
  <si>
    <t>O180</t>
  </si>
  <si>
    <t>O181</t>
  </si>
  <si>
    <t>O182</t>
  </si>
  <si>
    <t>O183</t>
  </si>
  <si>
    <t>O28</t>
  </si>
  <si>
    <t>O75</t>
  </si>
  <si>
    <t>O29</t>
  </si>
  <si>
    <t>O30</t>
  </si>
  <si>
    <t>O31</t>
  </si>
  <si>
    <t>O37</t>
  </si>
  <si>
    <t>O33</t>
  </si>
  <si>
    <t>O34</t>
  </si>
  <si>
    <t>O35</t>
  </si>
  <si>
    <t>O184</t>
  </si>
  <si>
    <t>O185</t>
  </si>
  <si>
    <t>O186</t>
  </si>
  <si>
    <t>O187</t>
  </si>
  <si>
    <t>O188</t>
  </si>
  <si>
    <t>O73</t>
  </si>
  <si>
    <t>O72</t>
  </si>
  <si>
    <t>O74</t>
  </si>
  <si>
    <t>O66</t>
  </si>
  <si>
    <t>O189</t>
  </si>
  <si>
    <t>O71</t>
  </si>
  <si>
    <t>O190</t>
  </si>
  <si>
    <t>O191</t>
  </si>
  <si>
    <t>O192</t>
  </si>
  <si>
    <t>O193</t>
  </si>
  <si>
    <t>O194</t>
  </si>
  <si>
    <t>O41</t>
  </si>
  <si>
    <t>O43</t>
  </si>
  <si>
    <t>O44</t>
  </si>
  <si>
    <t>O45</t>
  </si>
  <si>
    <t>O195</t>
  </si>
  <si>
    <t>O196</t>
  </si>
  <si>
    <t>O197</t>
  </si>
  <si>
    <t>O67</t>
  </si>
  <si>
    <t>O198</t>
  </si>
  <si>
    <t>O199</t>
  </si>
  <si>
    <t>P76</t>
  </si>
  <si>
    <t>P77</t>
  </si>
  <si>
    <t>P78</t>
  </si>
  <si>
    <t>P79</t>
  </si>
  <si>
    <t>P80</t>
  </si>
  <si>
    <t>P81</t>
  </si>
  <si>
    <t>P82</t>
  </si>
  <si>
    <t>P83</t>
  </si>
  <si>
    <t>P87</t>
  </si>
  <si>
    <t>P88</t>
  </si>
  <si>
    <t>P89</t>
  </si>
  <si>
    <t>P90</t>
  </si>
  <si>
    <t>P91</t>
  </si>
  <si>
    <t>P92</t>
  </si>
  <si>
    <t>P93</t>
  </si>
  <si>
    <t>P94</t>
  </si>
  <si>
    <t>P95</t>
  </si>
  <si>
    <t>P96</t>
  </si>
  <si>
    <t>P97</t>
  </si>
  <si>
    <t>P98</t>
  </si>
  <si>
    <t>P99</t>
  </si>
  <si>
    <t>P100</t>
  </si>
  <si>
    <t>P101</t>
  </si>
  <si>
    <t>P102</t>
  </si>
  <si>
    <t>P103</t>
  </si>
  <si>
    <t>P104</t>
  </si>
  <si>
    <t>P105</t>
  </si>
  <si>
    <t>P106</t>
  </si>
  <si>
    <t>P107</t>
  </si>
  <si>
    <t>P108</t>
  </si>
  <si>
    <t>P109</t>
  </si>
  <si>
    <t>P110</t>
  </si>
  <si>
    <t>P111</t>
  </si>
  <si>
    <t>P112</t>
  </si>
  <si>
    <t>P84</t>
  </si>
  <si>
    <t>P85</t>
  </si>
  <si>
    <t>P86</t>
  </si>
  <si>
    <t>P11</t>
  </si>
  <si>
    <t>P54</t>
  </si>
  <si>
    <t>P55</t>
  </si>
  <si>
    <t>P56</t>
  </si>
  <si>
    <t>P68</t>
  </si>
  <si>
    <t>P113</t>
  </si>
  <si>
    <t>P114</t>
  </si>
  <si>
    <t>P115</t>
  </si>
  <si>
    <t>P116</t>
  </si>
  <si>
    <t>P117</t>
  </si>
  <si>
    <t>P118</t>
  </si>
  <si>
    <t>P119</t>
  </si>
  <si>
    <t>P120</t>
  </si>
  <si>
    <t>P121</t>
  </si>
  <si>
    <t>P122</t>
  </si>
  <si>
    <t>P123</t>
  </si>
  <si>
    <t>P124</t>
  </si>
  <si>
    <t>P125</t>
  </si>
  <si>
    <t>P126</t>
  </si>
  <si>
    <t>P127</t>
  </si>
  <si>
    <t>P128</t>
  </si>
  <si>
    <t>P129</t>
  </si>
  <si>
    <t>P130</t>
  </si>
  <si>
    <t>P131</t>
  </si>
  <si>
    <t>P132</t>
  </si>
  <si>
    <t>P133</t>
  </si>
  <si>
    <t>P134</t>
  </si>
  <si>
    <t>P135</t>
  </si>
  <si>
    <t>P136</t>
  </si>
  <si>
    <t>P137</t>
  </si>
  <si>
    <t>P138</t>
  </si>
  <si>
    <t>P139</t>
  </si>
  <si>
    <t>P140</t>
  </si>
  <si>
    <t>P141</t>
  </si>
  <si>
    <t>P142</t>
  </si>
  <si>
    <t>P143</t>
  </si>
  <si>
    <t>P144</t>
  </si>
  <si>
    <t>P149</t>
  </si>
  <si>
    <t>P150</t>
  </si>
  <si>
    <t>P151</t>
  </si>
  <si>
    <t>P16</t>
  </si>
  <si>
    <t>P152</t>
  </si>
  <si>
    <t>P153</t>
  </si>
  <si>
    <t>P154</t>
  </si>
  <si>
    <t>P155</t>
  </si>
  <si>
    <t>P156</t>
  </si>
  <si>
    <t>P157</t>
  </si>
  <si>
    <t>P158</t>
  </si>
  <si>
    <t>P159</t>
  </si>
  <si>
    <t>P17</t>
  </si>
  <si>
    <t>P160</t>
  </si>
  <si>
    <t>P161</t>
  </si>
  <si>
    <t>P162</t>
  </si>
  <si>
    <t>P163</t>
  </si>
  <si>
    <t>P164</t>
  </si>
  <si>
    <t>P165</t>
  </si>
  <si>
    <t>P166</t>
  </si>
  <si>
    <t>P167</t>
  </si>
  <si>
    <t>P168</t>
  </si>
  <si>
    <t>P169</t>
  </si>
  <si>
    <t>P170</t>
  </si>
  <si>
    <t>P171</t>
  </si>
  <si>
    <t>P172</t>
  </si>
  <si>
    <t>P173</t>
  </si>
  <si>
    <t>P145</t>
  </si>
  <si>
    <t>P146</t>
  </si>
  <si>
    <t>P147</t>
  </si>
  <si>
    <t>P148</t>
  </si>
  <si>
    <t>P58</t>
  </si>
  <si>
    <t>P59</t>
  </si>
  <si>
    <t>P60</t>
  </si>
  <si>
    <t>P69</t>
  </si>
  <si>
    <t>P174</t>
  </si>
  <si>
    <t>P175</t>
  </si>
  <si>
    <t>P176</t>
  </si>
  <si>
    <t>P61</t>
  </si>
  <si>
    <t>P62</t>
  </si>
  <si>
    <t>P63</t>
  </si>
  <si>
    <t>P70</t>
  </si>
  <si>
    <t>P177</t>
  </si>
  <si>
    <t>P24</t>
  </si>
  <si>
    <t>P178</t>
  </si>
  <si>
    <t>P26</t>
  </si>
  <si>
    <t>P27</t>
  </si>
  <si>
    <t>P179</t>
  </si>
  <si>
    <t>P180</t>
  </si>
  <si>
    <t>P181</t>
  </si>
  <si>
    <t>P182</t>
  </si>
  <si>
    <t>P183</t>
  </si>
  <si>
    <t>P28</t>
  </si>
  <si>
    <t>P75</t>
  </si>
  <si>
    <t>P29</t>
  </si>
  <si>
    <t>P30</t>
  </si>
  <si>
    <t>P31</t>
  </si>
  <si>
    <t>P37</t>
  </si>
  <si>
    <t>P35</t>
  </si>
  <si>
    <t>P184</t>
  </si>
  <si>
    <t>P185</t>
  </si>
  <si>
    <t>P186</t>
  </si>
  <si>
    <t>P187</t>
  </si>
  <si>
    <t>P188</t>
  </si>
  <si>
    <t>P34</t>
  </si>
  <si>
    <t>P73</t>
  </si>
  <si>
    <t>P72</t>
  </si>
  <si>
    <t>P74</t>
  </si>
  <si>
    <t>P66</t>
  </si>
  <si>
    <t>P189</t>
  </si>
  <si>
    <t>P71</t>
  </si>
  <si>
    <t>P190</t>
  </si>
  <si>
    <t>P191</t>
  </si>
  <si>
    <t>P192</t>
  </si>
  <si>
    <t>P193</t>
  </si>
  <si>
    <t>P194</t>
  </si>
  <si>
    <t>P41</t>
  </si>
  <si>
    <t>P45</t>
  </si>
  <si>
    <t>P195</t>
  </si>
  <si>
    <t>P196</t>
  </si>
  <si>
    <t>P197</t>
  </si>
  <si>
    <t>P67</t>
  </si>
  <si>
    <t>P198</t>
  </si>
  <si>
    <t>P199</t>
  </si>
  <si>
    <t>P44</t>
  </si>
  <si>
    <t>Q76</t>
  </si>
  <si>
    <t>Q77</t>
  </si>
  <si>
    <t>Q78</t>
  </si>
  <si>
    <t>Q79</t>
  </si>
  <si>
    <t>Q80</t>
  </si>
  <si>
    <t>Q81</t>
  </si>
  <si>
    <t>Q82</t>
  </si>
  <si>
    <t>Q83</t>
  </si>
  <si>
    <t>Q87</t>
  </si>
  <si>
    <t>Q88</t>
  </si>
  <si>
    <t>Q89</t>
  </si>
  <si>
    <t>Q90</t>
  </si>
  <si>
    <t>Q91</t>
  </si>
  <si>
    <t>Q92</t>
  </si>
  <si>
    <t>Q93</t>
  </si>
  <si>
    <t>Q94</t>
  </si>
  <si>
    <t>Q95</t>
  </si>
  <si>
    <t>Q96</t>
  </si>
  <si>
    <t>Q97</t>
  </si>
  <si>
    <t>Q98</t>
  </si>
  <si>
    <t>Q99</t>
  </si>
  <si>
    <t>Q100</t>
  </si>
  <si>
    <t>Q101</t>
  </si>
  <si>
    <t>Q102</t>
  </si>
  <si>
    <t>Q103</t>
  </si>
  <si>
    <t>Q104</t>
  </si>
  <si>
    <t>Q105</t>
  </si>
  <si>
    <t>Q106</t>
  </si>
  <si>
    <t>Q107</t>
  </si>
  <si>
    <t>Q108</t>
  </si>
  <si>
    <t>Q109</t>
  </si>
  <si>
    <t>Q110</t>
  </si>
  <si>
    <t>Q111</t>
  </si>
  <si>
    <t>Q112</t>
  </si>
  <si>
    <t>Q84</t>
  </si>
  <si>
    <t>Q85</t>
  </si>
  <si>
    <t>Q86</t>
  </si>
  <si>
    <t>Q11</t>
  </si>
  <si>
    <t>Q54</t>
  </si>
  <si>
    <t>Q55</t>
  </si>
  <si>
    <t>Q56</t>
  </si>
  <si>
    <t>Q68</t>
  </si>
  <si>
    <t>Q113</t>
  </si>
  <si>
    <t>Q114</t>
  </si>
  <si>
    <t>Q115</t>
  </si>
  <si>
    <t>Q116</t>
  </si>
  <si>
    <t>Q117</t>
  </si>
  <si>
    <t>Q118</t>
  </si>
  <si>
    <t>Q119</t>
  </si>
  <si>
    <t>Q120</t>
  </si>
  <si>
    <t>Q121</t>
  </si>
  <si>
    <t>Q122</t>
  </si>
  <si>
    <t>Q123</t>
  </si>
  <si>
    <t>Q124</t>
  </si>
  <si>
    <t>Q125</t>
  </si>
  <si>
    <t>Q126</t>
  </si>
  <si>
    <t>Q128</t>
  </si>
  <si>
    <t>Q127</t>
  </si>
  <si>
    <t>Q129</t>
  </si>
  <si>
    <t>Q130</t>
  </si>
  <si>
    <t>Q131</t>
  </si>
  <si>
    <t>Q132</t>
  </si>
  <si>
    <t>Q133</t>
  </si>
  <si>
    <t>Q134</t>
  </si>
  <si>
    <t>Q135</t>
  </si>
  <si>
    <t>Q136</t>
  </si>
  <si>
    <t>Q137</t>
  </si>
  <si>
    <t>Q138</t>
  </si>
  <si>
    <t>Q139</t>
  </si>
  <si>
    <t>Q140</t>
  </si>
  <si>
    <t>Q141</t>
  </si>
  <si>
    <t>Q142</t>
  </si>
  <si>
    <t>Q143</t>
  </si>
  <si>
    <t>Q144</t>
  </si>
  <si>
    <t>Q149</t>
  </si>
  <si>
    <t>Q150</t>
  </si>
  <si>
    <t>Q151</t>
  </si>
  <si>
    <t>Q16</t>
  </si>
  <si>
    <t>Q152</t>
  </si>
  <si>
    <t>Q153</t>
  </si>
  <si>
    <t>Q154</t>
  </si>
  <si>
    <t>Q155</t>
  </si>
  <si>
    <t>Q156</t>
  </si>
  <si>
    <t>Q157</t>
  </si>
  <si>
    <t>Q158</t>
  </si>
  <si>
    <t>Q159</t>
  </si>
  <si>
    <t>Q17</t>
  </si>
  <si>
    <t>Q160</t>
  </si>
  <si>
    <t>Q161</t>
  </si>
  <si>
    <t>Q162</t>
  </si>
  <si>
    <t>Q163</t>
  </si>
  <si>
    <t>Q164</t>
  </si>
  <si>
    <t>Q165</t>
  </si>
  <si>
    <t>Q166</t>
  </si>
  <si>
    <t>Q167</t>
  </si>
  <si>
    <t>Q168</t>
  </si>
  <si>
    <t>Q169</t>
  </si>
  <si>
    <t>Q170</t>
  </si>
  <si>
    <t>Q171</t>
  </si>
  <si>
    <t>Q172</t>
  </si>
  <si>
    <t>Q173</t>
  </si>
  <si>
    <t>Q145</t>
  </si>
  <si>
    <t>Q146</t>
  </si>
  <si>
    <t>Q147</t>
  </si>
  <si>
    <t>Q148</t>
  </si>
  <si>
    <t>Q58</t>
  </si>
  <si>
    <t>Q59</t>
  </si>
  <si>
    <t>Q60</t>
  </si>
  <si>
    <t>Q69</t>
  </si>
  <si>
    <t>Q176</t>
  </si>
  <si>
    <t>Q174</t>
  </si>
  <si>
    <t>Q175</t>
  </si>
  <si>
    <t>Q61</t>
  </si>
  <si>
    <t>Q62</t>
  </si>
  <si>
    <t>Q63</t>
  </si>
  <si>
    <t>Q70</t>
  </si>
  <si>
    <t>Q177</t>
  </si>
  <si>
    <t>Q24</t>
  </si>
  <si>
    <t>Q178</t>
  </si>
  <si>
    <t>Q26</t>
  </si>
  <si>
    <t>Q27</t>
  </si>
  <si>
    <t>Q179</t>
  </si>
  <si>
    <t>Q180</t>
  </si>
  <si>
    <t>Q181</t>
  </si>
  <si>
    <t>Q182</t>
  </si>
  <si>
    <t>Q183</t>
  </si>
  <si>
    <t>Q28</t>
  </si>
  <si>
    <t>Q75</t>
  </si>
  <si>
    <t>Q29</t>
  </si>
  <si>
    <t>Q30</t>
  </si>
  <si>
    <t>Q31</t>
  </si>
  <si>
    <t>Q37</t>
  </si>
  <si>
    <t>Q35</t>
  </si>
  <si>
    <t>Q184</t>
  </si>
  <si>
    <t>Q185</t>
  </si>
  <si>
    <t>Q186</t>
  </si>
  <si>
    <t>Q187</t>
  </si>
  <si>
    <t>Q188</t>
  </si>
  <si>
    <t>Q34</t>
  </si>
  <si>
    <t>Q73</t>
  </si>
  <si>
    <t>Q72</t>
  </si>
  <si>
    <t>Q74</t>
  </si>
  <si>
    <t>Q66</t>
  </si>
  <si>
    <t>Q189</t>
  </si>
  <si>
    <t>Q71</t>
  </si>
  <si>
    <t>Q190</t>
  </si>
  <si>
    <t>Q191</t>
  </si>
  <si>
    <t>Q192</t>
  </si>
  <si>
    <t>Q193</t>
  </si>
  <si>
    <t>Q194</t>
  </si>
  <si>
    <t>Q41</t>
  </si>
  <si>
    <t>Q45</t>
  </si>
  <si>
    <t>Q195</t>
  </si>
  <si>
    <t>Q196</t>
  </si>
  <si>
    <t>Q197</t>
  </si>
  <si>
    <t>Q67</t>
  </si>
  <si>
    <t>Q198</t>
  </si>
  <si>
    <t>Q199</t>
  </si>
  <si>
    <t>Q44</t>
  </si>
  <si>
    <t>R76</t>
  </si>
  <si>
    <t>R77</t>
  </si>
  <si>
    <t>R78</t>
  </si>
  <si>
    <t>R79</t>
  </si>
  <si>
    <t>R80</t>
  </si>
  <si>
    <t>R81</t>
  </si>
  <si>
    <t>R82</t>
  </si>
  <si>
    <t>R83</t>
  </si>
  <si>
    <t>R85</t>
  </si>
  <si>
    <t>R86</t>
  </si>
  <si>
    <t>R87</t>
  </si>
  <si>
    <t>R88</t>
  </si>
  <si>
    <t>R89</t>
  </si>
  <si>
    <t>R90</t>
  </si>
  <si>
    <t>R91</t>
  </si>
  <si>
    <t>R92</t>
  </si>
  <si>
    <t>R93</t>
  </si>
  <si>
    <t>R94</t>
  </si>
  <si>
    <t>R95</t>
  </si>
  <si>
    <t>R96</t>
  </si>
  <si>
    <t>R97</t>
  </si>
  <si>
    <t>R98</t>
  </si>
  <si>
    <t>R99</t>
  </si>
  <si>
    <t>R100</t>
  </si>
  <si>
    <t>R101</t>
  </si>
  <si>
    <t>R102</t>
  </si>
  <si>
    <t>R103</t>
  </si>
  <si>
    <t>R104</t>
  </si>
  <si>
    <t>R105</t>
  </si>
  <si>
    <t>R106</t>
  </si>
  <si>
    <t>R107</t>
  </si>
  <si>
    <t>R108</t>
  </si>
  <si>
    <t>R109</t>
  </si>
  <si>
    <t>R110</t>
  </si>
  <si>
    <t>R111</t>
  </si>
  <si>
    <t>R112</t>
  </si>
  <si>
    <t>R84</t>
  </si>
  <si>
    <t>R11</t>
  </si>
  <si>
    <t>R54</t>
  </si>
  <si>
    <t>R55</t>
  </si>
  <si>
    <t>R56</t>
  </si>
  <si>
    <t>R68</t>
  </si>
  <si>
    <t>R113</t>
  </si>
  <si>
    <t>R114</t>
  </si>
  <si>
    <t>R115</t>
  </si>
  <si>
    <t>R116</t>
  </si>
  <si>
    <t>R117</t>
  </si>
  <si>
    <t>R118</t>
  </si>
  <si>
    <t>R119</t>
  </si>
  <si>
    <t>R120</t>
  </si>
  <si>
    <t>R121</t>
  </si>
  <si>
    <t>R122</t>
  </si>
  <si>
    <t>R123</t>
  </si>
  <si>
    <t>R124</t>
  </si>
  <si>
    <t>R125</t>
  </si>
  <si>
    <t>R126</t>
  </si>
  <si>
    <t>R128</t>
  </si>
  <si>
    <t>R127</t>
  </si>
  <si>
    <t>R129</t>
  </si>
  <si>
    <t>R130</t>
  </si>
  <si>
    <t>R131</t>
  </si>
  <si>
    <t>R132</t>
  </si>
  <si>
    <t>R133</t>
  </si>
  <si>
    <t>R134</t>
  </si>
  <si>
    <t>R135</t>
  </si>
  <si>
    <t>R136</t>
  </si>
  <si>
    <t>R137</t>
  </si>
  <si>
    <t>R138</t>
  </si>
  <si>
    <t>R139</t>
  </si>
  <si>
    <t>R140</t>
  </si>
  <si>
    <t>R141</t>
  </si>
  <si>
    <t>R142</t>
  </si>
  <si>
    <t>R143</t>
  </si>
  <si>
    <t>R144</t>
  </si>
  <si>
    <t>R147</t>
  </si>
  <si>
    <t>R148</t>
  </si>
  <si>
    <t>R149</t>
  </si>
  <si>
    <t>R150</t>
  </si>
  <si>
    <t>R151</t>
  </si>
  <si>
    <t>R16</t>
  </si>
  <si>
    <t>R152</t>
  </si>
  <si>
    <t>R153</t>
  </si>
  <si>
    <t>R154</t>
  </si>
  <si>
    <t>R155</t>
  </si>
  <si>
    <t>R156</t>
  </si>
  <si>
    <t>R157</t>
  </si>
  <si>
    <t>R158</t>
  </si>
  <si>
    <t>R159</t>
  </si>
  <si>
    <t>R17</t>
  </si>
  <si>
    <t>R160</t>
  </si>
  <si>
    <t>R161</t>
  </si>
  <si>
    <t>R162</t>
  </si>
  <si>
    <t>R163</t>
  </si>
  <si>
    <t>R164</t>
  </si>
  <si>
    <t>R165</t>
  </si>
  <si>
    <t>R166</t>
  </si>
  <si>
    <t>R167</t>
  </si>
  <si>
    <t>R168</t>
  </si>
  <si>
    <t>R169</t>
  </si>
  <si>
    <t>R170</t>
  </si>
  <si>
    <t>R171</t>
  </si>
  <si>
    <t>R172</t>
  </si>
  <si>
    <t>R173</t>
  </si>
  <si>
    <t>R145</t>
  </si>
  <si>
    <t>R146</t>
  </si>
  <si>
    <t>R58</t>
  </si>
  <si>
    <t>R59</t>
  </si>
  <si>
    <t>R60</t>
  </si>
  <si>
    <t>R69</t>
  </si>
  <si>
    <t>R176</t>
  </si>
  <si>
    <t>R174</t>
  </si>
  <si>
    <t>R175</t>
  </si>
  <si>
    <t>R61</t>
  </si>
  <si>
    <t>R62</t>
  </si>
  <si>
    <t>R63</t>
  </si>
  <si>
    <t>R70</t>
  </si>
  <si>
    <t>R177</t>
  </si>
  <si>
    <t>R24</t>
  </si>
  <si>
    <t>R178</t>
  </si>
  <si>
    <t>R27</t>
  </si>
  <si>
    <t>R26</t>
  </si>
  <si>
    <t>R179</t>
  </si>
  <si>
    <t>R180</t>
  </si>
  <si>
    <t>R181</t>
  </si>
  <si>
    <t>R182</t>
  </si>
  <si>
    <t>R183</t>
  </si>
  <si>
    <t>R28</t>
  </si>
  <si>
    <t>R75</t>
  </si>
  <si>
    <t>R29</t>
  </si>
  <si>
    <t>R30</t>
  </si>
  <si>
    <t>R31</t>
  </si>
  <si>
    <t>R37</t>
  </si>
  <si>
    <t>R35</t>
  </si>
  <si>
    <t>R184</t>
  </si>
  <si>
    <t>R185</t>
  </si>
  <si>
    <t>R186</t>
  </si>
  <si>
    <t>R187</t>
  </si>
  <si>
    <t>R188</t>
  </si>
  <si>
    <t>R34</t>
  </si>
  <si>
    <t>R72</t>
  </si>
  <si>
    <t>R74</t>
  </si>
  <si>
    <t>R66</t>
  </si>
  <si>
    <t>R189</t>
  </si>
  <si>
    <t>R71</t>
  </si>
  <si>
    <t>R73</t>
  </si>
  <si>
    <t>R190</t>
  </si>
  <si>
    <t>R191</t>
  </si>
  <si>
    <t>R192</t>
  </si>
  <si>
    <t>R193</t>
  </si>
  <si>
    <t>R194</t>
  </si>
  <si>
    <t>R41</t>
  </si>
  <si>
    <t>R45</t>
  </si>
  <si>
    <t>R195</t>
  </si>
  <si>
    <t>R196</t>
  </si>
  <si>
    <t>R197</t>
  </si>
  <si>
    <t>R67</t>
  </si>
  <si>
    <t>R198</t>
  </si>
  <si>
    <t>R199</t>
  </si>
  <si>
    <t>R44</t>
  </si>
  <si>
    <t>S76</t>
  </si>
  <si>
    <t>S77</t>
  </si>
  <si>
    <t>S78</t>
  </si>
  <si>
    <t>S79</t>
  </si>
  <si>
    <t>S80</t>
  </si>
  <si>
    <t>S81</t>
  </si>
  <si>
    <t>S82</t>
  </si>
  <si>
    <t>S83</t>
  </si>
  <si>
    <t>S97</t>
  </si>
  <si>
    <t>S98</t>
  </si>
  <si>
    <t>S99</t>
  </si>
  <si>
    <t>S100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</si>
  <si>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</si>
  <si>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</si>
  <si>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</si>
  <si>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</si>
  <si>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</si>
  <si>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</si>
  <si>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</si>
  <si>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</si>
  <si>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</si>
  <si>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</si>
  <si>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</si>
  <si>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</si>
  <si>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S84</t>
  </si>
  <si>
    <t>S85</t>
  </si>
  <si>
    <t>S86</t>
  </si>
  <si>
    <t>S87</t>
  </si>
  <si>
    <t>S88</t>
  </si>
  <si>
    <t>S89</t>
  </si>
  <si>
    <t>S90</t>
  </si>
  <si>
    <t>S91</t>
  </si>
  <si>
    <t>S92</t>
  </si>
  <si>
    <t>S93</t>
  </si>
  <si>
    <t>S94</t>
  </si>
  <si>
    <t>S95</t>
  </si>
  <si>
    <t>S96</t>
  </si>
  <si>
    <t>S11</t>
  </si>
  <si>
    <t>S54</t>
  </si>
  <si>
    <t>S200</t>
  </si>
  <si>
    <t>S55</t>
  </si>
  <si>
    <t>S56</t>
  </si>
  <si>
    <t>S68</t>
  </si>
  <si>
    <t>S201</t>
  </si>
  <si>
    <t>S202</t>
  </si>
  <si>
    <t>S203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</si>
  <si>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</si>
  <si>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</si>
  <si>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</si>
  <si>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</si>
  <si>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</si>
  <si>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</si>
  <si>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</si>
  <si>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</si>
  <si>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</si>
  <si>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</si>
  <si>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</si>
  <si>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</si>
  <si>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</si>
  <si>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</si>
  <si>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</si>
  <si>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S128</t>
  </si>
  <si>
    <t>S129</t>
  </si>
  <si>
    <t>S130</t>
  </si>
  <si>
    <t>S131</t>
  </si>
  <si>
    <t>S132</t>
  </si>
  <si>
    <t>S133</t>
  </si>
  <si>
    <t>S134</t>
  </si>
  <si>
    <t>S135</t>
  </si>
  <si>
    <t>S136</t>
  </si>
  <si>
    <t>S137</t>
  </si>
  <si>
    <t>S138</t>
  </si>
  <si>
    <t>S139</t>
  </si>
  <si>
    <t>S140</t>
  </si>
  <si>
    <t>S141</t>
  </si>
  <si>
    <t>S142</t>
  </si>
  <si>
    <t>S143</t>
  </si>
  <si>
    <t>S144</t>
  </si>
  <si>
    <t>S159</t>
  </si>
  <si>
    <t>S17</t>
  </si>
  <si>
    <t>S160</t>
  </si>
  <si>
    <t>S161</t>
  </si>
  <si>
    <t>S162</t>
  </si>
  <si>
    <t>S163</t>
  </si>
  <si>
    <t>S164</t>
  </si>
  <si>
    <t>S165</t>
  </si>
  <si>
    <t>S166</t>
  </si>
  <si>
    <t>S167</t>
  </si>
  <si>
    <t>S168</t>
  </si>
  <si>
    <t>S169</t>
  </si>
  <si>
    <t>S170</t>
  </si>
  <si>
    <t>S171</t>
  </si>
  <si>
    <t>S172</t>
  </si>
  <si>
    <t>S173</t>
  </si>
  <si>
    <t>S145</t>
  </si>
  <si>
    <t>S146</t>
  </si>
  <si>
    <t>S147</t>
  </si>
  <si>
    <t>S148</t>
  </si>
  <si>
    <t>S149</t>
  </si>
  <si>
    <t>S150</t>
  </si>
  <si>
    <t>S151</t>
  </si>
  <si>
    <t>S16</t>
  </si>
  <si>
    <t>S152</t>
  </si>
  <si>
    <t>S153</t>
  </si>
  <si>
    <t>S154</t>
  </si>
  <si>
    <t>S155</t>
  </si>
  <si>
    <t>S156</t>
  </si>
  <si>
    <t>S157</t>
  </si>
  <si>
    <t>S158</t>
  </si>
  <si>
    <t>S58</t>
  </si>
  <si>
    <t>S59</t>
  </si>
  <si>
    <t>S204</t>
  </si>
  <si>
    <t>S60</t>
  </si>
  <si>
    <t>S69</t>
  </si>
  <si>
    <t>S205</t>
  </si>
  <si>
    <t>S206</t>
  </si>
  <si>
    <t>S207</t>
  </si>
  <si>
    <t>S174</t>
  </si>
  <si>
    <t>S175</t>
  </si>
  <si>
    <t>S176</t>
  </si>
  <si>
    <t>S61</t>
  </si>
  <si>
    <t>S62</t>
  </si>
  <si>
    <t>S208</t>
  </si>
  <si>
    <t>S63</t>
  </si>
  <si>
    <t>S70</t>
  </si>
  <si>
    <t>S209</t>
  </si>
  <si>
    <t>S210</t>
  </si>
  <si>
    <t>S211</t>
  </si>
  <si>
    <t>S212</t>
  </si>
  <si>
    <t>S177</t>
  </si>
  <si>
    <t>S24</t>
  </si>
  <si>
    <t>S178</t>
  </si>
  <si>
    <t>S213</t>
  </si>
  <si>
    <t>S26</t>
  </si>
  <si>
    <t>S27</t>
  </si>
  <si>
    <t>S179</t>
  </si>
  <si>
    <t>S180</t>
  </si>
  <si>
    <t>S181</t>
  </si>
  <si>
    <t>S182</t>
  </si>
  <si>
    <t>S183</t>
  </si>
  <si>
    <t>S28</t>
  </si>
  <si>
    <t>S75</t>
  </si>
  <si>
    <t>S29</t>
  </si>
  <si>
    <t>S214</t>
  </si>
  <si>
    <t>S30</t>
  </si>
  <si>
    <t>S31</t>
  </si>
  <si>
    <t>S215</t>
  </si>
  <si>
    <t>S37</t>
  </si>
  <si>
    <t>S35</t>
  </si>
  <si>
    <t>S184</t>
  </si>
  <si>
    <t>S185</t>
  </si>
  <si>
    <t>S186</t>
  </si>
  <si>
    <t>S216</t>
  </si>
  <si>
    <t>S217</t>
  </si>
  <si>
    <t>S218</t>
  </si>
  <si>
    <t>S187</t>
  </si>
  <si>
    <t>S188</t>
  </si>
  <si>
    <t>S34</t>
  </si>
  <si>
    <t>S219</t>
  </si>
  <si>
    <t>S220</t>
  </si>
  <si>
    <t>S71</t>
  </si>
  <si>
    <t>S73</t>
  </si>
  <si>
    <t>S72</t>
  </si>
  <si>
    <t>S74</t>
  </si>
  <si>
    <t>S66</t>
  </si>
  <si>
    <t>S189</t>
  </si>
  <si>
    <t>S221</t>
  </si>
  <si>
    <t>S222</t>
  </si>
  <si>
    <t>S223</t>
  </si>
  <si>
    <t>S224</t>
  </si>
  <si>
    <t>S225</t>
  </si>
  <si>
    <t>S226</t>
  </si>
  <si>
    <t>S227</t>
  </si>
  <si>
    <t>S228</t>
  </si>
  <si>
    <t>S229</t>
  </si>
  <si>
    <t>S230</t>
  </si>
  <si>
    <t>S231</t>
  </si>
  <si>
    <t>S232</t>
  </si>
  <si>
    <t>S233</t>
  </si>
  <si>
    <t>S234</t>
  </si>
  <si>
    <t>S235</t>
  </si>
  <si>
    <t>S236</t>
  </si>
  <si>
    <t>S237</t>
  </si>
  <si>
    <t>S238</t>
  </si>
  <si>
    <t>S239</t>
  </si>
  <si>
    <t>S240</t>
  </si>
  <si>
    <t>S241</t>
  </si>
  <si>
    <t>S242</t>
  </si>
  <si>
    <t>S243</t>
  </si>
  <si>
    <t>S190</t>
  </si>
  <si>
    <t>S191</t>
  </si>
  <si>
    <t>S192</t>
  </si>
  <si>
    <t>S193</t>
  </si>
  <si>
    <t>S194</t>
  </si>
  <si>
    <t>S41</t>
  </si>
  <si>
    <t>S244</t>
  </si>
  <si>
    <t>S45</t>
  </si>
  <si>
    <t>S195</t>
  </si>
  <si>
    <t>S196</t>
  </si>
  <si>
    <t>S197</t>
  </si>
  <si>
    <t>S245</t>
  </si>
  <si>
    <t>S246</t>
  </si>
  <si>
    <t>S67</t>
  </si>
  <si>
    <t>S247</t>
  </si>
  <si>
    <t>S198</t>
  </si>
  <si>
    <t>S199</t>
  </si>
  <si>
    <t>S44</t>
  </si>
  <si>
    <t>S248</t>
  </si>
  <si>
    <t>S249</t>
  </si>
  <si>
    <t>T76</t>
  </si>
  <si>
    <t>T77</t>
  </si>
  <si>
    <t>T78</t>
  </si>
  <si>
    <t>T79</t>
  </si>
  <si>
    <t>T80</t>
  </si>
  <si>
    <t>T81</t>
  </si>
  <si>
    <t>T82</t>
  </si>
  <si>
    <t>T83</t>
  </si>
  <si>
    <t>T90</t>
  </si>
  <si>
    <t>T91</t>
  </si>
  <si>
    <t>T92</t>
  </si>
  <si>
    <t>T93</t>
  </si>
  <si>
    <t>T94</t>
  </si>
  <si>
    <t>T95</t>
  </si>
  <si>
    <t>T96</t>
  </si>
  <si>
    <t>T97</t>
  </si>
  <si>
    <t>T98</t>
  </si>
  <si>
    <t>T99</t>
  </si>
  <si>
    <t>T100</t>
  </si>
  <si>
    <t>T101</t>
  </si>
  <si>
    <t>T102</t>
  </si>
  <si>
    <t>T103</t>
  </si>
  <si>
    <t>T105</t>
  </si>
  <si>
    <t>T104</t>
  </si>
  <si>
    <t>T106</t>
  </si>
  <si>
    <t>T107</t>
  </si>
  <si>
    <t>T108</t>
  </si>
  <si>
    <t>T109</t>
  </si>
  <si>
    <t>T110</t>
  </si>
  <si>
    <t>T111</t>
  </si>
  <si>
    <t>T112</t>
  </si>
  <si>
    <t>T84</t>
  </si>
  <si>
    <t>T85</t>
  </si>
  <si>
    <t>T86</t>
  </si>
  <si>
    <t>T87</t>
  </si>
  <si>
    <t>T88</t>
  </si>
  <si>
    <t>T89</t>
  </si>
  <si>
    <t>T54</t>
  </si>
  <si>
    <t>T200</t>
  </si>
  <si>
    <t>T201</t>
  </si>
  <si>
    <t>T202</t>
  </si>
  <si>
    <t>T203</t>
  </si>
  <si>
    <t>T113</t>
  </si>
  <si>
    <t>T121</t>
  </si>
  <si>
    <t>T116</t>
  </si>
  <si>
    <t>T114</t>
  </si>
  <si>
    <t>T123</t>
  </si>
  <si>
    <t>T122</t>
  </si>
  <si>
    <t>T117</t>
  </si>
  <si>
    <t>T120</t>
  </si>
  <si>
    <t>T118</t>
  </si>
  <si>
    <t>T126</t>
  </si>
  <si>
    <t>T115</t>
  </si>
  <si>
    <t>T124</t>
  </si>
  <si>
    <t>T119</t>
  </si>
  <si>
    <t>T125</t>
  </si>
  <si>
    <t>T127</t>
  </si>
  <si>
    <t>T128</t>
  </si>
  <si>
    <t>T129</t>
  </si>
  <si>
    <t>T137</t>
  </si>
  <si>
    <t>T132</t>
  </si>
  <si>
    <t>T130</t>
  </si>
  <si>
    <t>T139</t>
  </si>
  <si>
    <t>T138</t>
  </si>
  <si>
    <t>T136</t>
  </si>
  <si>
    <t>T133</t>
  </si>
  <si>
    <t>T134</t>
  </si>
  <si>
    <t>T142</t>
  </si>
  <si>
    <t>T131</t>
  </si>
  <si>
    <t>T140</t>
  </si>
  <si>
    <t>T135</t>
  </si>
  <si>
    <t>T141</t>
  </si>
  <si>
    <t>T143</t>
  </si>
  <si>
    <t>T144</t>
  </si>
  <si>
    <t>T16</t>
  </si>
  <si>
    <t>T152</t>
  </si>
  <si>
    <t>T153</t>
  </si>
  <si>
    <t>T154</t>
  </si>
  <si>
    <t>T155</t>
  </si>
  <si>
    <t>T156</t>
  </si>
  <si>
    <t>T157</t>
  </si>
  <si>
    <t>T158</t>
  </si>
  <si>
    <t>T159</t>
  </si>
  <si>
    <t>T17</t>
  </si>
  <si>
    <t>T160</t>
  </si>
  <si>
    <t>T161</t>
  </si>
  <si>
    <t>T162</t>
  </si>
  <si>
    <t>T163</t>
  </si>
  <si>
    <t>T164</t>
  </si>
  <si>
    <t>T165</t>
  </si>
  <si>
    <t>T166</t>
  </si>
  <si>
    <t>T167</t>
  </si>
  <si>
    <t>T168</t>
  </si>
  <si>
    <t>T169</t>
  </si>
  <si>
    <t>T170</t>
  </si>
  <si>
    <t>T171</t>
  </si>
  <si>
    <t>T172</t>
  </si>
  <si>
    <t>T173</t>
  </si>
  <si>
    <t>T145</t>
  </si>
  <si>
    <t>T146</t>
  </si>
  <si>
    <t>T147</t>
  </si>
  <si>
    <t>T148</t>
  </si>
  <si>
    <t>T149</t>
  </si>
  <si>
    <t>T150</t>
  </si>
  <si>
    <t>T151</t>
  </si>
  <si>
    <t>T58</t>
  </si>
  <si>
    <t>T204</t>
  </si>
  <si>
    <t>T205</t>
  </si>
  <si>
    <t>T206</t>
  </si>
  <si>
    <t>T207</t>
  </si>
  <si>
    <t>T174</t>
  </si>
  <si>
    <t>T175</t>
  </si>
  <si>
    <t>T176</t>
  </si>
  <si>
    <t>T61</t>
  </si>
  <si>
    <t>T208</t>
  </si>
  <si>
    <t>T209</t>
  </si>
  <si>
    <t>T210</t>
  </si>
  <si>
    <t>T211</t>
  </si>
  <si>
    <t>T212</t>
  </si>
  <si>
    <t>T177</t>
  </si>
  <si>
    <t>T178</t>
  </si>
  <si>
    <t>T213</t>
  </si>
  <si>
    <t>T27</t>
  </si>
  <si>
    <t>T179</t>
  </si>
  <si>
    <t>T180</t>
  </si>
  <si>
    <t>T181</t>
  </si>
  <si>
    <t>T182</t>
  </si>
  <si>
    <t>T183</t>
  </si>
  <si>
    <t>T75</t>
  </si>
  <si>
    <t>T29</t>
  </si>
  <si>
    <t>T250</t>
  </si>
  <si>
    <t>T251</t>
  </si>
  <si>
    <t>T252</t>
  </si>
  <si>
    <t>T253</t>
  </si>
  <si>
    <t>T254</t>
  </si>
  <si>
    <t>T255</t>
  </si>
  <si>
    <t>T256</t>
  </si>
  <si>
    <t>T257</t>
  </si>
  <si>
    <t>T258</t>
  </si>
  <si>
    <t>T259</t>
  </si>
  <si>
    <t>T260</t>
  </si>
  <si>
    <t>T214</t>
  </si>
  <si>
    <t>T30</t>
  </si>
  <si>
    <t>T31</t>
  </si>
  <si>
    <t>T215</t>
  </si>
  <si>
    <t>T37</t>
  </si>
  <si>
    <t>T185</t>
  </si>
  <si>
    <t>T186</t>
  </si>
  <si>
    <t>T216</t>
  </si>
  <si>
    <t>T217</t>
  </si>
  <si>
    <t>T218</t>
  </si>
  <si>
    <t>T187</t>
  </si>
  <si>
    <t>T188</t>
  </si>
  <si>
    <t>T34</t>
  </si>
  <si>
    <t>T35</t>
  </si>
  <si>
    <t>T219</t>
  </si>
  <si>
    <t>T220</t>
  </si>
  <si>
    <t>T71</t>
  </si>
  <si>
    <t>T73</t>
  </si>
  <si>
    <t>T72</t>
  </si>
  <si>
    <t>T74</t>
  </si>
  <si>
    <t>T221</t>
  </si>
  <si>
    <t>T222</t>
  </si>
  <si>
    <t>T223</t>
  </si>
  <si>
    <t>T224</t>
  </si>
  <si>
    <t>T225</t>
  </si>
  <si>
    <t>T226</t>
  </si>
  <si>
    <t>T227</t>
  </si>
  <si>
    <t>T228</t>
  </si>
  <si>
    <t>T229</t>
  </si>
  <si>
    <t>T230</t>
  </si>
  <si>
    <t>T231</t>
  </si>
  <si>
    <t>T232</t>
  </si>
  <si>
    <t>T233</t>
  </si>
  <si>
    <t>T234</t>
  </si>
  <si>
    <t>T235</t>
  </si>
  <si>
    <t>T236</t>
  </si>
  <si>
    <t>T237</t>
  </si>
  <si>
    <t>T238</t>
  </si>
  <si>
    <t>T239</t>
  </si>
  <si>
    <t>T240</t>
  </si>
  <si>
    <t>T241</t>
  </si>
  <si>
    <t>T242</t>
  </si>
  <si>
    <t>T243</t>
  </si>
  <si>
    <t>T190</t>
  </si>
  <si>
    <t>T191</t>
  </si>
  <si>
    <t>T192</t>
  </si>
  <si>
    <t>T193</t>
  </si>
  <si>
    <t>T194</t>
  </si>
  <si>
    <t>T41</t>
  </si>
  <si>
    <t>T261</t>
  </si>
  <si>
    <t>T262</t>
  </si>
  <si>
    <t>T263</t>
  </si>
  <si>
    <t>T264</t>
  </si>
  <si>
    <t>T265</t>
  </si>
  <si>
    <t>T266</t>
  </si>
  <si>
    <t>T267</t>
  </si>
  <si>
    <t>T268</t>
  </si>
  <si>
    <t>T269</t>
  </si>
  <si>
    <t>T244</t>
  </si>
  <si>
    <t>T196</t>
  </si>
  <si>
    <t>T197</t>
  </si>
  <si>
    <t>T245</t>
  </si>
  <si>
    <t>T246</t>
  </si>
  <si>
    <t>T67</t>
  </si>
  <si>
    <t>T247</t>
  </si>
  <si>
    <t>T198</t>
  </si>
  <si>
    <t>T199</t>
  </si>
  <si>
    <t>T44</t>
  </si>
  <si>
    <t>T45</t>
  </si>
  <si>
    <t>T248</t>
  </si>
  <si>
    <t>T249</t>
  </si>
  <si>
    <t>U76</t>
  </si>
  <si>
    <t>U77</t>
  </si>
  <si>
    <t>U78</t>
  </si>
  <si>
    <t>U79</t>
  </si>
  <si>
    <t>U80</t>
  </si>
  <si>
    <t>U81</t>
  </si>
  <si>
    <t>U82</t>
  </si>
  <si>
    <t>U83</t>
  </si>
  <si>
    <t>U90</t>
  </si>
  <si>
    <t>U91</t>
  </si>
  <si>
    <t>U92</t>
  </si>
  <si>
    <t>U93</t>
  </si>
  <si>
    <t>U94</t>
  </si>
  <si>
    <t>U95</t>
  </si>
  <si>
    <t>U96</t>
  </si>
  <si>
    <t>U97</t>
  </si>
  <si>
    <t>U98</t>
  </si>
  <si>
    <t>U99</t>
  </si>
  <si>
    <t>U100</t>
  </si>
  <si>
    <t>U101</t>
  </si>
  <si>
    <t>U102</t>
  </si>
  <si>
    <t>U103</t>
  </si>
  <si>
    <t>U105</t>
  </si>
  <si>
    <t>U104</t>
  </si>
  <si>
    <t>U106</t>
  </si>
  <si>
    <t>U107</t>
  </si>
  <si>
    <t>U108</t>
  </si>
  <si>
    <t>U109</t>
  </si>
  <si>
    <t>U110</t>
  </si>
  <si>
    <t>U111</t>
  </si>
  <si>
    <t>U112</t>
  </si>
  <si>
    <t>U84</t>
  </si>
  <si>
    <t>U85</t>
  </si>
  <si>
    <t>U86</t>
  </si>
  <si>
    <t>U87</t>
  </si>
  <si>
    <t>U88</t>
  </si>
  <si>
    <t>U89</t>
  </si>
  <si>
    <t>U54</t>
  </si>
  <si>
    <t>U200</t>
  </si>
  <si>
    <t>U270</t>
  </si>
  <si>
    <t>U271</t>
  </si>
  <si>
    <t>U201</t>
  </si>
  <si>
    <t>U202</t>
  </si>
  <si>
    <t>U203</t>
  </si>
  <si>
    <t>U113</t>
  </si>
  <si>
    <t>U121</t>
  </si>
  <si>
    <t>U116</t>
  </si>
  <si>
    <t>U114</t>
  </si>
  <si>
    <t>U123</t>
  </si>
  <si>
    <t>U122</t>
  </si>
  <si>
    <t>U117</t>
  </si>
  <si>
    <t>U120</t>
  </si>
  <si>
    <t>U118</t>
  </si>
  <si>
    <t>U126</t>
  </si>
  <si>
    <t>U115</t>
  </si>
  <si>
    <t>U124</t>
  </si>
  <si>
    <t>U119</t>
  </si>
  <si>
    <t>U125</t>
  </si>
  <si>
    <t>U127</t>
  </si>
  <si>
    <t>U128</t>
  </si>
  <si>
    <t>U129</t>
  </si>
  <si>
    <t>U137</t>
  </si>
  <si>
    <t>U132</t>
  </si>
  <si>
    <t>U130</t>
  </si>
  <si>
    <t>U139</t>
  </si>
  <si>
    <t>U138</t>
  </si>
  <si>
    <t>U136</t>
  </si>
  <si>
    <t>U133</t>
  </si>
  <si>
    <t>U134</t>
  </si>
  <si>
    <t>U142</t>
  </si>
  <si>
    <t>U131</t>
  </si>
  <si>
    <t>U140</t>
  </si>
  <si>
    <t>U135</t>
  </si>
  <si>
    <t>U141</t>
  </si>
  <si>
    <t>U143</t>
  </si>
  <si>
    <t>U144</t>
  </si>
  <si>
    <t>U16</t>
  </si>
  <si>
    <t>U152</t>
  </si>
  <si>
    <t>U153</t>
  </si>
  <si>
    <t>U154</t>
  </si>
  <si>
    <t>U155</t>
  </si>
  <si>
    <t>U156</t>
  </si>
  <si>
    <t>U157</t>
  </si>
  <si>
    <t>U158</t>
  </si>
  <si>
    <t>U159</t>
  </si>
  <si>
    <t>U17</t>
  </si>
  <si>
    <t>U160</t>
  </si>
  <si>
    <t>U161</t>
  </si>
  <si>
    <t>U162</t>
  </si>
  <si>
    <t>U163</t>
  </si>
  <si>
    <t>U164</t>
  </si>
  <si>
    <t>U165</t>
  </si>
  <si>
    <t>U166</t>
  </si>
  <si>
    <t>U167</t>
  </si>
  <si>
    <t>U168</t>
  </si>
  <si>
    <t>U169</t>
  </si>
  <si>
    <t>U170</t>
  </si>
  <si>
    <t>U171</t>
  </si>
  <si>
    <t>U172</t>
  </si>
  <si>
    <t>U173</t>
  </si>
  <si>
    <t>U145</t>
  </si>
  <si>
    <t>U146</t>
  </si>
  <si>
    <t>U147</t>
  </si>
  <si>
    <t>U148</t>
  </si>
  <si>
    <t>U149</t>
  </si>
  <si>
    <t>U150</t>
  </si>
  <si>
    <t>U151</t>
  </si>
  <si>
    <t>U58</t>
  </si>
  <si>
    <t>U204</t>
  </si>
  <si>
    <t>U272</t>
  </si>
  <si>
    <t>U273</t>
  </si>
  <si>
    <t>U205</t>
  </si>
  <si>
    <t>U206</t>
  </si>
  <si>
    <t>U207</t>
  </si>
  <si>
    <t>U174</t>
  </si>
  <si>
    <t>U175</t>
  </si>
  <si>
    <t>U176</t>
  </si>
  <si>
    <t>U61</t>
  </si>
  <si>
    <t>U208</t>
  </si>
  <si>
    <t>U274</t>
  </si>
  <si>
    <t>U275</t>
  </si>
  <si>
    <t>U209</t>
  </si>
  <si>
    <t>U210</t>
  </si>
  <si>
    <t>U211</t>
  </si>
  <si>
    <t>U212</t>
  </si>
  <si>
    <t>U177</t>
  </si>
  <si>
    <t>U178</t>
  </si>
  <si>
    <t>U213</t>
  </si>
  <si>
    <t>U27</t>
  </si>
  <si>
    <t>U179</t>
  </si>
  <si>
    <t>U180</t>
  </si>
  <si>
    <t>U181</t>
  </si>
  <si>
    <t>U182</t>
  </si>
  <si>
    <t>U183</t>
  </si>
  <si>
    <t>U75</t>
  </si>
  <si>
    <t>U29</t>
  </si>
  <si>
    <t>U250</t>
  </si>
  <si>
    <t>U251</t>
  </si>
  <si>
    <t>U252</t>
  </si>
  <si>
    <t>U253</t>
  </si>
  <si>
    <t>U254</t>
  </si>
  <si>
    <t>U255</t>
  </si>
  <si>
    <t>U256</t>
  </si>
  <si>
    <t>U257</t>
  </si>
  <si>
    <t>U258</t>
  </si>
  <si>
    <t>U259</t>
  </si>
  <si>
    <t>U260</t>
  </si>
  <si>
    <t>U214</t>
  </si>
  <si>
    <t>U30</t>
  </si>
  <si>
    <t>U31</t>
  </si>
  <si>
    <t>U215</t>
  </si>
  <si>
    <t>U37</t>
  </si>
  <si>
    <t>U185</t>
  </si>
  <si>
    <t>U186</t>
  </si>
  <si>
    <t>U216</t>
  </si>
  <si>
    <t>U217</t>
  </si>
  <si>
    <t>U218</t>
  </si>
  <si>
    <t>U187</t>
  </si>
  <si>
    <t>U188</t>
  </si>
  <si>
    <t>U34</t>
  </si>
  <si>
    <t>U35</t>
  </si>
  <si>
    <t>U219</t>
  </si>
  <si>
    <t>U220</t>
  </si>
  <si>
    <t>U71</t>
  </si>
  <si>
    <t>U73</t>
  </si>
  <si>
    <t>U72</t>
  </si>
  <si>
    <t>U74</t>
  </si>
  <si>
    <t>U221</t>
  </si>
  <si>
    <t>U222</t>
  </si>
  <si>
    <t>U223</t>
  </si>
  <si>
    <t>U224</t>
  </si>
  <si>
    <t>U225</t>
  </si>
  <si>
    <t>U226</t>
  </si>
  <si>
    <t>U227</t>
  </si>
  <si>
    <t>U228</t>
  </si>
  <si>
    <t>U229</t>
  </si>
  <si>
    <t>U230</t>
  </si>
  <si>
    <t>U231</t>
  </si>
  <si>
    <t>U232</t>
  </si>
  <si>
    <t>U233</t>
  </si>
  <si>
    <t>U234</t>
  </si>
  <si>
    <t>U235</t>
  </si>
  <si>
    <t>U236</t>
  </si>
  <si>
    <t>U237</t>
  </si>
  <si>
    <t>U238</t>
  </si>
  <si>
    <t>U243</t>
  </si>
  <si>
    <t>U239</t>
  </si>
  <si>
    <t>U240</t>
  </si>
  <si>
    <t>U241</t>
  </si>
  <si>
    <t>U242</t>
  </si>
  <si>
    <t>U190</t>
  </si>
  <si>
    <t>U191</t>
  </si>
  <si>
    <t>U192</t>
  </si>
  <si>
    <t>U193</t>
  </si>
  <si>
    <t>U194</t>
  </si>
  <si>
    <t>U41</t>
  </si>
  <si>
    <t>U261</t>
  </si>
  <si>
    <t>U262</t>
  </si>
  <si>
    <t>U263</t>
  </si>
  <si>
    <t>U264</t>
  </si>
  <si>
    <t>U265</t>
  </si>
  <si>
    <t>U266</t>
  </si>
  <si>
    <t>U267</t>
  </si>
  <si>
    <t>U268</t>
  </si>
  <si>
    <t>U269</t>
  </si>
  <si>
    <t>U244</t>
  </si>
  <si>
    <t>U196</t>
  </si>
  <si>
    <t>U197</t>
  </si>
  <si>
    <t>U245</t>
  </si>
  <si>
    <t>U246</t>
  </si>
  <si>
    <t>U67</t>
  </si>
  <si>
    <t>U247</t>
  </si>
  <si>
    <t>U198</t>
  </si>
  <si>
    <t>U199</t>
  </si>
  <si>
    <t>U44</t>
  </si>
  <si>
    <t>U45</t>
  </si>
  <si>
    <t>U248</t>
  </si>
  <si>
    <t>U249</t>
  </si>
  <si>
    <t>V76</t>
  </si>
  <si>
    <t>V77</t>
  </si>
  <si>
    <t>V78</t>
  </si>
  <si>
    <t>V79</t>
  </si>
  <si>
    <t>V80</t>
  </si>
  <si>
    <t>V81</t>
  </si>
  <si>
    <t>V82</t>
  </si>
  <si>
    <t>V83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</si>
  <si>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</si>
  <si>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</si>
  <si>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</si>
  <si>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</si>
  <si>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</si>
  <si>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</si>
  <si>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</si>
  <si>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</si>
  <si>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</si>
  <si>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</si>
  <si>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</si>
  <si>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</si>
  <si>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</si>
  <si>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</si>
  <si>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V105</t>
  </si>
  <si>
    <t>V104</t>
  </si>
  <si>
    <t>V106</t>
  </si>
  <si>
    <t>V107</t>
  </si>
  <si>
    <t>V108</t>
  </si>
  <si>
    <t>V109</t>
  </si>
  <si>
    <t>V110</t>
  </si>
  <si>
    <t>V111</t>
  </si>
  <si>
    <t>V112</t>
  </si>
  <si>
    <t>V84</t>
  </si>
  <si>
    <t>V85</t>
  </si>
  <si>
    <t>V86</t>
  </si>
  <si>
    <t>V87</t>
  </si>
  <si>
    <t>V88</t>
  </si>
  <si>
    <t>V89</t>
  </si>
  <si>
    <t>V54</t>
  </si>
  <si>
    <t>V271</t>
  </si>
  <si>
    <t>V201</t>
  </si>
  <si>
    <t>V202</t>
  </si>
  <si>
    <t>V203</t>
  </si>
  <si>
    <t>V113</t>
  </si>
  <si>
    <t>V121</t>
  </si>
  <si>
    <t>V116</t>
  </si>
  <si>
    <t>V114</t>
  </si>
  <si>
    <t>V123</t>
  </si>
  <si>
    <t>V122</t>
  </si>
  <si>
    <t>V117</t>
  </si>
  <si>
    <t>V120</t>
  </si>
  <si>
    <t>V118</t>
  </si>
  <si>
    <t>V126</t>
  </si>
  <si>
    <t>V115</t>
  </si>
  <si>
    <t>V124</t>
  </si>
  <si>
    <t>V119</t>
  </si>
  <si>
    <t>V125</t>
  </si>
  <si>
    <t>V127</t>
  </si>
  <si>
    <t>V128</t>
  </si>
  <si>
    <t>V129</t>
  </si>
  <si>
    <t>V137</t>
  </si>
  <si>
    <t>V132</t>
  </si>
  <si>
    <t>V130</t>
  </si>
  <si>
    <t>V139</t>
  </si>
  <si>
    <t>V138</t>
  </si>
  <si>
    <t>V136</t>
  </si>
  <si>
    <t>V133</t>
  </si>
  <si>
    <t>V134</t>
  </si>
  <si>
    <t>V142</t>
  </si>
  <si>
    <t>V131</t>
  </si>
  <si>
    <t>V140</t>
  </si>
  <si>
    <t>V135</t>
  </si>
  <si>
    <t>V141</t>
  </si>
  <si>
    <t>V143</t>
  </si>
  <si>
    <t>V144</t>
  </si>
  <si>
    <t>V16</t>
  </si>
  <si>
    <t>V152</t>
  </si>
  <si>
    <t>V153</t>
  </si>
  <si>
    <t>V154</t>
  </si>
  <si>
    <t>V155</t>
  </si>
  <si>
    <t>V156</t>
  </si>
  <si>
    <t>V157</t>
  </si>
  <si>
    <t>V158</t>
  </si>
  <si>
    <t>V159</t>
  </si>
  <si>
    <t>V17</t>
  </si>
  <si>
    <t>V160</t>
  </si>
  <si>
    <t>V161</t>
  </si>
  <si>
    <t>V162</t>
  </si>
  <si>
    <t>V163</t>
  </si>
  <si>
    <t>V164</t>
  </si>
  <si>
    <t>V165</t>
  </si>
  <si>
    <t>V166</t>
  </si>
  <si>
    <t>V167</t>
  </si>
  <si>
    <t>V168</t>
  </si>
  <si>
    <t>V169</t>
  </si>
  <si>
    <t>V170</t>
  </si>
  <si>
    <t>V171</t>
  </si>
  <si>
    <t>V172</t>
  </si>
  <si>
    <t>V173</t>
  </si>
  <si>
    <t>V145</t>
  </si>
  <si>
    <t>V146</t>
  </si>
  <si>
    <t>V147</t>
  </si>
  <si>
    <t>V148</t>
  </si>
  <si>
    <t>V149</t>
  </si>
  <si>
    <t>V150</t>
  </si>
  <si>
    <t>V151</t>
  </si>
  <si>
    <t>V58</t>
  </si>
  <si>
    <t>V273</t>
  </si>
  <si>
    <t>V205</t>
  </si>
  <si>
    <t>V206</t>
  </si>
  <si>
    <t>V207</t>
  </si>
  <si>
    <t>V174</t>
  </si>
  <si>
    <t>V175</t>
  </si>
  <si>
    <t>V176</t>
  </si>
  <si>
    <t>V61</t>
  </si>
  <si>
    <t>V275</t>
  </si>
  <si>
    <t>V209</t>
  </si>
  <si>
    <t>V210</t>
  </si>
  <si>
    <t>V211</t>
  </si>
  <si>
    <t>V212</t>
  </si>
  <si>
    <t>V177</t>
  </si>
  <si>
    <t>V178</t>
  </si>
  <si>
    <t>V213</t>
  </si>
  <si>
    <t>V27</t>
  </si>
  <si>
    <t>V179</t>
  </si>
  <si>
    <t>V180</t>
  </si>
  <si>
    <t>V181</t>
  </si>
  <si>
    <t>V182</t>
  </si>
  <si>
    <t>V183</t>
  </si>
  <si>
    <t>V75</t>
  </si>
  <si>
    <t>V29</t>
  </si>
  <si>
    <t>V250</t>
  </si>
  <si>
    <t>V251</t>
  </si>
  <si>
    <t>V252</t>
  </si>
  <si>
    <t>V253</t>
  </si>
  <si>
    <t>V254</t>
  </si>
  <si>
    <t>V255</t>
  </si>
  <si>
    <t>V256</t>
  </si>
  <si>
    <t>V257</t>
  </si>
  <si>
    <t>V258</t>
  </si>
  <si>
    <t>V259</t>
  </si>
  <si>
    <t>V260</t>
  </si>
  <si>
    <t>V214</t>
  </si>
  <si>
    <t>V30</t>
  </si>
  <si>
    <t>V31</t>
  </si>
  <si>
    <t>V215</t>
  </si>
  <si>
    <t>V37</t>
  </si>
  <si>
    <t>V185</t>
  </si>
  <si>
    <t>V186</t>
  </si>
  <si>
    <t>V216</t>
  </si>
  <si>
    <t>V217</t>
  </si>
  <si>
    <t>V218</t>
  </si>
  <si>
    <t>V187</t>
  </si>
  <si>
    <t>V188</t>
  </si>
  <si>
    <t>V34</t>
  </si>
  <si>
    <t>V35</t>
  </si>
  <si>
    <t>V219</t>
  </si>
  <si>
    <t>V220</t>
  </si>
  <si>
    <t>V71</t>
  </si>
  <si>
    <t>V73</t>
  </si>
  <si>
    <t>V72</t>
  </si>
  <si>
    <t>V74</t>
  </si>
  <si>
    <t>V276</t>
  </si>
  <si>
    <t>V277</t>
  </si>
  <si>
    <t>V278</t>
  </si>
  <si>
    <t>V279</t>
  </si>
  <si>
    <t>V221</t>
  </si>
  <si>
    <t>V222</t>
  </si>
  <si>
    <t>V243</t>
  </si>
  <si>
    <t>V223</t>
  </si>
  <si>
    <t>V224</t>
  </si>
  <si>
    <t>V225</t>
  </si>
  <si>
    <t>V226</t>
  </si>
  <si>
    <t>V227</t>
  </si>
  <si>
    <t>V228</t>
  </si>
  <si>
    <t>V229</t>
  </si>
  <si>
    <t>V230</t>
  </si>
  <si>
    <t>V231</t>
  </si>
  <si>
    <t>V232</t>
  </si>
  <si>
    <t>V233</t>
  </si>
  <si>
    <t>V234</t>
  </si>
  <si>
    <t>V235</t>
  </si>
  <si>
    <t>V236</t>
  </si>
  <si>
    <t>V237</t>
  </si>
  <si>
    <t>V238</t>
  </si>
  <si>
    <t>V239</t>
  </si>
  <si>
    <t>V240</t>
  </si>
  <si>
    <t>V241</t>
  </si>
  <si>
    <t>V242</t>
  </si>
  <si>
    <t>V190</t>
  </si>
  <si>
    <t>V191</t>
  </si>
  <si>
    <t>V192</t>
  </si>
  <si>
    <t>V193</t>
  </si>
  <si>
    <t>V194</t>
  </si>
  <si>
    <t>V41</t>
  </si>
  <si>
    <t>V261</t>
  </si>
  <si>
    <t>V262</t>
  </si>
  <si>
    <t>V263</t>
  </si>
  <si>
    <t>V264</t>
  </si>
  <si>
    <t>V265</t>
  </si>
  <si>
    <t>V266</t>
  </si>
  <si>
    <t>V267</t>
  </si>
  <si>
    <t>V268</t>
  </si>
  <si>
    <t>V269</t>
  </si>
  <si>
    <t>V244</t>
  </si>
  <si>
    <t>V196</t>
  </si>
  <si>
    <t>V197</t>
  </si>
  <si>
    <t>V245</t>
  </si>
  <si>
    <t>V246</t>
  </si>
  <si>
    <t>V67</t>
  </si>
  <si>
    <t>V247</t>
  </si>
  <si>
    <t>V198</t>
  </si>
  <si>
    <t>V199</t>
  </si>
  <si>
    <t>V44</t>
  </si>
  <si>
    <t>V45</t>
  </si>
  <si>
    <t>V248</t>
  </si>
  <si>
    <t>V249</t>
  </si>
  <si>
    <t>W76</t>
  </si>
  <si>
    <t>W77</t>
  </si>
  <si>
    <t>W78</t>
  </si>
  <si>
    <t>W79</t>
  </si>
  <si>
    <t>W80</t>
  </si>
  <si>
    <t>W81</t>
  </si>
  <si>
    <t>W82</t>
  </si>
  <si>
    <t>W83</t>
  </si>
  <si>
    <t>W90</t>
  </si>
  <si>
    <t>W91</t>
  </si>
  <si>
    <t>W92</t>
  </si>
  <si>
    <t>W93</t>
  </si>
  <si>
    <t>W94</t>
  </si>
  <si>
    <t>W95</t>
  </si>
  <si>
    <t>W96</t>
  </si>
  <si>
    <t>W97</t>
  </si>
  <si>
    <t>W98</t>
  </si>
  <si>
    <t>W99</t>
  </si>
  <si>
    <t>W100</t>
  </si>
  <si>
    <t>W101</t>
  </si>
  <si>
    <t>W102</t>
  </si>
  <si>
    <t>W103</t>
  </si>
  <si>
    <t>W104</t>
  </si>
  <si>
    <t>W105</t>
  </si>
  <si>
    <t>W106</t>
  </si>
  <si>
    <t>W107</t>
  </si>
  <si>
    <t>W108</t>
  </si>
  <si>
    <t>W109</t>
  </si>
  <si>
    <t>W110</t>
  </si>
  <si>
    <t>W111</t>
  </si>
  <si>
    <t>W112</t>
  </si>
  <si>
    <t>W84</t>
  </si>
  <si>
    <t>W85</t>
  </si>
  <si>
    <t>W86</t>
  </si>
  <si>
    <t>W87</t>
  </si>
  <si>
    <t>W88</t>
  </si>
  <si>
    <t>W89</t>
  </si>
  <si>
    <t>W54</t>
  </si>
  <si>
    <t>W271</t>
  </si>
  <si>
    <t>W201</t>
  </si>
  <si>
    <t>W202</t>
  </si>
  <si>
    <t>W203</t>
  </si>
  <si>
    <t>W113</t>
  </si>
  <si>
    <t>W121</t>
  </si>
  <si>
    <t>W116</t>
  </si>
  <si>
    <t>W114</t>
  </si>
  <si>
    <t>W123</t>
  </si>
  <si>
    <t>W122</t>
  </si>
  <si>
    <t>W117</t>
  </si>
  <si>
    <t>W120</t>
  </si>
  <si>
    <t>W118</t>
  </si>
  <si>
    <t>W126</t>
  </si>
  <si>
    <t>W115</t>
  </si>
  <si>
    <t>W124</t>
  </si>
  <si>
    <t>W119</t>
  </si>
  <si>
    <t>W125</t>
  </si>
  <si>
    <t>W127</t>
  </si>
  <si>
    <t>W128</t>
  </si>
  <si>
    <t>W129</t>
  </si>
  <si>
    <t>W137</t>
  </si>
  <si>
    <t>W132</t>
  </si>
  <si>
    <t>W130</t>
  </si>
  <si>
    <t>W139</t>
  </si>
  <si>
    <t>W138</t>
  </si>
  <si>
    <t>W136</t>
  </si>
  <si>
    <t>W133</t>
  </si>
  <si>
    <t>W134</t>
  </si>
  <si>
    <t>W142</t>
  </si>
  <si>
    <t>W131</t>
  </si>
  <si>
    <t>W140</t>
  </si>
  <si>
    <t>W135</t>
  </si>
  <si>
    <t>W141</t>
  </si>
  <si>
    <t>W143</t>
  </si>
  <si>
    <t>W144</t>
  </si>
  <si>
    <t>W16</t>
  </si>
  <si>
    <t>W152</t>
  </si>
  <si>
    <t>W153</t>
  </si>
  <si>
    <t>W154</t>
  </si>
  <si>
    <t>W155</t>
  </si>
  <si>
    <t>W156</t>
  </si>
  <si>
    <t>W157</t>
  </si>
  <si>
    <t>W158</t>
  </si>
  <si>
    <t>W159</t>
  </si>
  <si>
    <t>W17</t>
  </si>
  <si>
    <t>W160</t>
  </si>
  <si>
    <t>W161</t>
  </si>
  <si>
    <t>W162</t>
  </si>
  <si>
    <t>W163</t>
  </si>
  <si>
    <t>W164</t>
  </si>
  <si>
    <t>W165</t>
  </si>
  <si>
    <t>W166</t>
  </si>
  <si>
    <t>W167</t>
  </si>
  <si>
    <t>W168</t>
  </si>
  <si>
    <t>W169</t>
  </si>
  <si>
    <t>W170</t>
  </si>
  <si>
    <t>W171</t>
  </si>
  <si>
    <t>W172</t>
  </si>
  <si>
    <t>W173</t>
  </si>
  <si>
    <t>W145</t>
  </si>
  <si>
    <t>W146</t>
  </si>
  <si>
    <t>W147</t>
  </si>
  <si>
    <t>W148</t>
  </si>
  <si>
    <t>W149</t>
  </si>
  <si>
    <t>W150</t>
  </si>
  <si>
    <t>W151</t>
  </si>
  <si>
    <t>W58</t>
  </si>
  <si>
    <t>W273</t>
  </si>
  <si>
    <t>W205</t>
  </si>
  <si>
    <t>W206</t>
  </si>
  <si>
    <t>W207</t>
  </si>
  <si>
    <t>W174</t>
  </si>
  <si>
    <t>W175</t>
  </si>
  <si>
    <t>W176</t>
  </si>
  <si>
    <t>W61</t>
  </si>
  <si>
    <t>W275</t>
  </si>
  <si>
    <t>W209</t>
  </si>
  <si>
    <t>W210</t>
  </si>
  <si>
    <t>W211</t>
  </si>
  <si>
    <t>W212</t>
  </si>
  <si>
    <t>W177</t>
  </si>
  <si>
    <t>W178</t>
  </si>
  <si>
    <t>W213</t>
  </si>
  <si>
    <t>W27</t>
  </si>
  <si>
    <t>W179</t>
  </si>
  <si>
    <t>W180</t>
  </si>
  <si>
    <t>W181</t>
  </si>
  <si>
    <t>W182</t>
  </si>
  <si>
    <t>W183</t>
  </si>
  <si>
    <t>W75</t>
  </si>
  <si>
    <t>W29</t>
  </si>
  <si>
    <t>W250</t>
  </si>
  <si>
    <t>W251</t>
  </si>
  <si>
    <t>W252</t>
  </si>
  <si>
    <t>W253</t>
  </si>
  <si>
    <t>W254</t>
  </si>
  <si>
    <t>W255</t>
  </si>
  <si>
    <t>W256</t>
  </si>
  <si>
    <t>W257</t>
  </si>
  <si>
    <t>W258</t>
  </si>
  <si>
    <t>W259</t>
  </si>
  <si>
    <t>W260</t>
  </si>
  <si>
    <t>W214</t>
  </si>
  <si>
    <t>W30</t>
  </si>
  <si>
    <t>W31</t>
  </si>
  <si>
    <t>W215</t>
  </si>
  <si>
    <t>W37</t>
  </si>
  <si>
    <t>W185</t>
  </si>
  <si>
    <t>W186</t>
  </si>
  <si>
    <t>W216</t>
  </si>
  <si>
    <t>W217</t>
  </si>
  <si>
    <t>W218</t>
  </si>
  <si>
    <t>W187</t>
  </si>
  <si>
    <t>W188</t>
  </si>
  <si>
    <t>W34</t>
  </si>
  <si>
    <t>W35</t>
  </si>
  <si>
    <t>W219</t>
  </si>
  <si>
    <t>W220</t>
  </si>
  <si>
    <t>W71</t>
  </si>
  <si>
    <t>W73</t>
  </si>
  <si>
    <t>W72</t>
  </si>
  <si>
    <t>W74</t>
  </si>
  <si>
    <t>W276</t>
  </si>
  <si>
    <t>W277</t>
  </si>
  <si>
    <t>W278</t>
  </si>
  <si>
    <t>W279</t>
  </si>
  <si>
    <t>W221</t>
  </si>
  <si>
    <t>W222</t>
  </si>
  <si>
    <t>W223</t>
  </si>
  <si>
    <t>W224</t>
  </si>
  <si>
    <t>W225</t>
  </si>
  <si>
    <t>W226</t>
  </si>
  <si>
    <t>W227</t>
  </si>
  <si>
    <t>W228</t>
  </si>
  <si>
    <t>W243</t>
  </si>
  <si>
    <t>W229</t>
  </si>
  <si>
    <t>W230</t>
  </si>
  <si>
    <t>W231</t>
  </si>
  <si>
    <t>W232</t>
  </si>
  <si>
    <t>W233</t>
  </si>
  <si>
    <t>W234</t>
  </si>
  <si>
    <t>W235</t>
  </si>
  <si>
    <t>W236</t>
  </si>
  <si>
    <t>W237</t>
  </si>
  <si>
    <t>W238</t>
  </si>
  <si>
    <t>W239</t>
  </si>
  <si>
    <t>W240</t>
  </si>
  <si>
    <t>W241</t>
  </si>
  <si>
    <t>W242</t>
  </si>
  <si>
    <t>W190</t>
  </si>
  <si>
    <t>W191</t>
  </si>
  <si>
    <t>W192</t>
  </si>
  <si>
    <t>W193</t>
  </si>
  <si>
    <t>W194</t>
  </si>
  <si>
    <t>W41</t>
  </si>
  <si>
    <t>W261</t>
  </si>
  <si>
    <t>W262</t>
  </si>
  <si>
    <t>W263</t>
  </si>
  <si>
    <t>W264</t>
  </si>
  <si>
    <t>W265</t>
  </si>
  <si>
    <t>W266</t>
  </si>
  <si>
    <t>W267</t>
  </si>
  <si>
    <t>W268</t>
  </si>
  <si>
    <t>W269</t>
  </si>
  <si>
    <t>W244</t>
  </si>
  <si>
    <t>W196</t>
  </si>
  <si>
    <t>W197</t>
  </si>
  <si>
    <t>W245</t>
  </si>
  <si>
    <t>W246</t>
  </si>
  <si>
    <t>W67</t>
  </si>
  <si>
    <t>W247</t>
  </si>
  <si>
    <t>W198</t>
  </si>
  <si>
    <t>W199</t>
  </si>
  <si>
    <t>W44</t>
  </si>
  <si>
    <t>W45</t>
  </si>
  <si>
    <t>W248</t>
  </si>
  <si>
    <t>W249</t>
  </si>
  <si>
    <t>X76</t>
  </si>
  <si>
    <t>X77</t>
  </si>
  <si>
    <t>X78</t>
  </si>
  <si>
    <t>X79</t>
  </si>
  <si>
    <t>X80</t>
  </si>
  <si>
    <t>X81</t>
  </si>
  <si>
    <t>X82</t>
  </si>
  <si>
    <t>X83</t>
  </si>
  <si>
    <t>X90</t>
  </si>
  <si>
    <t>X91</t>
  </si>
  <si>
    <t>X92</t>
  </si>
  <si>
    <t>X93</t>
  </si>
  <si>
    <t>X94</t>
  </si>
  <si>
    <t>X95</t>
  </si>
  <si>
    <t>X96</t>
  </si>
  <si>
    <t>X97</t>
  </si>
  <si>
    <t>X98</t>
  </si>
  <si>
    <t>X99</t>
  </si>
  <si>
    <t>X100</t>
  </si>
  <si>
    <t>X101</t>
  </si>
  <si>
    <t>X102</t>
  </si>
  <si>
    <t>X103</t>
  </si>
  <si>
    <t>X104</t>
  </si>
  <si>
    <t>X105</t>
  </si>
  <si>
    <t>X106</t>
  </si>
  <si>
    <t>X107</t>
  </si>
  <si>
    <t>X108</t>
  </si>
  <si>
    <t>X109</t>
  </si>
  <si>
    <t>X110</t>
  </si>
  <si>
    <t>X111</t>
  </si>
  <si>
    <t>X112</t>
  </si>
  <si>
    <t>X84</t>
  </si>
  <si>
    <t>X85</t>
  </si>
  <si>
    <t>X86</t>
  </si>
  <si>
    <t>X87</t>
  </si>
  <si>
    <t>X88</t>
  </si>
  <si>
    <t>X89</t>
  </si>
  <si>
    <t>X54</t>
  </si>
  <si>
    <t>X271</t>
  </si>
  <si>
    <t>X201</t>
  </si>
  <si>
    <t>X202</t>
  </si>
  <si>
    <t>X203</t>
  </si>
  <si>
    <t>X113</t>
  </si>
  <si>
    <t>X121</t>
  </si>
  <si>
    <t>X116</t>
  </si>
  <si>
    <t>X114</t>
  </si>
  <si>
    <t>X123</t>
  </si>
  <si>
    <t>X122</t>
  </si>
  <si>
    <t>X117</t>
  </si>
  <si>
    <t>X120</t>
  </si>
  <si>
    <t>X118</t>
  </si>
  <si>
    <t>X126</t>
  </si>
  <si>
    <t>X115</t>
  </si>
  <si>
    <t>X124</t>
  </si>
  <si>
    <t>X119</t>
  </si>
  <si>
    <t>X125</t>
  </si>
  <si>
    <t>X127</t>
  </si>
  <si>
    <t>X128</t>
  </si>
  <si>
    <t>X129</t>
  </si>
  <si>
    <t>X137</t>
  </si>
  <si>
    <t>X132</t>
  </si>
  <si>
    <t>X130</t>
  </si>
  <si>
    <t>X139</t>
  </si>
  <si>
    <t>X138</t>
  </si>
  <si>
    <t>X136</t>
  </si>
  <si>
    <t>X133</t>
  </si>
  <si>
    <t>X134</t>
  </si>
  <si>
    <t>X142</t>
  </si>
  <si>
    <t>X131</t>
  </si>
  <si>
    <t>X140</t>
  </si>
  <si>
    <t>X135</t>
  </si>
  <si>
    <t>X141</t>
  </si>
  <si>
    <t>X143</t>
  </si>
  <si>
    <t>X144</t>
  </si>
  <si>
    <t>X16</t>
  </si>
  <si>
    <t>X152</t>
  </si>
  <si>
    <t>X153</t>
  </si>
  <si>
    <t>X154</t>
  </si>
  <si>
    <t>X155</t>
  </si>
  <si>
    <t>X156</t>
  </si>
  <si>
    <t>X157</t>
  </si>
  <si>
    <t>X158</t>
  </si>
  <si>
    <t>X159</t>
  </si>
  <si>
    <t>X17</t>
  </si>
  <si>
    <t>X160</t>
  </si>
  <si>
    <t>X161</t>
  </si>
  <si>
    <t>X162</t>
  </si>
  <si>
    <t>X163</t>
  </si>
  <si>
    <t>X164</t>
  </si>
  <si>
    <t>X165</t>
  </si>
  <si>
    <t>X166</t>
  </si>
  <si>
    <t>X167</t>
  </si>
  <si>
    <t>X168</t>
  </si>
  <si>
    <t>X169</t>
  </si>
  <si>
    <t>X170</t>
  </si>
  <si>
    <t>X171</t>
  </si>
  <si>
    <t>X172</t>
  </si>
  <si>
    <t>X173</t>
  </si>
  <si>
    <t>X145</t>
  </si>
  <si>
    <t>X146</t>
  </si>
  <si>
    <t>X147</t>
  </si>
  <si>
    <t>X148</t>
  </si>
  <si>
    <t>X149</t>
  </si>
  <si>
    <t>X150</t>
  </si>
  <si>
    <t>X151</t>
  </si>
  <si>
    <t>X58</t>
  </si>
  <si>
    <t>X273</t>
  </si>
  <si>
    <t>X205</t>
  </si>
  <si>
    <t>X206</t>
  </si>
  <si>
    <t>X207</t>
  </si>
  <si>
    <t>X174</t>
  </si>
  <si>
    <t>X175</t>
  </si>
  <si>
    <t>X176</t>
  </si>
  <si>
    <t>X61</t>
  </si>
  <si>
    <t>X275</t>
  </si>
  <si>
    <t>X209</t>
  </si>
  <si>
    <t>X210</t>
  </si>
  <si>
    <t>X211</t>
  </si>
  <si>
    <t>X212</t>
  </si>
  <si>
    <t>X177</t>
  </si>
  <si>
    <t>X178</t>
  </si>
  <si>
    <t>X213</t>
  </si>
  <si>
    <t>X27</t>
  </si>
  <si>
    <t>X179</t>
  </si>
  <si>
    <t>X180</t>
  </si>
  <si>
    <t>X181</t>
  </si>
  <si>
    <t>X182</t>
  </si>
  <si>
    <t>X183</t>
  </si>
  <si>
    <t>X75</t>
  </si>
  <si>
    <t>X29</t>
  </si>
  <si>
    <t>X250</t>
  </si>
  <si>
    <t>X251</t>
  </si>
  <si>
    <t>X252</t>
  </si>
  <si>
    <t>X253</t>
  </si>
  <si>
    <t>X254</t>
  </si>
  <si>
    <t>X255</t>
  </si>
  <si>
    <t>X256</t>
  </si>
  <si>
    <t>X257</t>
  </si>
  <si>
    <t>X258</t>
  </si>
  <si>
    <t>X259</t>
  </si>
  <si>
    <t>X260</t>
  </si>
  <si>
    <t>X214</t>
  </si>
  <si>
    <t>X30</t>
  </si>
  <si>
    <t>X31</t>
  </si>
  <si>
    <t>X215</t>
  </si>
  <si>
    <t>X37</t>
  </si>
  <si>
    <t>X185</t>
  </si>
  <si>
    <t>X186</t>
  </si>
  <si>
    <t>X216</t>
  </si>
  <si>
    <t>X217</t>
  </si>
  <si>
    <t>X218</t>
  </si>
  <si>
    <t>X187</t>
  </si>
  <si>
    <t>X188</t>
  </si>
  <si>
    <t>X34</t>
  </si>
  <si>
    <t>X35</t>
  </si>
  <si>
    <t>X219</t>
  </si>
  <si>
    <t>X220</t>
  </si>
  <si>
    <t>X71</t>
  </si>
  <si>
    <t>X73</t>
  </si>
  <si>
    <t>X72</t>
  </si>
  <si>
    <t>X74</t>
  </si>
  <si>
    <t>X276</t>
  </si>
  <si>
    <t>X277</t>
  </si>
  <si>
    <t>X278</t>
  </si>
  <si>
    <t>X279</t>
  </si>
  <si>
    <t>X221</t>
  </si>
  <si>
    <t>X222</t>
  </si>
  <si>
    <t>X223</t>
  </si>
  <si>
    <t>X224</t>
  </si>
  <si>
    <t>X225</t>
  </si>
  <si>
    <t>X226</t>
  </si>
  <si>
    <t>X227</t>
  </si>
  <si>
    <t>X228</t>
  </si>
  <si>
    <t>X229</t>
  </si>
  <si>
    <t>X230</t>
  </si>
  <si>
    <t>X231</t>
  </si>
  <si>
    <t>X232</t>
  </si>
  <si>
    <t>X233</t>
  </si>
  <si>
    <t>X234</t>
  </si>
  <si>
    <t>X235</t>
  </si>
  <si>
    <t>X236</t>
  </si>
  <si>
    <t>X237</t>
  </si>
  <si>
    <t>X238</t>
  </si>
  <si>
    <t>X239</t>
  </si>
  <si>
    <t>X240</t>
  </si>
  <si>
    <t>X241</t>
  </si>
  <si>
    <t>X242</t>
  </si>
  <si>
    <t>X243</t>
  </si>
  <si>
    <t>X190</t>
  </si>
  <si>
    <t>X191</t>
  </si>
  <si>
    <t>X192</t>
  </si>
  <si>
    <t>X193</t>
  </si>
  <si>
    <t>X194</t>
  </si>
  <si>
    <t>X41</t>
  </si>
  <si>
    <t>X261</t>
  </si>
  <si>
    <t>X262</t>
  </si>
  <si>
    <t>X263</t>
  </si>
  <si>
    <t>X264</t>
  </si>
  <si>
    <t>X265</t>
  </si>
  <si>
    <t>X266</t>
  </si>
  <si>
    <t>X267</t>
  </si>
  <si>
    <t>X268</t>
  </si>
  <si>
    <t>X269</t>
  </si>
  <si>
    <t>X244</t>
  </si>
  <si>
    <t>X196</t>
  </si>
  <si>
    <t>X197</t>
  </si>
  <si>
    <t>X245</t>
  </si>
  <si>
    <t>X246</t>
  </si>
  <si>
    <t>X67</t>
  </si>
  <si>
    <t>X247</t>
  </si>
  <si>
    <t>X198</t>
  </si>
  <si>
    <t>X199</t>
  </si>
  <si>
    <t>X44</t>
  </si>
  <si>
    <t>X45</t>
  </si>
  <si>
    <t>X248</t>
  </si>
  <si>
    <t>X249</t>
  </si>
  <si>
    <t>Y76</t>
  </si>
  <si>
    <t>Y77</t>
  </si>
  <si>
    <t>Y78</t>
  </si>
  <si>
    <t>Y79</t>
  </si>
  <si>
    <t>Y80</t>
  </si>
  <si>
    <t>Y81</t>
  </si>
  <si>
    <t>Y82</t>
  </si>
  <si>
    <t>Y83</t>
  </si>
  <si>
    <t>Y90</t>
  </si>
  <si>
    <t>Y91</t>
  </si>
  <si>
    <t>Y92</t>
  </si>
  <si>
    <t>Y93</t>
  </si>
  <si>
    <t>Y94</t>
  </si>
  <si>
    <t>Y95</t>
  </si>
  <si>
    <t>Y96</t>
  </si>
  <si>
    <t>Y97</t>
  </si>
  <si>
    <t>Y98</t>
  </si>
  <si>
    <t>Y99</t>
  </si>
  <si>
    <t>Y100</t>
  </si>
  <si>
    <t>Y101</t>
  </si>
  <si>
    <t>Y102</t>
  </si>
  <si>
    <t>Y103</t>
  </si>
  <si>
    <t>Y105</t>
  </si>
  <si>
    <t>Y104</t>
  </si>
  <si>
    <t>Y106</t>
  </si>
  <si>
    <t>Y107</t>
  </si>
  <si>
    <t>Y108</t>
  </si>
  <si>
    <t>Y109</t>
  </si>
  <si>
    <t>Y110</t>
  </si>
  <si>
    <t>Y111</t>
  </si>
  <si>
    <t>Y112</t>
  </si>
  <si>
    <t>Y84</t>
  </si>
  <si>
    <t>Y85</t>
  </si>
  <si>
    <t>Y86</t>
  </si>
  <si>
    <t>Y87</t>
  </si>
  <si>
    <t>Y88</t>
  </si>
  <si>
    <t>Y89</t>
  </si>
  <si>
    <t>Y271</t>
  </si>
  <si>
    <t>Y201</t>
  </si>
  <si>
    <t>Y202</t>
  </si>
  <si>
    <t>Y203</t>
  </si>
  <si>
    <t>Y113</t>
  </si>
  <si>
    <t>Y121</t>
  </si>
  <si>
    <t>Y116</t>
  </si>
  <si>
    <t>Y114</t>
  </si>
  <si>
    <t>Y123</t>
  </si>
  <si>
    <t>Y122</t>
  </si>
  <si>
    <t>Y117</t>
  </si>
  <si>
    <t>Y120</t>
  </si>
  <si>
    <t>Y118</t>
  </si>
  <si>
    <t>Y126</t>
  </si>
  <si>
    <t>Y115</t>
  </si>
  <si>
    <t>Y124</t>
  </si>
  <si>
    <t>Y119</t>
  </si>
  <si>
    <t>Y125</t>
  </si>
  <si>
    <t>Y127</t>
  </si>
  <si>
    <t>Y128</t>
  </si>
  <si>
    <t>Y129</t>
  </si>
  <si>
    <t>Y137</t>
  </si>
  <si>
    <t>Y132</t>
  </si>
  <si>
    <t>Y130</t>
  </si>
  <si>
    <t>Y139</t>
  </si>
  <si>
    <t>Y138</t>
  </si>
  <si>
    <t>Y136</t>
  </si>
  <si>
    <t>Y133</t>
  </si>
  <si>
    <t>Y134</t>
  </si>
  <si>
    <t>Y142</t>
  </si>
  <si>
    <t>Y131</t>
  </si>
  <si>
    <t>Y140</t>
  </si>
  <si>
    <t>Y135</t>
  </si>
  <si>
    <t>Y141</t>
  </si>
  <si>
    <t>Y143</t>
  </si>
  <si>
    <t>Y144</t>
  </si>
  <si>
    <t>Y16</t>
  </si>
  <si>
    <t>Y152</t>
  </si>
  <si>
    <t>Y153</t>
  </si>
  <si>
    <t>Y154</t>
  </si>
  <si>
    <t>Y155</t>
  </si>
  <si>
    <t>Y156</t>
  </si>
  <si>
    <t>Y157</t>
  </si>
  <si>
    <t>Y158</t>
  </si>
  <si>
    <t>Y159</t>
  </si>
  <si>
    <t>Y17</t>
  </si>
  <si>
    <t>Y160</t>
  </si>
  <si>
    <t>Y161</t>
  </si>
  <si>
    <t>Y162</t>
  </si>
  <si>
    <t>Y163</t>
  </si>
  <si>
    <t>Y164</t>
  </si>
  <si>
    <t>Y165</t>
  </si>
  <si>
    <t>Y166</t>
  </si>
  <si>
    <t>Y167</t>
  </si>
  <si>
    <t>Y168</t>
  </si>
  <si>
    <t>Y169</t>
  </si>
  <si>
    <t>Y170</t>
  </si>
  <si>
    <t>Y171</t>
  </si>
  <si>
    <t>Y172</t>
  </si>
  <si>
    <t>Y173</t>
  </si>
  <si>
    <t>Y145</t>
  </si>
  <si>
    <t>Y146</t>
  </si>
  <si>
    <t>Y147</t>
  </si>
  <si>
    <t>Y148</t>
  </si>
  <si>
    <t>Y149</t>
  </si>
  <si>
    <t>Y150</t>
  </si>
  <si>
    <t>Y151</t>
  </si>
  <si>
    <t>Y273</t>
  </si>
  <si>
    <t>Y205</t>
  </si>
  <si>
    <t>Y206</t>
  </si>
  <si>
    <t>Y207</t>
  </si>
  <si>
    <t>Y174</t>
  </si>
  <si>
    <t>Y175</t>
  </si>
  <si>
    <t>Y176</t>
  </si>
  <si>
    <t>Y275</t>
  </si>
  <si>
    <t>Y209</t>
  </si>
  <si>
    <t>Y210</t>
  </si>
  <si>
    <t>Y211</t>
  </si>
  <si>
    <t>Y178</t>
  </si>
  <si>
    <t>Y213</t>
  </si>
  <si>
    <t>Y27</t>
  </si>
  <si>
    <t>Y179</t>
  </si>
  <si>
    <t>Y180</t>
  </si>
  <si>
    <t>Y181</t>
  </si>
  <si>
    <t>Y182</t>
  </si>
  <si>
    <t>Y183</t>
  </si>
  <si>
    <t>Y75</t>
  </si>
  <si>
    <t>Y29</t>
  </si>
  <si>
    <t>Y250</t>
  </si>
  <si>
    <t>Y251</t>
  </si>
  <si>
    <t>Y252</t>
  </si>
  <si>
    <t>Y253</t>
  </si>
  <si>
    <t>Y254</t>
  </si>
  <si>
    <t>Y255</t>
  </si>
  <si>
    <t>Y256</t>
  </si>
  <si>
    <t>Y257</t>
  </si>
  <si>
    <t>Y258</t>
  </si>
  <si>
    <t>Y259</t>
  </si>
  <si>
    <t>Y260</t>
  </si>
  <si>
    <t>Y214</t>
  </si>
  <si>
    <t>Y30</t>
  </si>
  <si>
    <t>Y31</t>
  </si>
  <si>
    <t>Y185</t>
  </si>
  <si>
    <t>Y186</t>
  </si>
  <si>
    <t>Y216</t>
  </si>
  <si>
    <t>Y217</t>
  </si>
  <si>
    <t>Y218</t>
  </si>
  <si>
    <t>Y187</t>
  </si>
  <si>
    <t>Y188</t>
  </si>
  <si>
    <t>Y35</t>
  </si>
  <si>
    <t>Y219</t>
  </si>
  <si>
    <t>Y220</t>
  </si>
  <si>
    <t>Y276</t>
  </si>
  <si>
    <t>Y277</t>
  </si>
  <si>
    <t>Y278</t>
  </si>
  <si>
    <t>Y279</t>
  </si>
  <si>
    <t>Y221</t>
  </si>
  <si>
    <t>Y222</t>
  </si>
  <si>
    <t>Y223</t>
  </si>
  <si>
    <t>Y224</t>
  </si>
  <si>
    <t>Y225</t>
  </si>
  <si>
    <t>Y226</t>
  </si>
  <si>
    <t>Y227</t>
  </si>
  <si>
    <t>Y228</t>
  </si>
  <si>
    <t>Y229</t>
  </si>
  <si>
    <t>Y230</t>
  </si>
  <si>
    <t>Y231</t>
  </si>
  <si>
    <t>Y232</t>
  </si>
  <si>
    <t>Y233</t>
  </si>
  <si>
    <t>Y234</t>
  </si>
  <si>
    <t>Y235</t>
  </si>
  <si>
    <t>Y236</t>
  </si>
  <si>
    <t>Y237</t>
  </si>
  <si>
    <t>Y238</t>
  </si>
  <si>
    <t>Y239</t>
  </si>
  <si>
    <t>Y240</t>
  </si>
  <si>
    <t>Y241</t>
  </si>
  <si>
    <t>Y242</t>
  </si>
  <si>
    <t>Y243</t>
  </si>
  <si>
    <t>Y190</t>
  </si>
  <si>
    <t>Y191</t>
  </si>
  <si>
    <t>Y192</t>
  </si>
  <si>
    <t>Y193</t>
  </si>
  <si>
    <t>Y194</t>
  </si>
  <si>
    <t>Y41</t>
  </si>
  <si>
    <t>Y261</t>
  </si>
  <si>
    <t>Y262</t>
  </si>
  <si>
    <t>Y263</t>
  </si>
  <si>
    <t>Y264</t>
  </si>
  <si>
    <t>Y265</t>
  </si>
  <si>
    <t>Y266</t>
  </si>
  <si>
    <t>Y267</t>
  </si>
  <si>
    <t>Y268</t>
  </si>
  <si>
    <t>Y269</t>
  </si>
  <si>
    <t>Y196</t>
  </si>
  <si>
    <t>Y197</t>
  </si>
  <si>
    <t>Y245</t>
  </si>
  <si>
    <t>Y246</t>
  </si>
  <si>
    <t>Y247</t>
  </si>
  <si>
    <t>Y198</t>
  </si>
  <si>
    <t>Y199</t>
  </si>
  <si>
    <t>Y45</t>
  </si>
  <si>
    <t>Y248</t>
  </si>
  <si>
    <t>Y249</t>
  </si>
  <si>
    <t>Z76</t>
  </si>
  <si>
    <t>Z77</t>
  </si>
  <si>
    <t>Z78</t>
  </si>
  <si>
    <t>Z79</t>
  </si>
  <si>
    <t>Z80</t>
  </si>
  <si>
    <t>Z81</t>
  </si>
  <si>
    <t>Z82</t>
  </si>
  <si>
    <t>Z83</t>
  </si>
  <si>
    <t>Z90</t>
  </si>
  <si>
    <t>Z91</t>
  </si>
  <si>
    <t>Z92</t>
  </si>
  <si>
    <t>Z93</t>
  </si>
  <si>
    <t>Z94</t>
  </si>
  <si>
    <t>Z95</t>
  </si>
  <si>
    <t>Z96</t>
  </si>
  <si>
    <t>Z97</t>
  </si>
  <si>
    <t>Z98</t>
  </si>
  <si>
    <t>Z99</t>
  </si>
  <si>
    <t>Z100</t>
  </si>
  <si>
    <t>Z101</t>
  </si>
  <si>
    <t>Z102</t>
  </si>
  <si>
    <t>Z103</t>
  </si>
  <si>
    <t>Z105</t>
  </si>
  <si>
    <t>Z104</t>
  </si>
  <si>
    <t>Z106</t>
  </si>
  <si>
    <t>Z107</t>
  </si>
  <si>
    <t>Z108</t>
  </si>
  <si>
    <t>Z109</t>
  </si>
  <si>
    <t>Z110</t>
  </si>
  <si>
    <t>Z111</t>
  </si>
  <si>
    <t>Z112</t>
  </si>
  <si>
    <t>Z84</t>
  </si>
  <si>
    <t>Z85</t>
  </si>
  <si>
    <t>Z86</t>
  </si>
  <si>
    <t>Z87</t>
  </si>
  <si>
    <t>Z88</t>
  </si>
  <si>
    <t>Z89</t>
  </si>
  <si>
    <t>Z271</t>
  </si>
  <si>
    <t>Z201</t>
  </si>
  <si>
    <t>Z202</t>
  </si>
  <si>
    <t>Z203</t>
  </si>
  <si>
    <t>Z113</t>
  </si>
  <si>
    <t>Z121</t>
  </si>
  <si>
    <t>Z116</t>
  </si>
  <si>
    <t>Z114</t>
  </si>
  <si>
    <t>Z123</t>
  </si>
  <si>
    <t>Z122</t>
  </si>
  <si>
    <t>Z117</t>
  </si>
  <si>
    <t>Z120</t>
  </si>
  <si>
    <t>Z118</t>
  </si>
  <si>
    <t>Z126</t>
  </si>
  <si>
    <t>Z115</t>
  </si>
  <si>
    <t>Z124</t>
  </si>
  <si>
    <t>Z119</t>
  </si>
  <si>
    <t>Z125</t>
  </si>
  <si>
    <t>Z128</t>
  </si>
  <si>
    <t>Z127</t>
  </si>
  <si>
    <t>Z129</t>
  </si>
  <si>
    <t>Z137</t>
  </si>
  <si>
    <t>Z132</t>
  </si>
  <si>
    <t>Z130</t>
  </si>
  <si>
    <t>Z139</t>
  </si>
  <si>
    <t>Z138</t>
  </si>
  <si>
    <t>Z136</t>
  </si>
  <si>
    <t>Z133</t>
  </si>
  <si>
    <t>Z134</t>
  </si>
  <si>
    <t>Z142</t>
  </si>
  <si>
    <t>Z131</t>
  </si>
  <si>
    <t>Z140</t>
  </si>
  <si>
    <t>Z135</t>
  </si>
  <si>
    <t>Z141</t>
  </si>
  <si>
    <t>Z144</t>
  </si>
  <si>
    <t>Z143</t>
  </si>
  <si>
    <t>Z16</t>
  </si>
  <si>
    <t>Z152</t>
  </si>
  <si>
    <t>Z153</t>
  </si>
  <si>
    <t>Z154</t>
  </si>
  <si>
    <t>Z155</t>
  </si>
  <si>
    <t>Z156</t>
  </si>
  <si>
    <t>Z157</t>
  </si>
  <si>
    <t>Z158</t>
  </si>
  <si>
    <t>Z159</t>
  </si>
  <si>
    <t>Z17</t>
  </si>
  <si>
    <t>Z160</t>
  </si>
  <si>
    <t>Z161</t>
  </si>
  <si>
    <t>Z162</t>
  </si>
  <si>
    <t>Z163</t>
  </si>
  <si>
    <t>Z164</t>
  </si>
  <si>
    <t>Z165</t>
  </si>
  <si>
    <t>Z166</t>
  </si>
  <si>
    <t>Z167</t>
  </si>
  <si>
    <t>Z168</t>
  </si>
  <si>
    <t>Z169</t>
  </si>
  <si>
    <t>Z170</t>
  </si>
  <si>
    <t>Z171</t>
  </si>
  <si>
    <t>Z172</t>
  </si>
  <si>
    <t>Z173</t>
  </si>
  <si>
    <t>Z145</t>
  </si>
  <si>
    <t>Z146</t>
  </si>
  <si>
    <t>Z147</t>
  </si>
  <si>
    <t>Z148</t>
  </si>
  <si>
    <t>Z149</t>
  </si>
  <si>
    <t>Z150</t>
  </si>
  <si>
    <t>Z151</t>
  </si>
  <si>
    <t>Z273</t>
  </si>
  <si>
    <t>Z205</t>
  </si>
  <si>
    <t>Z206</t>
  </si>
  <si>
    <t>Z207</t>
  </si>
  <si>
    <t>Z174</t>
  </si>
  <si>
    <t>Z175</t>
  </si>
  <si>
    <t>Z176</t>
  </si>
  <si>
    <t>Z275</t>
  </si>
  <si>
    <t>Z209</t>
  </si>
  <si>
    <t>Z210</t>
  </si>
  <si>
    <t>Z211</t>
  </si>
  <si>
    <t>Z178</t>
  </si>
  <si>
    <t>Z213</t>
  </si>
  <si>
    <t>Z27</t>
  </si>
  <si>
    <t>Z179</t>
  </si>
  <si>
    <t>Z180</t>
  </si>
  <si>
    <t>Z181</t>
  </si>
  <si>
    <t>Z182</t>
  </si>
  <si>
    <t>Z183</t>
  </si>
  <si>
    <t>Z75</t>
  </si>
  <si>
    <t>Z29</t>
  </si>
  <si>
    <t>Z250</t>
  </si>
  <si>
    <t>Z251</t>
  </si>
  <si>
    <t>Z252</t>
  </si>
  <si>
    <t>Z253</t>
  </si>
  <si>
    <t>Z254</t>
  </si>
  <si>
    <t>Z255</t>
  </si>
  <si>
    <t>Z256</t>
  </si>
  <si>
    <t>Z257</t>
  </si>
  <si>
    <t>Z258</t>
  </si>
  <si>
    <t>Z259</t>
  </si>
  <si>
    <t>Z260</t>
  </si>
  <si>
    <t>Z214</t>
  </si>
  <si>
    <t>Z30</t>
  </si>
  <si>
    <t>Z31</t>
  </si>
  <si>
    <t>Z185</t>
  </si>
  <si>
    <t>Z186</t>
  </si>
  <si>
    <t>Z216</t>
  </si>
  <si>
    <t>Z217</t>
  </si>
  <si>
    <t>Z218</t>
  </si>
  <si>
    <t>Z187</t>
  </si>
  <si>
    <t>Z188</t>
  </si>
  <si>
    <t>Z35</t>
  </si>
  <si>
    <t>Z219</t>
  </si>
  <si>
    <t>Z220</t>
  </si>
  <si>
    <t>Z276</t>
  </si>
  <si>
    <t>Z277</t>
  </si>
  <si>
    <t>Z278</t>
  </si>
  <si>
    <t>Z279</t>
  </si>
  <si>
    <t>Z221</t>
  </si>
  <si>
    <t>Z222</t>
  </si>
  <si>
    <t>Z223</t>
  </si>
  <si>
    <t>Z224</t>
  </si>
  <si>
    <t>Z225</t>
  </si>
  <si>
    <t>Z226</t>
  </si>
  <si>
    <t>Z227</t>
  </si>
  <si>
    <t>Z228</t>
  </si>
  <si>
    <t>Z229</t>
  </si>
  <si>
    <t>Z230</t>
  </si>
  <si>
    <t>Z231</t>
  </si>
  <si>
    <t>Z232</t>
  </si>
  <si>
    <t>Z233</t>
  </si>
  <si>
    <t>Z234</t>
  </si>
  <si>
    <t>Z235</t>
  </si>
  <si>
    <t>Z236</t>
  </si>
  <si>
    <t>Z237</t>
  </si>
  <si>
    <t>Z238</t>
  </si>
  <si>
    <t>Z239</t>
  </si>
  <si>
    <t>Z240</t>
  </si>
  <si>
    <t>Z241</t>
  </si>
  <si>
    <t>Z242</t>
  </si>
  <si>
    <t>Z243</t>
  </si>
  <si>
    <t>Z190</t>
  </si>
  <si>
    <t>Z191</t>
  </si>
  <si>
    <t>Z192</t>
  </si>
  <si>
    <t>Z193</t>
  </si>
  <si>
    <t>Z194</t>
  </si>
  <si>
    <t>Z41</t>
  </si>
  <si>
    <t>Z261</t>
  </si>
  <si>
    <t>Z262</t>
  </si>
  <si>
    <t>Z263</t>
  </si>
  <si>
    <t>Z264</t>
  </si>
  <si>
    <t>Z265</t>
  </si>
  <si>
    <t>Z266</t>
  </si>
  <si>
    <t>Z267</t>
  </si>
  <si>
    <t>Z268</t>
  </si>
  <si>
    <t>Z269</t>
  </si>
  <si>
    <t>Z196</t>
  </si>
  <si>
    <t>Z197</t>
  </si>
  <si>
    <t>Z245</t>
  </si>
  <si>
    <t>Z246</t>
  </si>
  <si>
    <t>Z247</t>
  </si>
  <si>
    <t>Z198</t>
  </si>
  <si>
    <t>Z199</t>
  </si>
  <si>
    <t>Z45</t>
  </si>
  <si>
    <t>Z248</t>
  </si>
  <si>
    <t>Z249</t>
  </si>
  <si>
    <t>AA76</t>
  </si>
  <si>
    <t>AA77</t>
  </si>
  <si>
    <t>AA78</t>
  </si>
  <si>
    <t>AA79</t>
  </si>
  <si>
    <t>AA80</t>
  </si>
  <si>
    <t>AA81</t>
  </si>
  <si>
    <t>AA82</t>
  </si>
  <si>
    <t>AA83</t>
  </si>
  <si>
    <t>AA90</t>
  </si>
  <si>
    <t>AA91</t>
  </si>
  <si>
    <t>AA92</t>
  </si>
  <si>
    <t>AA93</t>
  </si>
  <si>
    <t>AA94</t>
  </si>
  <si>
    <t>AA95</t>
  </si>
  <si>
    <t>AA96</t>
  </si>
  <si>
    <t>AA97</t>
  </si>
  <si>
    <t>AA98</t>
  </si>
  <si>
    <t>AA99</t>
  </si>
  <si>
    <t>AA100</t>
  </si>
  <si>
    <t>AA101</t>
  </si>
  <si>
    <t>AA102</t>
  </si>
  <si>
    <t>AA103</t>
  </si>
  <si>
    <t>AA105</t>
  </si>
  <si>
    <t>AA104</t>
  </si>
  <si>
    <t>AA106</t>
  </si>
  <si>
    <t>AA107</t>
  </si>
  <si>
    <t>AA108</t>
  </si>
  <si>
    <t>AA109</t>
  </si>
  <si>
    <t>AA110</t>
  </si>
  <si>
    <t>AA111</t>
  </si>
  <si>
    <t>AA112</t>
  </si>
  <si>
    <t>AA84</t>
  </si>
  <si>
    <t>AA85</t>
  </si>
  <si>
    <t>AA86</t>
  </si>
  <si>
    <t>AA87</t>
  </si>
  <si>
    <t>AA88</t>
  </si>
  <si>
    <t>AA89</t>
  </si>
  <si>
    <t>AA271</t>
  </si>
  <si>
    <t>AA201</t>
  </si>
  <si>
    <t>AA202</t>
  </si>
  <si>
    <t>AA203</t>
  </si>
  <si>
    <t>AA113</t>
  </si>
  <si>
    <t>AA121</t>
  </si>
  <si>
    <t>AA116</t>
  </si>
  <si>
    <t>AA114</t>
  </si>
  <si>
    <t>AA123</t>
  </si>
  <si>
    <t>AA122</t>
  </si>
  <si>
    <t>AA117</t>
  </si>
  <si>
    <t>AA120</t>
  </si>
  <si>
    <t>AA118</t>
  </si>
  <si>
    <t>AA126</t>
  </si>
  <si>
    <t>AA115</t>
  </si>
  <si>
    <t>AA124</t>
  </si>
  <si>
    <t>AA119</t>
  </si>
  <si>
    <t>AA125</t>
  </si>
  <si>
    <t>AA128</t>
  </si>
  <si>
    <t>AA127</t>
  </si>
  <si>
    <t>AA129</t>
  </si>
  <si>
    <t>AA137</t>
  </si>
  <si>
    <t>AA132</t>
  </si>
  <si>
    <t>AA130</t>
  </si>
  <si>
    <t>AA139</t>
  </si>
  <si>
    <t>AA138</t>
  </si>
  <si>
    <t>AA136</t>
  </si>
  <si>
    <t>AA133</t>
  </si>
  <si>
    <t>AA134</t>
  </si>
  <si>
    <t>AA142</t>
  </si>
  <si>
    <t>AA131</t>
  </si>
  <si>
    <t>AA140</t>
  </si>
  <si>
    <t>AA135</t>
  </si>
  <si>
    <t>AA141</t>
  </si>
  <si>
    <t>AA144</t>
  </si>
  <si>
    <t>AA143</t>
  </si>
  <si>
    <t>AA16</t>
  </si>
  <si>
    <t>AA152</t>
  </si>
  <si>
    <t>AA153</t>
  </si>
  <si>
    <t>AA154</t>
  </si>
  <si>
    <t>AA155</t>
  </si>
  <si>
    <t>AA156</t>
  </si>
  <si>
    <t>AA157</t>
  </si>
  <si>
    <t>AA158</t>
  </si>
  <si>
    <t>AA159</t>
  </si>
  <si>
    <t>AA17</t>
  </si>
  <si>
    <t>AA160</t>
  </si>
  <si>
    <t>AA161</t>
  </si>
  <si>
    <t>AA162</t>
  </si>
  <si>
    <t>AA163</t>
  </si>
  <si>
    <t>AA164</t>
  </si>
  <si>
    <t>AA165</t>
  </si>
  <si>
    <t>AA166</t>
  </si>
  <si>
    <t>AA167</t>
  </si>
  <si>
    <t>AA168</t>
  </si>
  <si>
    <t>AA169</t>
  </si>
  <si>
    <t>AA170</t>
  </si>
  <si>
    <t>AA171</t>
  </si>
  <si>
    <t>AA172</t>
  </si>
  <si>
    <t>AA173</t>
  </si>
  <si>
    <t>AA145</t>
  </si>
  <si>
    <t>AA146</t>
  </si>
  <si>
    <t>AA147</t>
  </si>
  <si>
    <t>AA148</t>
  </si>
  <si>
    <t>AA149</t>
  </si>
  <si>
    <t>AA150</t>
  </si>
  <si>
    <t>AA151</t>
  </si>
  <si>
    <t>AA273</t>
  </si>
  <si>
    <t>AA205</t>
  </si>
  <si>
    <t>AA206</t>
  </si>
  <si>
    <t>AA207</t>
  </si>
  <si>
    <t>AA174</t>
  </si>
  <si>
    <t>AA175</t>
  </si>
  <si>
    <t>AA176</t>
  </si>
  <si>
    <t>AA275</t>
  </si>
  <si>
    <t>AA209</t>
  </si>
  <si>
    <t>AA210</t>
  </si>
  <si>
    <t>AA211</t>
  </si>
  <si>
    <t>AA178</t>
  </si>
  <si>
    <t>AA213</t>
  </si>
  <si>
    <t>AA27</t>
  </si>
  <si>
    <t>AA179</t>
  </si>
  <si>
    <t>AA180</t>
  </si>
  <si>
    <t>AA181</t>
  </si>
  <si>
    <t>AA182</t>
  </si>
  <si>
    <t>AA183</t>
  </si>
  <si>
    <t>AA75</t>
  </si>
  <si>
    <t>AA29</t>
  </si>
  <si>
    <t>AA250</t>
  </si>
  <si>
    <t>AA251</t>
  </si>
  <si>
    <t>AA252</t>
  </si>
  <si>
    <t>AA253</t>
  </si>
  <si>
    <t>AA254</t>
  </si>
  <si>
    <t>AA255</t>
  </si>
  <si>
    <t>AA256</t>
  </si>
  <si>
    <t>AA257</t>
  </si>
  <si>
    <t>AA258</t>
  </si>
  <si>
    <t>AA259</t>
  </si>
  <si>
    <t>AA260</t>
  </si>
  <si>
    <t>AA214</t>
  </si>
  <si>
    <t>AA30</t>
  </si>
  <si>
    <t>AA31</t>
  </si>
  <si>
    <t>AA185</t>
  </si>
  <si>
    <t>AA186</t>
  </si>
  <si>
    <t>AA216</t>
  </si>
  <si>
    <t>AA217</t>
  </si>
  <si>
    <t>AA218</t>
  </si>
  <si>
    <t>AA187</t>
  </si>
  <si>
    <t>AA188</t>
  </si>
  <si>
    <t>AA35</t>
  </si>
  <si>
    <t>AA219</t>
  </si>
  <si>
    <t>AA220</t>
  </si>
  <si>
    <t>AA276</t>
  </si>
  <si>
    <t>AA277</t>
  </si>
  <si>
    <t>AA278</t>
  </si>
  <si>
    <t>AA279</t>
  </si>
  <si>
    <t>AA221</t>
  </si>
  <si>
    <t>AA222</t>
  </si>
  <si>
    <t>AA223</t>
  </si>
  <si>
    <t>AA224</t>
  </si>
  <si>
    <t>AA225</t>
  </si>
  <si>
    <t>AA226</t>
  </si>
  <si>
    <t>AA227</t>
  </si>
  <si>
    <t>AA228</t>
  </si>
  <si>
    <t>AA229</t>
  </si>
  <si>
    <t>AA230</t>
  </si>
  <si>
    <t>AA231</t>
  </si>
  <si>
    <t>AA232</t>
  </si>
  <si>
    <t>AA233</t>
  </si>
  <si>
    <t>AA234</t>
  </si>
  <si>
    <t>AA235</t>
  </si>
  <si>
    <t>AA236</t>
  </si>
  <si>
    <t>AA237</t>
  </si>
  <si>
    <t>AA238</t>
  </si>
  <si>
    <t>AA239</t>
  </si>
  <si>
    <t>AA240</t>
  </si>
  <si>
    <t>AA241</t>
  </si>
  <si>
    <t>AA242</t>
  </si>
  <si>
    <t>AA243</t>
  </si>
  <si>
    <t>AA190</t>
  </si>
  <si>
    <t>AA191</t>
  </si>
  <si>
    <t>AA192</t>
  </si>
  <si>
    <t>AA193</t>
  </si>
  <si>
    <t>AA194</t>
  </si>
  <si>
    <t>AA41</t>
  </si>
  <si>
    <t>AA261</t>
  </si>
  <si>
    <t>AA262</t>
  </si>
  <si>
    <t>AA263</t>
  </si>
  <si>
    <t>AA264</t>
  </si>
  <si>
    <t>AA265</t>
  </si>
  <si>
    <t>AA266</t>
  </si>
  <si>
    <t>AA267</t>
  </si>
  <si>
    <t>AA268</t>
  </si>
  <si>
    <t>AA269</t>
  </si>
  <si>
    <t>AA196</t>
  </si>
  <si>
    <t>AA197</t>
  </si>
  <si>
    <t>AA245</t>
  </si>
  <si>
    <t>AA246</t>
  </si>
  <si>
    <t>AA247</t>
  </si>
  <si>
    <t>AA198</t>
  </si>
  <si>
    <t>AA199</t>
  </si>
  <si>
    <t>AA45</t>
  </si>
  <si>
    <t>AA248</t>
  </si>
  <si>
    <t>AA249</t>
  </si>
  <si>
    <t>AB76</t>
  </si>
  <si>
    <t>AB77</t>
  </si>
  <si>
    <t>AB78</t>
  </si>
  <si>
    <t>AB79</t>
  </si>
  <si>
    <t>AB80</t>
  </si>
  <si>
    <t>AB81</t>
  </si>
  <si>
    <t>AB82</t>
  </si>
  <si>
    <t>AB83</t>
  </si>
  <si>
    <t>AB90</t>
  </si>
  <si>
    <t>AB91</t>
  </si>
  <si>
    <t>AB92</t>
  </si>
  <si>
    <t>AB93</t>
  </si>
  <si>
    <t>AB94</t>
  </si>
  <si>
    <t>AB95</t>
  </si>
  <si>
    <t>AB96</t>
  </si>
  <si>
    <t>AB97</t>
  </si>
  <si>
    <t>AB98</t>
  </si>
  <si>
    <t>AB99</t>
  </si>
  <si>
    <t>AB100</t>
  </si>
  <si>
    <t>AB101</t>
  </si>
  <si>
    <t>AB102</t>
  </si>
  <si>
    <t>AB103</t>
  </si>
  <si>
    <t>AB105</t>
  </si>
  <si>
    <t>AB104</t>
  </si>
  <si>
    <t>AB106</t>
  </si>
  <si>
    <t>AB107</t>
  </si>
  <si>
    <t>AB108</t>
  </si>
  <si>
    <t>AB109</t>
  </si>
  <si>
    <t>AB110</t>
  </si>
  <si>
    <t>AB111</t>
  </si>
  <si>
    <t>AB112</t>
  </si>
  <si>
    <t>AB84</t>
  </si>
  <si>
    <t>AB85</t>
  </si>
  <si>
    <t>AB86</t>
  </si>
  <si>
    <t>AB280</t>
  </si>
  <si>
    <t>AB281</t>
  </si>
  <si>
    <t>AB282</t>
  </si>
  <si>
    <t>AB283</t>
  </si>
  <si>
    <t>AB284</t>
  </si>
  <si>
    <t>AB285</t>
  </si>
  <si>
    <t>AB87</t>
  </si>
  <si>
    <t>AB88</t>
  </si>
  <si>
    <t>AB286</t>
  </si>
  <si>
    <t>AB287</t>
  </si>
  <si>
    <t>AB89</t>
  </si>
  <si>
    <t>AB113</t>
  </si>
  <si>
    <t>AB121</t>
  </si>
  <si>
    <t>AB116</t>
  </si>
  <si>
    <t>AB114</t>
  </si>
  <si>
    <t>AB123</t>
  </si>
  <si>
    <t>AB122</t>
  </si>
  <si>
    <t>AB117</t>
  </si>
  <si>
    <t>AB120</t>
  </si>
  <si>
    <t>AB118</t>
  </si>
  <si>
    <t>AB126</t>
  </si>
  <si>
    <t>AB115</t>
  </si>
  <si>
    <t>AB124</t>
  </si>
  <si>
    <t>AB119</t>
  </si>
  <si>
    <t>AB125</t>
  </si>
  <si>
    <t>AB128</t>
  </si>
  <si>
    <t>AB127</t>
  </si>
  <si>
    <t>AB129</t>
  </si>
  <si>
    <t>AB137</t>
  </si>
  <si>
    <t>AB132</t>
  </si>
  <si>
    <t>AB130</t>
  </si>
  <si>
    <t>AB139</t>
  </si>
  <si>
    <t>AB138</t>
  </si>
  <si>
    <t>AB136</t>
  </si>
  <si>
    <t>AB133</t>
  </si>
  <si>
    <t>AB134</t>
  </si>
  <si>
    <t>AB142</t>
  </si>
  <si>
    <t>AB131</t>
  </si>
  <si>
    <t>AB140</t>
  </si>
  <si>
    <t>AB135</t>
  </si>
  <si>
    <t>AB141</t>
  </si>
  <si>
    <t>AB144</t>
  </si>
  <si>
    <t>AB143</t>
  </si>
  <si>
    <t>AB16</t>
  </si>
  <si>
    <t>AB152</t>
  </si>
  <si>
    <t>AB153</t>
  </si>
  <si>
    <t>AB154</t>
  </si>
  <si>
    <t>AB155</t>
  </si>
  <si>
    <t>AB156</t>
  </si>
  <si>
    <t>AB157</t>
  </si>
  <si>
    <t>AB158</t>
  </si>
  <si>
    <t>AB159</t>
  </si>
  <si>
    <t>AB17</t>
  </si>
  <si>
    <t>AB160</t>
  </si>
  <si>
    <t>AB161</t>
  </si>
  <si>
    <t>AB162</t>
  </si>
  <si>
    <t>AB163</t>
  </si>
  <si>
    <t>AB164</t>
  </si>
  <si>
    <t>AB165</t>
  </si>
  <si>
    <t>AB166</t>
  </si>
  <si>
    <t>AB167</t>
  </si>
  <si>
    <t>AB168</t>
  </si>
  <si>
    <t>AB169</t>
  </si>
  <si>
    <t>AB170</t>
  </si>
  <si>
    <t>AB171</t>
  </si>
  <si>
    <t>AB172</t>
  </si>
  <si>
    <t>AB173</t>
  </si>
  <si>
    <t>AB145</t>
  </si>
  <si>
    <t>AB146</t>
  </si>
  <si>
    <t>AB147</t>
  </si>
  <si>
    <t>AB148</t>
  </si>
  <si>
    <t>AB288</t>
  </si>
  <si>
    <t>AB289</t>
  </si>
  <si>
    <t>AB290</t>
  </si>
  <si>
    <t>AB291</t>
  </si>
  <si>
    <t>AB292</t>
  </si>
  <si>
    <t>AB293</t>
  </si>
  <si>
    <t>AB149</t>
  </si>
  <si>
    <t>AB150</t>
  </si>
  <si>
    <t>AB294</t>
  </si>
  <si>
    <t>AB295</t>
  </si>
  <si>
    <t>AB151</t>
  </si>
  <si>
    <t>AB174</t>
  </si>
  <si>
    <t>AB175</t>
  </si>
  <si>
    <t>AB296</t>
  </si>
  <si>
    <t>AB176</t>
  </si>
  <si>
    <t>AB297</t>
  </si>
  <si>
    <t>AB178</t>
  </si>
  <si>
    <t>AB213</t>
  </si>
  <si>
    <t>AB27</t>
  </si>
  <si>
    <t>AB179</t>
  </si>
  <si>
    <t>AB180</t>
  </si>
  <si>
    <t>AB181</t>
  </si>
  <si>
    <t>AB182</t>
  </si>
  <si>
    <t>AB183</t>
  </si>
  <si>
    <t>AB75</t>
  </si>
  <si>
    <t>AB29</t>
  </si>
  <si>
    <t>AB250</t>
  </si>
  <si>
    <t>AB251</t>
  </si>
  <si>
    <t>AB252</t>
  </si>
  <si>
    <t>AB253</t>
  </si>
  <si>
    <t>AB254</t>
  </si>
  <si>
    <t>AB255</t>
  </si>
  <si>
    <t>AB256</t>
  </si>
  <si>
    <t>AB257</t>
  </si>
  <si>
    <t>AB258</t>
  </si>
  <si>
    <t>AB259</t>
  </si>
  <si>
    <t>AB260</t>
  </si>
  <si>
    <t>AB214</t>
  </si>
  <si>
    <t>AB30</t>
  </si>
  <si>
    <t>AB31</t>
  </si>
  <si>
    <t>AB185</t>
  </si>
  <si>
    <t>AB186</t>
  </si>
  <si>
    <t>AB216</t>
  </si>
  <si>
    <t>AB298</t>
  </si>
  <si>
    <t>AB217</t>
  </si>
  <si>
    <t>AB218</t>
  </si>
  <si>
    <t>AB187</t>
  </si>
  <si>
    <t>AB188</t>
  </si>
  <si>
    <t>AB299</t>
  </si>
  <si>
    <t>AB300</t>
  </si>
  <si>
    <t>AB301</t>
  </si>
  <si>
    <t>AB35</t>
  </si>
  <si>
    <t>AB37</t>
  </si>
  <si>
    <t>AB219</t>
  </si>
  <si>
    <t>AB220</t>
  </si>
  <si>
    <t>AB276</t>
  </si>
  <si>
    <t>AB277</t>
  </si>
  <si>
    <t>AB278</t>
  </si>
  <si>
    <t>AB279</t>
  </si>
  <si>
    <t>AB221</t>
  </si>
  <si>
    <t>AB222</t>
  </si>
  <si>
    <t>AB223</t>
  </si>
  <si>
    <t>AB224</t>
  </si>
  <si>
    <t>AB225</t>
  </si>
  <si>
    <t>AB226</t>
  </si>
  <si>
    <t>AB227</t>
  </si>
  <si>
    <t>AB228</t>
  </si>
  <si>
    <t>AB229</t>
  </si>
  <si>
    <t>AB230</t>
  </si>
  <si>
    <t>AB231</t>
  </si>
  <si>
    <t>AB232</t>
  </si>
  <si>
    <t>AB233</t>
  </si>
  <si>
    <t>AB234</t>
  </si>
  <si>
    <t>AB235</t>
  </si>
  <si>
    <t>AB236</t>
  </si>
  <si>
    <t>AB237</t>
  </si>
  <si>
    <t>AB238</t>
  </si>
  <si>
    <t>AB239</t>
  </si>
  <si>
    <t>AB240</t>
  </si>
  <si>
    <t>AB241</t>
  </si>
  <si>
    <t>AB242</t>
  </si>
  <si>
    <t>AB243</t>
  </si>
  <si>
    <t>AB190</t>
  </si>
  <si>
    <t>AB191</t>
  </si>
  <si>
    <t>AB192</t>
  </si>
  <si>
    <t>AB193</t>
  </si>
  <si>
    <t>AB194</t>
  </si>
  <si>
    <t>AB41</t>
  </si>
  <si>
    <t>AB261</t>
  </si>
  <si>
    <t>AB262</t>
  </si>
  <si>
    <t>AB263</t>
  </si>
  <si>
    <t>AB264</t>
  </si>
  <si>
    <t>AB265</t>
  </si>
  <si>
    <t>AB266</t>
  </si>
  <si>
    <t>AB267</t>
  </si>
  <si>
    <t>AB268</t>
  </si>
  <si>
    <t>AB269</t>
  </si>
  <si>
    <t>AB196</t>
  </si>
  <si>
    <t>AB197</t>
  </si>
  <si>
    <t>AB302</t>
  </si>
  <si>
    <t>AB245</t>
  </si>
  <si>
    <t>AB246</t>
  </si>
  <si>
    <t>AB247</t>
  </si>
  <si>
    <t>AB198</t>
  </si>
  <si>
    <t>AB199</t>
  </si>
  <si>
    <t>AB303</t>
  </si>
  <si>
    <t>AB304</t>
  </si>
  <si>
    <t>AB305</t>
  </si>
  <si>
    <t>AB45</t>
  </si>
  <si>
    <t>AB306</t>
  </si>
  <si>
    <t>AB248</t>
  </si>
  <si>
    <t>AB249</t>
  </si>
  <si>
    <t>AC79</t>
  </si>
  <si>
    <t>AC80</t>
  </si>
  <si>
    <t>AC77</t>
  </si>
  <si>
    <t>AC78</t>
  </si>
  <si>
    <t>AC81</t>
  </si>
  <si>
    <t>AC82</t>
  </si>
  <si>
    <t>AC83</t>
  </si>
  <si>
    <t>AC307</t>
  </si>
  <si>
    <t>AC98</t>
  </si>
  <si>
    <t>AC101</t>
  </si>
  <si>
    <t>AC94</t>
  </si>
  <si>
    <t>AC95</t>
  </si>
  <si>
    <t>AC92</t>
  </si>
  <si>
    <t>AC100</t>
  </si>
  <si>
    <t>AC105</t>
  </si>
  <si>
    <t>AC102</t>
  </si>
  <si>
    <t>AC280</t>
  </si>
  <si>
    <t>AC104</t>
  </si>
  <si>
    <t>AC111</t>
  </si>
  <si>
    <t>AC281</t>
  </si>
  <si>
    <t>AC112</t>
  </si>
  <si>
    <t>AC107</t>
  </si>
  <si>
    <t>AC282</t>
  </si>
  <si>
    <t>AC283</t>
  </si>
  <si>
    <t>AC284</t>
  </si>
  <si>
    <t>AC285</t>
  </si>
  <si>
    <t>AC93</t>
  </si>
  <si>
    <t>AC90</t>
  </si>
  <si>
    <t>AC84</t>
  </si>
  <si>
    <t>AC109</t>
  </si>
  <si>
    <t>AC110</t>
  </si>
  <si>
    <t>AC108</t>
  </si>
  <si>
    <t>AC103</t>
  </si>
  <si>
    <t>AC286</t>
  </si>
  <si>
    <t>AC287</t>
  </si>
  <si>
    <t>AC85</t>
  </si>
  <si>
    <t>AC308</t>
  </si>
  <si>
    <t>AC113</t>
  </si>
  <si>
    <t>AC121</t>
  </si>
  <si>
    <t>AC116</t>
  </si>
  <si>
    <t>AC114</t>
  </si>
  <si>
    <t>AC123</t>
  </si>
  <si>
    <t>AC122</t>
  </si>
  <si>
    <t>AC117</t>
  </si>
  <si>
    <t>AC120</t>
  </si>
  <si>
    <t>AC118</t>
  </si>
  <si>
    <t>AC126</t>
  </si>
  <si>
    <t>AC115</t>
  </si>
  <si>
    <t>AC124</t>
  </si>
  <si>
    <t>AC119</t>
  </si>
  <si>
    <t>AC125</t>
  </si>
  <si>
    <t>AC128</t>
  </si>
  <si>
    <t>AC127</t>
  </si>
  <si>
    <t>AC309</t>
  </si>
  <si>
    <t>AC129</t>
  </si>
  <si>
    <t>AC137</t>
  </si>
  <si>
    <t>AC132</t>
  </si>
  <si>
    <t>AC130</t>
  </si>
  <si>
    <t>AC139</t>
  </si>
  <si>
    <t>AC138</t>
  </si>
  <si>
    <t>AC136</t>
  </si>
  <si>
    <t>AC133</t>
  </si>
  <si>
    <t>AC134</t>
  </si>
  <si>
    <t>AC142</t>
  </si>
  <si>
    <t>AC131</t>
  </si>
  <si>
    <t>AC140</t>
  </si>
  <si>
    <t>AC135</t>
  </si>
  <si>
    <t>AC141</t>
  </si>
  <si>
    <t>AC144</t>
  </si>
  <si>
    <t>AC143</t>
  </si>
  <si>
    <t>AC310</t>
  </si>
  <si>
    <t>AC160</t>
  </si>
  <si>
    <t>AC163</t>
  </si>
  <si>
    <t>AC156</t>
  </si>
  <si>
    <t>AC157</t>
  </si>
  <si>
    <t>AC154</t>
  </si>
  <si>
    <t>AC162</t>
  </si>
  <si>
    <t>AC166</t>
  </si>
  <si>
    <t>AC164</t>
  </si>
  <si>
    <t>AC288</t>
  </si>
  <si>
    <t>AC167</t>
  </si>
  <si>
    <t>AC173</t>
  </si>
  <si>
    <t>AC289</t>
  </si>
  <si>
    <t>AC145</t>
  </si>
  <si>
    <t>AC169</t>
  </si>
  <si>
    <t>AC290</t>
  </si>
  <si>
    <t>AC291</t>
  </si>
  <si>
    <t>AC292</t>
  </si>
  <si>
    <t>AC293</t>
  </si>
  <si>
    <t>AC155</t>
  </si>
  <si>
    <t>AC152</t>
  </si>
  <si>
    <t>AC146</t>
  </si>
  <si>
    <t>AC171</t>
  </si>
  <si>
    <t>AC172</t>
  </si>
  <si>
    <t>AC170</t>
  </si>
  <si>
    <t>AC165</t>
  </si>
  <si>
    <t>AC294</t>
  </si>
  <si>
    <t>AC295</t>
  </si>
  <si>
    <t>AC147</t>
  </si>
  <si>
    <t>AC311</t>
  </si>
  <si>
    <t>AC17</t>
  </si>
  <si>
    <t>AC296</t>
  </si>
  <si>
    <t>AC297</t>
  </si>
  <si>
    <t>AC176</t>
  </si>
  <si>
    <t>AC213</t>
  </si>
  <si>
    <t>AC27</t>
  </si>
  <si>
    <t>AC183</t>
  </si>
  <si>
    <t>AC181</t>
  </si>
  <si>
    <t>AC180</t>
  </si>
  <si>
    <t>AC182</t>
  </si>
  <si>
    <t>AC75</t>
  </si>
  <si>
    <t>AC29</t>
  </si>
  <si>
    <t>AC250</t>
  </si>
  <si>
    <t>AC251</t>
  </si>
  <si>
    <t>AC252</t>
  </si>
  <si>
    <t>AC253</t>
  </si>
  <si>
    <t>AC254</t>
  </si>
  <si>
    <t>AC255</t>
  </si>
  <si>
    <t>AC256</t>
  </si>
  <si>
    <t>AC257</t>
  </si>
  <si>
    <t>AC258</t>
  </si>
  <si>
    <t>AC259</t>
  </si>
  <si>
    <t>AC260</t>
  </si>
  <si>
    <t>AC214</t>
  </si>
  <si>
    <t>AC30</t>
  </si>
  <si>
    <t>AC31</t>
  </si>
  <si>
    <t>AC216</t>
  </si>
  <si>
    <t>AC298</t>
  </si>
  <si>
    <t>AC217</t>
  </si>
  <si>
    <t>AC218</t>
  </si>
  <si>
    <t>AC299</t>
  </si>
  <si>
    <t>AC300</t>
  </si>
  <si>
    <t>AC301</t>
  </si>
  <si>
    <t>AC185</t>
  </si>
  <si>
    <t>AC35</t>
  </si>
  <si>
    <t>AC37</t>
  </si>
  <si>
    <t>AC219</t>
  </si>
  <si>
    <t>AC220</t>
  </si>
  <si>
    <t>AC221</t>
  </si>
  <si>
    <t>AC222</t>
  </si>
  <si>
    <t>AC223</t>
  </si>
  <si>
    <t>AC224</t>
  </si>
  <si>
    <t>AC225</t>
  </si>
  <si>
    <t>AC226</t>
  </si>
  <si>
    <t>AC227</t>
  </si>
  <si>
    <t>AC228</t>
  </si>
  <si>
    <t>AC229</t>
  </si>
  <si>
    <t>AC230</t>
  </si>
  <si>
    <t>AC231</t>
  </si>
  <si>
    <t>AC232</t>
  </si>
  <si>
    <t>AC233</t>
  </si>
  <si>
    <t>AC234</t>
  </si>
  <si>
    <t>AC235</t>
  </si>
  <si>
    <t>AC236</t>
  </si>
  <si>
    <t>AC237</t>
  </si>
  <si>
    <t>AC238</t>
  </si>
  <si>
    <t>AC239</t>
  </si>
  <si>
    <t>AC240</t>
  </si>
  <si>
    <t>AC241</t>
  </si>
  <si>
    <t>AC242</t>
  </si>
  <si>
    <t>AC194</t>
  </si>
  <si>
    <t>AC192</t>
  </si>
  <si>
    <t>AC191</t>
  </si>
  <si>
    <t>AC193</t>
  </si>
  <si>
    <t>AC41</t>
  </si>
  <si>
    <t>AC261</t>
  </si>
  <si>
    <t>AC262</t>
  </si>
  <si>
    <t>AC263</t>
  </si>
  <si>
    <t>AC264</t>
  </si>
  <si>
    <t>AC265</t>
  </si>
  <si>
    <t>AC266</t>
  </si>
  <si>
    <t>AC267</t>
  </si>
  <si>
    <t>AC268</t>
  </si>
  <si>
    <t>AC269</t>
  </si>
  <si>
    <t>AC302</t>
  </si>
  <si>
    <t>AC245</t>
  </si>
  <si>
    <t>AC246</t>
  </si>
  <si>
    <t>AC247</t>
  </si>
  <si>
    <t>AC303</t>
  </si>
  <si>
    <t>AC304</t>
  </si>
  <si>
    <t>AC305</t>
  </si>
  <si>
    <t>AC196</t>
  </si>
  <si>
    <t>AC45</t>
  </si>
  <si>
    <t>AC306</t>
  </si>
  <si>
    <t>AC248</t>
  </si>
  <si>
    <t>AC249</t>
  </si>
  <si>
    <t>AD79</t>
  </si>
  <si>
    <t>AD80</t>
  </si>
  <si>
    <t>AD77</t>
  </si>
  <si>
    <t>AD78</t>
  </si>
  <si>
    <t>AD81</t>
  </si>
  <si>
    <t>AD82</t>
  </si>
  <si>
    <t>AD83</t>
  </si>
  <si>
    <t>AD307</t>
  </si>
  <si>
    <t>AD98</t>
  </si>
  <si>
    <t>AD101</t>
  </si>
  <si>
    <t>AD94</t>
  </si>
  <si>
    <t>AD95</t>
  </si>
  <si>
    <t>AD92</t>
  </si>
  <si>
    <t>AD100</t>
  </si>
  <si>
    <t>AD105</t>
  </si>
  <si>
    <t>AD102</t>
  </si>
  <si>
    <t>AD280</t>
  </si>
  <si>
    <t>AD104</t>
  </si>
  <si>
    <t>AD111</t>
  </si>
  <si>
    <t>AD281</t>
  </si>
  <si>
    <t>AD112</t>
  </si>
  <si>
    <t>AD107</t>
  </si>
  <si>
    <t>AD282</t>
  </si>
  <si>
    <t>AD283</t>
  </si>
  <si>
    <t>AD284</t>
  </si>
  <si>
    <t>AD285</t>
  </si>
  <si>
    <t>AD93</t>
  </si>
  <si>
    <t>AD90</t>
  </si>
  <si>
    <t>AD84</t>
  </si>
  <si>
    <t>AD109</t>
  </si>
  <si>
    <t>AD110</t>
  </si>
  <si>
    <t>AD108</t>
  </si>
  <si>
    <t>AD103</t>
  </si>
  <si>
    <t>AD286</t>
  </si>
  <si>
    <t>AD287</t>
  </si>
  <si>
    <t>AD85</t>
  </si>
  <si>
    <t>AD308</t>
  </si>
  <si>
    <t>AD113</t>
  </si>
  <si>
    <t>AD121</t>
  </si>
  <si>
    <t>AD116</t>
  </si>
  <si>
    <t>AD114</t>
  </si>
  <si>
    <t>AD123</t>
  </si>
  <si>
    <t>AD122</t>
  </si>
  <si>
    <t>AD117</t>
  </si>
  <si>
    <t>AD120</t>
  </si>
  <si>
    <t>AD118</t>
  </si>
  <si>
    <t>AD126</t>
  </si>
  <si>
    <t>AD115</t>
  </si>
  <si>
    <t>AD124</t>
  </si>
  <si>
    <t>AD119</t>
  </si>
  <si>
    <t>AD125</t>
  </si>
  <si>
    <t>AD128</t>
  </si>
  <si>
    <t>AD127</t>
  </si>
  <si>
    <t>AD309</t>
  </si>
  <si>
    <t>AD129</t>
  </si>
  <si>
    <t>AD137</t>
  </si>
  <si>
    <t>AD132</t>
  </si>
  <si>
    <t>AD130</t>
  </si>
  <si>
    <t>AD139</t>
  </si>
  <si>
    <t>AD138</t>
  </si>
  <si>
    <t>AD136</t>
  </si>
  <si>
    <t>AD133</t>
  </si>
  <si>
    <t>AD134</t>
  </si>
  <si>
    <t>AD142</t>
  </si>
  <si>
    <t>AD131</t>
  </si>
  <si>
    <t>AD140</t>
  </si>
  <si>
    <t>AD135</t>
  </si>
  <si>
    <t>AD141</t>
  </si>
  <si>
    <t>AD144</t>
  </si>
  <si>
    <t>AD143</t>
  </si>
  <si>
    <t>AD310</t>
  </si>
  <si>
    <t>AD160</t>
  </si>
  <si>
    <t>AD163</t>
  </si>
  <si>
    <t>AD156</t>
  </si>
  <si>
    <t>AD157</t>
  </si>
  <si>
    <t>AD154</t>
  </si>
  <si>
    <t>AD162</t>
  </si>
  <si>
    <t>AD166</t>
  </si>
  <si>
    <t>AD164</t>
  </si>
  <si>
    <t>AD288</t>
  </si>
  <si>
    <t>AD167</t>
  </si>
  <si>
    <t>AD173</t>
  </si>
  <si>
    <t>AD289</t>
  </si>
  <si>
    <t>AD145</t>
  </si>
  <si>
    <t>AD169</t>
  </si>
  <si>
    <t>AD290</t>
  </si>
  <si>
    <t>AD291</t>
  </si>
  <si>
    <t>AD292</t>
  </si>
  <si>
    <t>AD293</t>
  </si>
  <si>
    <t>AD155</t>
  </si>
  <si>
    <t>AD152</t>
  </si>
  <si>
    <t>AD146</t>
  </si>
  <si>
    <t>AD171</t>
  </si>
  <si>
    <t>AD172</t>
  </si>
  <si>
    <t>AD170</t>
  </si>
  <si>
    <t>AD165</t>
  </si>
  <si>
    <t>AD294</t>
  </si>
  <si>
    <t>AD295</t>
  </si>
  <si>
    <t>AD147</t>
  </si>
  <si>
    <t>AD17</t>
  </si>
  <si>
    <t>AD311</t>
  </si>
  <si>
    <t>AD296</t>
  </si>
  <si>
    <t>AD297</t>
  </si>
  <si>
    <t>AD176</t>
  </si>
  <si>
    <t>AD213</t>
  </si>
  <si>
    <t>AD27</t>
  </si>
  <si>
    <t>AD183</t>
  </si>
  <si>
    <t>AD181</t>
  </si>
  <si>
    <t>AD180</t>
  </si>
  <si>
    <t>AD182</t>
  </si>
  <si>
    <t>AD75</t>
  </si>
  <si>
    <t>AD29</t>
  </si>
  <si>
    <t>AD250</t>
  </si>
  <si>
    <t>AD251</t>
  </si>
  <si>
    <t>AD252</t>
  </si>
  <si>
    <t>AD253</t>
  </si>
  <si>
    <t>AD254</t>
  </si>
  <si>
    <t>AD255</t>
  </si>
  <si>
    <t>AD256</t>
  </si>
  <si>
    <t>AD257</t>
  </si>
  <si>
    <t>AD258</t>
  </si>
  <si>
    <t>AD259</t>
  </si>
  <si>
    <t>AD260</t>
  </si>
  <si>
    <t>AD214</t>
  </si>
  <si>
    <t>AD30</t>
  </si>
  <si>
    <t>AD31</t>
  </si>
  <si>
    <t>AD216</t>
  </si>
  <si>
    <t>AD298</t>
  </si>
  <si>
    <t>AD217</t>
  </si>
  <si>
    <t>AD218</t>
  </si>
  <si>
    <t>AD299</t>
  </si>
  <si>
    <t>AD300</t>
  </si>
  <si>
    <t>AD301</t>
  </si>
  <si>
    <t>AD185</t>
  </si>
  <si>
    <t>AD35</t>
  </si>
  <si>
    <t>AD37</t>
  </si>
  <si>
    <t>AD219</t>
  </si>
  <si>
    <t>AD220</t>
  </si>
  <si>
    <t>AD221</t>
  </si>
  <si>
    <t>AD222</t>
  </si>
  <si>
    <t>AD223</t>
  </si>
  <si>
    <t>AD224</t>
  </si>
  <si>
    <t>AD225</t>
  </si>
  <si>
    <t>AD226</t>
  </si>
  <si>
    <t>AD227</t>
  </si>
  <si>
    <t>AD228</t>
  </si>
  <si>
    <t>AD229</t>
  </si>
  <si>
    <t>AD230</t>
  </si>
  <si>
    <t>AD231</t>
  </si>
  <si>
    <t>AD232</t>
  </si>
  <si>
    <t>AD233</t>
  </si>
  <si>
    <t>AD234</t>
  </si>
  <si>
    <t>AD235</t>
  </si>
  <si>
    <t>AD236</t>
  </si>
  <si>
    <t>AD237</t>
  </si>
  <si>
    <t>AD238</t>
  </si>
  <si>
    <t>AD239</t>
  </si>
  <si>
    <t>AD240</t>
  </si>
  <si>
    <t>AD241</t>
  </si>
  <si>
    <t>AD242</t>
  </si>
  <si>
    <t>AD194</t>
  </si>
  <si>
    <t>AD192</t>
  </si>
  <si>
    <t>AD191</t>
  </si>
  <si>
    <t>AD193</t>
  </si>
  <si>
    <t>AD41</t>
  </si>
  <si>
    <t>AD261</t>
  </si>
  <si>
    <t>AD262</t>
  </si>
  <si>
    <t>AD263</t>
  </si>
  <si>
    <t>AD264</t>
  </si>
  <si>
    <t>AD265</t>
  </si>
  <si>
    <t>AD266</t>
  </si>
  <si>
    <t>AD267</t>
  </si>
  <si>
    <t>AD268</t>
  </si>
  <si>
    <t>AD269</t>
  </si>
  <si>
    <t>AD302</t>
  </si>
  <si>
    <t>AD245</t>
  </si>
  <si>
    <t>AD246</t>
  </si>
  <si>
    <t>AD247</t>
  </si>
  <si>
    <t>AD303</t>
  </si>
  <si>
    <t>AD304</t>
  </si>
  <si>
    <t>AD305</t>
  </si>
  <si>
    <t>AD196</t>
  </si>
  <si>
    <t>AD45</t>
  </si>
  <si>
    <t>AD306</t>
  </si>
  <si>
    <t>AD248</t>
  </si>
  <si>
    <t>AD249</t>
  </si>
  <si>
    <t>AE79</t>
  </si>
  <si>
    <t>AE80</t>
  </si>
  <si>
    <t>AE77</t>
  </si>
  <si>
    <t>AE78</t>
  </si>
  <si>
    <t>AE81</t>
  </si>
  <si>
    <t>AE82</t>
  </si>
  <si>
    <t>AE83</t>
  </si>
  <si>
    <t>AE307</t>
  </si>
  <si>
    <t>AE98</t>
  </si>
  <si>
    <t>AE101</t>
  </si>
  <si>
    <t>AE94</t>
  </si>
  <si>
    <t>AE95</t>
  </si>
  <si>
    <t>AE92</t>
  </si>
  <si>
    <t>AE100</t>
  </si>
  <si>
    <t>AE105</t>
  </si>
  <si>
    <t>AE102</t>
  </si>
  <si>
    <t>AE280</t>
  </si>
  <si>
    <t>AE104</t>
  </si>
  <si>
    <t>AE111</t>
  </si>
  <si>
    <t>AE281</t>
  </si>
  <si>
    <t>AE112</t>
  </si>
  <si>
    <t>AE107</t>
  </si>
  <si>
    <t>AE282</t>
  </si>
  <si>
    <t>AE283</t>
  </si>
  <si>
    <t>AE284</t>
  </si>
  <si>
    <t>AE285</t>
  </si>
  <si>
    <t>AE93</t>
  </si>
  <si>
    <t>AE90</t>
  </si>
  <si>
    <t>AE84</t>
  </si>
  <si>
    <t>AE109</t>
  </si>
  <si>
    <t>AE110</t>
  </si>
  <si>
    <t>AE108</t>
  </si>
  <si>
    <t>AE103</t>
  </si>
  <si>
    <t>AE286</t>
  </si>
  <si>
    <t>AE287</t>
  </si>
  <si>
    <t>AE85</t>
  </si>
  <si>
    <t>AE308</t>
  </si>
  <si>
    <t>AE113</t>
  </si>
  <si>
    <t>AE121</t>
  </si>
  <si>
    <t>AE116</t>
  </si>
  <si>
    <t>AE114</t>
  </si>
  <si>
    <t>AE123</t>
  </si>
  <si>
    <t>AE122</t>
  </si>
  <si>
    <t>AE117</t>
  </si>
  <si>
    <t>AE120</t>
  </si>
  <si>
    <t>AE118</t>
  </si>
  <si>
    <t>AE126</t>
  </si>
  <si>
    <t>AE115</t>
  </si>
  <si>
    <t>AE124</t>
  </si>
  <si>
    <t>AE119</t>
  </si>
  <si>
    <t>AE125</t>
  </si>
  <si>
    <t>AE127</t>
  </si>
  <si>
    <t>AE128</t>
  </si>
  <si>
    <t>AE309</t>
  </si>
  <si>
    <t>AE129</t>
  </si>
  <si>
    <t>AE137</t>
  </si>
  <si>
    <t>AE132</t>
  </si>
  <si>
    <t>AE130</t>
  </si>
  <si>
    <t>AE139</t>
  </si>
  <si>
    <t>AE138</t>
  </si>
  <si>
    <t>AE136</t>
  </si>
  <si>
    <t>AE133</t>
  </si>
  <si>
    <t>AE134</t>
  </si>
  <si>
    <t>AE142</t>
  </si>
  <si>
    <t>AE131</t>
  </si>
  <si>
    <t>AE140</t>
  </si>
  <si>
    <t>AE135</t>
  </si>
  <si>
    <t>AE141</t>
  </si>
  <si>
    <t>AE144</t>
  </si>
  <si>
    <t>AE143</t>
  </si>
  <si>
    <t>AE310</t>
  </si>
  <si>
    <t>AE160</t>
  </si>
  <si>
    <t>AE163</t>
  </si>
  <si>
    <t>AE156</t>
  </si>
  <si>
    <t>AE157</t>
  </si>
  <si>
    <t>AE154</t>
  </si>
  <si>
    <t>AE162</t>
  </si>
  <si>
    <t>AE166</t>
  </si>
  <si>
    <t>AE164</t>
  </si>
  <si>
    <t>AE288</t>
  </si>
  <si>
    <t>AE167</t>
  </si>
  <si>
    <t>AE173</t>
  </si>
  <si>
    <t>AE289</t>
  </si>
  <si>
    <t>AE145</t>
  </si>
  <si>
    <t>AE169</t>
  </si>
  <si>
    <t>AE290</t>
  </si>
  <si>
    <t>AE291</t>
  </si>
  <si>
    <t>AE292</t>
  </si>
  <si>
    <t>AE293</t>
  </si>
  <si>
    <t>AE155</t>
  </si>
  <si>
    <t>AE152</t>
  </si>
  <si>
    <t>AE146</t>
  </si>
  <si>
    <t>AE171</t>
  </si>
  <si>
    <t>AE172</t>
  </si>
  <si>
    <t>AE170</t>
  </si>
  <si>
    <t>AE165</t>
  </si>
  <si>
    <t>AE294</t>
  </si>
  <si>
    <t>AE295</t>
  </si>
  <si>
    <t>AE147</t>
  </si>
  <si>
    <t>AE17</t>
  </si>
  <si>
    <t>AE311</t>
  </si>
  <si>
    <t>AE296</t>
  </si>
  <si>
    <t>AE297</t>
  </si>
  <si>
    <t>AE176</t>
  </si>
  <si>
    <t>AE213</t>
  </si>
  <si>
    <t>AE27</t>
  </si>
  <si>
    <t>AE183</t>
  </si>
  <si>
    <t>AE181</t>
  </si>
  <si>
    <t>AE180</t>
  </si>
  <si>
    <t>AE182</t>
  </si>
  <si>
    <t>AE75</t>
  </si>
  <si>
    <t>AE29</t>
  </si>
  <si>
    <t>AE250</t>
  </si>
  <si>
    <t>AE251</t>
  </si>
  <si>
    <t>AE252</t>
  </si>
  <si>
    <t>AE253</t>
  </si>
  <si>
    <t>AE254</t>
  </si>
  <si>
    <t>AE255</t>
  </si>
  <si>
    <t>AE256</t>
  </si>
  <si>
    <t>AE257</t>
  </si>
  <si>
    <t>AE258</t>
  </si>
  <si>
    <t>AE259</t>
  </si>
  <si>
    <t>AE260</t>
  </si>
  <si>
    <t>AE214</t>
  </si>
  <si>
    <t>AE30</t>
  </si>
  <si>
    <t>AE31</t>
  </si>
  <si>
    <t>AE216</t>
  </si>
  <si>
    <t>AE298</t>
  </si>
  <si>
    <t>AE217</t>
  </si>
  <si>
    <t>AE218</t>
  </si>
  <si>
    <t>AE299</t>
  </si>
  <si>
    <t>AE300</t>
  </si>
  <si>
    <t>AE301</t>
  </si>
  <si>
    <t>AE185</t>
  </si>
  <si>
    <t>AE35</t>
  </si>
  <si>
    <t>AE37</t>
  </si>
  <si>
    <t>AE219</t>
  </si>
  <si>
    <t>AE220</t>
  </si>
  <si>
    <t>AE221</t>
  </si>
  <si>
    <t>AE222</t>
  </si>
  <si>
    <t>AE223</t>
  </si>
  <si>
    <t>AE224</t>
  </si>
  <si>
    <t>AE225</t>
  </si>
  <si>
    <t>AE226</t>
  </si>
  <si>
    <t>AE227</t>
  </si>
  <si>
    <t>AE228</t>
  </si>
  <si>
    <t>AE229</t>
  </si>
  <si>
    <t>AE230</t>
  </si>
  <si>
    <t>AE231</t>
  </si>
  <si>
    <t>AE232</t>
  </si>
  <si>
    <t>AE233</t>
  </si>
  <si>
    <t>AE234</t>
  </si>
  <si>
    <t>AE235</t>
  </si>
  <si>
    <t>AE236</t>
  </si>
  <si>
    <t>AE237</t>
  </si>
  <si>
    <t>AE238</t>
  </si>
  <si>
    <t>AE239</t>
  </si>
  <si>
    <t>AE240</t>
  </si>
  <si>
    <t>AE241</t>
  </si>
  <si>
    <t>AE242</t>
  </si>
  <si>
    <t>AE194</t>
  </si>
  <si>
    <t>AE192</t>
  </si>
  <si>
    <t>AE191</t>
  </si>
  <si>
    <t>AE193</t>
  </si>
  <si>
    <t>AE41</t>
  </si>
  <si>
    <t>AE261</t>
  </si>
  <si>
    <t>AE262</t>
  </si>
  <si>
    <t>AE263</t>
  </si>
  <si>
    <t>AE264</t>
  </si>
  <si>
    <t>AE265</t>
  </si>
  <si>
    <t>AE266</t>
  </si>
  <si>
    <t>AE267</t>
  </si>
  <si>
    <t>AE268</t>
  </si>
  <si>
    <t>AE269</t>
  </si>
  <si>
    <t>AE302</t>
  </si>
  <si>
    <t>AE245</t>
  </si>
  <si>
    <t>AE246</t>
  </si>
  <si>
    <t>AE247</t>
  </si>
  <si>
    <t>AE303</t>
  </si>
  <si>
    <t>AE304</t>
  </si>
  <si>
    <t>AE305</t>
  </si>
  <si>
    <t>AE196</t>
  </si>
  <si>
    <t>AE45</t>
  </si>
  <si>
    <t>AE306</t>
  </si>
  <si>
    <t>AE248</t>
  </si>
  <si>
    <t>AE249</t>
  </si>
  <si>
    <t>AF79</t>
  </si>
  <si>
    <t>AF80</t>
  </si>
  <si>
    <t>AF77</t>
  </si>
  <si>
    <t>AF78</t>
  </si>
  <si>
    <t>AF81</t>
  </si>
  <si>
    <t>AF82</t>
  </si>
  <si>
    <t>AF83</t>
  </si>
  <si>
    <t>AF307</t>
  </si>
  <si>
    <t>AF98</t>
  </si>
  <si>
    <t>AF101</t>
  </si>
  <si>
    <t>AF94</t>
  </si>
  <si>
    <t>AF95</t>
  </si>
  <si>
    <t>AF92</t>
  </si>
  <si>
    <t>AF100</t>
  </si>
  <si>
    <t>AF105</t>
  </si>
  <si>
    <t>AF102</t>
  </si>
  <si>
    <t>AF280</t>
  </si>
  <si>
    <t>AF104</t>
  </si>
  <si>
    <t>AF111</t>
  </si>
  <si>
    <t>AF281</t>
  </si>
  <si>
    <t>AF112</t>
  </si>
  <si>
    <t>AF107</t>
  </si>
  <si>
    <t>AF282</t>
  </si>
  <si>
    <t>AF283</t>
  </si>
  <si>
    <t>AF284</t>
  </si>
  <si>
    <t>AF285</t>
  </si>
  <si>
    <t>AF93</t>
  </si>
  <si>
    <t>AF90</t>
  </si>
  <si>
    <t>AF84</t>
  </si>
  <si>
    <t>AF109</t>
  </si>
  <si>
    <t>AF110</t>
  </si>
  <si>
    <t>AF108</t>
  </si>
  <si>
    <t>AF103</t>
  </si>
  <si>
    <t>AF286</t>
  </si>
  <si>
    <t>AF287</t>
  </si>
  <si>
    <t>AF85</t>
  </si>
  <si>
    <t>AF308</t>
  </si>
  <si>
    <t>AF113</t>
  </si>
  <si>
    <t>AF121</t>
  </si>
  <si>
    <t>AF116</t>
  </si>
  <si>
    <t>AF114</t>
  </si>
  <si>
    <t>AF123</t>
  </si>
  <si>
    <t>AF122</t>
  </si>
  <si>
    <t>AF117</t>
  </si>
  <si>
    <t>AF120</t>
  </si>
  <si>
    <t>AF118</t>
  </si>
  <si>
    <t>AF126</t>
  </si>
  <si>
    <t>AF115</t>
  </si>
  <si>
    <t>AF124</t>
  </si>
  <si>
    <t>AF119</t>
  </si>
  <si>
    <t>AF125</t>
  </si>
  <si>
    <t>AF128</t>
  </si>
  <si>
    <t>AF127</t>
  </si>
  <si>
    <t>AF309</t>
  </si>
  <si>
    <t>AF129</t>
  </si>
  <si>
    <t>AF137</t>
  </si>
  <si>
    <t>AF132</t>
  </si>
  <si>
    <t>AF130</t>
  </si>
  <si>
    <t>AF139</t>
  </si>
  <si>
    <t>AF138</t>
  </si>
  <si>
    <t>AF136</t>
  </si>
  <si>
    <t>AF133</t>
  </si>
  <si>
    <t>AF134</t>
  </si>
  <si>
    <t>AF142</t>
  </si>
  <si>
    <t>AF131</t>
  </si>
  <si>
    <t>AF140</t>
  </si>
  <si>
    <t>AF135</t>
  </si>
  <si>
    <t>AF141</t>
  </si>
  <si>
    <t>AF144</t>
  </si>
  <si>
    <t>AF143</t>
  </si>
  <si>
    <t>AF310</t>
  </si>
  <si>
    <t>AF160</t>
  </si>
  <si>
    <t>AF163</t>
  </si>
  <si>
    <t>AF156</t>
  </si>
  <si>
    <t>AF157</t>
  </si>
  <si>
    <t>AF154</t>
  </si>
  <si>
    <t>AF162</t>
  </si>
  <si>
    <t>AF166</t>
  </si>
  <si>
    <t>AF164</t>
  </si>
  <si>
    <t>AF288</t>
  </si>
  <si>
    <t>AF167</t>
  </si>
  <si>
    <t>AF173</t>
  </si>
  <si>
    <t>AF289</t>
  </si>
  <si>
    <t>AF145</t>
  </si>
  <si>
    <t>AF169</t>
  </si>
  <si>
    <t>AF290</t>
  </si>
  <si>
    <t>AF291</t>
  </si>
  <si>
    <t>AF292</t>
  </si>
  <si>
    <t>AF293</t>
  </si>
  <si>
    <t>AF155</t>
  </si>
  <si>
    <t>AF152</t>
  </si>
  <si>
    <t>AF146</t>
  </si>
  <si>
    <t>AF171</t>
  </si>
  <si>
    <t>AF172</t>
  </si>
  <si>
    <t>AF170</t>
  </si>
  <si>
    <t>AF165</t>
  </si>
  <si>
    <t>AF294</t>
  </si>
  <si>
    <t>AF295</t>
  </si>
  <si>
    <t>AF147</t>
  </si>
  <si>
    <t>AF17</t>
  </si>
  <si>
    <t>AF311</t>
  </si>
  <si>
    <t>AF312</t>
  </si>
  <si>
    <t>AF296</t>
  </si>
  <si>
    <t>AF297</t>
  </si>
  <si>
    <t>AF176</t>
  </si>
  <si>
    <t>AF313</t>
  </si>
  <si>
    <t>AF314</t>
  </si>
  <si>
    <t>AF213</t>
  </si>
  <si>
    <t>AF27</t>
  </si>
  <si>
    <t>AF315</t>
  </si>
  <si>
    <t>AF183</t>
  </si>
  <si>
    <t>AF181</t>
  </si>
  <si>
    <t>AF180</t>
  </si>
  <si>
    <t>AF182</t>
  </si>
  <si>
    <t>AF75</t>
  </si>
  <si>
    <t>AF29</t>
  </si>
  <si>
    <t>AF250</t>
  </si>
  <si>
    <t>AF251</t>
  </si>
  <si>
    <t>AF252</t>
  </si>
  <si>
    <t>AF253</t>
  </si>
  <si>
    <t>AF254</t>
  </si>
  <si>
    <t>AF255</t>
  </si>
  <si>
    <t>AF256</t>
  </si>
  <si>
    <t>AF257</t>
  </si>
  <si>
    <t>AF258</t>
  </si>
  <si>
    <t>AF259</t>
  </si>
  <si>
    <t>AF260</t>
  </si>
  <si>
    <t>AF316</t>
  </si>
  <si>
    <t>AF214</t>
  </si>
  <si>
    <t>AF30</t>
  </si>
  <si>
    <t>AF31</t>
  </si>
  <si>
    <t>AF317</t>
  </si>
  <si>
    <t>AF216</t>
  </si>
  <si>
    <t>AF298</t>
  </si>
  <si>
    <t>AF217</t>
  </si>
  <si>
    <t>AF318</t>
  </si>
  <si>
    <t>AF218</t>
  </si>
  <si>
    <t>AF299</t>
  </si>
  <si>
    <t>AF300</t>
  </si>
  <si>
    <t>AF301</t>
  </si>
  <si>
    <t>AF185</t>
  </si>
  <si>
    <t>AF35</t>
  </si>
  <si>
    <t>AF37</t>
  </si>
  <si>
    <t>AF319</t>
  </si>
  <si>
    <t>AF320</t>
  </si>
  <si>
    <t>AF321</t>
  </si>
  <si>
    <t>AF219</t>
  </si>
  <si>
    <t>AF220</t>
  </si>
  <si>
    <t>AF221</t>
  </si>
  <si>
    <t>AF222</t>
  </si>
  <si>
    <t>AF223</t>
  </si>
  <si>
    <t>AF224</t>
  </si>
  <si>
    <t>AF225</t>
  </si>
  <si>
    <t>AF226</t>
  </si>
  <si>
    <t>AF227</t>
  </si>
  <si>
    <t>AF228</t>
  </si>
  <si>
    <t>AF229</t>
  </si>
  <si>
    <t>AF230</t>
  </si>
  <si>
    <t>AF231</t>
  </si>
  <si>
    <t>AF232</t>
  </si>
  <si>
    <t>AF233</t>
  </si>
  <si>
    <t>AF234</t>
  </si>
  <si>
    <t>AF235</t>
  </si>
  <si>
    <t>AF236</t>
  </si>
  <si>
    <t>AF237</t>
  </si>
  <si>
    <t>AF238</t>
  </si>
  <si>
    <t>AF239</t>
  </si>
  <si>
    <t>AF240</t>
  </si>
  <si>
    <t>AF241</t>
  </si>
  <si>
    <t>AF242</t>
  </si>
  <si>
    <t>AF322</t>
  </si>
  <si>
    <t>AF194</t>
  </si>
  <si>
    <t>AF192</t>
  </si>
  <si>
    <t>AF191</t>
  </si>
  <si>
    <t>AF193</t>
  </si>
  <si>
    <t>AF41</t>
  </si>
  <si>
    <t>AF261</t>
  </si>
  <si>
    <t>AF262</t>
  </si>
  <si>
    <t>AF263</t>
  </si>
  <si>
    <t>AF264</t>
  </si>
  <si>
    <t>AF265</t>
  </si>
  <si>
    <t>AF266</t>
  </si>
  <si>
    <t>AF267</t>
  </si>
  <si>
    <t>AF268</t>
  </si>
  <si>
    <t>AF269</t>
  </si>
  <si>
    <t>AF323</t>
  </si>
  <si>
    <t>AF302</t>
  </si>
  <si>
    <t>AF245</t>
  </si>
  <si>
    <t>AF246</t>
  </si>
  <si>
    <t>AF324</t>
  </si>
  <si>
    <t>AF247</t>
  </si>
  <si>
    <t>AF303</t>
  </si>
  <si>
    <t>AF304</t>
  </si>
  <si>
    <t>AF305</t>
  </si>
  <si>
    <t>AF196</t>
  </si>
  <si>
    <t>AF45</t>
  </si>
  <si>
    <t>AF325</t>
  </si>
  <si>
    <t>AF326</t>
  </si>
  <si>
    <t>AF327</t>
  </si>
  <si>
    <t>AF248</t>
  </si>
  <si>
    <t>AF249</t>
  </si>
  <si>
    <t>AG81</t>
  </si>
  <si>
    <t>AG307</t>
  </si>
  <si>
    <t>AG98</t>
  </si>
  <si>
    <t>AG101</t>
  </si>
  <si>
    <t>AG94</t>
  </si>
  <si>
    <t>AG95</t>
  </si>
  <si>
    <t>AG92</t>
  </si>
  <si>
    <t>AG100</t>
  </si>
  <si>
    <t>AG105</t>
  </si>
  <si>
    <t>AG102</t>
  </si>
  <si>
    <t>AG280</t>
  </si>
  <si>
    <t>AG104</t>
  </si>
  <si>
    <t>AG111</t>
  </si>
  <si>
    <t>AG281</t>
  </si>
  <si>
    <t>AG112</t>
  </si>
  <si>
    <t>AG107</t>
  </si>
  <si>
    <t>AG282</t>
  </si>
  <si>
    <t>AG283</t>
  </si>
  <si>
    <t>AG284</t>
  </si>
  <si>
    <t>AG285</t>
  </si>
  <si>
    <t>AG93</t>
  </si>
  <si>
    <t>AG90</t>
  </si>
  <si>
    <t>AG84</t>
  </si>
  <si>
    <t>AG109</t>
  </si>
  <si>
    <t>AG110</t>
  </si>
  <si>
    <t>AG108</t>
  </si>
  <si>
    <t>AG103</t>
  </si>
  <si>
    <t>AG286</t>
  </si>
  <si>
    <t>AG287</t>
  </si>
  <si>
    <t>AG85</t>
  </si>
  <si>
    <t>AG308</t>
  </si>
  <si>
    <t>AG127</t>
  </si>
  <si>
    <t>AG128</t>
  </si>
  <si>
    <t>AG309</t>
  </si>
  <si>
    <t>AG143</t>
  </si>
  <si>
    <t>AG144</t>
  </si>
  <si>
    <t>AG310</t>
  </si>
  <si>
    <t>AG160</t>
  </si>
  <si>
    <t>AG163</t>
  </si>
  <si>
    <t>AG156</t>
  </si>
  <si>
    <t>AG157</t>
  </si>
  <si>
    <t>AG154</t>
  </si>
  <si>
    <t>AG162</t>
  </si>
  <si>
    <t>AG166</t>
  </si>
  <si>
    <t>AG164</t>
  </si>
  <si>
    <t>AG288</t>
  </si>
  <si>
    <t>AG167</t>
  </si>
  <si>
    <t>AG173</t>
  </si>
  <si>
    <t>AG289</t>
  </si>
  <si>
    <t>AG145</t>
  </si>
  <si>
    <t>AG169</t>
  </si>
  <si>
    <t>AG290</t>
  </si>
  <si>
    <t>AG291</t>
  </si>
  <si>
    <t>AG292</t>
  </si>
  <si>
    <t>AG293</t>
  </si>
  <si>
    <t>AG155</t>
  </si>
  <si>
    <t>AG152</t>
  </si>
  <si>
    <t>AG146</t>
  </si>
  <si>
    <t>AG171</t>
  </si>
  <si>
    <t>AG172</t>
  </si>
  <si>
    <t>AG170</t>
  </si>
  <si>
    <t>AG165</t>
  </si>
  <si>
    <t>AG294</t>
  </si>
  <si>
    <t>AG295</t>
  </si>
  <si>
    <t>AG147</t>
  </si>
  <si>
    <t>AG311</t>
  </si>
  <si>
    <t>AG312</t>
  </si>
  <si>
    <t>AG297</t>
  </si>
  <si>
    <t>AG313</t>
  </si>
  <si>
    <t>AG314</t>
  </si>
  <si>
    <t>AG315</t>
  </si>
  <si>
    <t>AG183</t>
  </si>
  <si>
    <t>AG316</t>
  </si>
  <si>
    <t>AG37</t>
  </si>
  <si>
    <t>AG317</t>
  </si>
  <si>
    <t>AG298</t>
  </si>
  <si>
    <t>AG318</t>
  </si>
  <si>
    <t>AG300</t>
  </si>
  <si>
    <t>AG299</t>
  </si>
  <si>
    <t>AG301</t>
  </si>
  <si>
    <t>AG185</t>
  </si>
  <si>
    <t>AG319</t>
  </si>
  <si>
    <t>AG320</t>
  </si>
  <si>
    <t>AG321</t>
  </si>
  <si>
    <t>AG322</t>
  </si>
  <si>
    <t>AG194</t>
  </si>
  <si>
    <t>AG323</t>
  </si>
  <si>
    <t>AG302</t>
  </si>
  <si>
    <t>AG324</t>
  </si>
  <si>
    <t>AG303</t>
  </si>
  <si>
    <t>AG304</t>
  </si>
  <si>
    <t>AG305</t>
  </si>
  <si>
    <t>AG196</t>
  </si>
  <si>
    <t>AG327</t>
  </si>
  <si>
    <t>AG325</t>
  </si>
  <si>
    <t>AG326</t>
  </si>
  <si>
    <t>AH81</t>
  </si>
  <si>
    <t>AH307</t>
  </si>
  <si>
    <t>AH98</t>
  </si>
  <si>
    <t>AH101</t>
  </si>
  <si>
    <t>AH94</t>
  </si>
  <si>
    <t>AH95</t>
  </si>
  <si>
    <t>AH92</t>
  </si>
  <si>
    <t>AH100</t>
  </si>
  <si>
    <t>AH105</t>
  </si>
  <si>
    <t>AH102</t>
  </si>
  <si>
    <t>AH280</t>
  </si>
  <si>
    <t>AH104</t>
  </si>
  <si>
    <t>AH111</t>
  </si>
  <si>
    <t>AH281</t>
  </si>
  <si>
    <t>AH112</t>
  </si>
  <si>
    <t>AH107</t>
  </si>
  <si>
    <t>AH282</t>
  </si>
  <si>
    <t>AH283</t>
  </si>
  <si>
    <t>AH284</t>
  </si>
  <si>
    <t>AH285</t>
  </si>
  <si>
    <t>AH93</t>
  </si>
  <si>
    <t>AH90</t>
  </si>
  <si>
    <t>AH84</t>
  </si>
  <si>
    <t>AH109</t>
  </si>
  <si>
    <t>AH110</t>
  </si>
  <si>
    <t>AH108</t>
  </si>
  <si>
    <t>AH103</t>
  </si>
  <si>
    <t>AH286</t>
  </si>
  <si>
    <t>AH287</t>
  </si>
  <si>
    <t>AH85</t>
  </si>
  <si>
    <t>AH308</t>
  </si>
  <si>
    <t>AH127</t>
  </si>
  <si>
    <t>AH128</t>
  </si>
  <si>
    <t>AH309</t>
  </si>
  <si>
    <t>AH143</t>
  </si>
  <si>
    <t>AH144</t>
  </si>
  <si>
    <t>AH310</t>
  </si>
  <si>
    <t>AH160</t>
  </si>
  <si>
    <t>AH163</t>
  </si>
  <si>
    <t>AH156</t>
  </si>
  <si>
    <t>AH157</t>
  </si>
  <si>
    <t>AH154</t>
  </si>
  <si>
    <t>AH162</t>
  </si>
  <si>
    <t>AH166</t>
  </si>
  <si>
    <t>AH164</t>
  </si>
  <si>
    <t>AH288</t>
  </si>
  <si>
    <t>AH167</t>
  </si>
  <si>
    <t>AH173</t>
  </si>
  <si>
    <t>AH289</t>
  </si>
  <si>
    <t>AH145</t>
  </si>
  <si>
    <t>AH169</t>
  </si>
  <si>
    <t>AH290</t>
  </si>
  <si>
    <t>AH291</t>
  </si>
  <si>
    <t>AH292</t>
  </si>
  <si>
    <t>AH293</t>
  </si>
  <si>
    <t>AH155</t>
  </si>
  <si>
    <t>AH152</t>
  </si>
  <si>
    <t>AH146</t>
  </si>
  <si>
    <t>AH171</t>
  </si>
  <si>
    <t>AH172</t>
  </si>
  <si>
    <t>AH170</t>
  </si>
  <si>
    <t>AH165</t>
  </si>
  <si>
    <t>AH294</t>
  </si>
  <si>
    <t>AH295</t>
  </si>
  <si>
    <t>AH147</t>
  </si>
  <si>
    <t>AH311</t>
  </si>
  <si>
    <t>AH312</t>
  </si>
  <si>
    <t>AH297</t>
  </si>
  <si>
    <t>AH313</t>
  </si>
  <si>
    <t>AH314</t>
  </si>
  <si>
    <t>AH315</t>
  </si>
  <si>
    <t>AH183</t>
  </si>
  <si>
    <t>AH316</t>
  </si>
  <si>
    <t>AH37</t>
  </si>
  <si>
    <t>AH317</t>
  </si>
  <si>
    <t>AH298</t>
  </si>
  <si>
    <t>AH318</t>
  </si>
  <si>
    <t>AH300</t>
  </si>
  <si>
    <t>AH299</t>
  </si>
  <si>
    <t>AH301</t>
  </si>
  <si>
    <t>AH185</t>
  </si>
  <si>
    <t>AH320</t>
  </si>
  <si>
    <t>AH321</t>
  </si>
  <si>
    <t>AH319</t>
  </si>
  <si>
    <t>AH322</t>
  </si>
  <si>
    <t>AH194</t>
  </si>
  <si>
    <t>AH323</t>
  </si>
  <si>
    <t>AH302</t>
  </si>
  <si>
    <t>AH324</t>
  </si>
  <si>
    <t>AH303</t>
  </si>
  <si>
    <t>AH304</t>
  </si>
  <si>
    <t>AH305</t>
  </si>
  <si>
    <t>AH196</t>
  </si>
  <si>
    <t>AH325</t>
  </si>
  <si>
    <t>AH326</t>
  </si>
  <si>
    <t>AH327</t>
  </si>
  <si>
    <t>AI81</t>
  </si>
  <si>
    <t>AI307</t>
  </si>
  <si>
    <t>AI98</t>
  </si>
  <si>
    <t>AI101</t>
  </si>
  <si>
    <t>AI94</t>
  </si>
  <si>
    <t>AI95</t>
  </si>
  <si>
    <t>AI92</t>
  </si>
  <si>
    <t>AI100</t>
  </si>
  <si>
    <t>AI105</t>
  </si>
  <si>
    <t>AI102</t>
  </si>
  <si>
    <t>AI280</t>
  </si>
  <si>
    <t>AI104</t>
  </si>
  <si>
    <t>AI111</t>
  </si>
  <si>
    <t>AI281</t>
  </si>
  <si>
    <t>AI112</t>
  </si>
  <si>
    <t>AI107</t>
  </si>
  <si>
    <t>AI282</t>
  </si>
  <si>
    <t>AI283</t>
  </si>
  <si>
    <t>AI284</t>
  </si>
  <si>
    <t>AI285</t>
  </si>
  <si>
    <t>AI93</t>
  </si>
  <si>
    <t>AI90</t>
  </si>
  <si>
    <t>AI84</t>
  </si>
  <si>
    <t>AI109</t>
  </si>
  <si>
    <t>AI110</t>
  </si>
  <si>
    <t>AI108</t>
  </si>
  <si>
    <t>AI103</t>
  </si>
  <si>
    <t>AI286</t>
  </si>
  <si>
    <t>AI287</t>
  </si>
  <si>
    <t>AI85</t>
  </si>
  <si>
    <t>AI308</t>
  </si>
  <si>
    <t>AI127</t>
  </si>
  <si>
    <t>AI128</t>
  </si>
  <si>
    <t>AI309</t>
  </si>
  <si>
    <t>AI143</t>
  </si>
  <si>
    <t>AI144</t>
  </si>
  <si>
    <t>AI310</t>
  </si>
  <si>
    <t>AI160</t>
  </si>
  <si>
    <t>AI163</t>
  </si>
  <si>
    <t>AI156</t>
  </si>
  <si>
    <t>AI157</t>
  </si>
  <si>
    <t>AI154</t>
  </si>
  <si>
    <t>AI162</t>
  </si>
  <si>
    <t>AI166</t>
  </si>
  <si>
    <t>AI164</t>
  </si>
  <si>
    <t>AI288</t>
  </si>
  <si>
    <t>AI167</t>
  </si>
  <si>
    <t>AI173</t>
  </si>
  <si>
    <t>AI289</t>
  </si>
  <si>
    <t>AI145</t>
  </si>
  <si>
    <t>AI169</t>
  </si>
  <si>
    <t>AI290</t>
  </si>
  <si>
    <t>AI291</t>
  </si>
  <si>
    <t>AI292</t>
  </si>
  <si>
    <t>AI293</t>
  </si>
  <si>
    <t>AI155</t>
  </si>
  <si>
    <t>AI152</t>
  </si>
  <si>
    <t>AI146</t>
  </si>
  <si>
    <t>AI171</t>
  </si>
  <si>
    <t>AI172</t>
  </si>
  <si>
    <t>AI170</t>
  </si>
  <si>
    <t>AI165</t>
  </si>
  <si>
    <t>AI294</t>
  </si>
  <si>
    <t>AI295</t>
  </si>
  <si>
    <t>AI147</t>
  </si>
  <si>
    <t>AI311</t>
  </si>
  <si>
    <t>AI312</t>
  </si>
  <si>
    <t>AI297</t>
  </si>
  <si>
    <t>AI313</t>
  </si>
  <si>
    <t>AI314</t>
  </si>
  <si>
    <t>AI315</t>
  </si>
  <si>
    <t>AI183</t>
  </si>
  <si>
    <t>AI316</t>
  </si>
  <si>
    <t>AI37</t>
  </si>
  <si>
    <t>AI317</t>
  </si>
  <si>
    <t>AI298</t>
  </si>
  <si>
    <t>AI318</t>
  </si>
  <si>
    <t>AI300</t>
  </si>
  <si>
    <t>AI299</t>
  </si>
  <si>
    <t>AI301</t>
  </si>
  <si>
    <t>AI185</t>
  </si>
  <si>
    <t>AI320</t>
  </si>
  <si>
    <t>AI321</t>
  </si>
  <si>
    <t>AI319</t>
  </si>
  <si>
    <t>AI322</t>
  </si>
  <si>
    <t>AI194</t>
  </si>
  <si>
    <t>AI323</t>
  </si>
  <si>
    <t>AI302</t>
  </si>
  <si>
    <t>AI324</t>
  </si>
  <si>
    <t>AI303</t>
  </si>
  <si>
    <t>AI304</t>
  </si>
  <si>
    <t>AI305</t>
  </si>
  <si>
    <t>AI196</t>
  </si>
  <si>
    <t>AI325</t>
  </si>
  <si>
    <t>AI326</t>
  </si>
  <si>
    <t>AI327</t>
  </si>
  <si>
    <t>AJ81</t>
  </si>
  <si>
    <t>AJ307</t>
  </si>
  <si>
    <t>AJ98</t>
  </si>
  <si>
    <t>AJ101</t>
  </si>
  <si>
    <t>AJ94</t>
  </si>
  <si>
    <t>AJ95</t>
  </si>
  <si>
    <t>AJ92</t>
  </si>
  <si>
    <t>AJ100</t>
  </si>
  <si>
    <t>AJ105</t>
  </si>
  <si>
    <t>AJ102</t>
  </si>
  <si>
    <t>AJ280</t>
  </si>
  <si>
    <t>AJ104</t>
  </si>
  <si>
    <t>AJ111</t>
  </si>
  <si>
    <t>AJ281</t>
  </si>
  <si>
    <t>AJ112</t>
  </si>
  <si>
    <t>AJ107</t>
  </si>
  <si>
    <t>AJ282</t>
  </si>
  <si>
    <t>AJ283</t>
  </si>
  <si>
    <t>AJ284</t>
  </si>
  <si>
    <t>AJ285</t>
  </si>
  <si>
    <t>AJ93</t>
  </si>
  <si>
    <t>AJ90</t>
  </si>
  <si>
    <t>AJ84</t>
  </si>
  <si>
    <t>AJ109</t>
  </si>
  <si>
    <t>AJ110</t>
  </si>
  <si>
    <t>AJ108</t>
  </si>
  <si>
    <t>AJ103</t>
  </si>
  <si>
    <t>AJ286</t>
  </si>
  <si>
    <t>AJ287</t>
  </si>
  <si>
    <t>AJ85</t>
  </si>
  <si>
    <t>AJ308</t>
  </si>
  <si>
    <t>AJ127</t>
  </si>
  <si>
    <t>AJ128</t>
  </si>
  <si>
    <t>AJ309</t>
  </si>
  <si>
    <t>AJ143</t>
  </si>
  <si>
    <t>AJ144</t>
  </si>
  <si>
    <t>AJ310</t>
  </si>
  <si>
    <t>AJ160</t>
  </si>
  <si>
    <t>AJ163</t>
  </si>
  <si>
    <t>AJ156</t>
  </si>
  <si>
    <t>AJ157</t>
  </si>
  <si>
    <t>AJ154</t>
  </si>
  <si>
    <t>AJ162</t>
  </si>
  <si>
    <t>AJ166</t>
  </si>
  <si>
    <t>AJ164</t>
  </si>
  <si>
    <t>AJ288</t>
  </si>
  <si>
    <t>AJ167</t>
  </si>
  <si>
    <t>AJ173</t>
  </si>
  <si>
    <t>AJ289</t>
  </si>
  <si>
    <t>AJ145</t>
  </si>
  <si>
    <t>AJ169</t>
  </si>
  <si>
    <t>AJ290</t>
  </si>
  <si>
    <t>AJ291</t>
  </si>
  <si>
    <t>AJ292</t>
  </si>
  <si>
    <t>AJ293</t>
  </si>
  <si>
    <t>AJ155</t>
  </si>
  <si>
    <t>AJ152</t>
  </si>
  <si>
    <t>AJ146</t>
  </si>
  <si>
    <t>AJ171</t>
  </si>
  <si>
    <t>AJ172</t>
  </si>
  <si>
    <t>AJ170</t>
  </si>
  <si>
    <t>AJ165</t>
  </si>
  <si>
    <t>AJ294</t>
  </si>
  <si>
    <t>AJ295</t>
  </si>
  <si>
    <t>AJ147</t>
  </si>
  <si>
    <t>AJ311</t>
  </si>
  <si>
    <t>AJ312</t>
  </si>
  <si>
    <t>AJ297</t>
  </si>
  <si>
    <t>AJ313</t>
  </si>
  <si>
    <t>AJ314</t>
  </si>
  <si>
    <t>AJ315</t>
  </si>
  <si>
    <t>AJ183</t>
  </si>
  <si>
    <t>AJ316</t>
  </si>
  <si>
    <t>AJ37</t>
  </si>
  <si>
    <t>AJ317</t>
  </si>
  <si>
    <t>AJ298</t>
  </si>
  <si>
    <t>AJ318</t>
  </si>
  <si>
    <t>AJ300</t>
  </si>
  <si>
    <t>AJ299</t>
  </si>
  <si>
    <t>AJ301</t>
  </si>
  <si>
    <t>AJ185</t>
  </si>
  <si>
    <t>AJ320</t>
  </si>
  <si>
    <t>AJ321</t>
  </si>
  <si>
    <t>AJ319</t>
  </si>
  <si>
    <t>AJ322</t>
  </si>
  <si>
    <t>AJ194</t>
  </si>
  <si>
    <t>AJ323</t>
  </si>
  <si>
    <t>AJ302</t>
  </si>
  <si>
    <t>AJ324</t>
  </si>
  <si>
    <t>AJ303</t>
  </si>
  <si>
    <t>AJ304</t>
  </si>
  <si>
    <t>AJ305</t>
  </si>
  <si>
    <t>AJ196</t>
  </si>
  <si>
    <t>AJ326</t>
  </si>
  <si>
    <t>AJ327</t>
  </si>
  <si>
    <t>AJ325</t>
  </si>
  <si>
    <t>Order47143927- 260820002</t>
  </si>
  <si>
    <t>47143927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</si>
</sst>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11"/>
      <color indexed="8"/>
      <name val="等线"/>
      <family val="3"/>
      <charset val="134"/>
    </font>
    <font>
      <sz val="11"/>
      <color theme="1"/>
      <name val="等线"/>
      <family val="3"/>
      <charset val="134"/>
    </font>
    <font>
      <b/>
      <i/>
      <u/>
      <sz val="11"/>
      <color indexed="8"/>
      <name val="等线"/>
      <family val="3"/>
      <charset val="134"/>
    </font>
    <font>
      <u/>
      <sz val="11"/>
      <color rgb="FF0000FF"/>
      <name val="等线"/>
      <family val="3"/>
      <charset val="134"/>
    </font>
    <font>
      <u/>
      <sz val="11"/>
      <color rgb="FF0000FF"/>
      <name val="等线"/>
      <family val="2"/>
      <scheme val="minor"/>
    </font>
    <font>
      <b/>
      <sz val="11"/>
      <color theme="1"/>
      <name val="等线"/>
      <family val="3"/>
      <charset val="134"/>
    </font>
    <font>
      <u/>
      <sz val="11"/>
      <color theme="1"/>
      <name val="等线"/>
      <family val="3"/>
      <charset val="134"/>
    </font>
    <font>
      <sz val="11"/>
      <color rgb="FFFF0000"/>
      <name val="等线"/>
      <family val="3"/>
      <charset val="134"/>
    </font>
    <font>
      <b/>
      <sz val="11"/>
      <color rgb="FF000000"/>
      <name val="Arial"/>
      <family val="2"/>
    </font>
    <font>
      <b/>
      <sz val="11"/>
      <color theme="1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0"/>
      <name val="微软雅黑"/>
      <family val="2"/>
      <charset val="134"/>
    </font>
    <font>
      <sz val="10"/>
      <color theme="0"/>
      <name val="Arial"/>
      <family val="2"/>
    </font>
    <font>
      <sz val="10"/>
      <color rgb="FFFFFFFF"/>
      <name val="Arial"/>
      <family val="2"/>
    </font>
    <font>
      <b/>
      <i/>
      <sz val="11"/>
      <color theme="2" tint="-0.499984740745262"/>
      <name val="等线"/>
      <family val="2"/>
      <scheme val="minor"/>
    </font>
    <font>
      <sz val="10"/>
      <color rgb="FFFFFFFF"/>
      <name val="微软雅黑"/>
      <family val="2"/>
      <charset val="134"/>
    </font>
    <font>
      <sz val="10"/>
      <color rgb="FFFFFFFF"/>
      <name val="Arial"/>
      <family val="2"/>
      <charset val="134"/>
    </font>
    <font>
      <sz val="10"/>
      <color theme="0"/>
      <name val="微软雅黑"/>
      <family val="2"/>
      <charset val="134"/>
    </font>
    <font>
      <b/>
      <sz val="11"/>
      <color theme="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0" fontId="3" fillId="0" borderId="0">
      <alignment vertical="center"/>
    </xf>
    <xf numFmtId="0" fontId="4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42">
    <xf numFmtId="0" fontId="0" fillId="0" borderId="0" xfId="0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2" fillId="3" borderId="0" xfId="0" applyFont="1" applyFill="1" applyAlignment="1">
      <alignment horizontal="center"/>
    </xf>
    <xf numFmtId="14" fontId="0" fillId="0" borderId="0" xfId="0" applyNumberFormat="1" applyAlignment="1">
      <alignment horizontal="center"/>
    </xf>
    <xf numFmtId="0" fontId="0" fillId="5" borderId="0" xfId="0" applyFill="1"/>
    <xf numFmtId="0" fontId="2" fillId="4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2" fillId="2" borderId="0" xfId="0" applyNumberFormat="1" applyFont="1" applyFill="1" applyAlignment="1">
      <alignment horizontal="center"/>
    </xf>
    <xf numFmtId="49" fontId="0" fillId="0" borderId="0" xfId="0" applyNumberFormat="1" applyAlignment="1">
      <alignment vertical="center"/>
    </xf>
    <xf numFmtId="49" fontId="0" fillId="0" borderId="0" xfId="0" applyNumberFormat="1"/>
    <xf numFmtId="0" fontId="3" fillId="0" borderId="0" xfId="1">
      <alignment vertical="center"/>
    </xf>
    <xf numFmtId="0" fontId="8" fillId="0" borderId="0" xfId="3" applyFont="1">
      <alignment vertical="center"/>
    </xf>
    <xf numFmtId="0" fontId="9" fillId="0" borderId="0" xfId="3">
      <alignment vertical="center"/>
    </xf>
    <xf numFmtId="0" fontId="5" fillId="6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3" fillId="7" borderId="0" xfId="0" applyFont="1" applyFill="1" applyAlignment="1">
      <alignment horizontal="center" vertical="center"/>
    </xf>
    <xf numFmtId="0" fontId="16" fillId="8" borderId="0" xfId="0" applyFont="1" applyFill="1" applyAlignment="1">
      <alignment horizontal="center" vertical="center"/>
    </xf>
    <xf numFmtId="0" fontId="18" fillId="9" borderId="0" xfId="0" applyFont="1" applyFill="1" applyAlignment="1">
      <alignment horizontal="center" vertical="center"/>
    </xf>
    <xf numFmtId="0" fontId="19" fillId="9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2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0" fillId="0" borderId="1" xfId="0" applyBorder="1"/>
    <xf numFmtId="49" fontId="16" fillId="8" borderId="0" xfId="0" applyNumberFormat="1" applyFont="1" applyFill="1" applyAlignment="1">
      <alignment horizontal="center" vertical="center"/>
    </xf>
    <xf numFmtId="14" fontId="0" fillId="0" borderId="0" xfId="0" applyNumberFormat="1"/>
    <xf numFmtId="0" fontId="24" fillId="10" borderId="0" xfId="0" applyFont="1" applyFill="1" applyAlignment="1">
      <alignment horizontal="center" wrapText="1"/>
    </xf>
    <xf numFmtId="0" fontId="0" fillId="11" borderId="0" xfId="0" applyFill="1"/>
    <xf numFmtId="0" fontId="0" fillId="0" borderId="0" xfId="0" applyAlignment="1">
      <alignment horizontal="center" vertical="center"/>
    </xf>
    <xf numFmtId="49" fontId="0" fillId="11" borderId="0" xfId="0" applyNumberFormat="1" applyFill="1"/>
    <xf numFmtId="14" fontId="0" fillId="11" borderId="0" xfId="0" applyNumberFormat="1" applyFill="1"/>
    <xf numFmtId="0" fontId="0" fillId="11" borderId="0" xfId="0" applyFill="1" applyAlignment="1">
      <alignment horizontal="center"/>
    </xf>
    <xf numFmtId="0" fontId="0" fillId="0" borderId="0" xfId="0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4">
    <cellStyle name="Normal 2" xfId="1" xr:uid="{2C44C43F-66FC-4904-BD59-A25597EC622B}"/>
    <cellStyle name="Normal 3" xfId="2" xr:uid="{E0DDBC85-4A7C-4FFA-BFE8-FFB0B8C36AC9}"/>
    <cellStyle name="常规" xfId="0" builtinId="0"/>
    <cellStyle name="超链接" xfId="3" builtinId="8"/>
  </cellStyles>
  <dxfs count="424"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92926</xdr:colOff>
      <xdr:row>1</xdr:row>
      <xdr:rowOff>15488</xdr:rowOff>
    </xdr:from>
    <xdr:to>
      <xdr:col>4</xdr:col>
      <xdr:colOff>975731</xdr:colOff>
      <xdr:row>2</xdr:row>
      <xdr:rowOff>108414</xdr:rowOff>
    </xdr:to>
    <xdr:sp macro="[0]!sheet9_ChaXunXiangMuKanBa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A92880-D2A4-416F-BB6D-D24583129858}"/>
            </a:ext>
          </a:extLst>
        </xdr:cNvPr>
        <xdr:cNvSpPr/>
      </xdr:nvSpPr>
      <xdr:spPr>
        <a:xfrm>
          <a:off x="4576646" y="193598"/>
          <a:ext cx="882805" cy="271036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chemeClr val="tx1"/>
              </a:solidFill>
            </a:rPr>
            <a:t>查询</a:t>
          </a:r>
        </a:p>
      </xdr:txBody>
    </xdr:sp>
    <xdr:clientData/>
  </xdr:twoCellAnchor>
  <xdr:twoCellAnchor>
    <xdr:from>
      <xdr:col>4</xdr:col>
      <xdr:colOff>1448109</xdr:colOff>
      <xdr:row>1</xdr:row>
      <xdr:rowOff>23231</xdr:rowOff>
    </xdr:from>
    <xdr:to>
      <xdr:col>5</xdr:col>
      <xdr:colOff>302012</xdr:colOff>
      <xdr:row>2</xdr:row>
      <xdr:rowOff>116157</xdr:rowOff>
    </xdr:to>
    <xdr:sp macro="[0]!DeleteRow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B84740-0D94-4459-B3AB-98710A0225A4}"/>
            </a:ext>
          </a:extLst>
        </xdr:cNvPr>
        <xdr:cNvSpPr/>
      </xdr:nvSpPr>
      <xdr:spPr>
        <a:xfrm>
          <a:off x="5931829" y="201341"/>
          <a:ext cx="882805" cy="271036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chemeClr val="tx1"/>
              </a:solidFill>
            </a:rPr>
            <a:t>隐藏行</a:t>
          </a:r>
        </a:p>
      </xdr:txBody>
    </xdr:sp>
    <xdr:clientData/>
  </xdr:twoCellAnchor>
  <xdr:twoCellAnchor>
    <xdr:from>
      <xdr:col>0</xdr:col>
      <xdr:colOff>7744</xdr:colOff>
      <xdr:row>5</xdr:row>
      <xdr:rowOff>170365</xdr:rowOff>
    </xdr:from>
    <xdr:to>
      <xdr:col>0</xdr:col>
      <xdr:colOff>433659</xdr:colOff>
      <xdr:row>7</xdr:row>
      <xdr:rowOff>0</xdr:rowOff>
    </xdr:to>
    <xdr:sp macro="[0]!selectAl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5688421-3600-4DDB-8F83-611E9AAD68FF}"/>
            </a:ext>
          </a:extLst>
        </xdr:cNvPr>
        <xdr:cNvSpPr/>
      </xdr:nvSpPr>
      <xdr:spPr>
        <a:xfrm>
          <a:off x="7744" y="1060914"/>
          <a:ext cx="425915" cy="21683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800" b="1">
              <a:solidFill>
                <a:schemeClr val="tx1"/>
              </a:solidFill>
            </a:rPr>
            <a:t>全选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7</xdr:row>
          <xdr:rowOff>15240</xdr:rowOff>
        </xdr:from>
        <xdr:to>
          <xdr:col>1</xdr:col>
          <xdr:colOff>30480</xdr:colOff>
          <xdr:row>13</xdr:row>
          <xdr:rowOff>30480</xdr:rowOff>
        </xdr:to>
        <xdr:sp macro="" textlink="">
          <xdr:nvSpPr>
            <xdr:cNvPr id="5405" name="CheckBox_Row8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3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8</xdr:row>
          <xdr:rowOff>15240</xdr:rowOff>
        </xdr:from>
        <xdr:to>
          <xdr:col>1</xdr:col>
          <xdr:colOff>30480</xdr:colOff>
          <xdr:row>13</xdr:row>
          <xdr:rowOff>30480</xdr:rowOff>
        </xdr:to>
        <xdr:sp macro="" textlink="">
          <xdr:nvSpPr>
            <xdr:cNvPr id="5406" name="CheckBox_Row9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3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9</xdr:row>
          <xdr:rowOff>30480</xdr:rowOff>
        </xdr:from>
        <xdr:to>
          <xdr:col>1</xdr:col>
          <xdr:colOff>30480</xdr:colOff>
          <xdr:row>13</xdr:row>
          <xdr:rowOff>30480</xdr:rowOff>
        </xdr:to>
        <xdr:sp macro="" textlink="">
          <xdr:nvSpPr>
            <xdr:cNvPr id="5407" name="CheckBox_Row10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3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10</xdr:row>
          <xdr:rowOff>30480</xdr:rowOff>
        </xdr:from>
        <xdr:to>
          <xdr:col>1</xdr:col>
          <xdr:colOff>30480</xdr:colOff>
          <xdr:row>13</xdr:row>
          <xdr:rowOff>30480</xdr:rowOff>
        </xdr:to>
        <xdr:sp macro="" textlink="">
          <xdr:nvSpPr>
            <xdr:cNvPr id="5408" name="CheckBox_Row11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3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11</xdr:row>
          <xdr:rowOff>38100</xdr:rowOff>
        </xdr:from>
        <xdr:to>
          <xdr:col>1</xdr:col>
          <xdr:colOff>30480</xdr:colOff>
          <xdr:row>13</xdr:row>
          <xdr:rowOff>30480</xdr:rowOff>
        </xdr:to>
        <xdr:sp macro="" textlink="">
          <xdr:nvSpPr>
            <xdr:cNvPr id="5409" name="CheckBox_Row12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3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12</xdr:row>
          <xdr:rowOff>30480</xdr:rowOff>
        </xdr:from>
        <xdr:to>
          <xdr:col>1</xdr:col>
          <xdr:colOff>30480</xdr:colOff>
          <xdr:row>13</xdr:row>
          <xdr:rowOff>60960</xdr:rowOff>
        </xdr:to>
        <xdr:sp macro="" textlink="">
          <xdr:nvSpPr>
            <xdr:cNvPr id="5410" name="CheckBox_Row13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3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13</xdr:row>
          <xdr:rowOff>38100</xdr:rowOff>
        </xdr:from>
        <xdr:to>
          <xdr:col>1</xdr:col>
          <xdr:colOff>30480</xdr:colOff>
          <xdr:row>18</xdr:row>
          <xdr:rowOff>68580</xdr:rowOff>
        </xdr:to>
        <xdr:sp macro="" textlink="">
          <xdr:nvSpPr>
            <xdr:cNvPr id="5411" name="CheckBox_Row14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3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14</xdr:row>
          <xdr:rowOff>38100</xdr:rowOff>
        </xdr:from>
        <xdr:to>
          <xdr:col>1</xdr:col>
          <xdr:colOff>30480</xdr:colOff>
          <xdr:row>23</xdr:row>
          <xdr:rowOff>30480</xdr:rowOff>
        </xdr:to>
        <xdr:sp macro="" textlink="">
          <xdr:nvSpPr>
            <xdr:cNvPr id="5412" name="CheckBox_Row15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3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15</xdr:row>
          <xdr:rowOff>60960</xdr:rowOff>
        </xdr:from>
        <xdr:to>
          <xdr:col>1</xdr:col>
          <xdr:colOff>30480</xdr:colOff>
          <xdr:row>23</xdr:row>
          <xdr:rowOff>30480</xdr:rowOff>
        </xdr:to>
        <xdr:sp macro="" textlink="">
          <xdr:nvSpPr>
            <xdr:cNvPr id="5413" name="CheckBox_Row16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3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16</xdr:row>
          <xdr:rowOff>60960</xdr:rowOff>
        </xdr:from>
        <xdr:to>
          <xdr:col>1</xdr:col>
          <xdr:colOff>30480</xdr:colOff>
          <xdr:row>23</xdr:row>
          <xdr:rowOff>30480</xdr:rowOff>
        </xdr:to>
        <xdr:sp macro="" textlink="">
          <xdr:nvSpPr>
            <xdr:cNvPr id="5414" name="CheckBox_Row17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3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17</xdr:row>
          <xdr:rowOff>60960</xdr:rowOff>
        </xdr:from>
        <xdr:to>
          <xdr:col>1</xdr:col>
          <xdr:colOff>30480</xdr:colOff>
          <xdr:row>23</xdr:row>
          <xdr:rowOff>30480</xdr:rowOff>
        </xdr:to>
        <xdr:sp macro="" textlink="">
          <xdr:nvSpPr>
            <xdr:cNvPr id="5415" name="CheckBox_Row18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3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18</xdr:row>
          <xdr:rowOff>60960</xdr:rowOff>
        </xdr:from>
        <xdr:to>
          <xdr:col>1</xdr:col>
          <xdr:colOff>30480</xdr:colOff>
          <xdr:row>23</xdr:row>
          <xdr:rowOff>91440</xdr:rowOff>
        </xdr:to>
        <xdr:sp macro="" textlink="">
          <xdr:nvSpPr>
            <xdr:cNvPr id="5416" name="CheckBox_Row19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3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19</xdr:row>
          <xdr:rowOff>60960</xdr:rowOff>
        </xdr:from>
        <xdr:to>
          <xdr:col>1</xdr:col>
          <xdr:colOff>30480</xdr:colOff>
          <xdr:row>33</xdr:row>
          <xdr:rowOff>30480</xdr:rowOff>
        </xdr:to>
        <xdr:sp macro="" textlink="">
          <xdr:nvSpPr>
            <xdr:cNvPr id="5417" name="CheckBox_Row20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3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20</xdr:row>
          <xdr:rowOff>60960</xdr:rowOff>
        </xdr:from>
        <xdr:to>
          <xdr:col>1</xdr:col>
          <xdr:colOff>30480</xdr:colOff>
          <xdr:row>33</xdr:row>
          <xdr:rowOff>30480</xdr:rowOff>
        </xdr:to>
        <xdr:sp macro="" textlink="">
          <xdr:nvSpPr>
            <xdr:cNvPr id="5418" name="CheckBox_Row21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3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21</xdr:row>
          <xdr:rowOff>68580</xdr:rowOff>
        </xdr:from>
        <xdr:to>
          <xdr:col>1</xdr:col>
          <xdr:colOff>30480</xdr:colOff>
          <xdr:row>33</xdr:row>
          <xdr:rowOff>30480</xdr:rowOff>
        </xdr:to>
        <xdr:sp macro="" textlink="">
          <xdr:nvSpPr>
            <xdr:cNvPr id="5419" name="CheckBox_Row22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3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22</xdr:row>
          <xdr:rowOff>68580</xdr:rowOff>
        </xdr:from>
        <xdr:to>
          <xdr:col>1</xdr:col>
          <xdr:colOff>30480</xdr:colOff>
          <xdr:row>33</xdr:row>
          <xdr:rowOff>30480</xdr:rowOff>
        </xdr:to>
        <xdr:sp macro="" textlink="">
          <xdr:nvSpPr>
            <xdr:cNvPr id="5420" name="CheckBox_Row23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3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23</xdr:row>
          <xdr:rowOff>91440</xdr:rowOff>
        </xdr:from>
        <xdr:to>
          <xdr:col>1</xdr:col>
          <xdr:colOff>30480</xdr:colOff>
          <xdr:row>33</xdr:row>
          <xdr:rowOff>106680</xdr:rowOff>
        </xdr:to>
        <xdr:sp macro="" textlink="">
          <xdr:nvSpPr>
            <xdr:cNvPr id="5421" name="CheckBox_Row24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3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24</xdr:row>
          <xdr:rowOff>68580</xdr:rowOff>
        </xdr:from>
        <xdr:to>
          <xdr:col>1</xdr:col>
          <xdr:colOff>30480</xdr:colOff>
          <xdr:row>46</xdr:row>
          <xdr:rowOff>30480</xdr:rowOff>
        </xdr:to>
        <xdr:sp macro="" textlink="">
          <xdr:nvSpPr>
            <xdr:cNvPr id="5422" name="CheckBox_Row25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3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25</xdr:row>
          <xdr:rowOff>91440</xdr:rowOff>
        </xdr:from>
        <xdr:to>
          <xdr:col>1</xdr:col>
          <xdr:colOff>30480</xdr:colOff>
          <xdr:row>46</xdr:row>
          <xdr:rowOff>30480</xdr:rowOff>
        </xdr:to>
        <xdr:sp macro="" textlink="">
          <xdr:nvSpPr>
            <xdr:cNvPr id="5423" name="CheckBox_Row26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3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26</xdr:row>
          <xdr:rowOff>91440</xdr:rowOff>
        </xdr:from>
        <xdr:to>
          <xdr:col>1</xdr:col>
          <xdr:colOff>30480</xdr:colOff>
          <xdr:row>46</xdr:row>
          <xdr:rowOff>30480</xdr:rowOff>
        </xdr:to>
        <xdr:sp macro="" textlink="">
          <xdr:nvSpPr>
            <xdr:cNvPr id="5424" name="CheckBox_Row27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3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27</xdr:row>
          <xdr:rowOff>91440</xdr:rowOff>
        </xdr:from>
        <xdr:to>
          <xdr:col>1</xdr:col>
          <xdr:colOff>30480</xdr:colOff>
          <xdr:row>46</xdr:row>
          <xdr:rowOff>30480</xdr:rowOff>
        </xdr:to>
        <xdr:sp macro="" textlink="">
          <xdr:nvSpPr>
            <xdr:cNvPr id="5425" name="CheckBox_Row28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3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28</xdr:row>
          <xdr:rowOff>91440</xdr:rowOff>
        </xdr:from>
        <xdr:to>
          <xdr:col>1</xdr:col>
          <xdr:colOff>30480</xdr:colOff>
          <xdr:row>46</xdr:row>
          <xdr:rowOff>30480</xdr:rowOff>
        </xdr:to>
        <xdr:sp macro="" textlink="">
          <xdr:nvSpPr>
            <xdr:cNvPr id="5426" name="CheckBox_Row29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3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29</xdr:row>
          <xdr:rowOff>99060</xdr:rowOff>
        </xdr:from>
        <xdr:to>
          <xdr:col>1</xdr:col>
          <xdr:colOff>30480</xdr:colOff>
          <xdr:row>46</xdr:row>
          <xdr:rowOff>30480</xdr:rowOff>
        </xdr:to>
        <xdr:sp macro="" textlink="">
          <xdr:nvSpPr>
            <xdr:cNvPr id="5427" name="CheckBox_Row30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3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30</xdr:row>
          <xdr:rowOff>91440</xdr:rowOff>
        </xdr:from>
        <xdr:to>
          <xdr:col>1</xdr:col>
          <xdr:colOff>30480</xdr:colOff>
          <xdr:row>46</xdr:row>
          <xdr:rowOff>30480</xdr:rowOff>
        </xdr:to>
        <xdr:sp macro="" textlink="">
          <xdr:nvSpPr>
            <xdr:cNvPr id="5428" name="CheckBox_Row31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3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31</xdr:row>
          <xdr:rowOff>99060</xdr:rowOff>
        </xdr:from>
        <xdr:to>
          <xdr:col>1</xdr:col>
          <xdr:colOff>30480</xdr:colOff>
          <xdr:row>46</xdr:row>
          <xdr:rowOff>30480</xdr:rowOff>
        </xdr:to>
        <xdr:sp macro="" textlink="">
          <xdr:nvSpPr>
            <xdr:cNvPr id="5429" name="CheckBox_Row32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3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32</xdr:row>
          <xdr:rowOff>99060</xdr:rowOff>
        </xdr:from>
        <xdr:to>
          <xdr:col>1</xdr:col>
          <xdr:colOff>30480</xdr:colOff>
          <xdr:row>46</xdr:row>
          <xdr:rowOff>30480</xdr:rowOff>
        </xdr:to>
        <xdr:sp macro="" textlink="">
          <xdr:nvSpPr>
            <xdr:cNvPr id="5430" name="CheckBox_Row33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3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33</xdr:row>
          <xdr:rowOff>106680</xdr:rowOff>
        </xdr:from>
        <xdr:to>
          <xdr:col>1</xdr:col>
          <xdr:colOff>30480</xdr:colOff>
          <xdr:row>46</xdr:row>
          <xdr:rowOff>137160</xdr:rowOff>
        </xdr:to>
        <xdr:sp macro="" textlink="">
          <xdr:nvSpPr>
            <xdr:cNvPr id="5431" name="CheckBox_Row34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3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34</xdr:row>
          <xdr:rowOff>106680</xdr:rowOff>
        </xdr:from>
        <xdr:to>
          <xdr:col>1</xdr:col>
          <xdr:colOff>30480</xdr:colOff>
          <xdr:row>54</xdr:row>
          <xdr:rowOff>30480</xdr:rowOff>
        </xdr:to>
        <xdr:sp macro="" textlink="">
          <xdr:nvSpPr>
            <xdr:cNvPr id="5432" name="CheckBox_Row35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3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35</xdr:row>
          <xdr:rowOff>106680</xdr:rowOff>
        </xdr:from>
        <xdr:to>
          <xdr:col>1</xdr:col>
          <xdr:colOff>30480</xdr:colOff>
          <xdr:row>54</xdr:row>
          <xdr:rowOff>30480</xdr:rowOff>
        </xdr:to>
        <xdr:sp macro="" textlink="">
          <xdr:nvSpPr>
            <xdr:cNvPr id="5433" name="CheckBox_Row36" hidden="1">
              <a:extLst>
                <a:ext uri="{63B3BB69-23CF-44E3-9099-C40C66FF867C}">
                  <a14:compatExt spid="_x0000_s5433"/>
                </a:ext>
                <a:ext uri="{FF2B5EF4-FFF2-40B4-BE49-F238E27FC236}">
                  <a16:creationId xmlns:a16="http://schemas.microsoft.com/office/drawing/2014/main" id="{00000000-0008-0000-0300-00003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36</xdr:row>
          <xdr:rowOff>106680</xdr:rowOff>
        </xdr:from>
        <xdr:to>
          <xdr:col>1</xdr:col>
          <xdr:colOff>30480</xdr:colOff>
          <xdr:row>54</xdr:row>
          <xdr:rowOff>30480</xdr:rowOff>
        </xdr:to>
        <xdr:sp macro="" textlink="">
          <xdr:nvSpPr>
            <xdr:cNvPr id="5434" name="CheckBox_Row37" hidden="1">
              <a:extLst>
                <a:ext uri="{63B3BB69-23CF-44E3-9099-C40C66FF867C}">
                  <a14:compatExt spid="_x0000_s5434"/>
                </a:ext>
                <a:ext uri="{FF2B5EF4-FFF2-40B4-BE49-F238E27FC236}">
                  <a16:creationId xmlns:a16="http://schemas.microsoft.com/office/drawing/2014/main" id="{00000000-0008-0000-0300-00003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37</xdr:row>
          <xdr:rowOff>106680</xdr:rowOff>
        </xdr:from>
        <xdr:to>
          <xdr:col>1</xdr:col>
          <xdr:colOff>30480</xdr:colOff>
          <xdr:row>54</xdr:row>
          <xdr:rowOff>30480</xdr:rowOff>
        </xdr:to>
        <xdr:sp macro="" textlink="">
          <xdr:nvSpPr>
            <xdr:cNvPr id="5435" name="CheckBox_Row38" hidden="1">
              <a:extLst>
                <a:ext uri="{63B3BB69-23CF-44E3-9099-C40C66FF867C}">
                  <a14:compatExt spid="_x0000_s5435"/>
                </a:ext>
                <a:ext uri="{FF2B5EF4-FFF2-40B4-BE49-F238E27FC236}">
                  <a16:creationId xmlns:a16="http://schemas.microsoft.com/office/drawing/2014/main" id="{00000000-0008-0000-0300-00003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38</xdr:row>
          <xdr:rowOff>106680</xdr:rowOff>
        </xdr:from>
        <xdr:to>
          <xdr:col>1</xdr:col>
          <xdr:colOff>30480</xdr:colOff>
          <xdr:row>54</xdr:row>
          <xdr:rowOff>30480</xdr:rowOff>
        </xdr:to>
        <xdr:sp macro="" textlink="">
          <xdr:nvSpPr>
            <xdr:cNvPr id="5436" name="CheckBox_Row39" hidden="1">
              <a:extLst>
                <a:ext uri="{63B3BB69-23CF-44E3-9099-C40C66FF867C}">
                  <a14:compatExt spid="_x0000_s5436"/>
                </a:ext>
                <a:ext uri="{FF2B5EF4-FFF2-40B4-BE49-F238E27FC236}">
                  <a16:creationId xmlns:a16="http://schemas.microsoft.com/office/drawing/2014/main" id="{00000000-0008-0000-0300-00003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39</xdr:row>
          <xdr:rowOff>129540</xdr:rowOff>
        </xdr:from>
        <xdr:to>
          <xdr:col>1</xdr:col>
          <xdr:colOff>30480</xdr:colOff>
          <xdr:row>54</xdr:row>
          <xdr:rowOff>30480</xdr:rowOff>
        </xdr:to>
        <xdr:sp macro="" textlink="">
          <xdr:nvSpPr>
            <xdr:cNvPr id="5437" name="CheckBox_Row40" hidden="1">
              <a:extLst>
                <a:ext uri="{63B3BB69-23CF-44E3-9099-C40C66FF867C}">
                  <a14:compatExt spid="_x0000_s5437"/>
                </a:ext>
                <a:ext uri="{FF2B5EF4-FFF2-40B4-BE49-F238E27FC236}">
                  <a16:creationId xmlns:a16="http://schemas.microsoft.com/office/drawing/2014/main" id="{00000000-0008-0000-0300-00003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40</xdr:row>
          <xdr:rowOff>129540</xdr:rowOff>
        </xdr:from>
        <xdr:to>
          <xdr:col>1</xdr:col>
          <xdr:colOff>30480</xdr:colOff>
          <xdr:row>54</xdr:row>
          <xdr:rowOff>30480</xdr:rowOff>
        </xdr:to>
        <xdr:sp macro="" textlink="">
          <xdr:nvSpPr>
            <xdr:cNvPr id="5438" name="CheckBox_Row41" hidden="1">
              <a:extLst>
                <a:ext uri="{63B3BB69-23CF-44E3-9099-C40C66FF867C}">
                  <a14:compatExt spid="_x0000_s5438"/>
                </a:ext>
                <a:ext uri="{FF2B5EF4-FFF2-40B4-BE49-F238E27FC236}">
                  <a16:creationId xmlns:a16="http://schemas.microsoft.com/office/drawing/2014/main" id="{00000000-0008-0000-0300-00003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41</xdr:row>
          <xdr:rowOff>137160</xdr:rowOff>
        </xdr:from>
        <xdr:to>
          <xdr:col>1</xdr:col>
          <xdr:colOff>30480</xdr:colOff>
          <xdr:row>54</xdr:row>
          <xdr:rowOff>30480</xdr:rowOff>
        </xdr:to>
        <xdr:sp macro="" textlink="">
          <xdr:nvSpPr>
            <xdr:cNvPr id="5439" name="CheckBox_Row42" hidden="1">
              <a:extLst>
                <a:ext uri="{63B3BB69-23CF-44E3-9099-C40C66FF867C}">
                  <a14:compatExt spid="_x0000_s5439"/>
                </a:ext>
                <a:ext uri="{FF2B5EF4-FFF2-40B4-BE49-F238E27FC236}">
                  <a16:creationId xmlns:a16="http://schemas.microsoft.com/office/drawing/2014/main" id="{00000000-0008-0000-0300-00003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42</xdr:row>
          <xdr:rowOff>129540</xdr:rowOff>
        </xdr:from>
        <xdr:to>
          <xdr:col>1</xdr:col>
          <xdr:colOff>30480</xdr:colOff>
          <xdr:row>54</xdr:row>
          <xdr:rowOff>30480</xdr:rowOff>
        </xdr:to>
        <xdr:sp macro="" textlink="">
          <xdr:nvSpPr>
            <xdr:cNvPr id="5440" name="CheckBox_Row43" hidden="1">
              <a:extLst>
                <a:ext uri="{63B3BB69-23CF-44E3-9099-C40C66FF867C}">
                  <a14:compatExt spid="_x0000_s5440"/>
                </a:ext>
                <a:ext uri="{FF2B5EF4-FFF2-40B4-BE49-F238E27FC236}">
                  <a16:creationId xmlns:a16="http://schemas.microsoft.com/office/drawing/2014/main" id="{00000000-0008-0000-0300-00004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43</xdr:row>
          <xdr:rowOff>137160</xdr:rowOff>
        </xdr:from>
        <xdr:to>
          <xdr:col>1</xdr:col>
          <xdr:colOff>30480</xdr:colOff>
          <xdr:row>54</xdr:row>
          <xdr:rowOff>30480</xdr:rowOff>
        </xdr:to>
        <xdr:sp macro="" textlink="">
          <xdr:nvSpPr>
            <xdr:cNvPr id="5441" name="CheckBox_Row44" hidden="1">
              <a:extLst>
                <a:ext uri="{63B3BB69-23CF-44E3-9099-C40C66FF867C}">
                  <a14:compatExt spid="_x0000_s5441"/>
                </a:ext>
                <a:ext uri="{FF2B5EF4-FFF2-40B4-BE49-F238E27FC236}">
                  <a16:creationId xmlns:a16="http://schemas.microsoft.com/office/drawing/2014/main" id="{00000000-0008-0000-0300-00004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44</xdr:row>
          <xdr:rowOff>137160</xdr:rowOff>
        </xdr:from>
        <xdr:to>
          <xdr:col>1</xdr:col>
          <xdr:colOff>30480</xdr:colOff>
          <xdr:row>54</xdr:row>
          <xdr:rowOff>30480</xdr:rowOff>
        </xdr:to>
        <xdr:sp macro="" textlink="">
          <xdr:nvSpPr>
            <xdr:cNvPr id="5442" name="CheckBox_Row45" hidden="1">
              <a:extLst>
                <a:ext uri="{63B3BB69-23CF-44E3-9099-C40C66FF867C}">
                  <a14:compatExt spid="_x0000_s5442"/>
                </a:ext>
                <a:ext uri="{FF2B5EF4-FFF2-40B4-BE49-F238E27FC236}">
                  <a16:creationId xmlns:a16="http://schemas.microsoft.com/office/drawing/2014/main" id="{00000000-0008-0000-0300-00004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45</xdr:row>
          <xdr:rowOff>152400</xdr:rowOff>
        </xdr:from>
        <xdr:to>
          <xdr:col>1</xdr:col>
          <xdr:colOff>30480</xdr:colOff>
          <xdr:row>54</xdr:row>
          <xdr:rowOff>30480</xdr:rowOff>
        </xdr:to>
        <xdr:sp macro="" textlink="">
          <xdr:nvSpPr>
            <xdr:cNvPr id="5443" name="CheckBox_Row46" hidden="1">
              <a:extLst>
                <a:ext uri="{63B3BB69-23CF-44E3-9099-C40C66FF867C}">
                  <a14:compatExt spid="_x0000_s5443"/>
                </a:ext>
                <a:ext uri="{FF2B5EF4-FFF2-40B4-BE49-F238E27FC236}">
                  <a16:creationId xmlns:a16="http://schemas.microsoft.com/office/drawing/2014/main" id="{00000000-0008-0000-0300-00004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46</xdr:row>
          <xdr:rowOff>152400</xdr:rowOff>
        </xdr:from>
        <xdr:to>
          <xdr:col>1</xdr:col>
          <xdr:colOff>30480</xdr:colOff>
          <xdr:row>61</xdr:row>
          <xdr:rowOff>0</xdr:rowOff>
        </xdr:to>
        <xdr:sp macro="" textlink="">
          <xdr:nvSpPr>
            <xdr:cNvPr id="5444" name="CheckBox_Row47" hidden="1">
              <a:extLst>
                <a:ext uri="{63B3BB69-23CF-44E3-9099-C40C66FF867C}">
                  <a14:compatExt spid="_x0000_s5444"/>
                </a:ext>
                <a:ext uri="{FF2B5EF4-FFF2-40B4-BE49-F238E27FC236}">
                  <a16:creationId xmlns:a16="http://schemas.microsoft.com/office/drawing/2014/main" id="{00000000-0008-0000-0300-00004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47</xdr:row>
          <xdr:rowOff>152400</xdr:rowOff>
        </xdr:from>
        <xdr:to>
          <xdr:col>1</xdr:col>
          <xdr:colOff>30480</xdr:colOff>
          <xdr:row>61</xdr:row>
          <xdr:rowOff>30480</xdr:rowOff>
        </xdr:to>
        <xdr:sp macro="" textlink="">
          <xdr:nvSpPr>
            <xdr:cNvPr id="5445" name="CheckBox_Row48" hidden="1">
              <a:extLst>
                <a:ext uri="{63B3BB69-23CF-44E3-9099-C40C66FF867C}">
                  <a14:compatExt spid="_x0000_s5445"/>
                </a:ext>
                <a:ext uri="{FF2B5EF4-FFF2-40B4-BE49-F238E27FC236}">
                  <a16:creationId xmlns:a16="http://schemas.microsoft.com/office/drawing/2014/main" id="{00000000-0008-0000-0300-00004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48</xdr:row>
          <xdr:rowOff>152400</xdr:rowOff>
        </xdr:from>
        <xdr:to>
          <xdr:col>1</xdr:col>
          <xdr:colOff>30480</xdr:colOff>
          <xdr:row>61</xdr:row>
          <xdr:rowOff>30480</xdr:rowOff>
        </xdr:to>
        <xdr:sp macro="" textlink="">
          <xdr:nvSpPr>
            <xdr:cNvPr id="5446" name="CheckBox_Row49" hidden="1">
              <a:extLst>
                <a:ext uri="{63B3BB69-23CF-44E3-9099-C40C66FF867C}">
                  <a14:compatExt spid="_x0000_s5446"/>
                </a:ext>
                <a:ext uri="{FF2B5EF4-FFF2-40B4-BE49-F238E27FC236}">
                  <a16:creationId xmlns:a16="http://schemas.microsoft.com/office/drawing/2014/main" id="{00000000-0008-0000-0300-00004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49</xdr:row>
          <xdr:rowOff>152400</xdr:rowOff>
        </xdr:from>
        <xdr:to>
          <xdr:col>1</xdr:col>
          <xdr:colOff>30480</xdr:colOff>
          <xdr:row>61</xdr:row>
          <xdr:rowOff>30480</xdr:rowOff>
        </xdr:to>
        <xdr:sp macro="" textlink="">
          <xdr:nvSpPr>
            <xdr:cNvPr id="5447" name="CheckBox_Row50" hidden="1">
              <a:extLst>
                <a:ext uri="{63B3BB69-23CF-44E3-9099-C40C66FF867C}">
                  <a14:compatExt spid="_x0000_s5447"/>
                </a:ext>
                <a:ext uri="{FF2B5EF4-FFF2-40B4-BE49-F238E27FC236}">
                  <a16:creationId xmlns:a16="http://schemas.microsoft.com/office/drawing/2014/main" id="{00000000-0008-0000-0300-00004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50</xdr:row>
          <xdr:rowOff>152400</xdr:rowOff>
        </xdr:from>
        <xdr:to>
          <xdr:col>1</xdr:col>
          <xdr:colOff>30480</xdr:colOff>
          <xdr:row>61</xdr:row>
          <xdr:rowOff>30480</xdr:rowOff>
        </xdr:to>
        <xdr:sp macro="" textlink="">
          <xdr:nvSpPr>
            <xdr:cNvPr id="5448" name="CheckBox_Row51" hidden="1">
              <a:extLst>
                <a:ext uri="{63B3BB69-23CF-44E3-9099-C40C66FF867C}">
                  <a14:compatExt spid="_x0000_s5448"/>
                </a:ext>
                <a:ext uri="{FF2B5EF4-FFF2-40B4-BE49-F238E27FC236}">
                  <a16:creationId xmlns:a16="http://schemas.microsoft.com/office/drawing/2014/main" id="{00000000-0008-0000-0300-00004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51</xdr:row>
          <xdr:rowOff>167640</xdr:rowOff>
        </xdr:from>
        <xdr:to>
          <xdr:col>1</xdr:col>
          <xdr:colOff>30480</xdr:colOff>
          <xdr:row>61</xdr:row>
          <xdr:rowOff>30480</xdr:rowOff>
        </xdr:to>
        <xdr:sp macro="" textlink="">
          <xdr:nvSpPr>
            <xdr:cNvPr id="5449" name="CheckBox_Row52" hidden="1">
              <a:extLst>
                <a:ext uri="{63B3BB69-23CF-44E3-9099-C40C66FF867C}">
                  <a14:compatExt spid="_x0000_s5449"/>
                </a:ext>
                <a:ext uri="{FF2B5EF4-FFF2-40B4-BE49-F238E27FC236}">
                  <a16:creationId xmlns:a16="http://schemas.microsoft.com/office/drawing/2014/main" id="{00000000-0008-0000-0300-00004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52</xdr:row>
          <xdr:rowOff>167640</xdr:rowOff>
        </xdr:from>
        <xdr:to>
          <xdr:col>1</xdr:col>
          <xdr:colOff>30480</xdr:colOff>
          <xdr:row>61</xdr:row>
          <xdr:rowOff>30480</xdr:rowOff>
        </xdr:to>
        <xdr:sp macro="" textlink="">
          <xdr:nvSpPr>
            <xdr:cNvPr id="5450" name="CheckBox_Row53" hidden="1">
              <a:extLst>
                <a:ext uri="{63B3BB69-23CF-44E3-9099-C40C66FF867C}">
                  <a14:compatExt spid="_x0000_s5450"/>
                </a:ext>
                <a:ext uri="{FF2B5EF4-FFF2-40B4-BE49-F238E27FC236}">
                  <a16:creationId xmlns:a16="http://schemas.microsoft.com/office/drawing/2014/main" id="{00000000-0008-0000-0300-00004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54</xdr:row>
          <xdr:rowOff>0</xdr:rowOff>
        </xdr:from>
        <xdr:to>
          <xdr:col>1</xdr:col>
          <xdr:colOff>30480</xdr:colOff>
          <xdr:row>61</xdr:row>
          <xdr:rowOff>30480</xdr:rowOff>
        </xdr:to>
        <xdr:sp macro="" textlink="">
          <xdr:nvSpPr>
            <xdr:cNvPr id="5451" name="CheckBox_Row54" hidden="1">
              <a:extLst>
                <a:ext uri="{63B3BB69-23CF-44E3-9099-C40C66FF867C}">
                  <a14:compatExt spid="_x0000_s5451"/>
                </a:ext>
                <a:ext uri="{FF2B5EF4-FFF2-40B4-BE49-F238E27FC236}">
                  <a16:creationId xmlns:a16="http://schemas.microsoft.com/office/drawing/2014/main" id="{00000000-0008-0000-0300-00004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54</xdr:row>
          <xdr:rowOff>167640</xdr:rowOff>
        </xdr:from>
        <xdr:to>
          <xdr:col>1</xdr:col>
          <xdr:colOff>30480</xdr:colOff>
          <xdr:row>87</xdr:row>
          <xdr:rowOff>15240</xdr:rowOff>
        </xdr:to>
        <xdr:sp macro="" textlink="">
          <xdr:nvSpPr>
            <xdr:cNvPr id="5452" name="CheckBox_Row55" hidden="1">
              <a:extLst>
                <a:ext uri="{63B3BB69-23CF-44E3-9099-C40C66FF867C}">
                  <a14:compatExt spid="_x0000_s5452"/>
                </a:ext>
                <a:ext uri="{FF2B5EF4-FFF2-40B4-BE49-F238E27FC236}">
                  <a16:creationId xmlns:a16="http://schemas.microsoft.com/office/drawing/2014/main" id="{00000000-0008-0000-0300-00004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56</xdr:row>
          <xdr:rowOff>0</xdr:rowOff>
        </xdr:from>
        <xdr:to>
          <xdr:col>1</xdr:col>
          <xdr:colOff>30480</xdr:colOff>
          <xdr:row>87</xdr:row>
          <xdr:rowOff>30480</xdr:rowOff>
        </xdr:to>
        <xdr:sp macro="" textlink="">
          <xdr:nvSpPr>
            <xdr:cNvPr id="5453" name="CheckBox_Row56" hidden="1">
              <a:extLst>
                <a:ext uri="{63B3BB69-23CF-44E3-9099-C40C66FF867C}">
                  <a14:compatExt spid="_x0000_s5453"/>
                </a:ext>
                <a:ext uri="{FF2B5EF4-FFF2-40B4-BE49-F238E27FC236}">
                  <a16:creationId xmlns:a16="http://schemas.microsoft.com/office/drawing/2014/main" id="{00000000-0008-0000-0300-00004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57</xdr:row>
          <xdr:rowOff>0</xdr:rowOff>
        </xdr:from>
        <xdr:to>
          <xdr:col>1</xdr:col>
          <xdr:colOff>30480</xdr:colOff>
          <xdr:row>87</xdr:row>
          <xdr:rowOff>30480</xdr:rowOff>
        </xdr:to>
        <xdr:sp macro="" textlink="">
          <xdr:nvSpPr>
            <xdr:cNvPr id="5454" name="CheckBox_Row57" hidden="1">
              <a:extLst>
                <a:ext uri="{63B3BB69-23CF-44E3-9099-C40C66FF867C}">
                  <a14:compatExt spid="_x0000_s5454"/>
                </a:ext>
                <a:ext uri="{FF2B5EF4-FFF2-40B4-BE49-F238E27FC236}">
                  <a16:creationId xmlns:a16="http://schemas.microsoft.com/office/drawing/2014/main" id="{00000000-0008-0000-0300-00004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58</xdr:row>
          <xdr:rowOff>0</xdr:rowOff>
        </xdr:from>
        <xdr:to>
          <xdr:col>1</xdr:col>
          <xdr:colOff>30480</xdr:colOff>
          <xdr:row>87</xdr:row>
          <xdr:rowOff>30480</xdr:rowOff>
        </xdr:to>
        <xdr:sp macro="" textlink="">
          <xdr:nvSpPr>
            <xdr:cNvPr id="5455" name="CheckBox_Row58" hidden="1">
              <a:extLst>
                <a:ext uri="{63B3BB69-23CF-44E3-9099-C40C66FF867C}">
                  <a14:compatExt spid="_x0000_s5455"/>
                </a:ext>
                <a:ext uri="{FF2B5EF4-FFF2-40B4-BE49-F238E27FC236}">
                  <a16:creationId xmlns:a16="http://schemas.microsoft.com/office/drawing/2014/main" id="{00000000-0008-0000-0300-00004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59</xdr:row>
          <xdr:rowOff>0</xdr:rowOff>
        </xdr:from>
        <xdr:to>
          <xdr:col>1</xdr:col>
          <xdr:colOff>30480</xdr:colOff>
          <xdr:row>87</xdr:row>
          <xdr:rowOff>30480</xdr:rowOff>
        </xdr:to>
        <xdr:sp macro="" textlink="">
          <xdr:nvSpPr>
            <xdr:cNvPr id="5456" name="CheckBox_Row59" hidden="1">
              <a:extLst>
                <a:ext uri="{63B3BB69-23CF-44E3-9099-C40C66FF867C}">
                  <a14:compatExt spid="_x0000_s5456"/>
                </a:ext>
                <a:ext uri="{FF2B5EF4-FFF2-40B4-BE49-F238E27FC236}">
                  <a16:creationId xmlns:a16="http://schemas.microsoft.com/office/drawing/2014/main" id="{00000000-0008-0000-0300-00005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60</xdr:row>
          <xdr:rowOff>15240</xdr:rowOff>
        </xdr:from>
        <xdr:to>
          <xdr:col>1</xdr:col>
          <xdr:colOff>30480</xdr:colOff>
          <xdr:row>87</xdr:row>
          <xdr:rowOff>30480</xdr:rowOff>
        </xdr:to>
        <xdr:sp macro="" textlink="">
          <xdr:nvSpPr>
            <xdr:cNvPr id="5457" name="CheckBox_Row60" hidden="1">
              <a:extLst>
                <a:ext uri="{63B3BB69-23CF-44E3-9099-C40C66FF867C}">
                  <a14:compatExt spid="_x0000_s5457"/>
                </a:ext>
                <a:ext uri="{FF2B5EF4-FFF2-40B4-BE49-F238E27FC236}">
                  <a16:creationId xmlns:a16="http://schemas.microsoft.com/office/drawing/2014/main" id="{00000000-0008-0000-0300-00005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61</xdr:row>
          <xdr:rowOff>0</xdr:rowOff>
        </xdr:from>
        <xdr:to>
          <xdr:col>1</xdr:col>
          <xdr:colOff>30480</xdr:colOff>
          <xdr:row>87</xdr:row>
          <xdr:rowOff>30480</xdr:rowOff>
        </xdr:to>
        <xdr:sp macro="" textlink="">
          <xdr:nvSpPr>
            <xdr:cNvPr id="5458" name="CheckBox_Row61" hidden="1">
              <a:extLst>
                <a:ext uri="{63B3BB69-23CF-44E3-9099-C40C66FF867C}">
                  <a14:compatExt spid="_x0000_s5458"/>
                </a:ext>
                <a:ext uri="{FF2B5EF4-FFF2-40B4-BE49-F238E27FC236}">
                  <a16:creationId xmlns:a16="http://schemas.microsoft.com/office/drawing/2014/main" id="{00000000-0008-0000-0300-00005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62</xdr:row>
          <xdr:rowOff>15240</xdr:rowOff>
        </xdr:from>
        <xdr:to>
          <xdr:col>1</xdr:col>
          <xdr:colOff>30480</xdr:colOff>
          <xdr:row>89</xdr:row>
          <xdr:rowOff>30480</xdr:rowOff>
        </xdr:to>
        <xdr:sp macro="" textlink="">
          <xdr:nvSpPr>
            <xdr:cNvPr id="5459" name="CheckBox_Row62" hidden="1">
              <a:extLst>
                <a:ext uri="{63B3BB69-23CF-44E3-9099-C40C66FF867C}">
                  <a14:compatExt spid="_x0000_s5459"/>
                </a:ext>
                <a:ext uri="{FF2B5EF4-FFF2-40B4-BE49-F238E27FC236}">
                  <a16:creationId xmlns:a16="http://schemas.microsoft.com/office/drawing/2014/main" id="{00000000-0008-0000-0300-00005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63</xdr:row>
          <xdr:rowOff>15240</xdr:rowOff>
        </xdr:from>
        <xdr:to>
          <xdr:col>1</xdr:col>
          <xdr:colOff>30480</xdr:colOff>
          <xdr:row>89</xdr:row>
          <xdr:rowOff>30480</xdr:rowOff>
        </xdr:to>
        <xdr:sp macro="" textlink="">
          <xdr:nvSpPr>
            <xdr:cNvPr id="5460" name="CheckBox_Row63" hidden="1">
              <a:extLst>
                <a:ext uri="{63B3BB69-23CF-44E3-9099-C40C66FF867C}">
                  <a14:compatExt spid="_x0000_s5460"/>
                </a:ext>
                <a:ext uri="{FF2B5EF4-FFF2-40B4-BE49-F238E27FC236}">
                  <a16:creationId xmlns:a16="http://schemas.microsoft.com/office/drawing/2014/main" id="{00000000-0008-0000-0300-00005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64</xdr:row>
          <xdr:rowOff>15240</xdr:rowOff>
        </xdr:from>
        <xdr:to>
          <xdr:col>1</xdr:col>
          <xdr:colOff>30480</xdr:colOff>
          <xdr:row>89</xdr:row>
          <xdr:rowOff>30480</xdr:rowOff>
        </xdr:to>
        <xdr:sp macro="" textlink="">
          <xdr:nvSpPr>
            <xdr:cNvPr id="5461" name="CheckBox_Row64" hidden="1">
              <a:extLst>
                <a:ext uri="{63B3BB69-23CF-44E3-9099-C40C66FF867C}">
                  <a14:compatExt spid="_x0000_s5461"/>
                </a:ext>
                <a:ext uri="{FF2B5EF4-FFF2-40B4-BE49-F238E27FC236}">
                  <a16:creationId xmlns:a16="http://schemas.microsoft.com/office/drawing/2014/main" id="{00000000-0008-0000-0300-00005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65</xdr:row>
          <xdr:rowOff>15240</xdr:rowOff>
        </xdr:from>
        <xdr:to>
          <xdr:col>1</xdr:col>
          <xdr:colOff>30480</xdr:colOff>
          <xdr:row>89</xdr:row>
          <xdr:rowOff>30480</xdr:rowOff>
        </xdr:to>
        <xdr:sp macro="" textlink="">
          <xdr:nvSpPr>
            <xdr:cNvPr id="5462" name="CheckBox_Row65" hidden="1">
              <a:extLst>
                <a:ext uri="{63B3BB69-23CF-44E3-9099-C40C66FF867C}">
                  <a14:compatExt spid="_x0000_s5462"/>
                </a:ext>
                <a:ext uri="{FF2B5EF4-FFF2-40B4-BE49-F238E27FC236}">
                  <a16:creationId xmlns:a16="http://schemas.microsoft.com/office/drawing/2014/main" id="{00000000-0008-0000-0300-00005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66</xdr:row>
          <xdr:rowOff>30480</xdr:rowOff>
        </xdr:from>
        <xdr:to>
          <xdr:col>1</xdr:col>
          <xdr:colOff>30480</xdr:colOff>
          <xdr:row>89</xdr:row>
          <xdr:rowOff>30480</xdr:rowOff>
        </xdr:to>
        <xdr:sp macro="" textlink="">
          <xdr:nvSpPr>
            <xdr:cNvPr id="5463" name="CheckBox_Row66" hidden="1">
              <a:extLst>
                <a:ext uri="{63B3BB69-23CF-44E3-9099-C40C66FF867C}">
                  <a14:compatExt spid="_x0000_s5463"/>
                </a:ext>
                <a:ext uri="{FF2B5EF4-FFF2-40B4-BE49-F238E27FC236}">
                  <a16:creationId xmlns:a16="http://schemas.microsoft.com/office/drawing/2014/main" id="{00000000-0008-0000-0300-00005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67</xdr:row>
          <xdr:rowOff>15240</xdr:rowOff>
        </xdr:from>
        <xdr:to>
          <xdr:col>1</xdr:col>
          <xdr:colOff>30480</xdr:colOff>
          <xdr:row>89</xdr:row>
          <xdr:rowOff>30480</xdr:rowOff>
        </xdr:to>
        <xdr:sp macro="" textlink="">
          <xdr:nvSpPr>
            <xdr:cNvPr id="5464" name="CheckBox_Row67" hidden="1">
              <a:extLst>
                <a:ext uri="{63B3BB69-23CF-44E3-9099-C40C66FF867C}">
                  <a14:compatExt spid="_x0000_s5464"/>
                </a:ext>
                <a:ext uri="{FF2B5EF4-FFF2-40B4-BE49-F238E27FC236}">
                  <a16:creationId xmlns:a16="http://schemas.microsoft.com/office/drawing/2014/main" id="{00000000-0008-0000-0300-00005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68</xdr:row>
          <xdr:rowOff>30480</xdr:rowOff>
        </xdr:from>
        <xdr:to>
          <xdr:col>1</xdr:col>
          <xdr:colOff>30480</xdr:colOff>
          <xdr:row>89</xdr:row>
          <xdr:rowOff>30480</xdr:rowOff>
        </xdr:to>
        <xdr:sp macro="" textlink="">
          <xdr:nvSpPr>
            <xdr:cNvPr id="5465" name="CheckBox_Row68" hidden="1">
              <a:extLst>
                <a:ext uri="{63B3BB69-23CF-44E3-9099-C40C66FF867C}">
                  <a14:compatExt spid="_x0000_s5465"/>
                </a:ext>
                <a:ext uri="{FF2B5EF4-FFF2-40B4-BE49-F238E27FC236}">
                  <a16:creationId xmlns:a16="http://schemas.microsoft.com/office/drawing/2014/main" id="{00000000-0008-0000-0300-00005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69</xdr:row>
          <xdr:rowOff>30480</xdr:rowOff>
        </xdr:from>
        <xdr:to>
          <xdr:col>1</xdr:col>
          <xdr:colOff>30480</xdr:colOff>
          <xdr:row>89</xdr:row>
          <xdr:rowOff>30480</xdr:rowOff>
        </xdr:to>
        <xdr:sp macro="" textlink="">
          <xdr:nvSpPr>
            <xdr:cNvPr id="5466" name="CheckBox_Row69" hidden="1">
              <a:extLst>
                <a:ext uri="{63B3BB69-23CF-44E3-9099-C40C66FF867C}">
                  <a14:compatExt spid="_x0000_s5466"/>
                </a:ext>
                <a:ext uri="{FF2B5EF4-FFF2-40B4-BE49-F238E27FC236}">
                  <a16:creationId xmlns:a16="http://schemas.microsoft.com/office/drawing/2014/main" id="{00000000-0008-0000-0300-00005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70</xdr:row>
          <xdr:rowOff>38100</xdr:rowOff>
        </xdr:from>
        <xdr:to>
          <xdr:col>1</xdr:col>
          <xdr:colOff>30480</xdr:colOff>
          <xdr:row>89</xdr:row>
          <xdr:rowOff>30480</xdr:rowOff>
        </xdr:to>
        <xdr:sp macro="" textlink="">
          <xdr:nvSpPr>
            <xdr:cNvPr id="5467" name="CheckBox_Row70" hidden="1">
              <a:extLst>
                <a:ext uri="{63B3BB69-23CF-44E3-9099-C40C66FF867C}">
                  <a14:compatExt spid="_x0000_s5467"/>
                </a:ext>
                <a:ext uri="{FF2B5EF4-FFF2-40B4-BE49-F238E27FC236}">
                  <a16:creationId xmlns:a16="http://schemas.microsoft.com/office/drawing/2014/main" id="{00000000-0008-0000-0300-00005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71</xdr:row>
          <xdr:rowOff>38100</xdr:rowOff>
        </xdr:from>
        <xdr:to>
          <xdr:col>1</xdr:col>
          <xdr:colOff>30480</xdr:colOff>
          <xdr:row>89</xdr:row>
          <xdr:rowOff>30480</xdr:rowOff>
        </xdr:to>
        <xdr:sp macro="" textlink="">
          <xdr:nvSpPr>
            <xdr:cNvPr id="5468" name="CheckBox_Row71" hidden="1">
              <a:extLst>
                <a:ext uri="{63B3BB69-23CF-44E3-9099-C40C66FF867C}">
                  <a14:compatExt spid="_x0000_s5468"/>
                </a:ext>
                <a:ext uri="{FF2B5EF4-FFF2-40B4-BE49-F238E27FC236}">
                  <a16:creationId xmlns:a16="http://schemas.microsoft.com/office/drawing/2014/main" id="{00000000-0008-0000-0300-00005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72</xdr:row>
          <xdr:rowOff>60960</xdr:rowOff>
        </xdr:from>
        <xdr:to>
          <xdr:col>1</xdr:col>
          <xdr:colOff>30480</xdr:colOff>
          <xdr:row>89</xdr:row>
          <xdr:rowOff>30480</xdr:rowOff>
        </xdr:to>
        <xdr:sp macro="" textlink="">
          <xdr:nvSpPr>
            <xdr:cNvPr id="5469" name="CheckBox_Row72" hidden="1">
              <a:extLst>
                <a:ext uri="{63B3BB69-23CF-44E3-9099-C40C66FF867C}">
                  <a14:compatExt spid="_x0000_s5469"/>
                </a:ext>
                <a:ext uri="{FF2B5EF4-FFF2-40B4-BE49-F238E27FC236}">
                  <a16:creationId xmlns:a16="http://schemas.microsoft.com/office/drawing/2014/main" id="{00000000-0008-0000-0300-00005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73</xdr:row>
          <xdr:rowOff>38100</xdr:rowOff>
        </xdr:from>
        <xdr:to>
          <xdr:col>1</xdr:col>
          <xdr:colOff>30480</xdr:colOff>
          <xdr:row>89</xdr:row>
          <xdr:rowOff>30480</xdr:rowOff>
        </xdr:to>
        <xdr:sp macro="" textlink="">
          <xdr:nvSpPr>
            <xdr:cNvPr id="5470" name="CheckBox_Row73" hidden="1">
              <a:extLst>
                <a:ext uri="{63B3BB69-23CF-44E3-9099-C40C66FF867C}">
                  <a14:compatExt spid="_x0000_s5470"/>
                </a:ext>
                <a:ext uri="{FF2B5EF4-FFF2-40B4-BE49-F238E27FC236}">
                  <a16:creationId xmlns:a16="http://schemas.microsoft.com/office/drawing/2014/main" id="{00000000-0008-0000-0300-00005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74</xdr:row>
          <xdr:rowOff>60960</xdr:rowOff>
        </xdr:from>
        <xdr:to>
          <xdr:col>1</xdr:col>
          <xdr:colOff>30480</xdr:colOff>
          <xdr:row>89</xdr:row>
          <xdr:rowOff>30480</xdr:rowOff>
        </xdr:to>
        <xdr:sp macro="" textlink="">
          <xdr:nvSpPr>
            <xdr:cNvPr id="5471" name="CheckBox_Row74" hidden="1">
              <a:extLst>
                <a:ext uri="{63B3BB69-23CF-44E3-9099-C40C66FF867C}">
                  <a14:compatExt spid="_x0000_s5471"/>
                </a:ext>
                <a:ext uri="{FF2B5EF4-FFF2-40B4-BE49-F238E27FC236}">
                  <a16:creationId xmlns:a16="http://schemas.microsoft.com/office/drawing/2014/main" id="{00000000-0008-0000-0300-00005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75</xdr:row>
          <xdr:rowOff>60960</xdr:rowOff>
        </xdr:from>
        <xdr:to>
          <xdr:col>1</xdr:col>
          <xdr:colOff>30480</xdr:colOff>
          <xdr:row>89</xdr:row>
          <xdr:rowOff>30480</xdr:rowOff>
        </xdr:to>
        <xdr:sp macro="" textlink="">
          <xdr:nvSpPr>
            <xdr:cNvPr id="5472" name="CheckBox_Row75" hidden="1">
              <a:extLst>
                <a:ext uri="{63B3BB69-23CF-44E3-9099-C40C66FF867C}">
                  <a14:compatExt spid="_x0000_s5472"/>
                </a:ext>
                <a:ext uri="{FF2B5EF4-FFF2-40B4-BE49-F238E27FC236}">
                  <a16:creationId xmlns:a16="http://schemas.microsoft.com/office/drawing/2014/main" id="{00000000-0008-0000-0300-00006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76</xdr:row>
          <xdr:rowOff>60960</xdr:rowOff>
        </xdr:from>
        <xdr:to>
          <xdr:col>1</xdr:col>
          <xdr:colOff>30480</xdr:colOff>
          <xdr:row>89</xdr:row>
          <xdr:rowOff>30480</xdr:rowOff>
        </xdr:to>
        <xdr:sp macro="" textlink="">
          <xdr:nvSpPr>
            <xdr:cNvPr id="5473" name="CheckBox_Row76" hidden="1">
              <a:extLst>
                <a:ext uri="{63B3BB69-23CF-44E3-9099-C40C66FF867C}">
                  <a14:compatExt spid="_x0000_s5473"/>
                </a:ext>
                <a:ext uri="{FF2B5EF4-FFF2-40B4-BE49-F238E27FC236}">
                  <a16:creationId xmlns:a16="http://schemas.microsoft.com/office/drawing/2014/main" id="{00000000-0008-0000-0300-00006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77</xdr:row>
          <xdr:rowOff>60960</xdr:rowOff>
        </xdr:from>
        <xdr:to>
          <xdr:col>1</xdr:col>
          <xdr:colOff>30480</xdr:colOff>
          <xdr:row>89</xdr:row>
          <xdr:rowOff>30480</xdr:rowOff>
        </xdr:to>
        <xdr:sp macro="" textlink="">
          <xdr:nvSpPr>
            <xdr:cNvPr id="5474" name="CheckBox_Row77" hidden="1">
              <a:extLst>
                <a:ext uri="{63B3BB69-23CF-44E3-9099-C40C66FF867C}">
                  <a14:compatExt spid="_x0000_s5474"/>
                </a:ext>
                <a:ext uri="{FF2B5EF4-FFF2-40B4-BE49-F238E27FC236}">
                  <a16:creationId xmlns:a16="http://schemas.microsoft.com/office/drawing/2014/main" id="{00000000-0008-0000-0300-00006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78</xdr:row>
          <xdr:rowOff>68580</xdr:rowOff>
        </xdr:from>
        <xdr:to>
          <xdr:col>1</xdr:col>
          <xdr:colOff>30480</xdr:colOff>
          <xdr:row>89</xdr:row>
          <xdr:rowOff>30480</xdr:rowOff>
        </xdr:to>
        <xdr:sp macro="" textlink="">
          <xdr:nvSpPr>
            <xdr:cNvPr id="5475" name="CheckBox_Row78" hidden="1">
              <a:extLst>
                <a:ext uri="{63B3BB69-23CF-44E3-9099-C40C66FF867C}">
                  <a14:compatExt spid="_x0000_s5475"/>
                </a:ext>
                <a:ext uri="{FF2B5EF4-FFF2-40B4-BE49-F238E27FC236}">
                  <a16:creationId xmlns:a16="http://schemas.microsoft.com/office/drawing/2014/main" id="{00000000-0008-0000-0300-00006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79</xdr:row>
          <xdr:rowOff>60960</xdr:rowOff>
        </xdr:from>
        <xdr:to>
          <xdr:col>1</xdr:col>
          <xdr:colOff>30480</xdr:colOff>
          <xdr:row>89</xdr:row>
          <xdr:rowOff>30480</xdr:rowOff>
        </xdr:to>
        <xdr:sp macro="" textlink="">
          <xdr:nvSpPr>
            <xdr:cNvPr id="5476" name="CheckBox_Row79" hidden="1">
              <a:extLst>
                <a:ext uri="{63B3BB69-23CF-44E3-9099-C40C66FF867C}">
                  <a14:compatExt spid="_x0000_s5476"/>
                </a:ext>
                <a:ext uri="{FF2B5EF4-FFF2-40B4-BE49-F238E27FC236}">
                  <a16:creationId xmlns:a16="http://schemas.microsoft.com/office/drawing/2014/main" id="{00000000-0008-0000-0300-00006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80</xdr:row>
          <xdr:rowOff>68580</xdr:rowOff>
        </xdr:from>
        <xdr:to>
          <xdr:col>1</xdr:col>
          <xdr:colOff>30480</xdr:colOff>
          <xdr:row>89</xdr:row>
          <xdr:rowOff>30480</xdr:rowOff>
        </xdr:to>
        <xdr:sp macro="" textlink="">
          <xdr:nvSpPr>
            <xdr:cNvPr id="5477" name="CheckBox_Row80" hidden="1">
              <a:extLst>
                <a:ext uri="{63B3BB69-23CF-44E3-9099-C40C66FF867C}">
                  <a14:compatExt spid="_x0000_s5477"/>
                </a:ext>
                <a:ext uri="{FF2B5EF4-FFF2-40B4-BE49-F238E27FC236}">
                  <a16:creationId xmlns:a16="http://schemas.microsoft.com/office/drawing/2014/main" id="{00000000-0008-0000-0300-00006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81</xdr:row>
          <xdr:rowOff>68580</xdr:rowOff>
        </xdr:from>
        <xdr:to>
          <xdr:col>1</xdr:col>
          <xdr:colOff>30480</xdr:colOff>
          <xdr:row>89</xdr:row>
          <xdr:rowOff>30480</xdr:rowOff>
        </xdr:to>
        <xdr:sp macro="" textlink="">
          <xdr:nvSpPr>
            <xdr:cNvPr id="5478" name="CheckBox_Row81" hidden="1">
              <a:extLst>
                <a:ext uri="{63B3BB69-23CF-44E3-9099-C40C66FF867C}">
                  <a14:compatExt spid="_x0000_s5478"/>
                </a:ext>
                <a:ext uri="{FF2B5EF4-FFF2-40B4-BE49-F238E27FC236}">
                  <a16:creationId xmlns:a16="http://schemas.microsoft.com/office/drawing/2014/main" id="{00000000-0008-0000-0300-00006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82</xdr:row>
          <xdr:rowOff>91440</xdr:rowOff>
        </xdr:from>
        <xdr:to>
          <xdr:col>1</xdr:col>
          <xdr:colOff>30480</xdr:colOff>
          <xdr:row>89</xdr:row>
          <xdr:rowOff>30480</xdr:rowOff>
        </xdr:to>
        <xdr:sp macro="" textlink="">
          <xdr:nvSpPr>
            <xdr:cNvPr id="5479" name="CheckBox_Row82" hidden="1">
              <a:extLst>
                <a:ext uri="{63B3BB69-23CF-44E3-9099-C40C66FF867C}">
                  <a14:compatExt spid="_x0000_s5479"/>
                </a:ext>
                <a:ext uri="{FF2B5EF4-FFF2-40B4-BE49-F238E27FC236}">
                  <a16:creationId xmlns:a16="http://schemas.microsoft.com/office/drawing/2014/main" id="{00000000-0008-0000-0300-00006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83</xdr:row>
          <xdr:rowOff>91440</xdr:rowOff>
        </xdr:from>
        <xdr:to>
          <xdr:col>1</xdr:col>
          <xdr:colOff>30480</xdr:colOff>
          <xdr:row>89</xdr:row>
          <xdr:rowOff>30480</xdr:rowOff>
        </xdr:to>
        <xdr:sp macro="" textlink="">
          <xdr:nvSpPr>
            <xdr:cNvPr id="5480" name="CheckBox_Row83" hidden="1">
              <a:extLst>
                <a:ext uri="{63B3BB69-23CF-44E3-9099-C40C66FF867C}">
                  <a14:compatExt spid="_x0000_s5480"/>
                </a:ext>
                <a:ext uri="{FF2B5EF4-FFF2-40B4-BE49-F238E27FC236}">
                  <a16:creationId xmlns:a16="http://schemas.microsoft.com/office/drawing/2014/main" id="{00000000-0008-0000-0300-00006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84</xdr:row>
          <xdr:rowOff>91440</xdr:rowOff>
        </xdr:from>
        <xdr:to>
          <xdr:col>1</xdr:col>
          <xdr:colOff>30480</xdr:colOff>
          <xdr:row>89</xdr:row>
          <xdr:rowOff>30480</xdr:rowOff>
        </xdr:to>
        <xdr:sp macro="" textlink="">
          <xdr:nvSpPr>
            <xdr:cNvPr id="5481" name="CheckBox_Row84" hidden="1">
              <a:extLst>
                <a:ext uri="{63B3BB69-23CF-44E3-9099-C40C66FF867C}">
                  <a14:compatExt spid="_x0000_s5481"/>
                </a:ext>
                <a:ext uri="{FF2B5EF4-FFF2-40B4-BE49-F238E27FC236}">
                  <a16:creationId xmlns:a16="http://schemas.microsoft.com/office/drawing/2014/main" id="{00000000-0008-0000-0300-00006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85</xdr:row>
          <xdr:rowOff>91440</xdr:rowOff>
        </xdr:from>
        <xdr:to>
          <xdr:col>1</xdr:col>
          <xdr:colOff>30480</xdr:colOff>
          <xdr:row>89</xdr:row>
          <xdr:rowOff>30480</xdr:rowOff>
        </xdr:to>
        <xdr:sp macro="" textlink="">
          <xdr:nvSpPr>
            <xdr:cNvPr id="5482" name="CheckBox_Row85" hidden="1">
              <a:extLst>
                <a:ext uri="{63B3BB69-23CF-44E3-9099-C40C66FF867C}">
                  <a14:compatExt spid="_x0000_s5482"/>
                </a:ext>
                <a:ext uri="{FF2B5EF4-FFF2-40B4-BE49-F238E27FC236}">
                  <a16:creationId xmlns:a16="http://schemas.microsoft.com/office/drawing/2014/main" id="{00000000-0008-0000-0300-00006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86</xdr:row>
          <xdr:rowOff>91440</xdr:rowOff>
        </xdr:from>
        <xdr:to>
          <xdr:col>1</xdr:col>
          <xdr:colOff>30480</xdr:colOff>
          <xdr:row>89</xdr:row>
          <xdr:rowOff>30480</xdr:rowOff>
        </xdr:to>
        <xdr:sp macro="" textlink="">
          <xdr:nvSpPr>
            <xdr:cNvPr id="5483" name="CheckBox_Row86" hidden="1">
              <a:extLst>
                <a:ext uri="{63B3BB69-23CF-44E3-9099-C40C66FF867C}">
                  <a14:compatExt spid="_x0000_s5483"/>
                </a:ext>
                <a:ext uri="{FF2B5EF4-FFF2-40B4-BE49-F238E27FC236}">
                  <a16:creationId xmlns:a16="http://schemas.microsoft.com/office/drawing/2014/main" id="{00000000-0008-0000-0300-00006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87</xdr:row>
          <xdr:rowOff>91440</xdr:rowOff>
        </xdr:from>
        <xdr:to>
          <xdr:col>1</xdr:col>
          <xdr:colOff>30480</xdr:colOff>
          <xdr:row>89</xdr:row>
          <xdr:rowOff>106680</xdr:rowOff>
        </xdr:to>
        <xdr:sp macro="" textlink="">
          <xdr:nvSpPr>
            <xdr:cNvPr id="5484" name="CheckBox_Row87" hidden="1">
              <a:extLst>
                <a:ext uri="{63B3BB69-23CF-44E3-9099-C40C66FF867C}">
                  <a14:compatExt spid="_x0000_s5484"/>
                </a:ext>
                <a:ext uri="{FF2B5EF4-FFF2-40B4-BE49-F238E27FC236}">
                  <a16:creationId xmlns:a16="http://schemas.microsoft.com/office/drawing/2014/main" id="{00000000-0008-0000-0300-00006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88</xdr:row>
          <xdr:rowOff>99060</xdr:rowOff>
        </xdr:from>
        <xdr:to>
          <xdr:col>1</xdr:col>
          <xdr:colOff>30480</xdr:colOff>
          <xdr:row>96</xdr:row>
          <xdr:rowOff>30480</xdr:rowOff>
        </xdr:to>
        <xdr:sp macro="" textlink="">
          <xdr:nvSpPr>
            <xdr:cNvPr id="5485" name="CheckBox_Row88" hidden="1">
              <a:extLst>
                <a:ext uri="{63B3BB69-23CF-44E3-9099-C40C66FF867C}">
                  <a14:compatExt spid="_x0000_s5485"/>
                </a:ext>
                <a:ext uri="{FF2B5EF4-FFF2-40B4-BE49-F238E27FC236}">
                  <a16:creationId xmlns:a16="http://schemas.microsoft.com/office/drawing/2014/main" id="{00000000-0008-0000-0300-00006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89</xdr:row>
          <xdr:rowOff>99060</xdr:rowOff>
        </xdr:from>
        <xdr:to>
          <xdr:col>1</xdr:col>
          <xdr:colOff>30480</xdr:colOff>
          <xdr:row>96</xdr:row>
          <xdr:rowOff>129540</xdr:rowOff>
        </xdr:to>
        <xdr:sp macro="" textlink="">
          <xdr:nvSpPr>
            <xdr:cNvPr id="5486" name="CheckBox_Row89" hidden="1">
              <a:extLst>
                <a:ext uri="{63B3BB69-23CF-44E3-9099-C40C66FF867C}">
                  <a14:compatExt spid="_x0000_s5486"/>
                </a:ext>
                <a:ext uri="{FF2B5EF4-FFF2-40B4-BE49-F238E27FC236}">
                  <a16:creationId xmlns:a16="http://schemas.microsoft.com/office/drawing/2014/main" id="{00000000-0008-0000-0300-00006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90</xdr:row>
          <xdr:rowOff>106680</xdr:rowOff>
        </xdr:from>
        <xdr:to>
          <xdr:col>1</xdr:col>
          <xdr:colOff>30480</xdr:colOff>
          <xdr:row>102</xdr:row>
          <xdr:rowOff>30480</xdr:rowOff>
        </xdr:to>
        <xdr:sp macro="" textlink="">
          <xdr:nvSpPr>
            <xdr:cNvPr id="5487" name="CheckBox_Row90" hidden="1">
              <a:extLst>
                <a:ext uri="{63B3BB69-23CF-44E3-9099-C40C66FF867C}">
                  <a14:compatExt spid="_x0000_s5487"/>
                </a:ext>
                <a:ext uri="{FF2B5EF4-FFF2-40B4-BE49-F238E27FC236}">
                  <a16:creationId xmlns:a16="http://schemas.microsoft.com/office/drawing/2014/main" id="{00000000-0008-0000-0300-00006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91</xdr:row>
          <xdr:rowOff>99060</xdr:rowOff>
        </xdr:from>
        <xdr:to>
          <xdr:col>1</xdr:col>
          <xdr:colOff>30480</xdr:colOff>
          <xdr:row>102</xdr:row>
          <xdr:rowOff>30480</xdr:rowOff>
        </xdr:to>
        <xdr:sp macro="" textlink="">
          <xdr:nvSpPr>
            <xdr:cNvPr id="5488" name="CheckBox_Row91" hidden="1">
              <a:extLst>
                <a:ext uri="{63B3BB69-23CF-44E3-9099-C40C66FF867C}">
                  <a14:compatExt spid="_x0000_s5488"/>
                </a:ext>
                <a:ext uri="{FF2B5EF4-FFF2-40B4-BE49-F238E27FC236}">
                  <a16:creationId xmlns:a16="http://schemas.microsoft.com/office/drawing/2014/main" id="{00000000-0008-0000-0300-00007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92</xdr:row>
          <xdr:rowOff>106680</xdr:rowOff>
        </xdr:from>
        <xdr:to>
          <xdr:col>1</xdr:col>
          <xdr:colOff>30480</xdr:colOff>
          <xdr:row>102</xdr:row>
          <xdr:rowOff>30480</xdr:rowOff>
        </xdr:to>
        <xdr:sp macro="" textlink="">
          <xdr:nvSpPr>
            <xdr:cNvPr id="5489" name="CheckBox_Row92" hidden="1">
              <a:extLst>
                <a:ext uri="{63B3BB69-23CF-44E3-9099-C40C66FF867C}">
                  <a14:compatExt spid="_x0000_s5489"/>
                </a:ext>
                <a:ext uri="{FF2B5EF4-FFF2-40B4-BE49-F238E27FC236}">
                  <a16:creationId xmlns:a16="http://schemas.microsoft.com/office/drawing/2014/main" id="{00000000-0008-0000-0300-00007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93</xdr:row>
          <xdr:rowOff>106680</xdr:rowOff>
        </xdr:from>
        <xdr:to>
          <xdr:col>1</xdr:col>
          <xdr:colOff>30480</xdr:colOff>
          <xdr:row>102</xdr:row>
          <xdr:rowOff>30480</xdr:rowOff>
        </xdr:to>
        <xdr:sp macro="" textlink="">
          <xdr:nvSpPr>
            <xdr:cNvPr id="5490" name="CheckBox_Row93" hidden="1">
              <a:extLst>
                <a:ext uri="{63B3BB69-23CF-44E3-9099-C40C66FF867C}">
                  <a14:compatExt spid="_x0000_s5490"/>
                </a:ext>
                <a:ext uri="{FF2B5EF4-FFF2-40B4-BE49-F238E27FC236}">
                  <a16:creationId xmlns:a16="http://schemas.microsoft.com/office/drawing/2014/main" id="{00000000-0008-0000-0300-00007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94</xdr:row>
          <xdr:rowOff>106680</xdr:rowOff>
        </xdr:from>
        <xdr:to>
          <xdr:col>1</xdr:col>
          <xdr:colOff>30480</xdr:colOff>
          <xdr:row>102</xdr:row>
          <xdr:rowOff>30480</xdr:rowOff>
        </xdr:to>
        <xdr:sp macro="" textlink="">
          <xdr:nvSpPr>
            <xdr:cNvPr id="5491" name="CheckBox_Row94" hidden="1">
              <a:extLst>
                <a:ext uri="{63B3BB69-23CF-44E3-9099-C40C66FF867C}">
                  <a14:compatExt spid="_x0000_s5491"/>
                </a:ext>
                <a:ext uri="{FF2B5EF4-FFF2-40B4-BE49-F238E27FC236}">
                  <a16:creationId xmlns:a16="http://schemas.microsoft.com/office/drawing/2014/main" id="{00000000-0008-0000-0300-00007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95</xdr:row>
          <xdr:rowOff>106680</xdr:rowOff>
        </xdr:from>
        <xdr:to>
          <xdr:col>1</xdr:col>
          <xdr:colOff>30480</xdr:colOff>
          <xdr:row>102</xdr:row>
          <xdr:rowOff>30480</xdr:rowOff>
        </xdr:to>
        <xdr:sp macro="" textlink="">
          <xdr:nvSpPr>
            <xdr:cNvPr id="5492" name="CheckBox_Row95" hidden="1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300-00007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96</xdr:row>
          <xdr:rowOff>129540</xdr:rowOff>
        </xdr:from>
        <xdr:to>
          <xdr:col>1</xdr:col>
          <xdr:colOff>30480</xdr:colOff>
          <xdr:row>102</xdr:row>
          <xdr:rowOff>152400</xdr:rowOff>
        </xdr:to>
        <xdr:sp macro="" textlink="">
          <xdr:nvSpPr>
            <xdr:cNvPr id="5493" name="CheckBox_Row96" hidden="1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300-00007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97</xdr:row>
          <xdr:rowOff>106680</xdr:rowOff>
        </xdr:from>
        <xdr:to>
          <xdr:col>1</xdr:col>
          <xdr:colOff>30480</xdr:colOff>
          <xdr:row>103</xdr:row>
          <xdr:rowOff>30480</xdr:rowOff>
        </xdr:to>
        <xdr:sp macro="" textlink="">
          <xdr:nvSpPr>
            <xdr:cNvPr id="5494" name="CheckBox_Row97" hidden="1">
              <a:extLst>
                <a:ext uri="{63B3BB69-23CF-44E3-9099-C40C66FF867C}">
                  <a14:compatExt spid="_x0000_s5494"/>
                </a:ext>
                <a:ext uri="{FF2B5EF4-FFF2-40B4-BE49-F238E27FC236}">
                  <a16:creationId xmlns:a16="http://schemas.microsoft.com/office/drawing/2014/main" id="{00000000-0008-0000-0300-00007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98</xdr:row>
          <xdr:rowOff>129540</xdr:rowOff>
        </xdr:from>
        <xdr:to>
          <xdr:col>1</xdr:col>
          <xdr:colOff>30480</xdr:colOff>
          <xdr:row>103</xdr:row>
          <xdr:rowOff>30480</xdr:rowOff>
        </xdr:to>
        <xdr:sp macro="" textlink="">
          <xdr:nvSpPr>
            <xdr:cNvPr id="5495" name="CheckBox_Row98" hidden="1">
              <a:extLst>
                <a:ext uri="{63B3BB69-23CF-44E3-9099-C40C66FF867C}">
                  <a14:compatExt spid="_x0000_s5495"/>
                </a:ext>
                <a:ext uri="{FF2B5EF4-FFF2-40B4-BE49-F238E27FC236}">
                  <a16:creationId xmlns:a16="http://schemas.microsoft.com/office/drawing/2014/main" id="{00000000-0008-0000-0300-00007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99</xdr:row>
          <xdr:rowOff>129540</xdr:rowOff>
        </xdr:from>
        <xdr:to>
          <xdr:col>1</xdr:col>
          <xdr:colOff>30480</xdr:colOff>
          <xdr:row>103</xdr:row>
          <xdr:rowOff>30480</xdr:rowOff>
        </xdr:to>
        <xdr:sp macro="" textlink="">
          <xdr:nvSpPr>
            <xdr:cNvPr id="5496" name="CheckBox_Row99" hidden="1">
              <a:extLst>
                <a:ext uri="{63B3BB69-23CF-44E3-9099-C40C66FF867C}">
                  <a14:compatExt spid="_x0000_s5496"/>
                </a:ext>
                <a:ext uri="{FF2B5EF4-FFF2-40B4-BE49-F238E27FC236}">
                  <a16:creationId xmlns:a16="http://schemas.microsoft.com/office/drawing/2014/main" id="{00000000-0008-0000-0300-00007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100</xdr:row>
          <xdr:rowOff>137160</xdr:rowOff>
        </xdr:from>
        <xdr:to>
          <xdr:col>1</xdr:col>
          <xdr:colOff>30480</xdr:colOff>
          <xdr:row>103</xdr:row>
          <xdr:rowOff>30480</xdr:rowOff>
        </xdr:to>
        <xdr:sp macro="" textlink="">
          <xdr:nvSpPr>
            <xdr:cNvPr id="5497" name="CheckBox_Row100" hidden="1">
              <a:extLst>
                <a:ext uri="{63B3BB69-23CF-44E3-9099-C40C66FF867C}">
                  <a14:compatExt spid="_x0000_s5497"/>
                </a:ext>
                <a:ext uri="{FF2B5EF4-FFF2-40B4-BE49-F238E27FC236}">
                  <a16:creationId xmlns:a16="http://schemas.microsoft.com/office/drawing/2014/main" id="{00000000-0008-0000-0300-00007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101</xdr:row>
          <xdr:rowOff>137160</xdr:rowOff>
        </xdr:from>
        <xdr:to>
          <xdr:col>1</xdr:col>
          <xdr:colOff>30480</xdr:colOff>
          <xdr:row>103</xdr:row>
          <xdr:rowOff>30480</xdr:rowOff>
        </xdr:to>
        <xdr:sp macro="" textlink="">
          <xdr:nvSpPr>
            <xdr:cNvPr id="5498" name="CheckBox_Row101" hidden="1">
              <a:extLst>
                <a:ext uri="{63B3BB69-23CF-44E3-9099-C40C66FF867C}">
                  <a14:compatExt spid="_x0000_s5498"/>
                </a:ext>
                <a:ext uri="{FF2B5EF4-FFF2-40B4-BE49-F238E27FC236}">
                  <a16:creationId xmlns:a16="http://schemas.microsoft.com/office/drawing/2014/main" id="{00000000-0008-0000-0300-00007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102</xdr:row>
          <xdr:rowOff>152400</xdr:rowOff>
        </xdr:from>
        <xdr:to>
          <xdr:col>1</xdr:col>
          <xdr:colOff>30480</xdr:colOff>
          <xdr:row>105</xdr:row>
          <xdr:rowOff>0</xdr:rowOff>
        </xdr:to>
        <xdr:sp macro="" textlink="">
          <xdr:nvSpPr>
            <xdr:cNvPr id="5499" name="CheckBox_Row102" hidden="1">
              <a:extLst>
                <a:ext uri="{63B3BB69-23CF-44E3-9099-C40C66FF867C}">
                  <a14:compatExt spid="_x0000_s5499"/>
                </a:ext>
                <a:ext uri="{FF2B5EF4-FFF2-40B4-BE49-F238E27FC236}">
                  <a16:creationId xmlns:a16="http://schemas.microsoft.com/office/drawing/2014/main" id="{00000000-0008-0000-0300-00007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103</xdr:row>
          <xdr:rowOff>137160</xdr:rowOff>
        </xdr:from>
        <xdr:to>
          <xdr:col>1</xdr:col>
          <xdr:colOff>30480</xdr:colOff>
          <xdr:row>105</xdr:row>
          <xdr:rowOff>167640</xdr:rowOff>
        </xdr:to>
        <xdr:sp macro="" textlink="">
          <xdr:nvSpPr>
            <xdr:cNvPr id="5500" name="CheckBox_Row103" hidden="1">
              <a:extLst>
                <a:ext uri="{63B3BB69-23CF-44E3-9099-C40C66FF867C}">
                  <a14:compatExt spid="_x0000_s5500"/>
                </a:ext>
                <a:ext uri="{FF2B5EF4-FFF2-40B4-BE49-F238E27FC236}">
                  <a16:creationId xmlns:a16="http://schemas.microsoft.com/office/drawing/2014/main" id="{00000000-0008-0000-0300-00007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104</xdr:row>
          <xdr:rowOff>152400</xdr:rowOff>
        </xdr:from>
        <xdr:to>
          <xdr:col>1</xdr:col>
          <xdr:colOff>30480</xdr:colOff>
          <xdr:row>113</xdr:row>
          <xdr:rowOff>30480</xdr:rowOff>
        </xdr:to>
        <xdr:sp macro="" textlink="">
          <xdr:nvSpPr>
            <xdr:cNvPr id="5501" name="CheckBox_Row104" hidden="1">
              <a:extLst>
                <a:ext uri="{63B3BB69-23CF-44E3-9099-C40C66FF867C}">
                  <a14:compatExt spid="_x0000_s5501"/>
                </a:ext>
                <a:ext uri="{FF2B5EF4-FFF2-40B4-BE49-F238E27FC236}">
                  <a16:creationId xmlns:a16="http://schemas.microsoft.com/office/drawing/2014/main" id="{00000000-0008-0000-0300-00007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105</xdr:row>
          <xdr:rowOff>152400</xdr:rowOff>
        </xdr:from>
        <xdr:to>
          <xdr:col>1</xdr:col>
          <xdr:colOff>30480</xdr:colOff>
          <xdr:row>121</xdr:row>
          <xdr:rowOff>0</xdr:rowOff>
        </xdr:to>
        <xdr:sp macro="" textlink="">
          <xdr:nvSpPr>
            <xdr:cNvPr id="5502" name="CheckBox_Row105" hidden="1">
              <a:extLst>
                <a:ext uri="{63B3BB69-23CF-44E3-9099-C40C66FF867C}">
                  <a14:compatExt spid="_x0000_s5502"/>
                </a:ext>
                <a:ext uri="{FF2B5EF4-FFF2-40B4-BE49-F238E27FC236}">
                  <a16:creationId xmlns:a16="http://schemas.microsoft.com/office/drawing/2014/main" id="{00000000-0008-0000-0300-00007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106</xdr:row>
          <xdr:rowOff>152400</xdr:rowOff>
        </xdr:from>
        <xdr:to>
          <xdr:col>1</xdr:col>
          <xdr:colOff>30480</xdr:colOff>
          <xdr:row>121</xdr:row>
          <xdr:rowOff>30480</xdr:rowOff>
        </xdr:to>
        <xdr:sp macro="" textlink="">
          <xdr:nvSpPr>
            <xdr:cNvPr id="5503" name="CheckBox_Row106" hidden="1">
              <a:extLst>
                <a:ext uri="{63B3BB69-23CF-44E3-9099-C40C66FF867C}">
                  <a14:compatExt spid="_x0000_s5503"/>
                </a:ext>
                <a:ext uri="{FF2B5EF4-FFF2-40B4-BE49-F238E27FC236}">
                  <a16:creationId xmlns:a16="http://schemas.microsoft.com/office/drawing/2014/main" id="{00000000-0008-0000-0300-00007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107</xdr:row>
          <xdr:rowOff>152400</xdr:rowOff>
        </xdr:from>
        <xdr:to>
          <xdr:col>1</xdr:col>
          <xdr:colOff>30480</xdr:colOff>
          <xdr:row>121</xdr:row>
          <xdr:rowOff>30480</xdr:rowOff>
        </xdr:to>
        <xdr:sp macro="" textlink="">
          <xdr:nvSpPr>
            <xdr:cNvPr id="5504" name="CheckBox_Row107" hidden="1">
              <a:extLst>
                <a:ext uri="{63B3BB69-23CF-44E3-9099-C40C66FF867C}">
                  <a14:compatExt spid="_x0000_s5504"/>
                </a:ext>
                <a:ext uri="{FF2B5EF4-FFF2-40B4-BE49-F238E27FC236}">
                  <a16:creationId xmlns:a16="http://schemas.microsoft.com/office/drawing/2014/main" id="{00000000-0008-0000-0300-00008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108</xdr:row>
          <xdr:rowOff>167640</xdr:rowOff>
        </xdr:from>
        <xdr:to>
          <xdr:col>1</xdr:col>
          <xdr:colOff>30480</xdr:colOff>
          <xdr:row>121</xdr:row>
          <xdr:rowOff>30480</xdr:rowOff>
        </xdr:to>
        <xdr:sp macro="" textlink="">
          <xdr:nvSpPr>
            <xdr:cNvPr id="5505" name="CheckBox_Row108" hidden="1">
              <a:extLst>
                <a:ext uri="{63B3BB69-23CF-44E3-9099-C40C66FF867C}">
                  <a14:compatExt spid="_x0000_s5505"/>
                </a:ext>
                <a:ext uri="{FF2B5EF4-FFF2-40B4-BE49-F238E27FC236}">
                  <a16:creationId xmlns:a16="http://schemas.microsoft.com/office/drawing/2014/main" id="{00000000-0008-0000-0300-00008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109</xdr:row>
          <xdr:rowOff>152400</xdr:rowOff>
        </xdr:from>
        <xdr:to>
          <xdr:col>1</xdr:col>
          <xdr:colOff>30480</xdr:colOff>
          <xdr:row>121</xdr:row>
          <xdr:rowOff>30480</xdr:rowOff>
        </xdr:to>
        <xdr:sp macro="" textlink="">
          <xdr:nvSpPr>
            <xdr:cNvPr id="5506" name="CheckBox_Row109" hidden="1">
              <a:extLst>
                <a:ext uri="{63B3BB69-23CF-44E3-9099-C40C66FF867C}">
                  <a14:compatExt spid="_x0000_s5506"/>
                </a:ext>
                <a:ext uri="{FF2B5EF4-FFF2-40B4-BE49-F238E27FC236}">
                  <a16:creationId xmlns:a16="http://schemas.microsoft.com/office/drawing/2014/main" id="{00000000-0008-0000-0300-00008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110</xdr:row>
          <xdr:rowOff>167640</xdr:rowOff>
        </xdr:from>
        <xdr:to>
          <xdr:col>1</xdr:col>
          <xdr:colOff>30480</xdr:colOff>
          <xdr:row>121</xdr:row>
          <xdr:rowOff>30480</xdr:rowOff>
        </xdr:to>
        <xdr:sp macro="" textlink="">
          <xdr:nvSpPr>
            <xdr:cNvPr id="5507" name="CheckBox_Row110" hidden="1">
              <a:extLst>
                <a:ext uri="{63B3BB69-23CF-44E3-9099-C40C66FF867C}">
                  <a14:compatExt spid="_x0000_s5507"/>
                </a:ext>
                <a:ext uri="{FF2B5EF4-FFF2-40B4-BE49-F238E27FC236}">
                  <a16:creationId xmlns:a16="http://schemas.microsoft.com/office/drawing/2014/main" id="{00000000-0008-0000-0300-00008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111</xdr:row>
          <xdr:rowOff>167640</xdr:rowOff>
        </xdr:from>
        <xdr:to>
          <xdr:col>1</xdr:col>
          <xdr:colOff>30480</xdr:colOff>
          <xdr:row>121</xdr:row>
          <xdr:rowOff>30480</xdr:rowOff>
        </xdr:to>
        <xdr:sp macro="" textlink="">
          <xdr:nvSpPr>
            <xdr:cNvPr id="5508" name="CheckBox_Row111" hidden="1">
              <a:extLst>
                <a:ext uri="{63B3BB69-23CF-44E3-9099-C40C66FF867C}">
                  <a14:compatExt spid="_x0000_s5508"/>
                </a:ext>
                <a:ext uri="{FF2B5EF4-FFF2-40B4-BE49-F238E27FC236}">
                  <a16:creationId xmlns:a16="http://schemas.microsoft.com/office/drawing/2014/main" id="{00000000-0008-0000-0300-00008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113</xdr:row>
          <xdr:rowOff>0</xdr:rowOff>
        </xdr:from>
        <xdr:to>
          <xdr:col>1</xdr:col>
          <xdr:colOff>30480</xdr:colOff>
          <xdr:row>121</xdr:row>
          <xdr:rowOff>30480</xdr:rowOff>
        </xdr:to>
        <xdr:sp macro="" textlink="">
          <xdr:nvSpPr>
            <xdr:cNvPr id="5509" name="CheckBox_Row112" hidden="1">
              <a:extLst>
                <a:ext uri="{63B3BB69-23CF-44E3-9099-C40C66FF867C}">
                  <a14:compatExt spid="_x0000_s5509"/>
                </a:ext>
                <a:ext uri="{FF2B5EF4-FFF2-40B4-BE49-F238E27FC236}">
                  <a16:creationId xmlns:a16="http://schemas.microsoft.com/office/drawing/2014/main" id="{00000000-0008-0000-0300-00008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114</xdr:row>
          <xdr:rowOff>0</xdr:rowOff>
        </xdr:from>
        <xdr:to>
          <xdr:col>1</xdr:col>
          <xdr:colOff>30480</xdr:colOff>
          <xdr:row>134</xdr:row>
          <xdr:rowOff>30480</xdr:rowOff>
        </xdr:to>
        <xdr:sp macro="" textlink="">
          <xdr:nvSpPr>
            <xdr:cNvPr id="5510" name="CheckBox_Row113" hidden="1">
              <a:extLst>
                <a:ext uri="{63B3BB69-23CF-44E3-9099-C40C66FF867C}">
                  <a14:compatExt spid="_x0000_s5510"/>
                </a:ext>
                <a:ext uri="{FF2B5EF4-FFF2-40B4-BE49-F238E27FC236}">
                  <a16:creationId xmlns:a16="http://schemas.microsoft.com/office/drawing/2014/main" id="{00000000-0008-0000-0300-00008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115</xdr:row>
          <xdr:rowOff>0</xdr:rowOff>
        </xdr:from>
        <xdr:to>
          <xdr:col>1</xdr:col>
          <xdr:colOff>30480</xdr:colOff>
          <xdr:row>134</xdr:row>
          <xdr:rowOff>30480</xdr:rowOff>
        </xdr:to>
        <xdr:sp macro="" textlink="">
          <xdr:nvSpPr>
            <xdr:cNvPr id="5511" name="CheckBox_Row114" hidden="1">
              <a:extLst>
                <a:ext uri="{63B3BB69-23CF-44E3-9099-C40C66FF867C}">
                  <a14:compatExt spid="_x0000_s5511"/>
                </a:ext>
                <a:ext uri="{FF2B5EF4-FFF2-40B4-BE49-F238E27FC236}">
                  <a16:creationId xmlns:a16="http://schemas.microsoft.com/office/drawing/2014/main" id="{00000000-0008-0000-0300-00008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116</xdr:row>
          <xdr:rowOff>0</xdr:rowOff>
        </xdr:from>
        <xdr:to>
          <xdr:col>1</xdr:col>
          <xdr:colOff>30480</xdr:colOff>
          <xdr:row>134</xdr:row>
          <xdr:rowOff>30480</xdr:rowOff>
        </xdr:to>
        <xdr:sp macro="" textlink="">
          <xdr:nvSpPr>
            <xdr:cNvPr id="5512" name="CheckBox_Row115" hidden="1">
              <a:extLst>
                <a:ext uri="{63B3BB69-23CF-44E3-9099-C40C66FF867C}">
                  <a14:compatExt spid="_x0000_s5512"/>
                </a:ext>
                <a:ext uri="{FF2B5EF4-FFF2-40B4-BE49-F238E27FC236}">
                  <a16:creationId xmlns:a16="http://schemas.microsoft.com/office/drawing/2014/main" id="{00000000-0008-0000-0300-00008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117</xdr:row>
          <xdr:rowOff>0</xdr:rowOff>
        </xdr:from>
        <xdr:to>
          <xdr:col>1</xdr:col>
          <xdr:colOff>30480</xdr:colOff>
          <xdr:row>134</xdr:row>
          <xdr:rowOff>30480</xdr:rowOff>
        </xdr:to>
        <xdr:sp macro="" textlink="">
          <xdr:nvSpPr>
            <xdr:cNvPr id="5513" name="CheckBox_Row116" hidden="1">
              <a:extLst>
                <a:ext uri="{63B3BB69-23CF-44E3-9099-C40C66FF867C}">
                  <a14:compatExt spid="_x0000_s5513"/>
                </a:ext>
                <a:ext uri="{FF2B5EF4-FFF2-40B4-BE49-F238E27FC236}">
                  <a16:creationId xmlns:a16="http://schemas.microsoft.com/office/drawing/2014/main" id="{00000000-0008-0000-0300-00008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118</xdr:row>
          <xdr:rowOff>0</xdr:rowOff>
        </xdr:from>
        <xdr:to>
          <xdr:col>1</xdr:col>
          <xdr:colOff>30480</xdr:colOff>
          <xdr:row>134</xdr:row>
          <xdr:rowOff>30480</xdr:rowOff>
        </xdr:to>
        <xdr:sp macro="" textlink="">
          <xdr:nvSpPr>
            <xdr:cNvPr id="5514" name="CheckBox_Row117" hidden="1">
              <a:extLst>
                <a:ext uri="{63B3BB69-23CF-44E3-9099-C40C66FF867C}">
                  <a14:compatExt spid="_x0000_s5514"/>
                </a:ext>
                <a:ext uri="{FF2B5EF4-FFF2-40B4-BE49-F238E27FC236}">
                  <a16:creationId xmlns:a16="http://schemas.microsoft.com/office/drawing/2014/main" id="{00000000-0008-0000-0300-00008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119</xdr:row>
          <xdr:rowOff>15240</xdr:rowOff>
        </xdr:from>
        <xdr:to>
          <xdr:col>1</xdr:col>
          <xdr:colOff>30480</xdr:colOff>
          <xdr:row>134</xdr:row>
          <xdr:rowOff>30480</xdr:rowOff>
        </xdr:to>
        <xdr:sp macro="" textlink="">
          <xdr:nvSpPr>
            <xdr:cNvPr id="5515" name="CheckBox_Row118" hidden="1">
              <a:extLst>
                <a:ext uri="{63B3BB69-23CF-44E3-9099-C40C66FF867C}">
                  <a14:compatExt spid="_x0000_s5515"/>
                </a:ext>
                <a:ext uri="{FF2B5EF4-FFF2-40B4-BE49-F238E27FC236}">
                  <a16:creationId xmlns:a16="http://schemas.microsoft.com/office/drawing/2014/main" id="{00000000-0008-0000-0300-00008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120</xdr:row>
          <xdr:rowOff>15240</xdr:rowOff>
        </xdr:from>
        <xdr:to>
          <xdr:col>1</xdr:col>
          <xdr:colOff>30480</xdr:colOff>
          <xdr:row>134</xdr:row>
          <xdr:rowOff>30480</xdr:rowOff>
        </xdr:to>
        <xdr:sp macro="" textlink="">
          <xdr:nvSpPr>
            <xdr:cNvPr id="5516" name="CheckBox_Row119" hidden="1">
              <a:extLst>
                <a:ext uri="{63B3BB69-23CF-44E3-9099-C40C66FF867C}">
                  <a14:compatExt spid="_x0000_s5516"/>
                </a:ext>
                <a:ext uri="{FF2B5EF4-FFF2-40B4-BE49-F238E27FC236}">
                  <a16:creationId xmlns:a16="http://schemas.microsoft.com/office/drawing/2014/main" id="{00000000-0008-0000-0300-00008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121</xdr:row>
          <xdr:rowOff>15240</xdr:rowOff>
        </xdr:from>
        <xdr:to>
          <xdr:col>1</xdr:col>
          <xdr:colOff>30480</xdr:colOff>
          <xdr:row>134</xdr:row>
          <xdr:rowOff>38100</xdr:rowOff>
        </xdr:to>
        <xdr:sp macro="" textlink="">
          <xdr:nvSpPr>
            <xdr:cNvPr id="5517" name="CheckBox_Row120" hidden="1">
              <a:extLst>
                <a:ext uri="{63B3BB69-23CF-44E3-9099-C40C66FF867C}">
                  <a14:compatExt spid="_x0000_s5517"/>
                </a:ext>
                <a:ext uri="{FF2B5EF4-FFF2-40B4-BE49-F238E27FC236}">
                  <a16:creationId xmlns:a16="http://schemas.microsoft.com/office/drawing/2014/main" id="{00000000-0008-0000-0300-00008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122</xdr:row>
          <xdr:rowOff>15240</xdr:rowOff>
        </xdr:from>
        <xdr:to>
          <xdr:col>1</xdr:col>
          <xdr:colOff>30480</xdr:colOff>
          <xdr:row>155</xdr:row>
          <xdr:rowOff>30480</xdr:rowOff>
        </xdr:to>
        <xdr:sp macro="" textlink="">
          <xdr:nvSpPr>
            <xdr:cNvPr id="5518" name="CheckBox_Row121" hidden="1">
              <a:extLst>
                <a:ext uri="{63B3BB69-23CF-44E3-9099-C40C66FF867C}">
                  <a14:compatExt spid="_x0000_s5518"/>
                </a:ext>
                <a:ext uri="{FF2B5EF4-FFF2-40B4-BE49-F238E27FC236}">
                  <a16:creationId xmlns:a16="http://schemas.microsoft.com/office/drawing/2014/main" id="{00000000-0008-0000-0300-00008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123</xdr:row>
          <xdr:rowOff>15240</xdr:rowOff>
        </xdr:from>
        <xdr:to>
          <xdr:col>1</xdr:col>
          <xdr:colOff>30480</xdr:colOff>
          <xdr:row>155</xdr:row>
          <xdr:rowOff>30480</xdr:rowOff>
        </xdr:to>
        <xdr:sp macro="" textlink="">
          <xdr:nvSpPr>
            <xdr:cNvPr id="5519" name="CheckBox_Row122" hidden="1">
              <a:extLst>
                <a:ext uri="{63B3BB69-23CF-44E3-9099-C40C66FF867C}">
                  <a14:compatExt spid="_x0000_s5519"/>
                </a:ext>
                <a:ext uri="{FF2B5EF4-FFF2-40B4-BE49-F238E27FC236}">
                  <a16:creationId xmlns:a16="http://schemas.microsoft.com/office/drawing/2014/main" id="{00000000-0008-0000-0300-00008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124</xdr:row>
          <xdr:rowOff>15240</xdr:rowOff>
        </xdr:from>
        <xdr:to>
          <xdr:col>1</xdr:col>
          <xdr:colOff>30480</xdr:colOff>
          <xdr:row>155</xdr:row>
          <xdr:rowOff>30480</xdr:rowOff>
        </xdr:to>
        <xdr:sp macro="" textlink="">
          <xdr:nvSpPr>
            <xdr:cNvPr id="5520" name="CheckBox_Row123" hidden="1">
              <a:extLst>
                <a:ext uri="{63B3BB69-23CF-44E3-9099-C40C66FF867C}">
                  <a14:compatExt spid="_x0000_s5520"/>
                </a:ext>
                <a:ext uri="{FF2B5EF4-FFF2-40B4-BE49-F238E27FC236}">
                  <a16:creationId xmlns:a16="http://schemas.microsoft.com/office/drawing/2014/main" id="{00000000-0008-0000-0300-00009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125</xdr:row>
          <xdr:rowOff>30480</xdr:rowOff>
        </xdr:from>
        <xdr:to>
          <xdr:col>1</xdr:col>
          <xdr:colOff>30480</xdr:colOff>
          <xdr:row>155</xdr:row>
          <xdr:rowOff>30480</xdr:rowOff>
        </xdr:to>
        <xdr:sp macro="" textlink="">
          <xdr:nvSpPr>
            <xdr:cNvPr id="5521" name="CheckBox_Row124" hidden="1">
              <a:extLst>
                <a:ext uri="{63B3BB69-23CF-44E3-9099-C40C66FF867C}">
                  <a14:compatExt spid="_x0000_s5521"/>
                </a:ext>
                <a:ext uri="{FF2B5EF4-FFF2-40B4-BE49-F238E27FC236}">
                  <a16:creationId xmlns:a16="http://schemas.microsoft.com/office/drawing/2014/main" id="{00000000-0008-0000-0300-00009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126</xdr:row>
          <xdr:rowOff>30480</xdr:rowOff>
        </xdr:from>
        <xdr:to>
          <xdr:col>1</xdr:col>
          <xdr:colOff>30480</xdr:colOff>
          <xdr:row>155</xdr:row>
          <xdr:rowOff>30480</xdr:rowOff>
        </xdr:to>
        <xdr:sp macro="" textlink="">
          <xdr:nvSpPr>
            <xdr:cNvPr id="5522" name="CheckBox_Row125" hidden="1">
              <a:extLst>
                <a:ext uri="{63B3BB69-23CF-44E3-9099-C40C66FF867C}">
                  <a14:compatExt spid="_x0000_s5522"/>
                </a:ext>
                <a:ext uri="{FF2B5EF4-FFF2-40B4-BE49-F238E27FC236}">
                  <a16:creationId xmlns:a16="http://schemas.microsoft.com/office/drawing/2014/main" id="{00000000-0008-0000-0300-00009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127</xdr:row>
          <xdr:rowOff>38100</xdr:rowOff>
        </xdr:from>
        <xdr:to>
          <xdr:col>1</xdr:col>
          <xdr:colOff>30480</xdr:colOff>
          <xdr:row>155</xdr:row>
          <xdr:rowOff>30480</xdr:rowOff>
        </xdr:to>
        <xdr:sp macro="" textlink="">
          <xdr:nvSpPr>
            <xdr:cNvPr id="5523" name="CheckBox_Row126" hidden="1">
              <a:extLst>
                <a:ext uri="{63B3BB69-23CF-44E3-9099-C40C66FF867C}">
                  <a14:compatExt spid="_x0000_s5523"/>
                </a:ext>
                <a:ext uri="{FF2B5EF4-FFF2-40B4-BE49-F238E27FC236}">
                  <a16:creationId xmlns:a16="http://schemas.microsoft.com/office/drawing/2014/main" id="{00000000-0008-0000-0300-00009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128</xdr:row>
          <xdr:rowOff>30480</xdr:rowOff>
        </xdr:from>
        <xdr:to>
          <xdr:col>1</xdr:col>
          <xdr:colOff>30480</xdr:colOff>
          <xdr:row>155</xdr:row>
          <xdr:rowOff>30480</xdr:rowOff>
        </xdr:to>
        <xdr:sp macro="" textlink="">
          <xdr:nvSpPr>
            <xdr:cNvPr id="5524" name="CheckBox_Row127" hidden="1">
              <a:extLst>
                <a:ext uri="{63B3BB69-23CF-44E3-9099-C40C66FF867C}">
                  <a14:compatExt spid="_x0000_s5524"/>
                </a:ext>
                <a:ext uri="{FF2B5EF4-FFF2-40B4-BE49-F238E27FC236}">
                  <a16:creationId xmlns:a16="http://schemas.microsoft.com/office/drawing/2014/main" id="{00000000-0008-0000-0300-00009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129</xdr:row>
          <xdr:rowOff>38100</xdr:rowOff>
        </xdr:from>
        <xdr:to>
          <xdr:col>1</xdr:col>
          <xdr:colOff>30480</xdr:colOff>
          <xdr:row>155</xdr:row>
          <xdr:rowOff>30480</xdr:rowOff>
        </xdr:to>
        <xdr:sp macro="" textlink="">
          <xdr:nvSpPr>
            <xdr:cNvPr id="5525" name="CheckBox_Row128" hidden="1">
              <a:extLst>
                <a:ext uri="{63B3BB69-23CF-44E3-9099-C40C66FF867C}">
                  <a14:compatExt spid="_x0000_s5525"/>
                </a:ext>
                <a:ext uri="{FF2B5EF4-FFF2-40B4-BE49-F238E27FC236}">
                  <a16:creationId xmlns:a16="http://schemas.microsoft.com/office/drawing/2014/main" id="{00000000-0008-0000-0300-00009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130</xdr:row>
          <xdr:rowOff>38100</xdr:rowOff>
        </xdr:from>
        <xdr:to>
          <xdr:col>1</xdr:col>
          <xdr:colOff>30480</xdr:colOff>
          <xdr:row>155</xdr:row>
          <xdr:rowOff>30480</xdr:rowOff>
        </xdr:to>
        <xdr:sp macro="" textlink="">
          <xdr:nvSpPr>
            <xdr:cNvPr id="5526" name="CheckBox_Row129" hidden="1">
              <a:extLst>
                <a:ext uri="{63B3BB69-23CF-44E3-9099-C40C66FF867C}">
                  <a14:compatExt spid="_x0000_s5526"/>
                </a:ext>
                <a:ext uri="{FF2B5EF4-FFF2-40B4-BE49-F238E27FC236}">
                  <a16:creationId xmlns:a16="http://schemas.microsoft.com/office/drawing/2014/main" id="{00000000-0008-0000-0300-00009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131</xdr:row>
          <xdr:rowOff>60960</xdr:rowOff>
        </xdr:from>
        <xdr:to>
          <xdr:col>1</xdr:col>
          <xdr:colOff>30480</xdr:colOff>
          <xdr:row>155</xdr:row>
          <xdr:rowOff>30480</xdr:rowOff>
        </xdr:to>
        <xdr:sp macro="" textlink="">
          <xdr:nvSpPr>
            <xdr:cNvPr id="5527" name="CheckBox_Row130" hidden="1">
              <a:extLst>
                <a:ext uri="{63B3BB69-23CF-44E3-9099-C40C66FF867C}">
                  <a14:compatExt spid="_x0000_s5527"/>
                </a:ext>
                <a:ext uri="{FF2B5EF4-FFF2-40B4-BE49-F238E27FC236}">
                  <a16:creationId xmlns:a16="http://schemas.microsoft.com/office/drawing/2014/main" id="{00000000-0008-0000-0300-00009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132</xdr:row>
          <xdr:rowOff>60960</xdr:rowOff>
        </xdr:from>
        <xdr:to>
          <xdr:col>1</xdr:col>
          <xdr:colOff>30480</xdr:colOff>
          <xdr:row>155</xdr:row>
          <xdr:rowOff>30480</xdr:rowOff>
        </xdr:to>
        <xdr:sp macro="" textlink="">
          <xdr:nvSpPr>
            <xdr:cNvPr id="5528" name="CheckBox_Row131" hidden="1">
              <a:extLst>
                <a:ext uri="{63B3BB69-23CF-44E3-9099-C40C66FF867C}">
                  <a14:compatExt spid="_x0000_s5528"/>
                </a:ext>
                <a:ext uri="{FF2B5EF4-FFF2-40B4-BE49-F238E27FC236}">
                  <a16:creationId xmlns:a16="http://schemas.microsoft.com/office/drawing/2014/main" id="{00000000-0008-0000-0300-00009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133</xdr:row>
          <xdr:rowOff>60960</xdr:rowOff>
        </xdr:from>
        <xdr:to>
          <xdr:col>1</xdr:col>
          <xdr:colOff>30480</xdr:colOff>
          <xdr:row>155</xdr:row>
          <xdr:rowOff>30480</xdr:rowOff>
        </xdr:to>
        <xdr:sp macro="" textlink="">
          <xdr:nvSpPr>
            <xdr:cNvPr id="5529" name="CheckBox_Row132" hidden="1">
              <a:extLst>
                <a:ext uri="{63B3BB69-23CF-44E3-9099-C40C66FF867C}">
                  <a14:compatExt spid="_x0000_s5529"/>
                </a:ext>
                <a:ext uri="{FF2B5EF4-FFF2-40B4-BE49-F238E27FC236}">
                  <a16:creationId xmlns:a16="http://schemas.microsoft.com/office/drawing/2014/main" id="{00000000-0008-0000-0300-00009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134</xdr:row>
          <xdr:rowOff>60960</xdr:rowOff>
        </xdr:from>
        <xdr:to>
          <xdr:col>1</xdr:col>
          <xdr:colOff>30480</xdr:colOff>
          <xdr:row>155</xdr:row>
          <xdr:rowOff>91440</xdr:rowOff>
        </xdr:to>
        <xdr:sp macro="" textlink="">
          <xdr:nvSpPr>
            <xdr:cNvPr id="5530" name="CheckBox_Row133" hidden="1">
              <a:extLst>
                <a:ext uri="{63B3BB69-23CF-44E3-9099-C40C66FF867C}">
                  <a14:compatExt spid="_x0000_s5530"/>
                </a:ext>
                <a:ext uri="{FF2B5EF4-FFF2-40B4-BE49-F238E27FC236}">
                  <a16:creationId xmlns:a16="http://schemas.microsoft.com/office/drawing/2014/main" id="{00000000-0008-0000-0300-00009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135</xdr:row>
          <xdr:rowOff>60960</xdr:rowOff>
        </xdr:from>
        <xdr:to>
          <xdr:col>1</xdr:col>
          <xdr:colOff>30480</xdr:colOff>
          <xdr:row>166</xdr:row>
          <xdr:rowOff>30480</xdr:rowOff>
        </xdr:to>
        <xdr:sp macro="" textlink="">
          <xdr:nvSpPr>
            <xdr:cNvPr id="5531" name="CheckBox_Row134" hidden="1">
              <a:extLst>
                <a:ext uri="{63B3BB69-23CF-44E3-9099-C40C66FF867C}">
                  <a14:compatExt spid="_x0000_s5531"/>
                </a:ext>
                <a:ext uri="{FF2B5EF4-FFF2-40B4-BE49-F238E27FC236}">
                  <a16:creationId xmlns:a16="http://schemas.microsoft.com/office/drawing/2014/main" id="{00000000-0008-0000-0300-00009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136</xdr:row>
          <xdr:rowOff>60960</xdr:rowOff>
        </xdr:from>
        <xdr:to>
          <xdr:col>1</xdr:col>
          <xdr:colOff>30480</xdr:colOff>
          <xdr:row>166</xdr:row>
          <xdr:rowOff>30480</xdr:rowOff>
        </xdr:to>
        <xdr:sp macro="" textlink="">
          <xdr:nvSpPr>
            <xdr:cNvPr id="5532" name="CheckBox_Row135" hidden="1">
              <a:extLst>
                <a:ext uri="{63B3BB69-23CF-44E3-9099-C40C66FF867C}">
                  <a14:compatExt spid="_x0000_s5532"/>
                </a:ext>
                <a:ext uri="{FF2B5EF4-FFF2-40B4-BE49-F238E27FC236}">
                  <a16:creationId xmlns:a16="http://schemas.microsoft.com/office/drawing/2014/main" id="{00000000-0008-0000-0300-00009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137</xdr:row>
          <xdr:rowOff>68580</xdr:rowOff>
        </xdr:from>
        <xdr:to>
          <xdr:col>1</xdr:col>
          <xdr:colOff>30480</xdr:colOff>
          <xdr:row>166</xdr:row>
          <xdr:rowOff>30480</xdr:rowOff>
        </xdr:to>
        <xdr:sp macro="" textlink="">
          <xdr:nvSpPr>
            <xdr:cNvPr id="5533" name="CheckBox_Row136" hidden="1">
              <a:extLst>
                <a:ext uri="{63B3BB69-23CF-44E3-9099-C40C66FF867C}">
                  <a14:compatExt spid="_x0000_s5533"/>
                </a:ext>
                <a:ext uri="{FF2B5EF4-FFF2-40B4-BE49-F238E27FC236}">
                  <a16:creationId xmlns:a16="http://schemas.microsoft.com/office/drawing/2014/main" id="{00000000-0008-0000-0300-00009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138</xdr:row>
          <xdr:rowOff>68580</xdr:rowOff>
        </xdr:from>
        <xdr:to>
          <xdr:col>1</xdr:col>
          <xdr:colOff>30480</xdr:colOff>
          <xdr:row>166</xdr:row>
          <xdr:rowOff>30480</xdr:rowOff>
        </xdr:to>
        <xdr:sp macro="" textlink="">
          <xdr:nvSpPr>
            <xdr:cNvPr id="5534" name="CheckBox_Row137" hidden="1">
              <a:extLst>
                <a:ext uri="{63B3BB69-23CF-44E3-9099-C40C66FF867C}">
                  <a14:compatExt spid="_x0000_s5534"/>
                </a:ext>
                <a:ext uri="{FF2B5EF4-FFF2-40B4-BE49-F238E27FC236}">
                  <a16:creationId xmlns:a16="http://schemas.microsoft.com/office/drawing/2014/main" id="{00000000-0008-0000-0300-00009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139</xdr:row>
          <xdr:rowOff>91440</xdr:rowOff>
        </xdr:from>
        <xdr:to>
          <xdr:col>1</xdr:col>
          <xdr:colOff>30480</xdr:colOff>
          <xdr:row>166</xdr:row>
          <xdr:rowOff>30480</xdr:rowOff>
        </xdr:to>
        <xdr:sp macro="" textlink="">
          <xdr:nvSpPr>
            <xdr:cNvPr id="5535" name="CheckBox_Row138" hidden="1">
              <a:extLst>
                <a:ext uri="{63B3BB69-23CF-44E3-9099-C40C66FF867C}">
                  <a14:compatExt spid="_x0000_s5535"/>
                </a:ext>
                <a:ext uri="{FF2B5EF4-FFF2-40B4-BE49-F238E27FC236}">
                  <a16:creationId xmlns:a16="http://schemas.microsoft.com/office/drawing/2014/main" id="{00000000-0008-0000-0300-00009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140</xdr:row>
          <xdr:rowOff>68580</xdr:rowOff>
        </xdr:from>
        <xdr:to>
          <xdr:col>1</xdr:col>
          <xdr:colOff>30480</xdr:colOff>
          <xdr:row>166</xdr:row>
          <xdr:rowOff>30480</xdr:rowOff>
        </xdr:to>
        <xdr:sp macro="" textlink="">
          <xdr:nvSpPr>
            <xdr:cNvPr id="5536" name="CheckBox_Row139" hidden="1">
              <a:extLst>
                <a:ext uri="{63B3BB69-23CF-44E3-9099-C40C66FF867C}">
                  <a14:compatExt spid="_x0000_s5536"/>
                </a:ext>
                <a:ext uri="{FF2B5EF4-FFF2-40B4-BE49-F238E27FC236}">
                  <a16:creationId xmlns:a16="http://schemas.microsoft.com/office/drawing/2014/main" id="{00000000-0008-0000-0300-0000A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141</xdr:row>
          <xdr:rowOff>91440</xdr:rowOff>
        </xdr:from>
        <xdr:to>
          <xdr:col>1</xdr:col>
          <xdr:colOff>30480</xdr:colOff>
          <xdr:row>166</xdr:row>
          <xdr:rowOff>30480</xdr:rowOff>
        </xdr:to>
        <xdr:sp macro="" textlink="">
          <xdr:nvSpPr>
            <xdr:cNvPr id="5537" name="CheckBox_Row140" hidden="1">
              <a:extLst>
                <a:ext uri="{63B3BB69-23CF-44E3-9099-C40C66FF867C}">
                  <a14:compatExt spid="_x0000_s5537"/>
                </a:ext>
                <a:ext uri="{FF2B5EF4-FFF2-40B4-BE49-F238E27FC236}">
                  <a16:creationId xmlns:a16="http://schemas.microsoft.com/office/drawing/2014/main" id="{00000000-0008-0000-0300-0000A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142</xdr:row>
          <xdr:rowOff>91440</xdr:rowOff>
        </xdr:from>
        <xdr:to>
          <xdr:col>1</xdr:col>
          <xdr:colOff>30480</xdr:colOff>
          <xdr:row>166</xdr:row>
          <xdr:rowOff>30480</xdr:rowOff>
        </xdr:to>
        <xdr:sp macro="" textlink="">
          <xdr:nvSpPr>
            <xdr:cNvPr id="5538" name="CheckBox_Row141" hidden="1">
              <a:extLst>
                <a:ext uri="{63B3BB69-23CF-44E3-9099-C40C66FF867C}">
                  <a14:compatExt spid="_x0000_s5538"/>
                </a:ext>
                <a:ext uri="{FF2B5EF4-FFF2-40B4-BE49-F238E27FC236}">
                  <a16:creationId xmlns:a16="http://schemas.microsoft.com/office/drawing/2014/main" id="{00000000-0008-0000-0300-0000A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143</xdr:row>
          <xdr:rowOff>91440</xdr:rowOff>
        </xdr:from>
        <xdr:to>
          <xdr:col>1</xdr:col>
          <xdr:colOff>30480</xdr:colOff>
          <xdr:row>166</xdr:row>
          <xdr:rowOff>30480</xdr:rowOff>
        </xdr:to>
        <xdr:sp macro="" textlink="">
          <xdr:nvSpPr>
            <xdr:cNvPr id="5539" name="CheckBox_Row142" hidden="1">
              <a:extLst>
                <a:ext uri="{63B3BB69-23CF-44E3-9099-C40C66FF867C}">
                  <a14:compatExt spid="_x0000_s5539"/>
                </a:ext>
                <a:ext uri="{FF2B5EF4-FFF2-40B4-BE49-F238E27FC236}">
                  <a16:creationId xmlns:a16="http://schemas.microsoft.com/office/drawing/2014/main" id="{00000000-0008-0000-0300-0000A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144</xdr:row>
          <xdr:rowOff>91440</xdr:rowOff>
        </xdr:from>
        <xdr:to>
          <xdr:col>1</xdr:col>
          <xdr:colOff>30480</xdr:colOff>
          <xdr:row>166</xdr:row>
          <xdr:rowOff>30480</xdr:rowOff>
        </xdr:to>
        <xdr:sp macro="" textlink="">
          <xdr:nvSpPr>
            <xdr:cNvPr id="5540" name="CheckBox_Row143" hidden="1">
              <a:extLst>
                <a:ext uri="{63B3BB69-23CF-44E3-9099-C40C66FF867C}">
                  <a14:compatExt spid="_x0000_s5540"/>
                </a:ext>
                <a:ext uri="{FF2B5EF4-FFF2-40B4-BE49-F238E27FC236}">
                  <a16:creationId xmlns:a16="http://schemas.microsoft.com/office/drawing/2014/main" id="{00000000-0008-0000-0300-0000A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145</xdr:row>
          <xdr:rowOff>99060</xdr:rowOff>
        </xdr:from>
        <xdr:to>
          <xdr:col>1</xdr:col>
          <xdr:colOff>30480</xdr:colOff>
          <xdr:row>166</xdr:row>
          <xdr:rowOff>30480</xdr:rowOff>
        </xdr:to>
        <xdr:sp macro="" textlink="">
          <xdr:nvSpPr>
            <xdr:cNvPr id="5541" name="CheckBox_Row144" hidden="1">
              <a:extLst>
                <a:ext uri="{63B3BB69-23CF-44E3-9099-C40C66FF867C}">
                  <a14:compatExt spid="_x0000_s5541"/>
                </a:ext>
                <a:ext uri="{FF2B5EF4-FFF2-40B4-BE49-F238E27FC236}">
                  <a16:creationId xmlns:a16="http://schemas.microsoft.com/office/drawing/2014/main" id="{00000000-0008-0000-0300-0000A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146</xdr:row>
          <xdr:rowOff>91440</xdr:rowOff>
        </xdr:from>
        <xdr:to>
          <xdr:col>1</xdr:col>
          <xdr:colOff>30480</xdr:colOff>
          <xdr:row>166</xdr:row>
          <xdr:rowOff>30480</xdr:rowOff>
        </xdr:to>
        <xdr:sp macro="" textlink="">
          <xdr:nvSpPr>
            <xdr:cNvPr id="5542" name="CheckBox_Row145" hidden="1">
              <a:extLst>
                <a:ext uri="{63B3BB69-23CF-44E3-9099-C40C66FF867C}">
                  <a14:compatExt spid="_x0000_s5542"/>
                </a:ext>
                <a:ext uri="{FF2B5EF4-FFF2-40B4-BE49-F238E27FC236}">
                  <a16:creationId xmlns:a16="http://schemas.microsoft.com/office/drawing/2014/main" id="{00000000-0008-0000-0300-0000A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147</xdr:row>
          <xdr:rowOff>99060</xdr:rowOff>
        </xdr:from>
        <xdr:to>
          <xdr:col>1</xdr:col>
          <xdr:colOff>30480</xdr:colOff>
          <xdr:row>166</xdr:row>
          <xdr:rowOff>30480</xdr:rowOff>
        </xdr:to>
        <xdr:sp macro="" textlink="">
          <xdr:nvSpPr>
            <xdr:cNvPr id="5543" name="CheckBox_Row146" hidden="1">
              <a:extLst>
                <a:ext uri="{63B3BB69-23CF-44E3-9099-C40C66FF867C}">
                  <a14:compatExt spid="_x0000_s5543"/>
                </a:ext>
                <a:ext uri="{FF2B5EF4-FFF2-40B4-BE49-F238E27FC236}">
                  <a16:creationId xmlns:a16="http://schemas.microsoft.com/office/drawing/2014/main" id="{00000000-0008-0000-0300-0000A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148</xdr:row>
          <xdr:rowOff>99060</xdr:rowOff>
        </xdr:from>
        <xdr:to>
          <xdr:col>1</xdr:col>
          <xdr:colOff>30480</xdr:colOff>
          <xdr:row>166</xdr:row>
          <xdr:rowOff>30480</xdr:rowOff>
        </xdr:to>
        <xdr:sp macro="" textlink="">
          <xdr:nvSpPr>
            <xdr:cNvPr id="5544" name="CheckBox_Row147" hidden="1">
              <a:extLst>
                <a:ext uri="{63B3BB69-23CF-44E3-9099-C40C66FF867C}">
                  <a14:compatExt spid="_x0000_s5544"/>
                </a:ext>
                <a:ext uri="{FF2B5EF4-FFF2-40B4-BE49-F238E27FC236}">
                  <a16:creationId xmlns:a16="http://schemas.microsoft.com/office/drawing/2014/main" id="{00000000-0008-0000-0300-0000A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149</xdr:row>
          <xdr:rowOff>106680</xdr:rowOff>
        </xdr:from>
        <xdr:to>
          <xdr:col>1</xdr:col>
          <xdr:colOff>30480</xdr:colOff>
          <xdr:row>166</xdr:row>
          <xdr:rowOff>30480</xdr:rowOff>
        </xdr:to>
        <xdr:sp macro="" textlink="">
          <xdr:nvSpPr>
            <xdr:cNvPr id="5545" name="CheckBox_Row148" hidden="1">
              <a:extLst>
                <a:ext uri="{63B3BB69-23CF-44E3-9099-C40C66FF867C}">
                  <a14:compatExt spid="_x0000_s5545"/>
                </a:ext>
                <a:ext uri="{FF2B5EF4-FFF2-40B4-BE49-F238E27FC236}">
                  <a16:creationId xmlns:a16="http://schemas.microsoft.com/office/drawing/2014/main" id="{00000000-0008-0000-0300-0000A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150</xdr:row>
          <xdr:rowOff>106680</xdr:rowOff>
        </xdr:from>
        <xdr:to>
          <xdr:col>1</xdr:col>
          <xdr:colOff>30480</xdr:colOff>
          <xdr:row>166</xdr:row>
          <xdr:rowOff>30480</xdr:rowOff>
        </xdr:to>
        <xdr:sp macro="" textlink="">
          <xdr:nvSpPr>
            <xdr:cNvPr id="5546" name="CheckBox_Row149" hidden="1">
              <a:extLst>
                <a:ext uri="{63B3BB69-23CF-44E3-9099-C40C66FF867C}">
                  <a14:compatExt spid="_x0000_s5546"/>
                </a:ext>
                <a:ext uri="{FF2B5EF4-FFF2-40B4-BE49-F238E27FC236}">
                  <a16:creationId xmlns:a16="http://schemas.microsoft.com/office/drawing/2014/main" id="{00000000-0008-0000-0300-0000A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151</xdr:row>
          <xdr:rowOff>106680</xdr:rowOff>
        </xdr:from>
        <xdr:to>
          <xdr:col>1</xdr:col>
          <xdr:colOff>30480</xdr:colOff>
          <xdr:row>166</xdr:row>
          <xdr:rowOff>30480</xdr:rowOff>
        </xdr:to>
        <xdr:sp macro="" textlink="">
          <xdr:nvSpPr>
            <xdr:cNvPr id="5547" name="CheckBox_Row150" hidden="1">
              <a:extLst>
                <a:ext uri="{63B3BB69-23CF-44E3-9099-C40C66FF867C}">
                  <a14:compatExt spid="_x0000_s5547"/>
                </a:ext>
                <a:ext uri="{FF2B5EF4-FFF2-40B4-BE49-F238E27FC236}">
                  <a16:creationId xmlns:a16="http://schemas.microsoft.com/office/drawing/2014/main" id="{00000000-0008-0000-0300-0000A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152</xdr:row>
          <xdr:rowOff>106680</xdr:rowOff>
        </xdr:from>
        <xdr:to>
          <xdr:col>1</xdr:col>
          <xdr:colOff>30480</xdr:colOff>
          <xdr:row>166</xdr:row>
          <xdr:rowOff>30480</xdr:rowOff>
        </xdr:to>
        <xdr:sp macro="" textlink="">
          <xdr:nvSpPr>
            <xdr:cNvPr id="5548" name="CheckBox_Row151" hidden="1">
              <a:extLst>
                <a:ext uri="{63B3BB69-23CF-44E3-9099-C40C66FF867C}">
                  <a14:compatExt spid="_x0000_s5548"/>
                </a:ext>
                <a:ext uri="{FF2B5EF4-FFF2-40B4-BE49-F238E27FC236}">
                  <a16:creationId xmlns:a16="http://schemas.microsoft.com/office/drawing/2014/main" id="{00000000-0008-0000-0300-0000A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153</xdr:row>
          <xdr:rowOff>106680</xdr:rowOff>
        </xdr:from>
        <xdr:to>
          <xdr:col>1</xdr:col>
          <xdr:colOff>30480</xdr:colOff>
          <xdr:row>166</xdr:row>
          <xdr:rowOff>30480</xdr:rowOff>
        </xdr:to>
        <xdr:sp macro="" textlink="">
          <xdr:nvSpPr>
            <xdr:cNvPr id="5549" name="CheckBox_Row152" hidden="1">
              <a:extLst>
                <a:ext uri="{63B3BB69-23CF-44E3-9099-C40C66FF867C}">
                  <a14:compatExt spid="_x0000_s5549"/>
                </a:ext>
                <a:ext uri="{FF2B5EF4-FFF2-40B4-BE49-F238E27FC236}">
                  <a16:creationId xmlns:a16="http://schemas.microsoft.com/office/drawing/2014/main" id="{00000000-0008-0000-0300-0000A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154</xdr:row>
          <xdr:rowOff>106680</xdr:rowOff>
        </xdr:from>
        <xdr:to>
          <xdr:col>1</xdr:col>
          <xdr:colOff>30480</xdr:colOff>
          <xdr:row>166</xdr:row>
          <xdr:rowOff>30480</xdr:rowOff>
        </xdr:to>
        <xdr:sp macro="" textlink="">
          <xdr:nvSpPr>
            <xdr:cNvPr id="5550" name="CheckBox_Row153" hidden="1">
              <a:extLst>
                <a:ext uri="{63B3BB69-23CF-44E3-9099-C40C66FF867C}">
                  <a14:compatExt spid="_x0000_s5550"/>
                </a:ext>
                <a:ext uri="{FF2B5EF4-FFF2-40B4-BE49-F238E27FC236}">
                  <a16:creationId xmlns:a16="http://schemas.microsoft.com/office/drawing/2014/main" id="{00000000-0008-0000-0300-0000A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155</xdr:row>
          <xdr:rowOff>129540</xdr:rowOff>
        </xdr:from>
        <xdr:to>
          <xdr:col>1</xdr:col>
          <xdr:colOff>30480</xdr:colOff>
          <xdr:row>166</xdr:row>
          <xdr:rowOff>152400</xdr:rowOff>
        </xdr:to>
        <xdr:sp macro="" textlink="">
          <xdr:nvSpPr>
            <xdr:cNvPr id="5551" name="CheckBox_Row154" hidden="1">
              <a:extLst>
                <a:ext uri="{63B3BB69-23CF-44E3-9099-C40C66FF867C}">
                  <a14:compatExt spid="_x0000_s5551"/>
                </a:ext>
                <a:ext uri="{FF2B5EF4-FFF2-40B4-BE49-F238E27FC236}">
                  <a16:creationId xmlns:a16="http://schemas.microsoft.com/office/drawing/2014/main" id="{00000000-0008-0000-0300-0000A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156</xdr:row>
          <xdr:rowOff>129540</xdr:rowOff>
        </xdr:from>
        <xdr:to>
          <xdr:col>1</xdr:col>
          <xdr:colOff>30480</xdr:colOff>
          <xdr:row>170</xdr:row>
          <xdr:rowOff>30480</xdr:rowOff>
        </xdr:to>
        <xdr:sp macro="" textlink="">
          <xdr:nvSpPr>
            <xdr:cNvPr id="5552" name="CheckBox_Row155" hidden="1">
              <a:extLst>
                <a:ext uri="{63B3BB69-23CF-44E3-9099-C40C66FF867C}">
                  <a14:compatExt spid="_x0000_s5552"/>
                </a:ext>
                <a:ext uri="{FF2B5EF4-FFF2-40B4-BE49-F238E27FC236}">
                  <a16:creationId xmlns:a16="http://schemas.microsoft.com/office/drawing/2014/main" id="{00000000-0008-0000-0300-0000B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157</xdr:row>
          <xdr:rowOff>137160</xdr:rowOff>
        </xdr:from>
        <xdr:to>
          <xdr:col>1</xdr:col>
          <xdr:colOff>30480</xdr:colOff>
          <xdr:row>170</xdr:row>
          <xdr:rowOff>30480</xdr:rowOff>
        </xdr:to>
        <xdr:sp macro="" textlink="">
          <xdr:nvSpPr>
            <xdr:cNvPr id="5553" name="CheckBox_Row156" hidden="1">
              <a:extLst>
                <a:ext uri="{63B3BB69-23CF-44E3-9099-C40C66FF867C}">
                  <a14:compatExt spid="_x0000_s5553"/>
                </a:ext>
                <a:ext uri="{FF2B5EF4-FFF2-40B4-BE49-F238E27FC236}">
                  <a16:creationId xmlns:a16="http://schemas.microsoft.com/office/drawing/2014/main" id="{00000000-0008-0000-0300-0000B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158</xdr:row>
          <xdr:rowOff>129540</xdr:rowOff>
        </xdr:from>
        <xdr:to>
          <xdr:col>1</xdr:col>
          <xdr:colOff>30480</xdr:colOff>
          <xdr:row>170</xdr:row>
          <xdr:rowOff>30480</xdr:rowOff>
        </xdr:to>
        <xdr:sp macro="" textlink="">
          <xdr:nvSpPr>
            <xdr:cNvPr id="5554" name="CheckBox_Row157" hidden="1">
              <a:extLst>
                <a:ext uri="{63B3BB69-23CF-44E3-9099-C40C66FF867C}">
                  <a14:compatExt spid="_x0000_s5554"/>
                </a:ext>
                <a:ext uri="{FF2B5EF4-FFF2-40B4-BE49-F238E27FC236}">
                  <a16:creationId xmlns:a16="http://schemas.microsoft.com/office/drawing/2014/main" id="{00000000-0008-0000-0300-0000B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159</xdr:row>
          <xdr:rowOff>137160</xdr:rowOff>
        </xdr:from>
        <xdr:to>
          <xdr:col>1</xdr:col>
          <xdr:colOff>30480</xdr:colOff>
          <xdr:row>170</xdr:row>
          <xdr:rowOff>30480</xdr:rowOff>
        </xdr:to>
        <xdr:sp macro="" textlink="">
          <xdr:nvSpPr>
            <xdr:cNvPr id="5555" name="CheckBox_Row158" hidden="1">
              <a:extLst>
                <a:ext uri="{63B3BB69-23CF-44E3-9099-C40C66FF867C}">
                  <a14:compatExt spid="_x0000_s5555"/>
                </a:ext>
                <a:ext uri="{FF2B5EF4-FFF2-40B4-BE49-F238E27FC236}">
                  <a16:creationId xmlns:a16="http://schemas.microsoft.com/office/drawing/2014/main" id="{00000000-0008-0000-0300-0000B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160</xdr:row>
          <xdr:rowOff>137160</xdr:rowOff>
        </xdr:from>
        <xdr:to>
          <xdr:col>1</xdr:col>
          <xdr:colOff>30480</xdr:colOff>
          <xdr:row>170</xdr:row>
          <xdr:rowOff>30480</xdr:rowOff>
        </xdr:to>
        <xdr:sp macro="" textlink="">
          <xdr:nvSpPr>
            <xdr:cNvPr id="5556" name="CheckBox_Row159" hidden="1">
              <a:extLst>
                <a:ext uri="{63B3BB69-23CF-44E3-9099-C40C66FF867C}">
                  <a14:compatExt spid="_x0000_s5556"/>
                </a:ext>
                <a:ext uri="{FF2B5EF4-FFF2-40B4-BE49-F238E27FC236}">
                  <a16:creationId xmlns:a16="http://schemas.microsoft.com/office/drawing/2014/main" id="{00000000-0008-0000-0300-0000B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161</xdr:row>
          <xdr:rowOff>152400</xdr:rowOff>
        </xdr:from>
        <xdr:to>
          <xdr:col>1</xdr:col>
          <xdr:colOff>30480</xdr:colOff>
          <xdr:row>170</xdr:row>
          <xdr:rowOff>30480</xdr:rowOff>
        </xdr:to>
        <xdr:sp macro="" textlink="">
          <xdr:nvSpPr>
            <xdr:cNvPr id="5557" name="CheckBox_Row160" hidden="1">
              <a:extLst>
                <a:ext uri="{63B3BB69-23CF-44E3-9099-C40C66FF867C}">
                  <a14:compatExt spid="_x0000_s5557"/>
                </a:ext>
                <a:ext uri="{FF2B5EF4-FFF2-40B4-BE49-F238E27FC236}">
                  <a16:creationId xmlns:a16="http://schemas.microsoft.com/office/drawing/2014/main" id="{00000000-0008-0000-0300-0000B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162</xdr:row>
          <xdr:rowOff>152400</xdr:rowOff>
        </xdr:from>
        <xdr:to>
          <xdr:col>1</xdr:col>
          <xdr:colOff>30480</xdr:colOff>
          <xdr:row>170</xdr:row>
          <xdr:rowOff>30480</xdr:rowOff>
        </xdr:to>
        <xdr:sp macro="" textlink="">
          <xdr:nvSpPr>
            <xdr:cNvPr id="5558" name="CheckBox_Row161" hidden="1">
              <a:extLst>
                <a:ext uri="{63B3BB69-23CF-44E3-9099-C40C66FF867C}">
                  <a14:compatExt spid="_x0000_s5558"/>
                </a:ext>
                <a:ext uri="{FF2B5EF4-FFF2-40B4-BE49-F238E27FC236}">
                  <a16:creationId xmlns:a16="http://schemas.microsoft.com/office/drawing/2014/main" id="{00000000-0008-0000-0300-0000B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163</xdr:row>
          <xdr:rowOff>152400</xdr:rowOff>
        </xdr:from>
        <xdr:to>
          <xdr:col>1</xdr:col>
          <xdr:colOff>30480</xdr:colOff>
          <xdr:row>170</xdr:row>
          <xdr:rowOff>30480</xdr:rowOff>
        </xdr:to>
        <xdr:sp macro="" textlink="">
          <xdr:nvSpPr>
            <xdr:cNvPr id="5559" name="CheckBox_Row162" hidden="1">
              <a:extLst>
                <a:ext uri="{63B3BB69-23CF-44E3-9099-C40C66FF867C}">
                  <a14:compatExt spid="_x0000_s5559"/>
                </a:ext>
                <a:ext uri="{FF2B5EF4-FFF2-40B4-BE49-F238E27FC236}">
                  <a16:creationId xmlns:a16="http://schemas.microsoft.com/office/drawing/2014/main" id="{00000000-0008-0000-0300-0000B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164</xdr:row>
          <xdr:rowOff>152400</xdr:rowOff>
        </xdr:from>
        <xdr:to>
          <xdr:col>1</xdr:col>
          <xdr:colOff>30480</xdr:colOff>
          <xdr:row>170</xdr:row>
          <xdr:rowOff>30480</xdr:rowOff>
        </xdr:to>
        <xdr:sp macro="" textlink="">
          <xdr:nvSpPr>
            <xdr:cNvPr id="5560" name="CheckBox_Row163" hidden="1">
              <a:extLst>
                <a:ext uri="{63B3BB69-23CF-44E3-9099-C40C66FF867C}">
                  <a14:compatExt spid="_x0000_s5560"/>
                </a:ext>
                <a:ext uri="{FF2B5EF4-FFF2-40B4-BE49-F238E27FC236}">
                  <a16:creationId xmlns:a16="http://schemas.microsoft.com/office/drawing/2014/main" id="{00000000-0008-0000-0300-0000B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165</xdr:row>
          <xdr:rowOff>152400</xdr:rowOff>
        </xdr:from>
        <xdr:to>
          <xdr:col>1</xdr:col>
          <xdr:colOff>30480</xdr:colOff>
          <xdr:row>170</xdr:row>
          <xdr:rowOff>30480</xdr:rowOff>
        </xdr:to>
        <xdr:sp macro="" textlink="">
          <xdr:nvSpPr>
            <xdr:cNvPr id="5561" name="CheckBox_Row164" hidden="1">
              <a:extLst>
                <a:ext uri="{63B3BB69-23CF-44E3-9099-C40C66FF867C}">
                  <a14:compatExt spid="_x0000_s5561"/>
                </a:ext>
                <a:ext uri="{FF2B5EF4-FFF2-40B4-BE49-F238E27FC236}">
                  <a16:creationId xmlns:a16="http://schemas.microsoft.com/office/drawing/2014/main" id="{00000000-0008-0000-0300-0000B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166</xdr:row>
          <xdr:rowOff>152400</xdr:rowOff>
        </xdr:from>
        <xdr:to>
          <xdr:col>1</xdr:col>
          <xdr:colOff>30480</xdr:colOff>
          <xdr:row>171</xdr:row>
          <xdr:rowOff>0</xdr:rowOff>
        </xdr:to>
        <xdr:sp macro="" textlink="">
          <xdr:nvSpPr>
            <xdr:cNvPr id="5562" name="CheckBox_Row165" hidden="1">
              <a:extLst>
                <a:ext uri="{63B3BB69-23CF-44E3-9099-C40C66FF867C}">
                  <a14:compatExt spid="_x0000_s5562"/>
                </a:ext>
                <a:ext uri="{FF2B5EF4-FFF2-40B4-BE49-F238E27FC236}">
                  <a16:creationId xmlns:a16="http://schemas.microsoft.com/office/drawing/2014/main" id="{00000000-0008-0000-0300-0000B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167</xdr:row>
          <xdr:rowOff>167640</xdr:rowOff>
        </xdr:from>
        <xdr:to>
          <xdr:col>1</xdr:col>
          <xdr:colOff>30480</xdr:colOff>
          <xdr:row>171</xdr:row>
          <xdr:rowOff>30480</xdr:rowOff>
        </xdr:to>
        <xdr:sp macro="" textlink="">
          <xdr:nvSpPr>
            <xdr:cNvPr id="5563" name="CheckBox_Row166" hidden="1">
              <a:extLst>
                <a:ext uri="{63B3BB69-23CF-44E3-9099-C40C66FF867C}">
                  <a14:compatExt spid="_x0000_s5563"/>
                </a:ext>
                <a:ext uri="{FF2B5EF4-FFF2-40B4-BE49-F238E27FC236}">
                  <a16:creationId xmlns:a16="http://schemas.microsoft.com/office/drawing/2014/main" id="{00000000-0008-0000-0300-0000B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168</xdr:row>
          <xdr:rowOff>167640</xdr:rowOff>
        </xdr:from>
        <xdr:to>
          <xdr:col>1</xdr:col>
          <xdr:colOff>30480</xdr:colOff>
          <xdr:row>171</xdr:row>
          <xdr:rowOff>30480</xdr:rowOff>
        </xdr:to>
        <xdr:sp macro="" textlink="">
          <xdr:nvSpPr>
            <xdr:cNvPr id="5564" name="CheckBox_Row167" hidden="1">
              <a:extLst>
                <a:ext uri="{63B3BB69-23CF-44E3-9099-C40C66FF867C}">
                  <a14:compatExt spid="_x0000_s5564"/>
                </a:ext>
                <a:ext uri="{FF2B5EF4-FFF2-40B4-BE49-F238E27FC236}">
                  <a16:creationId xmlns:a16="http://schemas.microsoft.com/office/drawing/2014/main" id="{00000000-0008-0000-0300-0000B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170</xdr:row>
          <xdr:rowOff>0</xdr:rowOff>
        </xdr:from>
        <xdr:to>
          <xdr:col>1</xdr:col>
          <xdr:colOff>30480</xdr:colOff>
          <xdr:row>171</xdr:row>
          <xdr:rowOff>30480</xdr:rowOff>
        </xdr:to>
        <xdr:sp macro="" textlink="">
          <xdr:nvSpPr>
            <xdr:cNvPr id="5565" name="CheckBox_Row168" hidden="1">
              <a:extLst>
                <a:ext uri="{63B3BB69-23CF-44E3-9099-C40C66FF867C}">
                  <a14:compatExt spid="_x0000_s5565"/>
                </a:ext>
                <a:ext uri="{FF2B5EF4-FFF2-40B4-BE49-F238E27FC236}">
                  <a16:creationId xmlns:a16="http://schemas.microsoft.com/office/drawing/2014/main" id="{00000000-0008-0000-0300-0000B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170</xdr:row>
          <xdr:rowOff>167640</xdr:rowOff>
        </xdr:from>
        <xdr:to>
          <xdr:col>1</xdr:col>
          <xdr:colOff>30480</xdr:colOff>
          <xdr:row>172</xdr:row>
          <xdr:rowOff>15240</xdr:rowOff>
        </xdr:to>
        <xdr:sp macro="" textlink="">
          <xdr:nvSpPr>
            <xdr:cNvPr id="5566" name="CheckBox_Row169" hidden="1">
              <a:extLst>
                <a:ext uri="{63B3BB69-23CF-44E3-9099-C40C66FF867C}">
                  <a14:compatExt spid="_x0000_s5566"/>
                </a:ext>
                <a:ext uri="{FF2B5EF4-FFF2-40B4-BE49-F238E27FC236}">
                  <a16:creationId xmlns:a16="http://schemas.microsoft.com/office/drawing/2014/main" id="{00000000-0008-0000-0300-0000B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172</xdr:row>
          <xdr:rowOff>0</xdr:rowOff>
        </xdr:from>
        <xdr:to>
          <xdr:col>1</xdr:col>
          <xdr:colOff>30480</xdr:colOff>
          <xdr:row>173</xdr:row>
          <xdr:rowOff>30480</xdr:rowOff>
        </xdr:to>
        <xdr:sp macro="" textlink="">
          <xdr:nvSpPr>
            <xdr:cNvPr id="5567" name="CheckBox_Row170" hidden="1">
              <a:extLst>
                <a:ext uri="{63B3BB69-23CF-44E3-9099-C40C66FF867C}">
                  <a14:compatExt spid="_x0000_s5567"/>
                </a:ext>
                <a:ext uri="{FF2B5EF4-FFF2-40B4-BE49-F238E27FC236}">
                  <a16:creationId xmlns:a16="http://schemas.microsoft.com/office/drawing/2014/main" id="{00000000-0008-0000-0300-0000B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3</xdr:row>
          <xdr:rowOff>0</xdr:rowOff>
        </xdr:from>
        <xdr:to>
          <xdr:col>0</xdr:col>
          <xdr:colOff>1436370</xdr:colOff>
          <xdr:row>4</xdr:row>
          <xdr:rowOff>91440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867317</xdr:colOff>
      <xdr:row>2</xdr:row>
      <xdr:rowOff>174237</xdr:rowOff>
    </xdr:from>
    <xdr:to>
      <xdr:col>2</xdr:col>
      <xdr:colOff>100671</xdr:colOff>
      <xdr:row>4</xdr:row>
      <xdr:rowOff>89054</xdr:rowOff>
    </xdr:to>
    <xdr:sp macro="[0]!sheet6_xinJianPaiBa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B0C6BF0-9FF4-E4B8-3E3E-EAEED3941604}"/>
            </a:ext>
          </a:extLst>
        </xdr:cNvPr>
        <xdr:cNvSpPr/>
      </xdr:nvSpPr>
      <xdr:spPr>
        <a:xfrm>
          <a:off x="2764573" y="530457"/>
          <a:ext cx="882805" cy="271036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chemeClr val="tx1"/>
              </a:solidFill>
            </a:rPr>
            <a:t>新建排班</a:t>
          </a:r>
        </a:p>
      </xdr:txBody>
    </xdr:sp>
    <xdr:clientData/>
  </xdr:twoCellAnchor>
  <xdr:twoCellAnchor>
    <xdr:from>
      <xdr:col>2</xdr:col>
      <xdr:colOff>1650401</xdr:colOff>
      <xdr:row>2</xdr:row>
      <xdr:rowOff>162880</xdr:rowOff>
    </xdr:from>
    <xdr:to>
      <xdr:col>3</xdr:col>
      <xdr:colOff>1051271</xdr:colOff>
      <xdr:row>4</xdr:row>
      <xdr:rowOff>76661</xdr:rowOff>
    </xdr:to>
    <xdr:sp macro="[0]!sheet6_HuoQuBaiBanJiL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F915F11-5B91-44A5-92E1-A20D63F86459}"/>
            </a:ext>
          </a:extLst>
        </xdr:cNvPr>
        <xdr:cNvSpPr/>
      </xdr:nvSpPr>
      <xdr:spPr>
        <a:xfrm>
          <a:off x="5197108" y="519100"/>
          <a:ext cx="1120017" cy="2700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chemeClr val="tx1"/>
              </a:solidFill>
            </a:rPr>
            <a:t>获取排班记录</a:t>
          </a:r>
        </a:p>
      </xdr:txBody>
    </xdr:sp>
    <xdr:clientData/>
  </xdr:twoCellAnchor>
  <xdr:twoCellAnchor>
    <xdr:from>
      <xdr:col>4</xdr:col>
      <xdr:colOff>819904</xdr:colOff>
      <xdr:row>2</xdr:row>
      <xdr:rowOff>174237</xdr:rowOff>
    </xdr:from>
    <xdr:to>
      <xdr:col>5</xdr:col>
      <xdr:colOff>53258</xdr:colOff>
      <xdr:row>4</xdr:row>
      <xdr:rowOff>89054</xdr:rowOff>
    </xdr:to>
    <xdr:sp macro="[0]!sheet6_TiJiao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AF939B5-3F2F-404C-9A83-D8621A404E10}"/>
            </a:ext>
          </a:extLst>
        </xdr:cNvPr>
        <xdr:cNvSpPr/>
      </xdr:nvSpPr>
      <xdr:spPr>
        <a:xfrm>
          <a:off x="7866855" y="530457"/>
          <a:ext cx="882805" cy="271036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chemeClr val="tx1"/>
              </a:solidFill>
            </a:rPr>
            <a:t>提交</a:t>
          </a:r>
        </a:p>
      </xdr:txBody>
    </xdr:sp>
    <xdr:clientData/>
  </xdr:twoCellAnchor>
  <xdr:twoCellAnchor>
    <xdr:from>
      <xdr:col>5</xdr:col>
      <xdr:colOff>1602988</xdr:colOff>
      <xdr:row>2</xdr:row>
      <xdr:rowOff>174237</xdr:rowOff>
    </xdr:from>
    <xdr:to>
      <xdr:col>6</xdr:col>
      <xdr:colOff>836341</xdr:colOff>
      <xdr:row>4</xdr:row>
      <xdr:rowOff>89054</xdr:rowOff>
    </xdr:to>
    <xdr:sp macro="[0]!sheet6_QingKongShuJu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18DFAAD-EFE1-45EB-AABF-05B276BD5993}"/>
            </a:ext>
          </a:extLst>
        </xdr:cNvPr>
        <xdr:cNvSpPr/>
      </xdr:nvSpPr>
      <xdr:spPr>
        <a:xfrm>
          <a:off x="10299390" y="530457"/>
          <a:ext cx="882805" cy="271036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chemeClr val="tx1"/>
              </a:solidFill>
            </a:rPr>
            <a:t>清空数据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1417320</xdr:colOff>
          <xdr:row>0</xdr:row>
          <xdr:rowOff>434340</xdr:rowOff>
        </xdr:from>
        <xdr:to>
          <xdr:col>4</xdr:col>
          <xdr:colOff>106680</xdr:colOff>
          <xdr:row>0</xdr:row>
          <xdr:rowOff>739140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434340</xdr:rowOff>
        </xdr:from>
        <xdr:to>
          <xdr:col>4</xdr:col>
          <xdr:colOff>556260</xdr:colOff>
          <xdr:row>0</xdr:row>
          <xdr:rowOff>739140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0</xdr:row>
          <xdr:rowOff>449580</xdr:rowOff>
        </xdr:from>
        <xdr:to>
          <xdr:col>0</xdr:col>
          <xdr:colOff>899160</xdr:colOff>
          <xdr:row>0</xdr:row>
          <xdr:rowOff>693420</xdr:rowOff>
        </xdr:to>
        <xdr:sp macro="" textlink="">
          <xdr:nvSpPr>
            <xdr:cNvPr id="1028" name="ComboBox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579120</xdr:colOff>
          <xdr:row>0</xdr:row>
          <xdr:rowOff>434340</xdr:rowOff>
        </xdr:from>
        <xdr:to>
          <xdr:col>1</xdr:col>
          <xdr:colOff>1280160</xdr:colOff>
          <xdr:row>0</xdr:row>
          <xdr:rowOff>746760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5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701040</xdr:colOff>
          <xdr:row>0</xdr:row>
          <xdr:rowOff>441960</xdr:rowOff>
        </xdr:from>
        <xdr:to>
          <xdr:col>5</xdr:col>
          <xdr:colOff>76200</xdr:colOff>
          <xdr:row>0</xdr:row>
          <xdr:rowOff>739140</xdr:rowOff>
        </xdr:to>
        <xdr:sp macro="" textlink="">
          <xdr:nvSpPr>
            <xdr:cNvPr id="1032" name="CommandButton4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1280160</xdr:colOff>
          <xdr:row>1</xdr:row>
          <xdr:rowOff>45720</xdr:rowOff>
        </xdr:from>
        <xdr:to>
          <xdr:col>7</xdr:col>
          <xdr:colOff>822960</xdr:colOff>
          <xdr:row>3</xdr:row>
          <xdr:rowOff>22860</xdr:rowOff>
        </xdr:to>
        <xdr:sp macro="" textlink="">
          <xdr:nvSpPr>
            <xdr:cNvPr id="2061" name="Label1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6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1247589</xdr:colOff>
      <xdr:row>1</xdr:row>
      <xdr:rowOff>134471</xdr:rowOff>
    </xdr:from>
    <xdr:to>
      <xdr:col>4</xdr:col>
      <xdr:colOff>598923</xdr:colOff>
      <xdr:row>2</xdr:row>
      <xdr:rowOff>173919</xdr:rowOff>
    </xdr:to>
    <xdr:sp macro="[0]!UT.U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769A08C-22E4-4AF3-9A6F-3FCE84987ABB}"/>
            </a:ext>
          </a:extLst>
        </xdr:cNvPr>
        <xdr:cNvSpPr/>
      </xdr:nvSpPr>
      <xdr:spPr>
        <a:xfrm>
          <a:off x="6066118" y="366059"/>
          <a:ext cx="882805" cy="271036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ysClr val="windowText" lastClr="000000"/>
              </a:solidFill>
            </a:rPr>
            <a:t>查询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eychinamanaged.sharepoint.cn/sites/EDCshare/Shared%20Documents/Forms/AllItems.aspx?viewid=71930b50%2Deaa9%2D4000%2D80fc%2D6775daa18890&amp;FolderCTID=0x012000B74DA5E946A6554592C0FA93D46DD4F7&amp;id=%2Fsites%2FEDCshare%2FShared%20Documents%2F0016%2EService%20Go%2F0%2EService%20Go%20Library%2F1%2E%E6%93%8D%E4%BD%9C%E6%8C%87%E5%BC%95%2F3%2E%E6%8E%92%E7%8F%AD%E6%8C%87%E5%BC%95%2F%E6%8E%92%E7%8F%AD%E5%B0%8F%E5%B7%A5%E5%85%B7%E6%93%8D%E4%BD%9C%E6%8C%87%E5%BC%95%2Epdf&amp;parent=%2Fsites%2FEDCshare%2FShared%20Documents%2F0016%2EService%20Go%2F0%2EService%20Go%20Library%2F1%2E%E6%93%8D%E4%BD%9C%E6%8C%87%E5%BC%95%2F3%2E%E6%8E%92%E7%8F%AD%E6%8C%87%E5%BC%95" TargetMode="External"/><Relationship Id="rId2" Type="http://schemas.openxmlformats.org/officeDocument/2006/relationships/hyperlink" Target="https://servicego.ey.com.cn/site/custom-object/24594/records/view/77220489" TargetMode="External"/><Relationship Id="rId1" Type="http://schemas.openxmlformats.org/officeDocument/2006/relationships/hyperlink" Target="https://servicego.ey.com.cn/site/app/3796/tab/26398/custom-object/22905/records/filter/164296" TargetMode="Externa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59" Type="http://schemas.openxmlformats.org/officeDocument/2006/relationships/ctrlProp" Target="../ctrlProps/ctrlProp157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124" Type="http://schemas.openxmlformats.org/officeDocument/2006/relationships/ctrlProp" Target="../ctrlProps/ctrlProp122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45" Type="http://schemas.openxmlformats.org/officeDocument/2006/relationships/ctrlProp" Target="../ctrlProps/ctrlProp143.xml"/><Relationship Id="rId161" Type="http://schemas.openxmlformats.org/officeDocument/2006/relationships/ctrlProp" Target="../ctrlProps/ctrlProp159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35" Type="http://schemas.openxmlformats.org/officeDocument/2006/relationships/ctrlProp" Target="../ctrlProps/ctrlProp133.xml"/><Relationship Id="rId151" Type="http://schemas.openxmlformats.org/officeDocument/2006/relationships/ctrlProp" Target="../ctrlProps/ctrlProp149.xml"/><Relationship Id="rId156" Type="http://schemas.openxmlformats.org/officeDocument/2006/relationships/ctrlProp" Target="../ctrlProps/ctrlProp154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141" Type="http://schemas.openxmlformats.org/officeDocument/2006/relationships/ctrlProp" Target="../ctrlProps/ctrlProp139.xml"/><Relationship Id="rId146" Type="http://schemas.openxmlformats.org/officeDocument/2006/relationships/ctrlProp" Target="../ctrlProps/ctrlProp144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162" Type="http://schemas.openxmlformats.org/officeDocument/2006/relationships/ctrlProp" Target="../ctrlProps/ctrlProp16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131" Type="http://schemas.openxmlformats.org/officeDocument/2006/relationships/ctrlProp" Target="../ctrlProps/ctrlProp129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52" Type="http://schemas.openxmlformats.org/officeDocument/2006/relationships/ctrlProp" Target="../ctrlProps/ctrlProp15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48" Type="http://schemas.openxmlformats.org/officeDocument/2006/relationships/ctrlProp" Target="../ctrlProps/ctrlProp146.xml"/><Relationship Id="rId164" Type="http://schemas.openxmlformats.org/officeDocument/2006/relationships/ctrlProp" Target="../ctrlProps/ctrlProp162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6" Type="http://schemas.openxmlformats.org/officeDocument/2006/relationships/ctrlProp" Target="../ctrlProps/ctrlProp14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E79CE-D2B3-431D-9B0B-8EE62BA84B1E}">
  <sheetPr codeName="Sheet4"/>
  <dimension ref="A1:J301"/>
  <sheetViews>
    <sheetView zoomScale="85" zoomScaleNormal="85" workbookViewId="0">
      <pane ySplit="1" topLeftCell="A287" activePane="bottomLeft" state="frozen"/>
      <selection pane="bottomLeft" activeCell="B280" sqref="B280"/>
    </sheetView>
  </sheetViews>
  <sheetFormatPr defaultRowHeight="13.8" x14ac:dyDescent="0.25"/>
  <cols>
    <col min="1" max="1" width="25.109375" customWidth="1"/>
    <col min="2" max="2" width="36.77734375" customWidth="1"/>
    <col min="3" max="6" width="2.33203125" customWidth="1"/>
    <col min="7" max="7" width="21.109375" bestFit="1" customWidth="1"/>
    <col min="8" max="8" width="30" customWidth="1"/>
    <col min="9" max="9" width="25.21875" bestFit="1" customWidth="1"/>
    <col min="10" max="10" width="26" customWidth="1"/>
  </cols>
  <sheetData>
    <row r="1" spans="1:10" x14ac:dyDescent="0.25">
      <c r="A1" s="5" t="s">
        <v>0</v>
      </c>
      <c r="B1" s="5" t="s">
        <v>1</v>
      </c>
      <c r="G1" s="5" t="s">
        <v>2</v>
      </c>
      <c r="H1" s="5" t="s">
        <v>3</v>
      </c>
      <c r="I1" s="5" t="s">
        <v>4</v>
      </c>
      <c r="J1" s="5" t="s">
        <v>5</v>
      </c>
    </row>
    <row r="2" spans="1:10" x14ac:dyDescent="0.25">
      <c r="A2" t="s">
        <v>6</v>
      </c>
      <c r="B2" t="s">
        <v>7</v>
      </c>
      <c r="G2" s="4" t="s">
        <v>8</v>
      </c>
      <c r="H2" s="4" t="s">
        <v>9</v>
      </c>
      <c r="I2" s="4" t="s">
        <v>10</v>
      </c>
      <c r="J2" t="s">
        <v>11</v>
      </c>
    </row>
    <row r="3" spans="1:10" x14ac:dyDescent="0.25">
      <c r="A3" t="s">
        <v>12</v>
      </c>
      <c r="B3" t="s">
        <v>13</v>
      </c>
      <c r="G3" s="4" t="s">
        <v>8</v>
      </c>
      <c r="H3" s="4" t="s">
        <v>14</v>
      </c>
      <c r="I3" s="4" t="s">
        <v>15</v>
      </c>
      <c r="J3" t="s">
        <v>16</v>
      </c>
    </row>
    <row r="4" spans="1:10" x14ac:dyDescent="0.25">
      <c r="A4" t="s">
        <v>12</v>
      </c>
      <c r="B4" t="s">
        <v>17</v>
      </c>
      <c r="G4" s="4" t="s">
        <v>8</v>
      </c>
      <c r="H4" s="4" t="s">
        <v>18</v>
      </c>
      <c r="I4" s="4" t="s">
        <v>19</v>
      </c>
      <c r="J4" t="s">
        <v>20</v>
      </c>
    </row>
    <row r="5" spans="1:10" x14ac:dyDescent="0.25">
      <c r="A5" t="s">
        <v>12</v>
      </c>
      <c r="B5" t="s">
        <v>21</v>
      </c>
      <c r="G5" s="4" t="s">
        <v>8</v>
      </c>
      <c r="H5" s="4" t="s">
        <v>22</v>
      </c>
      <c r="I5" s="4" t="s">
        <v>23</v>
      </c>
      <c r="J5" t="s">
        <v>24</v>
      </c>
    </row>
    <row r="6" spans="1:10" x14ac:dyDescent="0.25">
      <c r="A6" t="s">
        <v>12</v>
      </c>
      <c r="B6" t="s">
        <v>25</v>
      </c>
      <c r="G6" s="4" t="s">
        <v>8</v>
      </c>
      <c r="H6" s="4" t="s">
        <v>26</v>
      </c>
      <c r="I6" s="4" t="s">
        <v>27</v>
      </c>
      <c r="J6" t="s">
        <v>28</v>
      </c>
    </row>
    <row r="7" spans="1:10" x14ac:dyDescent="0.25">
      <c r="A7" t="s">
        <v>12</v>
      </c>
      <c r="B7" t="s">
        <v>29</v>
      </c>
      <c r="G7" s="4" t="s">
        <v>30</v>
      </c>
      <c r="H7" s="4" t="s">
        <v>31</v>
      </c>
      <c r="I7" s="4" t="s">
        <v>32</v>
      </c>
      <c r="J7" t="s">
        <v>33</v>
      </c>
    </row>
    <row r="8" spans="1:10" x14ac:dyDescent="0.25">
      <c r="A8" t="s">
        <v>12</v>
      </c>
      <c r="B8" t="s">
        <v>34</v>
      </c>
      <c r="G8" s="4" t="s">
        <v>35</v>
      </c>
      <c r="H8" s="4" t="s">
        <v>36</v>
      </c>
      <c r="I8" s="4" t="s">
        <v>37</v>
      </c>
      <c r="J8" t="s">
        <v>33</v>
      </c>
    </row>
    <row r="9" spans="1:10" x14ac:dyDescent="0.25">
      <c r="A9" t="s">
        <v>12</v>
      </c>
      <c r="B9" t="s">
        <v>38</v>
      </c>
      <c r="G9" s="4" t="s">
        <v>35</v>
      </c>
      <c r="H9" s="4" t="s">
        <v>39</v>
      </c>
      <c r="I9" s="4" t="s">
        <v>40</v>
      </c>
      <c r="J9" t="s">
        <v>20</v>
      </c>
    </row>
    <row r="10" spans="1:10" x14ac:dyDescent="0.25">
      <c r="A10" t="s">
        <v>12</v>
      </c>
      <c r="B10" t="s">
        <v>41</v>
      </c>
      <c r="G10" s="4" t="s">
        <v>42</v>
      </c>
      <c r="H10" s="4" t="s">
        <v>36</v>
      </c>
      <c r="I10" s="4" t="s">
        <v>43</v>
      </c>
      <c r="J10" t="s">
        <v>33</v>
      </c>
    </row>
    <row r="11" spans="1:10" x14ac:dyDescent="0.25">
      <c r="A11" t="s">
        <v>12</v>
      </c>
      <c r="B11" t="s">
        <v>44</v>
      </c>
      <c r="G11" s="4" t="s">
        <v>42</v>
      </c>
      <c r="H11" s="4" t="s">
        <v>39</v>
      </c>
      <c r="I11" s="4" t="s">
        <v>45</v>
      </c>
      <c r="J11" t="s">
        <v>46</v>
      </c>
    </row>
    <row r="12" spans="1:10" x14ac:dyDescent="0.25">
      <c r="A12" t="s">
        <v>47</v>
      </c>
      <c r="B12" t="s">
        <v>48</v>
      </c>
      <c r="G12" s="4" t="s">
        <v>49</v>
      </c>
      <c r="H12" s="4" t="s">
        <v>50</v>
      </c>
      <c r="I12" s="4" t="s">
        <v>51</v>
      </c>
      <c r="J12" t="s">
        <v>52</v>
      </c>
    </row>
    <row r="13" spans="1:10" x14ac:dyDescent="0.25">
      <c r="A13" t="s">
        <v>47</v>
      </c>
      <c r="B13" t="s">
        <v>53</v>
      </c>
      <c r="G13" s="4" t="s">
        <v>49</v>
      </c>
      <c r="H13" s="4" t="s">
        <v>54</v>
      </c>
      <c r="I13" s="4" t="s">
        <v>55</v>
      </c>
      <c r="J13" t="s">
        <v>56</v>
      </c>
    </row>
    <row r="14" spans="1:10" x14ac:dyDescent="0.25">
      <c r="A14" t="s">
        <v>47</v>
      </c>
      <c r="B14" t="s">
        <v>57</v>
      </c>
      <c r="G14" s="4" t="s">
        <v>49</v>
      </c>
      <c r="H14" s="4" t="s">
        <v>58</v>
      </c>
      <c r="I14" s="4" t="s">
        <v>59</v>
      </c>
      <c r="J14" t="s">
        <v>60</v>
      </c>
    </row>
    <row r="15" spans="1:10" x14ac:dyDescent="0.25">
      <c r="A15" t="s">
        <v>47</v>
      </c>
      <c r="B15" t="s">
        <v>61</v>
      </c>
      <c r="G15" s="4" t="s">
        <v>62</v>
      </c>
      <c r="H15" s="4" t="s">
        <v>63</v>
      </c>
      <c r="I15" s="4" t="s">
        <v>64</v>
      </c>
      <c r="J15" t="s">
        <v>65</v>
      </c>
    </row>
    <row r="16" spans="1:10" x14ac:dyDescent="0.25">
      <c r="A16" t="s">
        <v>47</v>
      </c>
      <c r="B16" t="s">
        <v>66</v>
      </c>
      <c r="G16" s="4" t="s">
        <v>62</v>
      </c>
      <c r="H16" s="4" t="s">
        <v>67</v>
      </c>
      <c r="I16" s="4" t="s">
        <v>68</v>
      </c>
    </row>
    <row r="17" spans="1:10" x14ac:dyDescent="0.25">
      <c r="A17" t="s">
        <v>47</v>
      </c>
      <c r="B17" t="s">
        <v>69</v>
      </c>
      <c r="G17" s="4" t="s">
        <v>62</v>
      </c>
      <c r="H17" s="4" t="s">
        <v>70</v>
      </c>
      <c r="I17" s="4" t="s">
        <v>71</v>
      </c>
      <c r="J17" t="s">
        <v>33</v>
      </c>
    </row>
    <row r="18" spans="1:10" x14ac:dyDescent="0.25">
      <c r="A18" t="s">
        <v>22</v>
      </c>
      <c r="B18" t="s">
        <v>72</v>
      </c>
      <c r="G18" s="4" t="s">
        <v>62</v>
      </c>
      <c r="H18" s="4" t="s">
        <v>73</v>
      </c>
      <c r="I18" s="4" t="s">
        <v>74</v>
      </c>
      <c r="J18" t="s">
        <v>75</v>
      </c>
    </row>
    <row r="19" spans="1:10" x14ac:dyDescent="0.25">
      <c r="A19" t="s">
        <v>22</v>
      </c>
      <c r="B19" t="s">
        <v>76</v>
      </c>
      <c r="G19" s="4" t="s">
        <v>62</v>
      </c>
      <c r="H19" s="4" t="s">
        <v>77</v>
      </c>
      <c r="I19" s="4" t="s">
        <v>78</v>
      </c>
      <c r="J19" t="s">
        <v>33</v>
      </c>
    </row>
    <row r="20" spans="1:10" x14ac:dyDescent="0.25">
      <c r="A20" t="s">
        <v>22</v>
      </c>
      <c r="B20" t="s">
        <v>79</v>
      </c>
      <c r="G20" t="s">
        <v>62</v>
      </c>
      <c r="H20" t="s">
        <v>80</v>
      </c>
      <c r="I20" t="s">
        <v>81</v>
      </c>
      <c r="J20" t="s">
        <v>82</v>
      </c>
    </row>
    <row r="21" spans="1:10" x14ac:dyDescent="0.25">
      <c r="A21" t="s">
        <v>22</v>
      </c>
      <c r="B21" t="s">
        <v>83</v>
      </c>
      <c r="G21" t="s">
        <v>62</v>
      </c>
      <c r="H21" t="s">
        <v>84</v>
      </c>
      <c r="I21" t="s">
        <v>85</v>
      </c>
      <c r="J21" t="s">
        <v>86</v>
      </c>
    </row>
    <row r="22" spans="1:10" x14ac:dyDescent="0.25">
      <c r="A22" t="s">
        <v>22</v>
      </c>
      <c r="B22" t="s">
        <v>87</v>
      </c>
      <c r="G22" t="s">
        <v>62</v>
      </c>
      <c r="H22" t="s">
        <v>88</v>
      </c>
      <c r="I22" t="s">
        <v>89</v>
      </c>
      <c r="J22" t="s">
        <v>90</v>
      </c>
    </row>
    <row r="23" spans="1:10" x14ac:dyDescent="0.25">
      <c r="A23" t="s">
        <v>22</v>
      </c>
      <c r="B23" t="s">
        <v>91</v>
      </c>
      <c r="G23" t="s">
        <v>62</v>
      </c>
      <c r="H23" t="s">
        <v>88</v>
      </c>
      <c r="I23" t="s">
        <v>92</v>
      </c>
      <c r="J23" t="s">
        <v>93</v>
      </c>
    </row>
    <row r="24" spans="1:10" x14ac:dyDescent="0.25">
      <c r="A24" t="s">
        <v>22</v>
      </c>
      <c r="B24" t="s">
        <v>94</v>
      </c>
      <c r="G24" t="s">
        <v>62</v>
      </c>
      <c r="H24" t="s">
        <v>88</v>
      </c>
      <c r="I24" t="s">
        <v>95</v>
      </c>
      <c r="J24" t="s">
        <v>90</v>
      </c>
    </row>
    <row r="25" spans="1:10" x14ac:dyDescent="0.25">
      <c r="A25" t="s">
        <v>22</v>
      </c>
      <c r="B25" t="s">
        <v>96</v>
      </c>
      <c r="G25" t="s">
        <v>62</v>
      </c>
      <c r="H25" t="s">
        <v>88</v>
      </c>
      <c r="I25" t="s">
        <v>97</v>
      </c>
      <c r="J25" t="s">
        <v>90</v>
      </c>
    </row>
    <row r="26" spans="1:10" x14ac:dyDescent="0.25">
      <c r="A26" t="s">
        <v>22</v>
      </c>
      <c r="B26" t="s">
        <v>98</v>
      </c>
      <c r="G26" t="s">
        <v>62</v>
      </c>
      <c r="H26" t="s">
        <v>88</v>
      </c>
      <c r="I26" t="s">
        <v>99</v>
      </c>
      <c r="J26" t="s">
        <v>33</v>
      </c>
    </row>
    <row r="27" spans="1:10" x14ac:dyDescent="0.25">
      <c r="A27" t="s">
        <v>22</v>
      </c>
      <c r="B27" t="s">
        <v>100</v>
      </c>
      <c r="G27" t="s">
        <v>62</v>
      </c>
      <c r="H27" t="s">
        <v>101</v>
      </c>
      <c r="I27" t="s">
        <v>102</v>
      </c>
      <c r="J27" t="s">
        <v>103</v>
      </c>
    </row>
    <row r="28" spans="1:10" x14ac:dyDescent="0.25">
      <c r="A28" t="s">
        <v>22</v>
      </c>
      <c r="B28" t="s">
        <v>104</v>
      </c>
      <c r="G28" t="s">
        <v>62</v>
      </c>
      <c r="H28" t="s">
        <v>101</v>
      </c>
      <c r="I28" t="s">
        <v>105</v>
      </c>
      <c r="J28" t="s">
        <v>33</v>
      </c>
    </row>
    <row r="29" spans="1:10" x14ac:dyDescent="0.25">
      <c r="A29" t="s">
        <v>22</v>
      </c>
      <c r="B29" t="s">
        <v>106</v>
      </c>
      <c r="G29" t="s">
        <v>62</v>
      </c>
      <c r="H29" t="s">
        <v>101</v>
      </c>
      <c r="I29" t="s">
        <v>107</v>
      </c>
      <c r="J29" t="s">
        <v>108</v>
      </c>
    </row>
    <row r="30" spans="1:10" x14ac:dyDescent="0.25">
      <c r="A30" t="s">
        <v>18</v>
      </c>
      <c r="B30" t="s">
        <v>109</v>
      </c>
      <c r="G30" t="s">
        <v>62</v>
      </c>
      <c r="H30" t="s">
        <v>101</v>
      </c>
      <c r="I30" t="s">
        <v>110</v>
      </c>
      <c r="J30" t="s">
        <v>33</v>
      </c>
    </row>
    <row r="31" spans="1:10" x14ac:dyDescent="0.25">
      <c r="A31" t="s">
        <v>18</v>
      </c>
      <c r="B31" t="s">
        <v>111</v>
      </c>
      <c r="G31" t="s">
        <v>62</v>
      </c>
      <c r="H31" t="s">
        <v>112</v>
      </c>
      <c r="I31" t="s">
        <v>113</v>
      </c>
      <c r="J31" t="s">
        <v>33</v>
      </c>
    </row>
    <row r="32" spans="1:10" x14ac:dyDescent="0.25">
      <c r="A32" t="s">
        <v>67</v>
      </c>
      <c r="B32" t="s">
        <v>114</v>
      </c>
      <c r="G32" t="s">
        <v>62</v>
      </c>
      <c r="H32" t="s">
        <v>115</v>
      </c>
      <c r="I32" t="s">
        <v>116</v>
      </c>
      <c r="J32" t="s">
        <v>117</v>
      </c>
    </row>
    <row r="33" spans="1:10" x14ac:dyDescent="0.25">
      <c r="A33" t="s">
        <v>67</v>
      </c>
      <c r="B33" t="s">
        <v>118</v>
      </c>
      <c r="G33" t="s">
        <v>62</v>
      </c>
      <c r="H33" t="s">
        <v>119</v>
      </c>
      <c r="I33" t="s">
        <v>120</v>
      </c>
      <c r="J33" t="s">
        <v>121</v>
      </c>
    </row>
    <row r="34" spans="1:10" x14ac:dyDescent="0.25">
      <c r="A34" t="s">
        <v>67</v>
      </c>
      <c r="B34" t="s">
        <v>122</v>
      </c>
      <c r="G34" t="s">
        <v>62</v>
      </c>
      <c r="H34" t="s">
        <v>47</v>
      </c>
      <c r="I34" t="s">
        <v>123</v>
      </c>
      <c r="J34" t="s">
        <v>33</v>
      </c>
    </row>
    <row r="35" spans="1:10" x14ac:dyDescent="0.25">
      <c r="A35" t="s">
        <v>67</v>
      </c>
      <c r="B35" t="s">
        <v>124</v>
      </c>
      <c r="G35" t="s">
        <v>62</v>
      </c>
      <c r="H35" t="s">
        <v>12</v>
      </c>
      <c r="I35" t="s">
        <v>125</v>
      </c>
      <c r="J35" t="s">
        <v>126</v>
      </c>
    </row>
    <row r="36" spans="1:10" x14ac:dyDescent="0.25">
      <c r="A36" t="s">
        <v>67</v>
      </c>
      <c r="B36" t="s">
        <v>127</v>
      </c>
      <c r="G36" t="s">
        <v>62</v>
      </c>
      <c r="H36" t="s">
        <v>128</v>
      </c>
      <c r="I36" t="s">
        <v>129</v>
      </c>
      <c r="J36" t="s">
        <v>130</v>
      </c>
    </row>
    <row r="37" spans="1:10" x14ac:dyDescent="0.25">
      <c r="A37" t="s">
        <v>67</v>
      </c>
      <c r="B37" t="s">
        <v>131</v>
      </c>
      <c r="G37" t="s">
        <v>62</v>
      </c>
      <c r="H37" t="s">
        <v>88</v>
      </c>
      <c r="I37" t="s">
        <v>132</v>
      </c>
      <c r="J37" t="s">
        <v>133</v>
      </c>
    </row>
    <row r="38" spans="1:10" x14ac:dyDescent="0.25">
      <c r="A38" t="s">
        <v>67</v>
      </c>
      <c r="B38" t="s">
        <v>134</v>
      </c>
      <c r="G38" t="s">
        <v>62</v>
      </c>
      <c r="H38" t="s">
        <v>9</v>
      </c>
      <c r="I38" t="s">
        <v>135</v>
      </c>
      <c r="J38" t="s">
        <v>136</v>
      </c>
    </row>
    <row r="39" spans="1:10" x14ac:dyDescent="0.25">
      <c r="A39" t="s">
        <v>67</v>
      </c>
      <c r="B39" t="s">
        <v>137</v>
      </c>
      <c r="G39" t="s">
        <v>62</v>
      </c>
      <c r="H39" t="s">
        <v>112</v>
      </c>
      <c r="I39" t="s">
        <v>138</v>
      </c>
      <c r="J39" t="s">
        <v>33</v>
      </c>
    </row>
    <row r="40" spans="1:10" x14ac:dyDescent="0.25">
      <c r="A40" t="s">
        <v>139</v>
      </c>
      <c r="B40" t="s">
        <v>127</v>
      </c>
      <c r="G40" t="s">
        <v>62</v>
      </c>
      <c r="H40" t="s">
        <v>139</v>
      </c>
      <c r="I40" t="s">
        <v>140</v>
      </c>
      <c r="J40" t="s">
        <v>141</v>
      </c>
    </row>
    <row r="41" spans="1:10" x14ac:dyDescent="0.25">
      <c r="A41" t="s">
        <v>139</v>
      </c>
      <c r="B41" t="s">
        <v>142</v>
      </c>
      <c r="G41" t="s">
        <v>62</v>
      </c>
      <c r="H41" t="s">
        <v>143</v>
      </c>
      <c r="I41" t="s">
        <v>144</v>
      </c>
      <c r="J41" t="s">
        <v>33</v>
      </c>
    </row>
    <row r="42" spans="1:10" x14ac:dyDescent="0.25">
      <c r="A42" t="s">
        <v>139</v>
      </c>
      <c r="B42" t="s">
        <v>145</v>
      </c>
      <c r="G42" t="s">
        <v>62</v>
      </c>
      <c r="H42" t="s">
        <v>146</v>
      </c>
      <c r="I42" t="s">
        <v>147</v>
      </c>
      <c r="J42" t="s">
        <v>148</v>
      </c>
    </row>
    <row r="43" spans="1:10" x14ac:dyDescent="0.25">
      <c r="A43" t="s">
        <v>101</v>
      </c>
      <c r="B43" t="s">
        <v>118</v>
      </c>
      <c r="G43" t="s">
        <v>62</v>
      </c>
      <c r="H43" t="s">
        <v>149</v>
      </c>
      <c r="I43" t="s">
        <v>150</v>
      </c>
      <c r="J43" t="s">
        <v>151</v>
      </c>
    </row>
    <row r="44" spans="1:10" x14ac:dyDescent="0.25">
      <c r="A44" t="s">
        <v>101</v>
      </c>
      <c r="B44" t="s">
        <v>122</v>
      </c>
      <c r="G44" t="s">
        <v>62</v>
      </c>
      <c r="H44" t="s">
        <v>152</v>
      </c>
      <c r="I44" t="s">
        <v>153</v>
      </c>
      <c r="J44" t="s">
        <v>46</v>
      </c>
    </row>
    <row r="45" spans="1:10" x14ac:dyDescent="0.25">
      <c r="A45" t="s">
        <v>73</v>
      </c>
      <c r="B45" t="s">
        <v>118</v>
      </c>
      <c r="G45" t="s">
        <v>62</v>
      </c>
      <c r="H45" t="s">
        <v>154</v>
      </c>
      <c r="I45" t="s">
        <v>155</v>
      </c>
      <c r="J45" t="s">
        <v>156</v>
      </c>
    </row>
    <row r="46" spans="1:10" x14ac:dyDescent="0.25">
      <c r="A46" t="s">
        <v>73</v>
      </c>
      <c r="B46" t="s">
        <v>122</v>
      </c>
      <c r="G46" t="s">
        <v>62</v>
      </c>
      <c r="H46" t="s">
        <v>157</v>
      </c>
      <c r="I46" t="s">
        <v>158</v>
      </c>
      <c r="J46" t="s">
        <v>46</v>
      </c>
    </row>
    <row r="47" spans="1:10" x14ac:dyDescent="0.25">
      <c r="A47" t="s">
        <v>73</v>
      </c>
      <c r="B47" t="s">
        <v>124</v>
      </c>
      <c r="G47" t="s">
        <v>62</v>
      </c>
      <c r="H47" t="s">
        <v>159</v>
      </c>
      <c r="I47" t="s">
        <v>160</v>
      </c>
      <c r="J47" t="s">
        <v>161</v>
      </c>
    </row>
    <row r="48" spans="1:10" x14ac:dyDescent="0.25">
      <c r="A48" t="s">
        <v>73</v>
      </c>
      <c r="B48" t="s">
        <v>127</v>
      </c>
      <c r="G48" t="s">
        <v>162</v>
      </c>
      <c r="H48" t="s">
        <v>50</v>
      </c>
      <c r="I48" t="s">
        <v>163</v>
      </c>
      <c r="J48" t="s">
        <v>33</v>
      </c>
    </row>
    <row r="49" spans="1:10" x14ac:dyDescent="0.25">
      <c r="A49" t="s">
        <v>84</v>
      </c>
      <c r="B49" t="s">
        <v>118</v>
      </c>
      <c r="G49" t="s">
        <v>162</v>
      </c>
      <c r="H49" t="s">
        <v>54</v>
      </c>
      <c r="I49" t="s">
        <v>164</v>
      </c>
      <c r="J49" t="s">
        <v>33</v>
      </c>
    </row>
    <row r="50" spans="1:10" x14ac:dyDescent="0.25">
      <c r="A50" t="s">
        <v>84</v>
      </c>
      <c r="B50" t="s">
        <v>124</v>
      </c>
      <c r="G50" t="s">
        <v>162</v>
      </c>
      <c r="H50" t="s">
        <v>58</v>
      </c>
      <c r="I50" t="s">
        <v>165</v>
      </c>
      <c r="J50" t="s">
        <v>60</v>
      </c>
    </row>
    <row r="51" spans="1:10" x14ac:dyDescent="0.25">
      <c r="A51" t="s">
        <v>84</v>
      </c>
      <c r="B51" t="s">
        <v>127</v>
      </c>
      <c r="G51" t="s">
        <v>166</v>
      </c>
      <c r="H51" t="s">
        <v>119</v>
      </c>
      <c r="I51" t="s">
        <v>167</v>
      </c>
      <c r="J51" t="s">
        <v>168</v>
      </c>
    </row>
    <row r="52" spans="1:10" x14ac:dyDescent="0.25">
      <c r="A52" t="s">
        <v>36</v>
      </c>
      <c r="B52" t="s">
        <v>118</v>
      </c>
      <c r="G52" t="s">
        <v>166</v>
      </c>
      <c r="H52" t="s">
        <v>12</v>
      </c>
      <c r="I52" t="s">
        <v>169</v>
      </c>
      <c r="J52" t="s">
        <v>33</v>
      </c>
    </row>
    <row r="53" spans="1:10" x14ac:dyDescent="0.25">
      <c r="A53" t="s">
        <v>36</v>
      </c>
      <c r="B53" t="s">
        <v>137</v>
      </c>
      <c r="G53" t="s">
        <v>166</v>
      </c>
      <c r="H53" t="s">
        <v>128</v>
      </c>
      <c r="I53" t="s">
        <v>170</v>
      </c>
      <c r="J53" t="s">
        <v>33</v>
      </c>
    </row>
    <row r="54" spans="1:10" x14ac:dyDescent="0.25">
      <c r="A54" t="s">
        <v>36</v>
      </c>
      <c r="B54" t="s">
        <v>171</v>
      </c>
      <c r="G54" t="s">
        <v>166</v>
      </c>
      <c r="H54" t="s">
        <v>88</v>
      </c>
      <c r="I54" t="s">
        <v>172</v>
      </c>
      <c r="J54" t="s">
        <v>33</v>
      </c>
    </row>
    <row r="55" spans="1:10" x14ac:dyDescent="0.25">
      <c r="A55" t="s">
        <v>36</v>
      </c>
      <c r="B55" t="s">
        <v>173</v>
      </c>
      <c r="G55" t="s">
        <v>166</v>
      </c>
      <c r="H55" t="s">
        <v>47</v>
      </c>
      <c r="I55" t="s">
        <v>174</v>
      </c>
      <c r="J55" t="s">
        <v>33</v>
      </c>
    </row>
    <row r="56" spans="1:10" x14ac:dyDescent="0.25">
      <c r="A56" t="s">
        <v>36</v>
      </c>
      <c r="B56" t="s">
        <v>175</v>
      </c>
      <c r="G56" t="s">
        <v>166</v>
      </c>
      <c r="H56" t="s">
        <v>139</v>
      </c>
      <c r="I56" t="s">
        <v>176</v>
      </c>
      <c r="J56" t="s">
        <v>90</v>
      </c>
    </row>
    <row r="57" spans="1:10" x14ac:dyDescent="0.25">
      <c r="A57" t="s">
        <v>36</v>
      </c>
      <c r="B57" t="s">
        <v>177</v>
      </c>
      <c r="G57" t="s">
        <v>166</v>
      </c>
      <c r="H57" t="s">
        <v>9</v>
      </c>
      <c r="I57" t="s">
        <v>178</v>
      </c>
      <c r="J57" t="s">
        <v>33</v>
      </c>
    </row>
    <row r="58" spans="1:10" x14ac:dyDescent="0.25">
      <c r="A58" t="s">
        <v>36</v>
      </c>
      <c r="B58" t="s">
        <v>179</v>
      </c>
      <c r="G58" t="s">
        <v>166</v>
      </c>
      <c r="H58" t="s">
        <v>112</v>
      </c>
      <c r="I58" t="s">
        <v>180</v>
      </c>
      <c r="J58" t="s">
        <v>33</v>
      </c>
    </row>
    <row r="59" spans="1:10" x14ac:dyDescent="0.25">
      <c r="A59" t="s">
        <v>36</v>
      </c>
      <c r="B59" t="s">
        <v>181</v>
      </c>
      <c r="G59" t="s">
        <v>166</v>
      </c>
      <c r="H59" t="s">
        <v>146</v>
      </c>
      <c r="I59" t="s">
        <v>182</v>
      </c>
      <c r="J59" t="s">
        <v>33</v>
      </c>
    </row>
    <row r="60" spans="1:10" x14ac:dyDescent="0.25">
      <c r="A60" t="s">
        <v>88</v>
      </c>
      <c r="B60" t="s">
        <v>118</v>
      </c>
      <c r="G60" t="s">
        <v>166</v>
      </c>
      <c r="H60" t="s">
        <v>149</v>
      </c>
      <c r="I60" t="s">
        <v>183</v>
      </c>
      <c r="J60" t="s">
        <v>33</v>
      </c>
    </row>
    <row r="61" spans="1:10" x14ac:dyDescent="0.25">
      <c r="A61" t="s">
        <v>88</v>
      </c>
      <c r="B61" t="s">
        <v>122</v>
      </c>
      <c r="G61" t="s">
        <v>166</v>
      </c>
      <c r="H61" t="s">
        <v>143</v>
      </c>
      <c r="I61" t="s">
        <v>184</v>
      </c>
      <c r="J61" t="s">
        <v>33</v>
      </c>
    </row>
    <row r="62" spans="1:10" x14ac:dyDescent="0.25">
      <c r="A62" t="s">
        <v>88</v>
      </c>
      <c r="B62" t="s">
        <v>124</v>
      </c>
      <c r="G62" t="s">
        <v>166</v>
      </c>
      <c r="H62" t="s">
        <v>152</v>
      </c>
      <c r="I62" t="s">
        <v>185</v>
      </c>
      <c r="J62" t="s">
        <v>46</v>
      </c>
    </row>
    <row r="63" spans="1:10" x14ac:dyDescent="0.25">
      <c r="A63" t="s">
        <v>88</v>
      </c>
      <c r="B63" t="s">
        <v>127</v>
      </c>
      <c r="G63" t="s">
        <v>166</v>
      </c>
      <c r="H63" t="s">
        <v>157</v>
      </c>
      <c r="I63" t="s">
        <v>186</v>
      </c>
      <c r="J63" t="s">
        <v>46</v>
      </c>
    </row>
    <row r="64" spans="1:10" x14ac:dyDescent="0.25">
      <c r="A64" t="s">
        <v>88</v>
      </c>
      <c r="B64" t="s">
        <v>131</v>
      </c>
      <c r="G64" t="s">
        <v>166</v>
      </c>
      <c r="H64" t="s">
        <v>154</v>
      </c>
      <c r="I64" t="s">
        <v>187</v>
      </c>
      <c r="J64" t="s">
        <v>156</v>
      </c>
    </row>
    <row r="65" spans="1:10" x14ac:dyDescent="0.25">
      <c r="A65" t="s">
        <v>88</v>
      </c>
      <c r="B65" t="s">
        <v>134</v>
      </c>
      <c r="G65" t="s">
        <v>166</v>
      </c>
      <c r="H65" t="s">
        <v>159</v>
      </c>
      <c r="I65" t="s">
        <v>188</v>
      </c>
      <c r="J65" t="s">
        <v>161</v>
      </c>
    </row>
    <row r="66" spans="1:10" x14ac:dyDescent="0.25">
      <c r="A66" t="s">
        <v>88</v>
      </c>
      <c r="B66" t="s">
        <v>137</v>
      </c>
      <c r="G66" t="s">
        <v>189</v>
      </c>
      <c r="H66" t="s">
        <v>190</v>
      </c>
      <c r="I66" t="s">
        <v>191</v>
      </c>
      <c r="J66" t="s">
        <v>33</v>
      </c>
    </row>
    <row r="67" spans="1:10" x14ac:dyDescent="0.25">
      <c r="A67" t="s">
        <v>128</v>
      </c>
      <c r="B67" t="s">
        <v>118</v>
      </c>
      <c r="G67" t="s">
        <v>192</v>
      </c>
      <c r="H67" t="s">
        <v>193</v>
      </c>
      <c r="I67" t="s">
        <v>194</v>
      </c>
      <c r="J67" t="s">
        <v>24</v>
      </c>
    </row>
    <row r="68" spans="1:10" x14ac:dyDescent="0.25">
      <c r="A68" t="s">
        <v>128</v>
      </c>
      <c r="B68" t="s">
        <v>122</v>
      </c>
      <c r="G68" t="s">
        <v>195</v>
      </c>
      <c r="H68" t="s">
        <v>196</v>
      </c>
      <c r="I68" t="s">
        <v>197</v>
      </c>
      <c r="J68" t="s">
        <v>24</v>
      </c>
    </row>
    <row r="69" spans="1:10" x14ac:dyDescent="0.25">
      <c r="A69" t="s">
        <v>128</v>
      </c>
      <c r="B69" t="s">
        <v>124</v>
      </c>
      <c r="G69" t="s">
        <v>198</v>
      </c>
      <c r="H69" t="s">
        <v>199</v>
      </c>
      <c r="I69" t="s">
        <v>200</v>
      </c>
      <c r="J69" t="s">
        <v>24</v>
      </c>
    </row>
    <row r="70" spans="1:10" x14ac:dyDescent="0.25">
      <c r="A70" t="s">
        <v>128</v>
      </c>
      <c r="B70" t="s">
        <v>127</v>
      </c>
    </row>
    <row r="71" spans="1:10" x14ac:dyDescent="0.25">
      <c r="A71" t="s">
        <v>128</v>
      </c>
      <c r="B71" t="s">
        <v>131</v>
      </c>
    </row>
    <row r="72" spans="1:10" x14ac:dyDescent="0.25">
      <c r="A72" t="s">
        <v>128</v>
      </c>
      <c r="B72" t="s">
        <v>201</v>
      </c>
    </row>
    <row r="73" spans="1:10" x14ac:dyDescent="0.25">
      <c r="A73" t="s">
        <v>63</v>
      </c>
      <c r="B73" t="s">
        <v>118</v>
      </c>
    </row>
    <row r="74" spans="1:10" x14ac:dyDescent="0.25">
      <c r="A74" t="s">
        <v>63</v>
      </c>
      <c r="B74" t="s">
        <v>124</v>
      </c>
    </row>
    <row r="75" spans="1:10" x14ac:dyDescent="0.25">
      <c r="A75" t="s">
        <v>9</v>
      </c>
      <c r="B75" t="s">
        <v>118</v>
      </c>
    </row>
    <row r="76" spans="1:10" x14ac:dyDescent="0.25">
      <c r="A76" t="s">
        <v>9</v>
      </c>
      <c r="B76" t="s">
        <v>122</v>
      </c>
    </row>
    <row r="77" spans="1:10" x14ac:dyDescent="0.25">
      <c r="A77" t="s">
        <v>9</v>
      </c>
      <c r="B77" t="s">
        <v>124</v>
      </c>
    </row>
    <row r="78" spans="1:10" x14ac:dyDescent="0.25">
      <c r="A78" t="s">
        <v>9</v>
      </c>
      <c r="B78" t="s">
        <v>127</v>
      </c>
    </row>
    <row r="79" spans="1:10" x14ac:dyDescent="0.25">
      <c r="A79" t="s">
        <v>9</v>
      </c>
      <c r="B79" t="s">
        <v>131</v>
      </c>
    </row>
    <row r="80" spans="1:10" x14ac:dyDescent="0.25">
      <c r="A80" t="s">
        <v>9</v>
      </c>
      <c r="B80" t="s">
        <v>134</v>
      </c>
    </row>
    <row r="81" spans="1:2" x14ac:dyDescent="0.25">
      <c r="A81" t="s">
        <v>9</v>
      </c>
      <c r="B81" t="s">
        <v>201</v>
      </c>
    </row>
    <row r="82" spans="1:2" x14ac:dyDescent="0.25">
      <c r="A82" t="s">
        <v>9</v>
      </c>
      <c r="B82" t="s">
        <v>137</v>
      </c>
    </row>
    <row r="83" spans="1:2" x14ac:dyDescent="0.25">
      <c r="A83" t="s">
        <v>146</v>
      </c>
      <c r="B83" t="s">
        <v>118</v>
      </c>
    </row>
    <row r="84" spans="1:2" x14ac:dyDescent="0.25">
      <c r="A84" t="s">
        <v>146</v>
      </c>
      <c r="B84" t="s">
        <v>122</v>
      </c>
    </row>
    <row r="85" spans="1:2" x14ac:dyDescent="0.25">
      <c r="A85" t="s">
        <v>146</v>
      </c>
      <c r="B85" t="s">
        <v>124</v>
      </c>
    </row>
    <row r="86" spans="1:2" x14ac:dyDescent="0.25">
      <c r="A86" t="s">
        <v>146</v>
      </c>
      <c r="B86" t="s">
        <v>127</v>
      </c>
    </row>
    <row r="87" spans="1:2" x14ac:dyDescent="0.25">
      <c r="A87" t="s">
        <v>146</v>
      </c>
      <c r="B87" t="s">
        <v>134</v>
      </c>
    </row>
    <row r="88" spans="1:2" x14ac:dyDescent="0.25">
      <c r="A88" t="s">
        <v>149</v>
      </c>
      <c r="B88" t="s">
        <v>114</v>
      </c>
    </row>
    <row r="89" spans="1:2" x14ac:dyDescent="0.25">
      <c r="A89" t="s">
        <v>149</v>
      </c>
      <c r="B89" t="s">
        <v>118</v>
      </c>
    </row>
    <row r="90" spans="1:2" x14ac:dyDescent="0.25">
      <c r="A90" t="s">
        <v>149</v>
      </c>
      <c r="B90" t="s">
        <v>122</v>
      </c>
    </row>
    <row r="91" spans="1:2" x14ac:dyDescent="0.25">
      <c r="A91" t="s">
        <v>149</v>
      </c>
      <c r="B91" t="s">
        <v>124</v>
      </c>
    </row>
    <row r="92" spans="1:2" x14ac:dyDescent="0.25">
      <c r="A92" t="s">
        <v>149</v>
      </c>
      <c r="B92" t="s">
        <v>127</v>
      </c>
    </row>
    <row r="93" spans="1:2" x14ac:dyDescent="0.25">
      <c r="A93" t="s">
        <v>149</v>
      </c>
      <c r="B93" t="s">
        <v>131</v>
      </c>
    </row>
    <row r="94" spans="1:2" x14ac:dyDescent="0.25">
      <c r="A94" t="s">
        <v>149</v>
      </c>
      <c r="B94" t="s">
        <v>201</v>
      </c>
    </row>
    <row r="95" spans="1:2" x14ac:dyDescent="0.25">
      <c r="A95" t="s">
        <v>149</v>
      </c>
      <c r="B95" t="s">
        <v>137</v>
      </c>
    </row>
    <row r="96" spans="1:2" x14ac:dyDescent="0.25">
      <c r="A96" t="s">
        <v>152</v>
      </c>
      <c r="B96" t="s">
        <v>114</v>
      </c>
    </row>
    <row r="97" spans="1:2" x14ac:dyDescent="0.25">
      <c r="A97" t="s">
        <v>152</v>
      </c>
      <c r="B97" t="s">
        <v>118</v>
      </c>
    </row>
    <row r="98" spans="1:2" x14ac:dyDescent="0.25">
      <c r="A98" t="s">
        <v>152</v>
      </c>
      <c r="B98" t="s">
        <v>122</v>
      </c>
    </row>
    <row r="99" spans="1:2" x14ac:dyDescent="0.25">
      <c r="A99" t="s">
        <v>152</v>
      </c>
      <c r="B99" t="s">
        <v>127</v>
      </c>
    </row>
    <row r="100" spans="1:2" x14ac:dyDescent="0.25">
      <c r="A100" t="s">
        <v>152</v>
      </c>
      <c r="B100" t="s">
        <v>131</v>
      </c>
    </row>
    <row r="101" spans="1:2" x14ac:dyDescent="0.25">
      <c r="A101" t="s">
        <v>152</v>
      </c>
      <c r="B101" t="s">
        <v>202</v>
      </c>
    </row>
    <row r="102" spans="1:2" x14ac:dyDescent="0.25">
      <c r="A102" t="s">
        <v>152</v>
      </c>
      <c r="B102" t="s">
        <v>134</v>
      </c>
    </row>
    <row r="103" spans="1:2" x14ac:dyDescent="0.25">
      <c r="A103" t="s">
        <v>157</v>
      </c>
      <c r="B103" t="s">
        <v>118</v>
      </c>
    </row>
    <row r="104" spans="1:2" x14ac:dyDescent="0.25">
      <c r="A104" t="s">
        <v>157</v>
      </c>
      <c r="B104" t="s">
        <v>122</v>
      </c>
    </row>
    <row r="105" spans="1:2" x14ac:dyDescent="0.25">
      <c r="A105" t="s">
        <v>157</v>
      </c>
      <c r="B105" t="s">
        <v>124</v>
      </c>
    </row>
    <row r="106" spans="1:2" x14ac:dyDescent="0.25">
      <c r="A106" t="s">
        <v>157</v>
      </c>
      <c r="B106" t="s">
        <v>131</v>
      </c>
    </row>
    <row r="107" spans="1:2" x14ac:dyDescent="0.25">
      <c r="A107" t="s">
        <v>80</v>
      </c>
      <c r="B107" t="s">
        <v>114</v>
      </c>
    </row>
    <row r="108" spans="1:2" x14ac:dyDescent="0.25">
      <c r="A108" t="s">
        <v>119</v>
      </c>
      <c r="B108" t="s">
        <v>118</v>
      </c>
    </row>
    <row r="109" spans="1:2" x14ac:dyDescent="0.25">
      <c r="A109" t="s">
        <v>119</v>
      </c>
      <c r="B109" t="s">
        <v>134</v>
      </c>
    </row>
    <row r="110" spans="1:2" x14ac:dyDescent="0.25">
      <c r="A110" t="s">
        <v>119</v>
      </c>
      <c r="B110" t="s">
        <v>201</v>
      </c>
    </row>
    <row r="111" spans="1:2" x14ac:dyDescent="0.25">
      <c r="A111" t="s">
        <v>119</v>
      </c>
      <c r="B111" t="s">
        <v>137</v>
      </c>
    </row>
    <row r="112" spans="1:2" x14ac:dyDescent="0.25">
      <c r="A112" t="s">
        <v>119</v>
      </c>
      <c r="B112" t="s">
        <v>203</v>
      </c>
    </row>
    <row r="113" spans="1:2" x14ac:dyDescent="0.25">
      <c r="A113" t="s">
        <v>143</v>
      </c>
      <c r="B113" t="s">
        <v>118</v>
      </c>
    </row>
    <row r="114" spans="1:2" x14ac:dyDescent="0.25">
      <c r="A114" t="s">
        <v>143</v>
      </c>
      <c r="B114" t="s">
        <v>122</v>
      </c>
    </row>
    <row r="115" spans="1:2" x14ac:dyDescent="0.25">
      <c r="A115" t="s">
        <v>143</v>
      </c>
      <c r="B115" t="s">
        <v>124</v>
      </c>
    </row>
    <row r="116" spans="1:2" x14ac:dyDescent="0.25">
      <c r="A116" t="s">
        <v>77</v>
      </c>
      <c r="B116" t="s">
        <v>204</v>
      </c>
    </row>
    <row r="117" spans="1:2" x14ac:dyDescent="0.25">
      <c r="A117" t="s">
        <v>77</v>
      </c>
      <c r="B117" t="s">
        <v>205</v>
      </c>
    </row>
    <row r="118" spans="1:2" x14ac:dyDescent="0.25">
      <c r="A118" t="s">
        <v>77</v>
      </c>
      <c r="B118" t="s">
        <v>206</v>
      </c>
    </row>
    <row r="119" spans="1:2" x14ac:dyDescent="0.25">
      <c r="A119" t="s">
        <v>77</v>
      </c>
      <c r="B119" t="s">
        <v>207</v>
      </c>
    </row>
    <row r="120" spans="1:2" x14ac:dyDescent="0.25">
      <c r="A120" t="s">
        <v>77</v>
      </c>
      <c r="B120" t="s">
        <v>208</v>
      </c>
    </row>
    <row r="121" spans="1:2" x14ac:dyDescent="0.25">
      <c r="A121" t="s">
        <v>77</v>
      </c>
      <c r="B121" t="s">
        <v>209</v>
      </c>
    </row>
    <row r="122" spans="1:2" x14ac:dyDescent="0.25">
      <c r="A122" t="s">
        <v>77</v>
      </c>
      <c r="B122" t="s">
        <v>210</v>
      </c>
    </row>
    <row r="123" spans="1:2" x14ac:dyDescent="0.25">
      <c r="A123" t="s">
        <v>26</v>
      </c>
      <c r="B123" t="s">
        <v>211</v>
      </c>
    </row>
    <row r="124" spans="1:2" x14ac:dyDescent="0.25">
      <c r="A124" t="s">
        <v>26</v>
      </c>
      <c r="B124" t="s">
        <v>212</v>
      </c>
    </row>
    <row r="125" spans="1:2" x14ac:dyDescent="0.25">
      <c r="A125" t="s">
        <v>26</v>
      </c>
      <c r="B125" t="s">
        <v>213</v>
      </c>
    </row>
    <row r="126" spans="1:2" x14ac:dyDescent="0.25">
      <c r="A126" t="s">
        <v>26</v>
      </c>
      <c r="B126" t="s">
        <v>214</v>
      </c>
    </row>
    <row r="127" spans="1:2" x14ac:dyDescent="0.25">
      <c r="A127" t="s">
        <v>26</v>
      </c>
      <c r="B127" t="s">
        <v>215</v>
      </c>
    </row>
    <row r="128" spans="1:2" x14ac:dyDescent="0.25">
      <c r="A128" t="s">
        <v>26</v>
      </c>
      <c r="B128" t="s">
        <v>216</v>
      </c>
    </row>
    <row r="129" spans="1:2" x14ac:dyDescent="0.25">
      <c r="A129" t="s">
        <v>112</v>
      </c>
      <c r="B129" t="s">
        <v>114</v>
      </c>
    </row>
    <row r="130" spans="1:2" x14ac:dyDescent="0.25">
      <c r="A130" t="s">
        <v>112</v>
      </c>
      <c r="B130" t="s">
        <v>118</v>
      </c>
    </row>
    <row r="131" spans="1:2" x14ac:dyDescent="0.25">
      <c r="A131" t="s">
        <v>112</v>
      </c>
      <c r="B131" t="s">
        <v>122</v>
      </c>
    </row>
    <row r="132" spans="1:2" x14ac:dyDescent="0.25">
      <c r="A132" t="s">
        <v>112</v>
      </c>
      <c r="B132" t="s">
        <v>124</v>
      </c>
    </row>
    <row r="133" spans="1:2" x14ac:dyDescent="0.25">
      <c r="A133" t="s">
        <v>112</v>
      </c>
      <c r="B133" t="s">
        <v>127</v>
      </c>
    </row>
    <row r="134" spans="1:2" x14ac:dyDescent="0.25">
      <c r="A134" t="s">
        <v>112</v>
      </c>
      <c r="B134" t="s">
        <v>137</v>
      </c>
    </row>
    <row r="135" spans="1:2" x14ac:dyDescent="0.25">
      <c r="A135" t="s">
        <v>50</v>
      </c>
      <c r="B135" t="s">
        <v>118</v>
      </c>
    </row>
    <row r="136" spans="1:2" x14ac:dyDescent="0.25">
      <c r="A136" t="s">
        <v>50</v>
      </c>
      <c r="B136" t="s">
        <v>122</v>
      </c>
    </row>
    <row r="137" spans="1:2" x14ac:dyDescent="0.25">
      <c r="A137" t="s">
        <v>50</v>
      </c>
      <c r="B137" t="s">
        <v>124</v>
      </c>
    </row>
    <row r="138" spans="1:2" x14ac:dyDescent="0.25">
      <c r="A138" t="s">
        <v>50</v>
      </c>
      <c r="B138" t="s">
        <v>217</v>
      </c>
    </row>
    <row r="139" spans="1:2" x14ac:dyDescent="0.25">
      <c r="A139" t="s">
        <v>50</v>
      </c>
      <c r="B139" t="s">
        <v>218</v>
      </c>
    </row>
    <row r="140" spans="1:2" x14ac:dyDescent="0.25">
      <c r="A140" t="s">
        <v>14</v>
      </c>
      <c r="B140" t="s">
        <v>118</v>
      </c>
    </row>
    <row r="141" spans="1:2" x14ac:dyDescent="0.25">
      <c r="A141" t="s">
        <v>14</v>
      </c>
      <c r="B141" t="s">
        <v>124</v>
      </c>
    </row>
    <row r="142" spans="1:2" x14ac:dyDescent="0.25">
      <c r="A142" t="s">
        <v>14</v>
      </c>
      <c r="B142" t="s">
        <v>127</v>
      </c>
    </row>
    <row r="143" spans="1:2" x14ac:dyDescent="0.25">
      <c r="A143" t="s">
        <v>14</v>
      </c>
      <c r="B143" t="s">
        <v>134</v>
      </c>
    </row>
    <row r="144" spans="1:2" x14ac:dyDescent="0.25">
      <c r="A144" t="s">
        <v>154</v>
      </c>
      <c r="B144" t="s">
        <v>118</v>
      </c>
    </row>
    <row r="145" spans="1:2" x14ac:dyDescent="0.25">
      <c r="A145" t="s">
        <v>154</v>
      </c>
      <c r="B145" t="s">
        <v>122</v>
      </c>
    </row>
    <row r="146" spans="1:2" x14ac:dyDescent="0.25">
      <c r="A146" t="s">
        <v>154</v>
      </c>
      <c r="B146" t="s">
        <v>124</v>
      </c>
    </row>
    <row r="147" spans="1:2" x14ac:dyDescent="0.25">
      <c r="A147" t="s">
        <v>154</v>
      </c>
      <c r="B147" t="s">
        <v>127</v>
      </c>
    </row>
    <row r="148" spans="1:2" x14ac:dyDescent="0.25">
      <c r="A148" t="s">
        <v>159</v>
      </c>
      <c r="B148" t="s">
        <v>118</v>
      </c>
    </row>
    <row r="149" spans="1:2" x14ac:dyDescent="0.25">
      <c r="A149" t="s">
        <v>159</v>
      </c>
      <c r="B149" t="s">
        <v>122</v>
      </c>
    </row>
    <row r="150" spans="1:2" x14ac:dyDescent="0.25">
      <c r="A150" t="s">
        <v>159</v>
      </c>
      <c r="B150" t="s">
        <v>124</v>
      </c>
    </row>
    <row r="151" spans="1:2" x14ac:dyDescent="0.25">
      <c r="A151" t="s">
        <v>159</v>
      </c>
      <c r="B151" t="s">
        <v>127</v>
      </c>
    </row>
    <row r="152" spans="1:2" x14ac:dyDescent="0.25">
      <c r="A152" t="s">
        <v>159</v>
      </c>
      <c r="B152" t="s">
        <v>219</v>
      </c>
    </row>
    <row r="153" spans="1:2" x14ac:dyDescent="0.25">
      <c r="A153" t="s">
        <v>70</v>
      </c>
      <c r="B153" t="s">
        <v>114</v>
      </c>
    </row>
    <row r="154" spans="1:2" x14ac:dyDescent="0.25">
      <c r="A154" t="s">
        <v>70</v>
      </c>
      <c r="B154" t="s">
        <v>118</v>
      </c>
    </row>
    <row r="155" spans="1:2" x14ac:dyDescent="0.25">
      <c r="A155" t="s">
        <v>70</v>
      </c>
      <c r="B155" t="s">
        <v>122</v>
      </c>
    </row>
    <row r="156" spans="1:2" x14ac:dyDescent="0.25">
      <c r="A156" t="s">
        <v>70</v>
      </c>
      <c r="B156" t="s">
        <v>127</v>
      </c>
    </row>
    <row r="157" spans="1:2" x14ac:dyDescent="0.25">
      <c r="A157" t="s">
        <v>70</v>
      </c>
      <c r="B157" t="s">
        <v>201</v>
      </c>
    </row>
    <row r="158" spans="1:2" x14ac:dyDescent="0.25">
      <c r="A158" t="s">
        <v>70</v>
      </c>
      <c r="B158" t="s">
        <v>137</v>
      </c>
    </row>
    <row r="159" spans="1:2" x14ac:dyDescent="0.25">
      <c r="A159" t="s">
        <v>70</v>
      </c>
      <c r="B159" t="s">
        <v>145</v>
      </c>
    </row>
    <row r="160" spans="1:2" x14ac:dyDescent="0.25">
      <c r="A160" t="s">
        <v>70</v>
      </c>
      <c r="B160" t="s">
        <v>203</v>
      </c>
    </row>
    <row r="161" spans="1:2" x14ac:dyDescent="0.25">
      <c r="A161" t="s">
        <v>70</v>
      </c>
      <c r="B161" t="s">
        <v>220</v>
      </c>
    </row>
    <row r="162" spans="1:2" x14ac:dyDescent="0.25">
      <c r="A162" t="s">
        <v>115</v>
      </c>
      <c r="B162" t="s">
        <v>114</v>
      </c>
    </row>
    <row r="163" spans="1:2" x14ac:dyDescent="0.25">
      <c r="A163" t="s">
        <v>115</v>
      </c>
      <c r="B163" t="s">
        <v>118</v>
      </c>
    </row>
    <row r="164" spans="1:2" x14ac:dyDescent="0.25">
      <c r="A164" t="s">
        <v>115</v>
      </c>
      <c r="B164" t="s">
        <v>122</v>
      </c>
    </row>
    <row r="165" spans="1:2" x14ac:dyDescent="0.25">
      <c r="A165" t="s">
        <v>115</v>
      </c>
      <c r="B165" t="s">
        <v>124</v>
      </c>
    </row>
    <row r="166" spans="1:2" x14ac:dyDescent="0.25">
      <c r="A166" t="s">
        <v>115</v>
      </c>
      <c r="B166" t="s">
        <v>127</v>
      </c>
    </row>
    <row r="167" spans="1:2" x14ac:dyDescent="0.25">
      <c r="A167" t="s">
        <v>115</v>
      </c>
      <c r="B167" t="s">
        <v>131</v>
      </c>
    </row>
    <row r="168" spans="1:2" x14ac:dyDescent="0.25">
      <c r="A168" t="s">
        <v>54</v>
      </c>
      <c r="B168" t="s">
        <v>221</v>
      </c>
    </row>
    <row r="169" spans="1:2" x14ac:dyDescent="0.25">
      <c r="A169" t="s">
        <v>54</v>
      </c>
      <c r="B169" t="s">
        <v>222</v>
      </c>
    </row>
    <row r="170" spans="1:2" x14ac:dyDescent="0.25">
      <c r="A170" t="s">
        <v>54</v>
      </c>
      <c r="B170" t="s">
        <v>223</v>
      </c>
    </row>
    <row r="171" spans="1:2" x14ac:dyDescent="0.25">
      <c r="A171" t="s">
        <v>54</v>
      </c>
      <c r="B171" t="s">
        <v>224</v>
      </c>
    </row>
    <row r="172" spans="1:2" x14ac:dyDescent="0.25">
      <c r="A172" t="s">
        <v>54</v>
      </c>
      <c r="B172" t="s">
        <v>225</v>
      </c>
    </row>
    <row r="173" spans="1:2" x14ac:dyDescent="0.25">
      <c r="A173" t="s">
        <v>54</v>
      </c>
      <c r="B173" t="s">
        <v>22</v>
      </c>
    </row>
    <row r="174" spans="1:2" x14ac:dyDescent="0.25">
      <c r="A174" t="s">
        <v>54</v>
      </c>
      <c r="B174" t="s">
        <v>226</v>
      </c>
    </row>
    <row r="175" spans="1:2" x14ac:dyDescent="0.25">
      <c r="A175" t="s">
        <v>54</v>
      </c>
      <c r="B175" t="s">
        <v>227</v>
      </c>
    </row>
    <row r="176" spans="1:2" x14ac:dyDescent="0.25">
      <c r="A176" t="s">
        <v>54</v>
      </c>
      <c r="B176" t="s">
        <v>114</v>
      </c>
    </row>
    <row r="177" spans="1:2" x14ac:dyDescent="0.25">
      <c r="A177" t="s">
        <v>54</v>
      </c>
      <c r="B177" t="s">
        <v>228</v>
      </c>
    </row>
    <row r="178" spans="1:2" x14ac:dyDescent="0.25">
      <c r="A178" t="s">
        <v>58</v>
      </c>
      <c r="B178" t="s">
        <v>221</v>
      </c>
    </row>
    <row r="179" spans="1:2" x14ac:dyDescent="0.25">
      <c r="A179" t="s">
        <v>58</v>
      </c>
      <c r="B179" t="s">
        <v>222</v>
      </c>
    </row>
    <row r="180" spans="1:2" x14ac:dyDescent="0.25">
      <c r="A180" t="s">
        <v>58</v>
      </c>
      <c r="B180" t="s">
        <v>223</v>
      </c>
    </row>
    <row r="181" spans="1:2" x14ac:dyDescent="0.25">
      <c r="A181" t="s">
        <v>58</v>
      </c>
      <c r="B181" t="s">
        <v>224</v>
      </c>
    </row>
    <row r="182" spans="1:2" x14ac:dyDescent="0.25">
      <c r="A182" t="s">
        <v>58</v>
      </c>
      <c r="B182" t="s">
        <v>225</v>
      </c>
    </row>
    <row r="183" spans="1:2" x14ac:dyDescent="0.25">
      <c r="A183" t="s">
        <v>58</v>
      </c>
      <c r="B183" t="s">
        <v>22</v>
      </c>
    </row>
    <row r="184" spans="1:2" x14ac:dyDescent="0.25">
      <c r="A184" t="s">
        <v>58</v>
      </c>
      <c r="B184" t="s">
        <v>226</v>
      </c>
    </row>
    <row r="185" spans="1:2" x14ac:dyDescent="0.25">
      <c r="A185" t="s">
        <v>58</v>
      </c>
      <c r="B185" t="s">
        <v>227</v>
      </c>
    </row>
    <row r="186" spans="1:2" x14ac:dyDescent="0.25">
      <c r="A186" t="s">
        <v>58</v>
      </c>
      <c r="B186" t="s">
        <v>114</v>
      </c>
    </row>
    <row r="187" spans="1:2" x14ac:dyDescent="0.25">
      <c r="A187" t="s">
        <v>39</v>
      </c>
      <c r="B187" t="s">
        <v>118</v>
      </c>
    </row>
    <row r="188" spans="1:2" x14ac:dyDescent="0.25">
      <c r="A188" t="s">
        <v>39</v>
      </c>
      <c r="B188" t="s">
        <v>122</v>
      </c>
    </row>
    <row r="189" spans="1:2" x14ac:dyDescent="0.25">
      <c r="A189" t="s">
        <v>39</v>
      </c>
      <c r="B189" t="s">
        <v>124</v>
      </c>
    </row>
    <row r="190" spans="1:2" x14ac:dyDescent="0.25">
      <c r="A190" t="s">
        <v>31</v>
      </c>
      <c r="B190" t="s">
        <v>229</v>
      </c>
    </row>
    <row r="191" spans="1:2" x14ac:dyDescent="0.25">
      <c r="A191" t="s">
        <v>31</v>
      </c>
      <c r="B191" t="s">
        <v>230</v>
      </c>
    </row>
    <row r="192" spans="1:2" x14ac:dyDescent="0.25">
      <c r="A192" t="s">
        <v>31</v>
      </c>
      <c r="B192" t="s">
        <v>231</v>
      </c>
    </row>
    <row r="193" spans="1:2" x14ac:dyDescent="0.25">
      <c r="A193" t="s">
        <v>31</v>
      </c>
      <c r="B193" t="s">
        <v>232</v>
      </c>
    </row>
    <row r="194" spans="1:2" x14ac:dyDescent="0.25">
      <c r="A194" t="s">
        <v>31</v>
      </c>
      <c r="B194" t="s">
        <v>233</v>
      </c>
    </row>
    <row r="195" spans="1:2" x14ac:dyDescent="0.25">
      <c r="A195" t="s">
        <v>31</v>
      </c>
      <c r="B195" t="s">
        <v>234</v>
      </c>
    </row>
    <row r="196" spans="1:2" x14ac:dyDescent="0.25">
      <c r="A196" t="s">
        <v>31</v>
      </c>
      <c r="B196" t="s">
        <v>235</v>
      </c>
    </row>
    <row r="197" spans="1:2" x14ac:dyDescent="0.25">
      <c r="A197" t="s">
        <v>193</v>
      </c>
      <c r="B197" t="s">
        <v>72</v>
      </c>
    </row>
    <row r="198" spans="1:2" x14ac:dyDescent="0.25">
      <c r="A198" t="s">
        <v>193</v>
      </c>
      <c r="B198" t="s">
        <v>76</v>
      </c>
    </row>
    <row r="199" spans="1:2" x14ac:dyDescent="0.25">
      <c r="A199" t="s">
        <v>193</v>
      </c>
      <c r="B199" t="s">
        <v>79</v>
      </c>
    </row>
    <row r="200" spans="1:2" x14ac:dyDescent="0.25">
      <c r="A200" t="s">
        <v>193</v>
      </c>
      <c r="B200" t="s">
        <v>83</v>
      </c>
    </row>
    <row r="201" spans="1:2" x14ac:dyDescent="0.25">
      <c r="A201" t="s">
        <v>193</v>
      </c>
      <c r="B201" t="s">
        <v>87</v>
      </c>
    </row>
    <row r="202" spans="1:2" x14ac:dyDescent="0.25">
      <c r="A202" t="s">
        <v>193</v>
      </c>
      <c r="B202" t="s">
        <v>91</v>
      </c>
    </row>
    <row r="203" spans="1:2" x14ac:dyDescent="0.25">
      <c r="A203" t="s">
        <v>193</v>
      </c>
      <c r="B203" t="s">
        <v>94</v>
      </c>
    </row>
    <row r="204" spans="1:2" x14ac:dyDescent="0.25">
      <c r="A204" t="s">
        <v>193</v>
      </c>
      <c r="B204" t="s">
        <v>96</v>
      </c>
    </row>
    <row r="205" spans="1:2" x14ac:dyDescent="0.25">
      <c r="A205" t="s">
        <v>193</v>
      </c>
      <c r="B205" t="s">
        <v>98</v>
      </c>
    </row>
    <row r="206" spans="1:2" x14ac:dyDescent="0.25">
      <c r="A206" t="s">
        <v>193</v>
      </c>
      <c r="B206" t="s">
        <v>100</v>
      </c>
    </row>
    <row r="207" spans="1:2" x14ac:dyDescent="0.25">
      <c r="A207" t="s">
        <v>193</v>
      </c>
      <c r="B207" t="s">
        <v>104</v>
      </c>
    </row>
    <row r="208" spans="1:2" x14ac:dyDescent="0.25">
      <c r="A208" t="s">
        <v>193</v>
      </c>
      <c r="B208" t="s">
        <v>106</v>
      </c>
    </row>
    <row r="209" spans="1:2" x14ac:dyDescent="0.25">
      <c r="A209" t="s">
        <v>196</v>
      </c>
      <c r="B209" t="s">
        <v>72</v>
      </c>
    </row>
    <row r="210" spans="1:2" x14ac:dyDescent="0.25">
      <c r="A210" t="s">
        <v>196</v>
      </c>
      <c r="B210" t="s">
        <v>76</v>
      </c>
    </row>
    <row r="211" spans="1:2" x14ac:dyDescent="0.25">
      <c r="A211" t="s">
        <v>196</v>
      </c>
      <c r="B211" t="s">
        <v>79</v>
      </c>
    </row>
    <row r="212" spans="1:2" x14ac:dyDescent="0.25">
      <c r="A212" t="s">
        <v>196</v>
      </c>
      <c r="B212" t="s">
        <v>83</v>
      </c>
    </row>
    <row r="213" spans="1:2" x14ac:dyDescent="0.25">
      <c r="A213" t="s">
        <v>196</v>
      </c>
      <c r="B213" t="s">
        <v>87</v>
      </c>
    </row>
    <row r="214" spans="1:2" x14ac:dyDescent="0.25">
      <c r="A214" t="s">
        <v>196</v>
      </c>
      <c r="B214" t="s">
        <v>91</v>
      </c>
    </row>
    <row r="215" spans="1:2" x14ac:dyDescent="0.25">
      <c r="A215" t="s">
        <v>196</v>
      </c>
      <c r="B215" t="s">
        <v>94</v>
      </c>
    </row>
    <row r="216" spans="1:2" x14ac:dyDescent="0.25">
      <c r="A216" t="s">
        <v>196</v>
      </c>
      <c r="B216" t="s">
        <v>96</v>
      </c>
    </row>
    <row r="217" spans="1:2" x14ac:dyDescent="0.25">
      <c r="A217" t="s">
        <v>196</v>
      </c>
      <c r="B217" t="s">
        <v>98</v>
      </c>
    </row>
    <row r="218" spans="1:2" x14ac:dyDescent="0.25">
      <c r="A218" t="s">
        <v>196</v>
      </c>
      <c r="B218" t="s">
        <v>100</v>
      </c>
    </row>
    <row r="219" spans="1:2" x14ac:dyDescent="0.25">
      <c r="A219" t="s">
        <v>196</v>
      </c>
      <c r="B219" t="s">
        <v>104</v>
      </c>
    </row>
    <row r="220" spans="1:2" x14ac:dyDescent="0.25">
      <c r="A220" t="s">
        <v>196</v>
      </c>
      <c r="B220" t="s">
        <v>106</v>
      </c>
    </row>
    <row r="221" spans="1:2" x14ac:dyDescent="0.25">
      <c r="A221" t="s">
        <v>199</v>
      </c>
      <c r="B221" t="s">
        <v>72</v>
      </c>
    </row>
    <row r="222" spans="1:2" x14ac:dyDescent="0.25">
      <c r="A222" t="s">
        <v>199</v>
      </c>
      <c r="B222" t="s">
        <v>76</v>
      </c>
    </row>
    <row r="223" spans="1:2" x14ac:dyDescent="0.25">
      <c r="A223" t="s">
        <v>199</v>
      </c>
      <c r="B223" t="s">
        <v>79</v>
      </c>
    </row>
    <row r="224" spans="1:2" x14ac:dyDescent="0.25">
      <c r="A224" t="s">
        <v>199</v>
      </c>
      <c r="B224" t="s">
        <v>83</v>
      </c>
    </row>
    <row r="225" spans="1:2" x14ac:dyDescent="0.25">
      <c r="A225" t="s">
        <v>199</v>
      </c>
      <c r="B225" t="s">
        <v>87</v>
      </c>
    </row>
    <row r="226" spans="1:2" x14ac:dyDescent="0.25">
      <c r="A226" t="s">
        <v>199</v>
      </c>
      <c r="B226" t="s">
        <v>91</v>
      </c>
    </row>
    <row r="227" spans="1:2" x14ac:dyDescent="0.25">
      <c r="A227" t="s">
        <v>199</v>
      </c>
      <c r="B227" t="s">
        <v>94</v>
      </c>
    </row>
    <row r="228" spans="1:2" x14ac:dyDescent="0.25">
      <c r="A228" t="s">
        <v>199</v>
      </c>
      <c r="B228" t="s">
        <v>96</v>
      </c>
    </row>
    <row r="229" spans="1:2" x14ac:dyDescent="0.25">
      <c r="A229" t="s">
        <v>199</v>
      </c>
      <c r="B229" t="s">
        <v>98</v>
      </c>
    </row>
    <row r="230" spans="1:2" x14ac:dyDescent="0.25">
      <c r="A230" t="s">
        <v>199</v>
      </c>
      <c r="B230" t="s">
        <v>100</v>
      </c>
    </row>
    <row r="231" spans="1:2" x14ac:dyDescent="0.25">
      <c r="A231" t="s">
        <v>199</v>
      </c>
      <c r="B231" t="s">
        <v>104</v>
      </c>
    </row>
    <row r="232" spans="1:2" x14ac:dyDescent="0.25">
      <c r="A232" t="s">
        <v>199</v>
      </c>
      <c r="B232" t="s">
        <v>106</v>
      </c>
    </row>
    <row r="233" spans="1:2" x14ac:dyDescent="0.25">
      <c r="A233" t="s">
        <v>236</v>
      </c>
      <c r="B233" t="s">
        <v>106</v>
      </c>
    </row>
    <row r="234" spans="1:2" x14ac:dyDescent="0.25">
      <c r="A234" t="s">
        <v>236</v>
      </c>
      <c r="B234" t="s">
        <v>237</v>
      </c>
    </row>
    <row r="235" spans="1:2" x14ac:dyDescent="0.25">
      <c r="A235" t="s">
        <v>238</v>
      </c>
      <c r="B235" t="s">
        <v>239</v>
      </c>
    </row>
    <row r="236" spans="1:2" x14ac:dyDescent="0.25">
      <c r="A236" t="s">
        <v>190</v>
      </c>
      <c r="B236" t="s">
        <v>118</v>
      </c>
    </row>
    <row r="237" spans="1:2" x14ac:dyDescent="0.25">
      <c r="A237" t="s">
        <v>190</v>
      </c>
      <c r="B237" t="s">
        <v>122</v>
      </c>
    </row>
    <row r="238" spans="1:2" x14ac:dyDescent="0.25">
      <c r="A238" t="s">
        <v>190</v>
      </c>
      <c r="B238" t="s">
        <v>124</v>
      </c>
    </row>
    <row r="239" spans="1:2" x14ac:dyDescent="0.25">
      <c r="A239" t="s">
        <v>190</v>
      </c>
      <c r="B239" t="s">
        <v>127</v>
      </c>
    </row>
    <row r="240" spans="1:2" x14ac:dyDescent="0.25">
      <c r="A240" t="s">
        <v>190</v>
      </c>
      <c r="B240" t="s">
        <v>134</v>
      </c>
    </row>
    <row r="241" spans="1:2" x14ac:dyDescent="0.25">
      <c r="A241" t="s">
        <v>240</v>
      </c>
      <c r="B241" t="s">
        <v>241</v>
      </c>
    </row>
    <row r="242" spans="1:2" x14ac:dyDescent="0.25">
      <c r="A242" t="s">
        <v>240</v>
      </c>
      <c r="B242" t="s">
        <v>242</v>
      </c>
    </row>
    <row r="243" spans="1:2" x14ac:dyDescent="0.25">
      <c r="A243" t="s">
        <v>240</v>
      </c>
      <c r="B243" t="s">
        <v>243</v>
      </c>
    </row>
    <row r="244" spans="1:2" x14ac:dyDescent="0.25">
      <c r="A244" t="s">
        <v>240</v>
      </c>
      <c r="B244" t="s">
        <v>244</v>
      </c>
    </row>
    <row r="245" spans="1:2" x14ac:dyDescent="0.25">
      <c r="A245" t="s">
        <v>240</v>
      </c>
      <c r="B245" t="s">
        <v>245</v>
      </c>
    </row>
    <row r="246" spans="1:2" x14ac:dyDescent="0.25">
      <c r="A246" t="s">
        <v>240</v>
      </c>
      <c r="B246" t="s">
        <v>246</v>
      </c>
    </row>
    <row r="247" spans="1:2" x14ac:dyDescent="0.25">
      <c r="A247" t="s">
        <v>240</v>
      </c>
      <c r="B247" t="s">
        <v>247</v>
      </c>
    </row>
    <row r="248" spans="1:2" x14ac:dyDescent="0.25">
      <c r="A248" t="s">
        <v>240</v>
      </c>
      <c r="B248" t="s">
        <v>248</v>
      </c>
    </row>
    <row r="249" spans="1:2" x14ac:dyDescent="0.25">
      <c r="A249" t="s">
        <v>240</v>
      </c>
      <c r="B249" t="s">
        <v>249</v>
      </c>
    </row>
    <row r="250" spans="1:2" x14ac:dyDescent="0.25">
      <c r="A250" t="s">
        <v>240</v>
      </c>
      <c r="B250" t="s">
        <v>250</v>
      </c>
    </row>
    <row r="251" spans="1:2" x14ac:dyDescent="0.25">
      <c r="A251" t="s">
        <v>9</v>
      </c>
      <c r="B251" t="s">
        <v>251</v>
      </c>
    </row>
    <row r="252" spans="1:2" x14ac:dyDescent="0.25">
      <c r="A252" t="s">
        <v>9</v>
      </c>
      <c r="B252" t="s">
        <v>252</v>
      </c>
    </row>
    <row r="253" spans="1:2" x14ac:dyDescent="0.25">
      <c r="A253" t="s">
        <v>9</v>
      </c>
      <c r="B253" t="s">
        <v>253</v>
      </c>
    </row>
    <row r="254" spans="1:2" x14ac:dyDescent="0.25">
      <c r="A254" t="s">
        <v>9</v>
      </c>
      <c r="B254" t="s">
        <v>254</v>
      </c>
    </row>
    <row r="255" spans="1:2" x14ac:dyDescent="0.25">
      <c r="A255" t="s">
        <v>9</v>
      </c>
      <c r="B255" t="s">
        <v>255</v>
      </c>
    </row>
    <row r="256" spans="1:2" x14ac:dyDescent="0.25">
      <c r="A256" t="s">
        <v>9</v>
      </c>
      <c r="B256" t="s">
        <v>256</v>
      </c>
    </row>
    <row r="257" spans="1:2" x14ac:dyDescent="0.25">
      <c r="A257" t="s">
        <v>257</v>
      </c>
      <c r="B257" t="s">
        <v>258</v>
      </c>
    </row>
    <row r="258" spans="1:2" x14ac:dyDescent="0.25">
      <c r="A258" t="s">
        <v>257</v>
      </c>
      <c r="B258" t="s">
        <v>259</v>
      </c>
    </row>
    <row r="259" spans="1:2" x14ac:dyDescent="0.25">
      <c r="A259" t="s">
        <v>257</v>
      </c>
      <c r="B259" t="s">
        <v>260</v>
      </c>
    </row>
    <row r="260" spans="1:2" x14ac:dyDescent="0.25">
      <c r="A260" t="s">
        <v>257</v>
      </c>
      <c r="B260" t="s">
        <v>261</v>
      </c>
    </row>
    <row r="261" spans="1:2" x14ac:dyDescent="0.25">
      <c r="A261" t="s">
        <v>257</v>
      </c>
      <c r="B261" t="s">
        <v>262</v>
      </c>
    </row>
    <row r="262" spans="1:2" x14ac:dyDescent="0.25">
      <c r="A262" t="s">
        <v>257</v>
      </c>
      <c r="B262" t="s">
        <v>263</v>
      </c>
    </row>
    <row r="263" spans="1:2" x14ac:dyDescent="0.25">
      <c r="A263" t="s">
        <v>257</v>
      </c>
      <c r="B263" t="s">
        <v>264</v>
      </c>
    </row>
    <row r="264" spans="1:2" x14ac:dyDescent="0.25">
      <c r="A264" t="s">
        <v>257</v>
      </c>
      <c r="B264" t="s">
        <v>265</v>
      </c>
    </row>
    <row r="265" spans="1:2" x14ac:dyDescent="0.25">
      <c r="A265" t="s">
        <v>266</v>
      </c>
      <c r="B265" t="s">
        <v>267</v>
      </c>
    </row>
    <row r="266" spans="1:2" x14ac:dyDescent="0.25">
      <c r="A266" t="s">
        <v>268</v>
      </c>
      <c r="B266" t="s">
        <v>269</v>
      </c>
    </row>
    <row r="267" spans="1:2" x14ac:dyDescent="0.25">
      <c r="A267" t="s">
        <v>270</v>
      </c>
      <c r="B267" t="s">
        <v>271</v>
      </c>
    </row>
    <row r="268" spans="1:2" x14ac:dyDescent="0.25">
      <c r="A268" t="s">
        <v>270</v>
      </c>
      <c r="B268" t="s">
        <v>272</v>
      </c>
    </row>
    <row r="269" spans="1:2" x14ac:dyDescent="0.25">
      <c r="A269" t="s">
        <v>270</v>
      </c>
      <c r="B269" t="s">
        <v>273</v>
      </c>
    </row>
    <row r="270" spans="1:2" x14ac:dyDescent="0.25">
      <c r="A270" t="s">
        <v>270</v>
      </c>
      <c r="B270" t="s">
        <v>274</v>
      </c>
    </row>
    <row r="271" spans="1:2" x14ac:dyDescent="0.25">
      <c r="A271" t="s">
        <v>270</v>
      </c>
      <c r="B271" t="s">
        <v>275</v>
      </c>
    </row>
    <row r="272" spans="1:2" x14ac:dyDescent="0.25">
      <c r="A272" t="s">
        <v>270</v>
      </c>
      <c r="B272" t="s">
        <v>276</v>
      </c>
    </row>
    <row r="273" spans="1:2" x14ac:dyDescent="0.25">
      <c r="A273" t="s">
        <v>270</v>
      </c>
      <c r="B273" t="s">
        <v>277</v>
      </c>
    </row>
    <row r="274" spans="1:2" x14ac:dyDescent="0.25">
      <c r="A274" t="s">
        <v>270</v>
      </c>
      <c r="B274" t="s">
        <v>278</v>
      </c>
    </row>
    <row r="275" spans="1:2" x14ac:dyDescent="0.25">
      <c r="A275" t="s">
        <v>270</v>
      </c>
      <c r="B275" t="s">
        <v>279</v>
      </c>
    </row>
    <row r="276" spans="1:2" x14ac:dyDescent="0.25">
      <c r="A276" t="s">
        <v>270</v>
      </c>
      <c r="B276" t="s">
        <v>280</v>
      </c>
    </row>
    <row r="277" spans="1:2" x14ac:dyDescent="0.25">
      <c r="A277" t="s">
        <v>270</v>
      </c>
      <c r="B277" t="s">
        <v>281</v>
      </c>
    </row>
    <row r="278" spans="1:2" x14ac:dyDescent="0.25">
      <c r="A278" t="s">
        <v>270</v>
      </c>
      <c r="B278" t="s">
        <v>282</v>
      </c>
    </row>
    <row r="279" spans="1:2" x14ac:dyDescent="0.25">
      <c r="A279" t="s">
        <v>270</v>
      </c>
      <c r="B279" t="s">
        <v>283</v>
      </c>
    </row>
    <row r="280" spans="1:2" x14ac:dyDescent="0.25">
      <c r="A280" t="s">
        <v>270</v>
      </c>
      <c r="B280" t="s">
        <v>284</v>
      </c>
    </row>
    <row r="281" spans="1:2" x14ac:dyDescent="0.25">
      <c r="A281" t="s">
        <v>270</v>
      </c>
      <c r="B281" t="s">
        <v>285</v>
      </c>
    </row>
    <row r="282" spans="1:2" x14ac:dyDescent="0.25">
      <c r="A282" t="s">
        <v>270</v>
      </c>
      <c r="B282" t="s">
        <v>286</v>
      </c>
    </row>
    <row r="283" spans="1:2" x14ac:dyDescent="0.25">
      <c r="A283" t="s">
        <v>270</v>
      </c>
      <c r="B283" t="s">
        <v>287</v>
      </c>
    </row>
    <row r="284" spans="1:2" x14ac:dyDescent="0.25">
      <c r="A284" t="s">
        <v>270</v>
      </c>
      <c r="B284" t="s">
        <v>288</v>
      </c>
    </row>
    <row r="285" spans="1:2" x14ac:dyDescent="0.25">
      <c r="A285" t="s">
        <v>270</v>
      </c>
      <c r="B285" t="s">
        <v>289</v>
      </c>
    </row>
    <row r="286" spans="1:2" x14ac:dyDescent="0.25">
      <c r="A286" t="s">
        <v>270</v>
      </c>
      <c r="B286" t="s">
        <v>290</v>
      </c>
    </row>
    <row r="287" spans="1:2" x14ac:dyDescent="0.25">
      <c r="A287" t="s">
        <v>270</v>
      </c>
      <c r="B287" t="s">
        <v>291</v>
      </c>
    </row>
    <row r="288" spans="1:2" x14ac:dyDescent="0.25">
      <c r="A288" t="s">
        <v>270</v>
      </c>
      <c r="B288" t="s">
        <v>292</v>
      </c>
    </row>
    <row r="289" spans="1:2" x14ac:dyDescent="0.25">
      <c r="A289" t="s">
        <v>270</v>
      </c>
      <c r="B289" t="s">
        <v>293</v>
      </c>
    </row>
    <row r="290" spans="1:2" x14ac:dyDescent="0.25">
      <c r="A290" t="s">
        <v>270</v>
      </c>
      <c r="B290" t="s">
        <v>294</v>
      </c>
    </row>
    <row r="291" spans="1:2" x14ac:dyDescent="0.25">
      <c r="A291" t="s">
        <v>270</v>
      </c>
      <c r="B291" t="s">
        <v>295</v>
      </c>
    </row>
    <row r="292" spans="1:2" x14ac:dyDescent="0.25">
      <c r="A292" t="s">
        <v>270</v>
      </c>
      <c r="B292" t="s">
        <v>296</v>
      </c>
    </row>
    <row r="293" spans="1:2" x14ac:dyDescent="0.25">
      <c r="A293" t="s">
        <v>270</v>
      </c>
      <c r="B293" t="s">
        <v>297</v>
      </c>
    </row>
    <row r="294" spans="1:2" x14ac:dyDescent="0.25">
      <c r="A294" t="s">
        <v>270</v>
      </c>
      <c r="B294" t="s">
        <v>298</v>
      </c>
    </row>
    <row r="295" spans="1:2" x14ac:dyDescent="0.25">
      <c r="A295" t="s">
        <v>270</v>
      </c>
      <c r="B295" t="s">
        <v>299</v>
      </c>
    </row>
    <row r="296" spans="1:2" x14ac:dyDescent="0.25">
      <c r="A296" t="s">
        <v>270</v>
      </c>
      <c r="B296" t="s">
        <v>300</v>
      </c>
    </row>
    <row r="297" spans="1:2" x14ac:dyDescent="0.25">
      <c r="A297" t="s">
        <v>270</v>
      </c>
      <c r="B297" t="s">
        <v>301</v>
      </c>
    </row>
    <row r="298" spans="1:2" x14ac:dyDescent="0.25">
      <c r="A298" t="s">
        <v>270</v>
      </c>
      <c r="B298" t="s">
        <v>302</v>
      </c>
    </row>
    <row r="299" spans="1:2" x14ac:dyDescent="0.25">
      <c r="A299" t="s">
        <v>270</v>
      </c>
      <c r="B299" t="s">
        <v>303</v>
      </c>
    </row>
    <row r="300" spans="1:2" x14ac:dyDescent="0.25">
      <c r="A300" t="s">
        <v>270</v>
      </c>
      <c r="B300" t="s">
        <v>304</v>
      </c>
    </row>
    <row r="301" spans="1:2" x14ac:dyDescent="0.25">
      <c r="A301" t="s">
        <v>270</v>
      </c>
      <c r="B301" t="s">
        <v>305</v>
      </c>
    </row>
  </sheetData>
  <sheetProtection formatCells="0" sort="0" autoFilter="0"/>
  <autoFilter ref="A1:J240" xr:uid="{7C1E79CE-D2B3-431D-9B0B-8EE62BA84B1E}"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C578C-F6C2-4275-9F25-4EBC7D8FB472}">
  <sheetPr codeName="Sheet3"/>
  <dimension ref="A1:J336"/>
  <sheetViews>
    <sheetView zoomScale="85" zoomScaleNormal="85" workbookViewId="0">
      <selection activeCell="H11" sqref="H11"/>
    </sheetView>
  </sheetViews>
  <sheetFormatPr defaultRowHeight="13.8" x14ac:dyDescent="0.25"/>
  <cols>
    <col min="1" max="1" width="21.44140625" customWidth="1"/>
    <col min="2" max="2" width="34.33203125" customWidth="1"/>
    <col min="3" max="6" width="1.77734375" customWidth="1"/>
    <col min="7" max="7" width="21.109375" bestFit="1" customWidth="1"/>
    <col min="8" max="8" width="32.44140625" bestFit="1" customWidth="1"/>
    <col min="9" max="9" width="25.21875" bestFit="1" customWidth="1"/>
    <col min="10" max="10" width="43.77734375" customWidth="1"/>
  </cols>
  <sheetData>
    <row r="1" spans="1:10" x14ac:dyDescent="0.25">
      <c r="A1" s="5" t="s">
        <v>0</v>
      </c>
      <c r="B1" s="5" t="s">
        <v>1</v>
      </c>
      <c r="G1" s="5" t="s">
        <v>2</v>
      </c>
      <c r="H1" s="5" t="s">
        <v>3</v>
      </c>
      <c r="I1" s="5" t="s">
        <v>4</v>
      </c>
      <c r="J1" s="5" t="s">
        <v>5</v>
      </c>
    </row>
    <row r="2" spans="1:10" x14ac:dyDescent="0.25">
      <c r="A2" t="s">
        <v>58</v>
      </c>
      <c r="B2" t="s">
        <v>221</v>
      </c>
      <c r="G2" s="4" t="s">
        <v>8</v>
      </c>
      <c r="H2" s="4" t="s">
        <v>9</v>
      </c>
      <c r="I2" s="4" t="s">
        <v>10</v>
      </c>
      <c r="J2" t="s">
        <v>11</v>
      </c>
    </row>
    <row r="3" spans="1:10" x14ac:dyDescent="0.25">
      <c r="A3" t="s">
        <v>58</v>
      </c>
      <c r="B3" t="s">
        <v>222</v>
      </c>
      <c r="G3" s="4" t="s">
        <v>8</v>
      </c>
      <c r="H3" s="4" t="s">
        <v>14</v>
      </c>
      <c r="I3" s="4" t="s">
        <v>15</v>
      </c>
      <c r="J3" t="s">
        <v>16</v>
      </c>
    </row>
    <row r="4" spans="1:10" x14ac:dyDescent="0.25">
      <c r="A4" t="s">
        <v>58</v>
      </c>
      <c r="B4" t="s">
        <v>223</v>
      </c>
      <c r="G4" s="4" t="s">
        <v>8</v>
      </c>
      <c r="H4" s="4" t="s">
        <v>18</v>
      </c>
      <c r="I4" s="4" t="s">
        <v>19</v>
      </c>
      <c r="J4" t="s">
        <v>20</v>
      </c>
    </row>
    <row r="5" spans="1:10" x14ac:dyDescent="0.25">
      <c r="A5" t="s">
        <v>58</v>
      </c>
      <c r="B5" t="s">
        <v>224</v>
      </c>
      <c r="G5" s="4" t="s">
        <v>8</v>
      </c>
      <c r="H5" s="4" t="s">
        <v>22</v>
      </c>
      <c r="I5" s="4" t="s">
        <v>23</v>
      </c>
      <c r="J5" t="s">
        <v>24</v>
      </c>
    </row>
    <row r="6" spans="1:10" x14ac:dyDescent="0.25">
      <c r="A6" t="s">
        <v>58</v>
      </c>
      <c r="B6" t="s">
        <v>225</v>
      </c>
      <c r="G6" s="4" t="s">
        <v>8</v>
      </c>
      <c r="H6" s="4" t="s">
        <v>26</v>
      </c>
      <c r="I6" s="4" t="s">
        <v>27</v>
      </c>
      <c r="J6" t="s">
        <v>28</v>
      </c>
    </row>
    <row r="7" spans="1:10" x14ac:dyDescent="0.25">
      <c r="A7" t="s">
        <v>58</v>
      </c>
      <c r="B7" t="s">
        <v>22</v>
      </c>
      <c r="G7" s="4" t="s">
        <v>30</v>
      </c>
      <c r="H7" s="4" t="s">
        <v>31</v>
      </c>
      <c r="I7" s="4" t="s">
        <v>32</v>
      </c>
      <c r="J7" t="s">
        <v>33</v>
      </c>
    </row>
    <row r="8" spans="1:10" x14ac:dyDescent="0.25">
      <c r="A8" t="s">
        <v>58</v>
      </c>
      <c r="B8" t="s">
        <v>226</v>
      </c>
      <c r="G8" s="4" t="s">
        <v>35</v>
      </c>
      <c r="H8" s="4" t="s">
        <v>36</v>
      </c>
      <c r="I8" s="4" t="s">
        <v>37</v>
      </c>
      <c r="J8" t="s">
        <v>33</v>
      </c>
    </row>
    <row r="9" spans="1:10" x14ac:dyDescent="0.25">
      <c r="A9" t="s">
        <v>58</v>
      </c>
      <c r="B9" t="s">
        <v>227</v>
      </c>
      <c r="G9" s="4" t="s">
        <v>35</v>
      </c>
      <c r="H9" s="4" t="s">
        <v>39</v>
      </c>
      <c r="I9" s="4" t="s">
        <v>40</v>
      </c>
      <c r="J9" t="s">
        <v>20</v>
      </c>
    </row>
    <row r="10" spans="1:10" x14ac:dyDescent="0.25">
      <c r="A10" t="s">
        <v>306</v>
      </c>
      <c r="B10" t="s">
        <v>221</v>
      </c>
      <c r="G10" s="4" t="s">
        <v>42</v>
      </c>
      <c r="H10" s="4" t="s">
        <v>36</v>
      </c>
      <c r="I10" s="4" t="s">
        <v>43</v>
      </c>
      <c r="J10" t="s">
        <v>33</v>
      </c>
    </row>
    <row r="11" spans="1:10" x14ac:dyDescent="0.25">
      <c r="A11" t="s">
        <v>306</v>
      </c>
      <c r="B11" t="s">
        <v>222</v>
      </c>
      <c r="G11" s="4" t="s">
        <v>42</v>
      </c>
      <c r="H11" s="4" t="s">
        <v>39</v>
      </c>
      <c r="I11" s="4" t="s">
        <v>45</v>
      </c>
      <c r="J11" t="s">
        <v>46</v>
      </c>
    </row>
    <row r="12" spans="1:10" x14ac:dyDescent="0.25">
      <c r="A12" t="s">
        <v>306</v>
      </c>
      <c r="B12" t="s">
        <v>223</v>
      </c>
      <c r="G12" s="4" t="s">
        <v>49</v>
      </c>
      <c r="H12" s="4" t="s">
        <v>50</v>
      </c>
      <c r="I12" s="4" t="s">
        <v>51</v>
      </c>
      <c r="J12" t="s">
        <v>52</v>
      </c>
    </row>
    <row r="13" spans="1:10" x14ac:dyDescent="0.25">
      <c r="A13" t="s">
        <v>306</v>
      </c>
      <c r="B13" t="s">
        <v>224</v>
      </c>
      <c r="G13" s="4" t="s">
        <v>49</v>
      </c>
      <c r="H13" s="4" t="s">
        <v>54</v>
      </c>
      <c r="I13" s="4" t="s">
        <v>55</v>
      </c>
      <c r="J13" t="s">
        <v>56</v>
      </c>
    </row>
    <row r="14" spans="1:10" x14ac:dyDescent="0.25">
      <c r="A14" t="s">
        <v>306</v>
      </c>
      <c r="B14" t="s">
        <v>22</v>
      </c>
      <c r="G14" s="4" t="s">
        <v>49</v>
      </c>
      <c r="H14" s="4" t="s">
        <v>58</v>
      </c>
      <c r="I14" s="4" t="s">
        <v>59</v>
      </c>
      <c r="J14" t="s">
        <v>60</v>
      </c>
    </row>
    <row r="15" spans="1:10" x14ac:dyDescent="0.25">
      <c r="A15" t="s">
        <v>306</v>
      </c>
      <c r="B15" t="s">
        <v>226</v>
      </c>
      <c r="G15" s="4" t="s">
        <v>62</v>
      </c>
      <c r="H15" s="4" t="s">
        <v>63</v>
      </c>
      <c r="I15" s="4" t="s">
        <v>64</v>
      </c>
      <c r="J15" t="s">
        <v>65</v>
      </c>
    </row>
    <row r="16" spans="1:10" x14ac:dyDescent="0.25">
      <c r="A16" t="s">
        <v>306</v>
      </c>
      <c r="B16" t="s">
        <v>227</v>
      </c>
      <c r="G16" s="4" t="s">
        <v>62</v>
      </c>
      <c r="H16" s="4" t="s">
        <v>67</v>
      </c>
      <c r="I16" s="4" t="s">
        <v>68</v>
      </c>
    </row>
    <row r="17" spans="1:10" x14ac:dyDescent="0.25">
      <c r="A17" t="s">
        <v>306</v>
      </c>
      <c r="B17" t="s">
        <v>114</v>
      </c>
      <c r="G17" s="4" t="s">
        <v>62</v>
      </c>
      <c r="H17" s="4" t="s">
        <v>70</v>
      </c>
      <c r="I17" s="4" t="s">
        <v>71</v>
      </c>
      <c r="J17" t="s">
        <v>33</v>
      </c>
    </row>
    <row r="18" spans="1:10" x14ac:dyDescent="0.25">
      <c r="A18" t="s">
        <v>306</v>
      </c>
      <c r="B18" t="s">
        <v>307</v>
      </c>
      <c r="G18" s="4" t="s">
        <v>62</v>
      </c>
      <c r="H18" s="4" t="s">
        <v>73</v>
      </c>
      <c r="I18" s="4" t="s">
        <v>74</v>
      </c>
      <c r="J18" t="s">
        <v>75</v>
      </c>
    </row>
    <row r="19" spans="1:10" x14ac:dyDescent="0.25">
      <c r="A19" t="s">
        <v>306</v>
      </c>
      <c r="B19" t="s">
        <v>308</v>
      </c>
      <c r="G19" s="4" t="s">
        <v>62</v>
      </c>
      <c r="H19" s="4" t="s">
        <v>77</v>
      </c>
      <c r="I19" s="4" t="s">
        <v>78</v>
      </c>
      <c r="J19" t="s">
        <v>33</v>
      </c>
    </row>
    <row r="20" spans="1:10" x14ac:dyDescent="0.25">
      <c r="A20" t="s">
        <v>306</v>
      </c>
      <c r="B20" t="s">
        <v>309</v>
      </c>
      <c r="G20" t="s">
        <v>62</v>
      </c>
      <c r="H20" t="s">
        <v>80</v>
      </c>
      <c r="I20" t="s">
        <v>81</v>
      </c>
      <c r="J20" t="s">
        <v>82</v>
      </c>
    </row>
    <row r="21" spans="1:10" x14ac:dyDescent="0.25">
      <c r="A21" t="s">
        <v>306</v>
      </c>
      <c r="B21" t="s">
        <v>310</v>
      </c>
      <c r="G21" t="s">
        <v>62</v>
      </c>
      <c r="H21" t="s">
        <v>84</v>
      </c>
      <c r="I21" t="s">
        <v>85</v>
      </c>
      <c r="J21" t="s">
        <v>86</v>
      </c>
    </row>
    <row r="22" spans="1:10" x14ac:dyDescent="0.25">
      <c r="A22" t="s">
        <v>306</v>
      </c>
      <c r="B22" t="s">
        <v>311</v>
      </c>
      <c r="G22" t="s">
        <v>62</v>
      </c>
      <c r="H22" t="s">
        <v>88</v>
      </c>
      <c r="I22" t="s">
        <v>89</v>
      </c>
      <c r="J22" t="s">
        <v>90</v>
      </c>
    </row>
    <row r="23" spans="1:10" x14ac:dyDescent="0.25">
      <c r="A23" t="s">
        <v>306</v>
      </c>
      <c r="B23" t="s">
        <v>312</v>
      </c>
      <c r="G23" t="s">
        <v>62</v>
      </c>
      <c r="H23" t="s">
        <v>88</v>
      </c>
      <c r="I23" t="s">
        <v>92</v>
      </c>
      <c r="J23" t="s">
        <v>93</v>
      </c>
    </row>
    <row r="24" spans="1:10" x14ac:dyDescent="0.25">
      <c r="A24" t="s">
        <v>306</v>
      </c>
      <c r="B24" t="s">
        <v>313</v>
      </c>
      <c r="G24" t="s">
        <v>62</v>
      </c>
      <c r="H24" t="s">
        <v>88</v>
      </c>
      <c r="I24" t="s">
        <v>95</v>
      </c>
      <c r="J24" t="s">
        <v>90</v>
      </c>
    </row>
    <row r="25" spans="1:10" x14ac:dyDescent="0.25">
      <c r="A25" t="s">
        <v>306</v>
      </c>
      <c r="B25" t="s">
        <v>314</v>
      </c>
      <c r="G25" t="s">
        <v>62</v>
      </c>
      <c r="H25" t="s">
        <v>88</v>
      </c>
      <c r="I25" t="s">
        <v>97</v>
      </c>
      <c r="J25" t="s">
        <v>90</v>
      </c>
    </row>
    <row r="26" spans="1:10" x14ac:dyDescent="0.25">
      <c r="A26" t="s">
        <v>306</v>
      </c>
      <c r="B26" t="s">
        <v>315</v>
      </c>
      <c r="G26" t="s">
        <v>62</v>
      </c>
      <c r="H26" t="s">
        <v>88</v>
      </c>
      <c r="I26" t="s">
        <v>99</v>
      </c>
      <c r="J26" t="s">
        <v>33</v>
      </c>
    </row>
    <row r="27" spans="1:10" x14ac:dyDescent="0.25">
      <c r="A27" t="s">
        <v>306</v>
      </c>
      <c r="B27" t="s">
        <v>316</v>
      </c>
      <c r="G27" t="s">
        <v>62</v>
      </c>
      <c r="H27" t="s">
        <v>101</v>
      </c>
      <c r="I27" t="s">
        <v>102</v>
      </c>
      <c r="J27" t="s">
        <v>103</v>
      </c>
    </row>
    <row r="28" spans="1:10" x14ac:dyDescent="0.25">
      <c r="A28" t="s">
        <v>54</v>
      </c>
      <c r="B28" t="s">
        <v>221</v>
      </c>
      <c r="G28" t="s">
        <v>62</v>
      </c>
      <c r="H28" t="s">
        <v>101</v>
      </c>
      <c r="I28" t="s">
        <v>105</v>
      </c>
      <c r="J28" t="s">
        <v>33</v>
      </c>
    </row>
    <row r="29" spans="1:10" x14ac:dyDescent="0.25">
      <c r="A29" t="s">
        <v>54</v>
      </c>
      <c r="B29" t="s">
        <v>222</v>
      </c>
      <c r="G29" t="s">
        <v>62</v>
      </c>
      <c r="H29" t="s">
        <v>101</v>
      </c>
      <c r="I29" t="s">
        <v>107</v>
      </c>
      <c r="J29" t="s">
        <v>108</v>
      </c>
    </row>
    <row r="30" spans="1:10" x14ac:dyDescent="0.25">
      <c r="A30" t="s">
        <v>54</v>
      </c>
      <c r="B30" t="s">
        <v>223</v>
      </c>
      <c r="G30" t="s">
        <v>62</v>
      </c>
      <c r="H30" t="s">
        <v>101</v>
      </c>
      <c r="I30" t="s">
        <v>110</v>
      </c>
      <c r="J30" t="s">
        <v>33</v>
      </c>
    </row>
    <row r="31" spans="1:10" x14ac:dyDescent="0.25">
      <c r="A31" t="s">
        <v>54</v>
      </c>
      <c r="B31" t="s">
        <v>224</v>
      </c>
      <c r="G31" t="s">
        <v>62</v>
      </c>
      <c r="H31" t="s">
        <v>112</v>
      </c>
      <c r="I31" t="s">
        <v>113</v>
      </c>
      <c r="J31" t="s">
        <v>33</v>
      </c>
    </row>
    <row r="32" spans="1:10" x14ac:dyDescent="0.25">
      <c r="A32" t="s">
        <v>54</v>
      </c>
      <c r="B32" t="s">
        <v>225</v>
      </c>
      <c r="G32" t="s">
        <v>62</v>
      </c>
      <c r="H32" t="s">
        <v>115</v>
      </c>
      <c r="I32" t="s">
        <v>116</v>
      </c>
      <c r="J32" t="s">
        <v>117</v>
      </c>
    </row>
    <row r="33" spans="1:10" x14ac:dyDescent="0.25">
      <c r="A33" t="s">
        <v>54</v>
      </c>
      <c r="B33" t="s">
        <v>22</v>
      </c>
      <c r="G33" t="s">
        <v>62</v>
      </c>
      <c r="H33" t="s">
        <v>119</v>
      </c>
      <c r="I33" t="s">
        <v>120</v>
      </c>
      <c r="J33" t="s">
        <v>121</v>
      </c>
    </row>
    <row r="34" spans="1:10" x14ac:dyDescent="0.25">
      <c r="A34" t="s">
        <v>54</v>
      </c>
      <c r="B34" t="s">
        <v>226</v>
      </c>
      <c r="G34" t="s">
        <v>62</v>
      </c>
      <c r="H34" t="s">
        <v>47</v>
      </c>
      <c r="I34" t="s">
        <v>123</v>
      </c>
      <c r="J34" t="s">
        <v>33</v>
      </c>
    </row>
    <row r="35" spans="1:10" x14ac:dyDescent="0.25">
      <c r="A35" t="s">
        <v>54</v>
      </c>
      <c r="B35" t="s">
        <v>227</v>
      </c>
      <c r="G35" t="s">
        <v>62</v>
      </c>
      <c r="H35" t="s">
        <v>12</v>
      </c>
      <c r="I35" t="s">
        <v>125</v>
      </c>
      <c r="J35" t="s">
        <v>126</v>
      </c>
    </row>
    <row r="36" spans="1:10" x14ac:dyDescent="0.25">
      <c r="A36" t="s">
        <v>54</v>
      </c>
      <c r="B36" t="s">
        <v>114</v>
      </c>
      <c r="G36" t="s">
        <v>62</v>
      </c>
      <c r="H36" t="s">
        <v>128</v>
      </c>
      <c r="I36" t="s">
        <v>129</v>
      </c>
      <c r="J36" t="s">
        <v>130</v>
      </c>
    </row>
    <row r="37" spans="1:10" x14ac:dyDescent="0.25">
      <c r="A37" t="s">
        <v>54</v>
      </c>
      <c r="B37" t="s">
        <v>228</v>
      </c>
      <c r="G37" t="s">
        <v>62</v>
      </c>
      <c r="H37" t="s">
        <v>88</v>
      </c>
      <c r="I37" t="s">
        <v>132</v>
      </c>
      <c r="J37" t="s">
        <v>133</v>
      </c>
    </row>
    <row r="38" spans="1:10" x14ac:dyDescent="0.25">
      <c r="A38" t="s">
        <v>317</v>
      </c>
      <c r="B38" t="s">
        <v>221</v>
      </c>
      <c r="G38" t="s">
        <v>62</v>
      </c>
      <c r="H38" t="s">
        <v>9</v>
      </c>
      <c r="I38" t="s">
        <v>135</v>
      </c>
      <c r="J38" t="s">
        <v>136</v>
      </c>
    </row>
    <row r="39" spans="1:10" x14ac:dyDescent="0.25">
      <c r="A39" t="s">
        <v>317</v>
      </c>
      <c r="B39" t="s">
        <v>222</v>
      </c>
      <c r="G39" t="s">
        <v>62</v>
      </c>
      <c r="H39" t="s">
        <v>112</v>
      </c>
      <c r="I39" t="s">
        <v>138</v>
      </c>
      <c r="J39" t="s">
        <v>33</v>
      </c>
    </row>
    <row r="40" spans="1:10" x14ac:dyDescent="0.25">
      <c r="A40" t="s">
        <v>317</v>
      </c>
      <c r="B40" t="s">
        <v>223</v>
      </c>
      <c r="G40" t="s">
        <v>62</v>
      </c>
      <c r="H40" t="s">
        <v>139</v>
      </c>
      <c r="I40" t="s">
        <v>140</v>
      </c>
      <c r="J40" t="s">
        <v>141</v>
      </c>
    </row>
    <row r="41" spans="1:10" x14ac:dyDescent="0.25">
      <c r="A41" t="s">
        <v>317</v>
      </c>
      <c r="B41" t="s">
        <v>224</v>
      </c>
      <c r="G41" t="s">
        <v>62</v>
      </c>
      <c r="H41" t="s">
        <v>143</v>
      </c>
      <c r="I41" t="s">
        <v>144</v>
      </c>
      <c r="J41" t="s">
        <v>33</v>
      </c>
    </row>
    <row r="42" spans="1:10" x14ac:dyDescent="0.25">
      <c r="A42" t="s">
        <v>317</v>
      </c>
      <c r="B42" t="s">
        <v>226</v>
      </c>
      <c r="G42" t="s">
        <v>62</v>
      </c>
      <c r="H42" t="s">
        <v>146</v>
      </c>
      <c r="I42" t="s">
        <v>147</v>
      </c>
      <c r="J42" t="s">
        <v>148</v>
      </c>
    </row>
    <row r="43" spans="1:10" x14ac:dyDescent="0.25">
      <c r="A43" t="s">
        <v>317</v>
      </c>
      <c r="B43" t="s">
        <v>227</v>
      </c>
      <c r="G43" t="s">
        <v>62</v>
      </c>
      <c r="H43" t="s">
        <v>149</v>
      </c>
      <c r="I43" t="s">
        <v>150</v>
      </c>
      <c r="J43" t="s">
        <v>151</v>
      </c>
    </row>
    <row r="44" spans="1:10" x14ac:dyDescent="0.25">
      <c r="A44" t="s">
        <v>317</v>
      </c>
      <c r="B44" t="s">
        <v>114</v>
      </c>
      <c r="G44" t="s">
        <v>62</v>
      </c>
      <c r="H44" t="s">
        <v>152</v>
      </c>
      <c r="I44" t="s">
        <v>153</v>
      </c>
      <c r="J44" t="s">
        <v>46</v>
      </c>
    </row>
    <row r="45" spans="1:10" x14ac:dyDescent="0.25">
      <c r="A45" t="s">
        <v>317</v>
      </c>
      <c r="B45" t="s">
        <v>251</v>
      </c>
      <c r="G45" t="s">
        <v>62</v>
      </c>
      <c r="H45" t="s">
        <v>154</v>
      </c>
      <c r="I45" t="s">
        <v>155</v>
      </c>
      <c r="J45" t="s">
        <v>156</v>
      </c>
    </row>
    <row r="46" spans="1:10" x14ac:dyDescent="0.25">
      <c r="A46" t="s">
        <v>317</v>
      </c>
      <c r="B46" t="s">
        <v>318</v>
      </c>
      <c r="G46" t="s">
        <v>62</v>
      </c>
      <c r="H46" t="s">
        <v>157</v>
      </c>
      <c r="I46" t="s">
        <v>158</v>
      </c>
      <c r="J46" t="s">
        <v>46</v>
      </c>
    </row>
    <row r="47" spans="1:10" x14ac:dyDescent="0.25">
      <c r="A47" t="s">
        <v>317</v>
      </c>
      <c r="B47" t="s">
        <v>201</v>
      </c>
      <c r="G47" t="s">
        <v>62</v>
      </c>
      <c r="H47" t="s">
        <v>159</v>
      </c>
      <c r="I47" t="s">
        <v>160</v>
      </c>
      <c r="J47" t="s">
        <v>161</v>
      </c>
    </row>
    <row r="48" spans="1:10" x14ac:dyDescent="0.25">
      <c r="A48" t="s">
        <v>317</v>
      </c>
      <c r="B48" t="s">
        <v>319</v>
      </c>
      <c r="G48" t="s">
        <v>162</v>
      </c>
      <c r="H48" t="s">
        <v>50</v>
      </c>
      <c r="I48" t="s">
        <v>163</v>
      </c>
      <c r="J48" t="s">
        <v>33</v>
      </c>
    </row>
    <row r="49" spans="1:10" x14ac:dyDescent="0.25">
      <c r="A49" t="s">
        <v>317</v>
      </c>
      <c r="B49" t="s">
        <v>320</v>
      </c>
      <c r="G49" t="s">
        <v>162</v>
      </c>
      <c r="H49" t="s">
        <v>54</v>
      </c>
      <c r="I49" t="s">
        <v>164</v>
      </c>
      <c r="J49" t="s">
        <v>33</v>
      </c>
    </row>
    <row r="50" spans="1:10" x14ac:dyDescent="0.25">
      <c r="A50" t="s">
        <v>317</v>
      </c>
      <c r="B50" t="s">
        <v>321</v>
      </c>
      <c r="G50" t="s">
        <v>162</v>
      </c>
      <c r="H50" t="s">
        <v>58</v>
      </c>
      <c r="I50" t="s">
        <v>165</v>
      </c>
      <c r="J50" t="s">
        <v>60</v>
      </c>
    </row>
    <row r="51" spans="1:10" x14ac:dyDescent="0.25">
      <c r="A51" t="s">
        <v>317</v>
      </c>
      <c r="B51" t="s">
        <v>322</v>
      </c>
      <c r="G51" t="s">
        <v>166</v>
      </c>
      <c r="H51" t="s">
        <v>119</v>
      </c>
      <c r="I51" t="s">
        <v>167</v>
      </c>
      <c r="J51" t="s">
        <v>168</v>
      </c>
    </row>
    <row r="52" spans="1:10" x14ac:dyDescent="0.25">
      <c r="A52" t="s">
        <v>317</v>
      </c>
      <c r="B52" t="s">
        <v>219</v>
      </c>
      <c r="G52" t="s">
        <v>166</v>
      </c>
      <c r="H52" t="s">
        <v>12</v>
      </c>
      <c r="I52" t="s">
        <v>169</v>
      </c>
      <c r="J52" t="s">
        <v>33</v>
      </c>
    </row>
    <row r="53" spans="1:10" x14ac:dyDescent="0.25">
      <c r="A53" t="s">
        <v>323</v>
      </c>
      <c r="B53" t="s">
        <v>221</v>
      </c>
      <c r="G53" t="s">
        <v>166</v>
      </c>
      <c r="H53" t="s">
        <v>128</v>
      </c>
      <c r="I53" t="s">
        <v>170</v>
      </c>
      <c r="J53" t="s">
        <v>33</v>
      </c>
    </row>
    <row r="54" spans="1:10" x14ac:dyDescent="0.25">
      <c r="A54" t="s">
        <v>323</v>
      </c>
      <c r="B54" t="s">
        <v>222</v>
      </c>
      <c r="G54" t="s">
        <v>166</v>
      </c>
      <c r="H54" t="s">
        <v>88</v>
      </c>
      <c r="I54" t="s">
        <v>172</v>
      </c>
      <c r="J54" t="s">
        <v>33</v>
      </c>
    </row>
    <row r="55" spans="1:10" x14ac:dyDescent="0.25">
      <c r="A55" t="s">
        <v>323</v>
      </c>
      <c r="B55" t="s">
        <v>224</v>
      </c>
      <c r="G55" t="s">
        <v>166</v>
      </c>
      <c r="H55" t="s">
        <v>47</v>
      </c>
      <c r="I55" t="s">
        <v>174</v>
      </c>
      <c r="J55" t="s">
        <v>33</v>
      </c>
    </row>
    <row r="56" spans="1:10" x14ac:dyDescent="0.25">
      <c r="A56" t="s">
        <v>323</v>
      </c>
      <c r="B56" t="s">
        <v>226</v>
      </c>
      <c r="G56" t="s">
        <v>166</v>
      </c>
      <c r="H56" t="s">
        <v>139</v>
      </c>
      <c r="I56" t="s">
        <v>176</v>
      </c>
      <c r="J56" t="s">
        <v>90</v>
      </c>
    </row>
    <row r="57" spans="1:10" x14ac:dyDescent="0.25">
      <c r="A57" t="s">
        <v>323</v>
      </c>
      <c r="B57" t="s">
        <v>324</v>
      </c>
      <c r="G57" t="s">
        <v>166</v>
      </c>
      <c r="H57" t="s">
        <v>9</v>
      </c>
      <c r="I57" t="s">
        <v>178</v>
      </c>
      <c r="J57" t="s">
        <v>33</v>
      </c>
    </row>
    <row r="58" spans="1:10" x14ac:dyDescent="0.25">
      <c r="A58" t="s">
        <v>323</v>
      </c>
      <c r="B58" t="s">
        <v>308</v>
      </c>
      <c r="G58" t="s">
        <v>166</v>
      </c>
      <c r="H58" t="s">
        <v>112</v>
      </c>
      <c r="I58" t="s">
        <v>180</v>
      </c>
      <c r="J58" t="s">
        <v>33</v>
      </c>
    </row>
    <row r="59" spans="1:10" x14ac:dyDescent="0.25">
      <c r="A59" t="s">
        <v>323</v>
      </c>
      <c r="B59" t="s">
        <v>325</v>
      </c>
      <c r="G59" t="s">
        <v>166</v>
      </c>
      <c r="H59" t="s">
        <v>146</v>
      </c>
      <c r="I59" t="s">
        <v>182</v>
      </c>
      <c r="J59" t="s">
        <v>33</v>
      </c>
    </row>
    <row r="60" spans="1:10" x14ac:dyDescent="0.25">
      <c r="A60" t="s">
        <v>323</v>
      </c>
      <c r="B60" t="s">
        <v>326</v>
      </c>
      <c r="G60" t="s">
        <v>166</v>
      </c>
      <c r="H60" t="s">
        <v>149</v>
      </c>
      <c r="I60" t="s">
        <v>183</v>
      </c>
      <c r="J60" t="s">
        <v>33</v>
      </c>
    </row>
    <row r="61" spans="1:10" x14ac:dyDescent="0.25">
      <c r="A61" t="s">
        <v>323</v>
      </c>
      <c r="B61" t="s">
        <v>327</v>
      </c>
      <c r="G61" t="s">
        <v>166</v>
      </c>
      <c r="H61" t="s">
        <v>143</v>
      </c>
      <c r="I61" t="s">
        <v>184</v>
      </c>
      <c r="J61" t="s">
        <v>33</v>
      </c>
    </row>
    <row r="62" spans="1:10" x14ac:dyDescent="0.25">
      <c r="A62" t="s">
        <v>323</v>
      </c>
      <c r="B62" t="s">
        <v>328</v>
      </c>
      <c r="G62" t="s">
        <v>166</v>
      </c>
      <c r="H62" t="s">
        <v>152</v>
      </c>
      <c r="I62" t="s">
        <v>185</v>
      </c>
      <c r="J62" t="s">
        <v>46</v>
      </c>
    </row>
    <row r="63" spans="1:10" x14ac:dyDescent="0.25">
      <c r="A63" t="s">
        <v>323</v>
      </c>
      <c r="B63" t="s">
        <v>329</v>
      </c>
      <c r="G63" t="s">
        <v>166</v>
      </c>
      <c r="H63" t="s">
        <v>157</v>
      </c>
      <c r="I63" t="s">
        <v>186</v>
      </c>
      <c r="J63" t="s">
        <v>46</v>
      </c>
    </row>
    <row r="64" spans="1:10" x14ac:dyDescent="0.25">
      <c r="A64" t="s">
        <v>323</v>
      </c>
      <c r="B64" t="s">
        <v>330</v>
      </c>
      <c r="G64" t="s">
        <v>166</v>
      </c>
      <c r="H64" t="s">
        <v>154</v>
      </c>
      <c r="I64" t="s">
        <v>187</v>
      </c>
      <c r="J64" t="s">
        <v>156</v>
      </c>
    </row>
    <row r="65" spans="1:10" x14ac:dyDescent="0.25">
      <c r="A65" t="s">
        <v>323</v>
      </c>
      <c r="B65" t="s">
        <v>331</v>
      </c>
      <c r="G65" t="s">
        <v>166</v>
      </c>
      <c r="H65" t="s">
        <v>159</v>
      </c>
      <c r="I65" t="s">
        <v>188</v>
      </c>
      <c r="J65" t="s">
        <v>161</v>
      </c>
    </row>
    <row r="66" spans="1:10" x14ac:dyDescent="0.25">
      <c r="A66" t="s">
        <v>323</v>
      </c>
      <c r="B66" t="s">
        <v>309</v>
      </c>
      <c r="G66" t="s">
        <v>189</v>
      </c>
      <c r="H66" t="s">
        <v>190</v>
      </c>
      <c r="I66" t="s">
        <v>191</v>
      </c>
      <c r="J66" t="s">
        <v>33</v>
      </c>
    </row>
    <row r="67" spans="1:10" x14ac:dyDescent="0.25">
      <c r="A67" t="s">
        <v>323</v>
      </c>
      <c r="B67" t="s">
        <v>332</v>
      </c>
      <c r="G67" t="s">
        <v>192</v>
      </c>
      <c r="H67" t="s">
        <v>193</v>
      </c>
      <c r="I67" t="s">
        <v>194</v>
      </c>
      <c r="J67" t="s">
        <v>24</v>
      </c>
    </row>
    <row r="68" spans="1:10" x14ac:dyDescent="0.25">
      <c r="A68" t="s">
        <v>323</v>
      </c>
      <c r="B68" t="s">
        <v>106</v>
      </c>
      <c r="G68" t="s">
        <v>195</v>
      </c>
      <c r="H68" t="s">
        <v>196</v>
      </c>
      <c r="I68" t="s">
        <v>197</v>
      </c>
      <c r="J68" t="s">
        <v>24</v>
      </c>
    </row>
    <row r="69" spans="1:10" x14ac:dyDescent="0.25">
      <c r="A69" t="s">
        <v>333</v>
      </c>
      <c r="B69" t="s">
        <v>221</v>
      </c>
      <c r="G69" t="s">
        <v>198</v>
      </c>
      <c r="H69" t="s">
        <v>199</v>
      </c>
      <c r="I69" t="s">
        <v>200</v>
      </c>
      <c r="J69" t="s">
        <v>24</v>
      </c>
    </row>
    <row r="70" spans="1:10" x14ac:dyDescent="0.25">
      <c r="A70" t="s">
        <v>333</v>
      </c>
      <c r="B70" t="s">
        <v>222</v>
      </c>
    </row>
    <row r="71" spans="1:10" x14ac:dyDescent="0.25">
      <c r="A71" t="s">
        <v>333</v>
      </c>
      <c r="B71" t="s">
        <v>223</v>
      </c>
    </row>
    <row r="72" spans="1:10" x14ac:dyDescent="0.25">
      <c r="A72" t="s">
        <v>333</v>
      </c>
      <c r="B72" t="s">
        <v>224</v>
      </c>
    </row>
    <row r="73" spans="1:10" x14ac:dyDescent="0.25">
      <c r="A73" t="s">
        <v>333</v>
      </c>
      <c r="B73" t="s">
        <v>226</v>
      </c>
    </row>
    <row r="74" spans="1:10" x14ac:dyDescent="0.25">
      <c r="A74" t="s">
        <v>333</v>
      </c>
      <c r="B74" t="s">
        <v>227</v>
      </c>
    </row>
    <row r="75" spans="1:10" x14ac:dyDescent="0.25">
      <c r="A75" t="s">
        <v>333</v>
      </c>
      <c r="B75" t="s">
        <v>114</v>
      </c>
    </row>
    <row r="76" spans="1:10" x14ac:dyDescent="0.25">
      <c r="A76" t="s">
        <v>333</v>
      </c>
      <c r="B76" t="s">
        <v>251</v>
      </c>
    </row>
    <row r="77" spans="1:10" x14ac:dyDescent="0.25">
      <c r="A77" t="s">
        <v>333</v>
      </c>
      <c r="B77" t="s">
        <v>318</v>
      </c>
    </row>
    <row r="78" spans="1:10" x14ac:dyDescent="0.25">
      <c r="A78" t="s">
        <v>333</v>
      </c>
      <c r="B78" t="s">
        <v>201</v>
      </c>
    </row>
    <row r="79" spans="1:10" x14ac:dyDescent="0.25">
      <c r="A79" t="s">
        <v>333</v>
      </c>
      <c r="B79" t="s">
        <v>319</v>
      </c>
    </row>
    <row r="80" spans="1:10" x14ac:dyDescent="0.25">
      <c r="A80" t="s">
        <v>333</v>
      </c>
      <c r="B80" t="s">
        <v>320</v>
      </c>
    </row>
    <row r="81" spans="1:2" x14ac:dyDescent="0.25">
      <c r="A81" t="s">
        <v>333</v>
      </c>
      <c r="B81" t="s">
        <v>321</v>
      </c>
    </row>
    <row r="82" spans="1:2" x14ac:dyDescent="0.25">
      <c r="A82" t="s">
        <v>333</v>
      </c>
      <c r="B82" t="s">
        <v>322</v>
      </c>
    </row>
    <row r="83" spans="1:2" x14ac:dyDescent="0.25">
      <c r="A83" t="s">
        <v>333</v>
      </c>
      <c r="B83" t="s">
        <v>334</v>
      </c>
    </row>
    <row r="84" spans="1:2" x14ac:dyDescent="0.25">
      <c r="A84" t="s">
        <v>335</v>
      </c>
      <c r="B84" t="s">
        <v>221</v>
      </c>
    </row>
    <row r="85" spans="1:2" x14ac:dyDescent="0.25">
      <c r="A85" t="s">
        <v>335</v>
      </c>
      <c r="B85" t="s">
        <v>222</v>
      </c>
    </row>
    <row r="86" spans="1:2" x14ac:dyDescent="0.25">
      <c r="A86" t="s">
        <v>335</v>
      </c>
      <c r="B86" t="s">
        <v>223</v>
      </c>
    </row>
    <row r="87" spans="1:2" x14ac:dyDescent="0.25">
      <c r="A87" t="s">
        <v>335</v>
      </c>
      <c r="B87" t="s">
        <v>22</v>
      </c>
    </row>
    <row r="88" spans="1:2" x14ac:dyDescent="0.25">
      <c r="A88" t="s">
        <v>335</v>
      </c>
      <c r="B88" t="s">
        <v>226</v>
      </c>
    </row>
    <row r="89" spans="1:2" x14ac:dyDescent="0.25">
      <c r="A89" t="s">
        <v>335</v>
      </c>
      <c r="B89" t="s">
        <v>114</v>
      </c>
    </row>
    <row r="90" spans="1:2" x14ac:dyDescent="0.25">
      <c r="A90" t="s">
        <v>335</v>
      </c>
      <c r="B90" t="s">
        <v>336</v>
      </c>
    </row>
    <row r="91" spans="1:2" x14ac:dyDescent="0.25">
      <c r="A91" t="s">
        <v>335</v>
      </c>
      <c r="B91" t="s">
        <v>337</v>
      </c>
    </row>
    <row r="92" spans="1:2" x14ac:dyDescent="0.25">
      <c r="A92" t="s">
        <v>338</v>
      </c>
      <c r="B92" t="s">
        <v>221</v>
      </c>
    </row>
    <row r="93" spans="1:2" x14ac:dyDescent="0.25">
      <c r="A93" t="s">
        <v>338</v>
      </c>
      <c r="B93" t="s">
        <v>222</v>
      </c>
    </row>
    <row r="94" spans="1:2" x14ac:dyDescent="0.25">
      <c r="A94" t="s">
        <v>338</v>
      </c>
      <c r="B94" t="s">
        <v>223</v>
      </c>
    </row>
    <row r="95" spans="1:2" x14ac:dyDescent="0.25">
      <c r="A95" t="s">
        <v>338</v>
      </c>
      <c r="B95" t="s">
        <v>224</v>
      </c>
    </row>
    <row r="96" spans="1:2" x14ac:dyDescent="0.25">
      <c r="A96" t="s">
        <v>338</v>
      </c>
      <c r="B96" t="s">
        <v>225</v>
      </c>
    </row>
    <row r="97" spans="1:2" x14ac:dyDescent="0.25">
      <c r="A97" t="s">
        <v>338</v>
      </c>
      <c r="B97" t="s">
        <v>22</v>
      </c>
    </row>
    <row r="98" spans="1:2" x14ac:dyDescent="0.25">
      <c r="A98" t="s">
        <v>338</v>
      </c>
      <c r="B98" t="s">
        <v>226</v>
      </c>
    </row>
    <row r="99" spans="1:2" x14ac:dyDescent="0.25">
      <c r="A99" t="s">
        <v>338</v>
      </c>
      <c r="B99" t="s">
        <v>227</v>
      </c>
    </row>
    <row r="100" spans="1:2" x14ac:dyDescent="0.25">
      <c r="A100" t="s">
        <v>338</v>
      </c>
      <c r="B100" t="s">
        <v>114</v>
      </c>
    </row>
    <row r="101" spans="1:2" x14ac:dyDescent="0.25">
      <c r="A101" t="s">
        <v>338</v>
      </c>
      <c r="B101" t="s">
        <v>339</v>
      </c>
    </row>
    <row r="102" spans="1:2" x14ac:dyDescent="0.25">
      <c r="A102" t="s">
        <v>340</v>
      </c>
      <c r="B102" t="s">
        <v>221</v>
      </c>
    </row>
    <row r="103" spans="1:2" x14ac:dyDescent="0.25">
      <c r="A103" t="s">
        <v>340</v>
      </c>
      <c r="B103" t="s">
        <v>222</v>
      </c>
    </row>
    <row r="104" spans="1:2" x14ac:dyDescent="0.25">
      <c r="A104" t="s">
        <v>340</v>
      </c>
      <c r="B104" t="s">
        <v>223</v>
      </c>
    </row>
    <row r="105" spans="1:2" x14ac:dyDescent="0.25">
      <c r="A105" t="s">
        <v>340</v>
      </c>
      <c r="B105" t="s">
        <v>224</v>
      </c>
    </row>
    <row r="106" spans="1:2" x14ac:dyDescent="0.25">
      <c r="A106" t="s">
        <v>340</v>
      </c>
      <c r="B106" t="s">
        <v>22</v>
      </c>
    </row>
    <row r="107" spans="1:2" x14ac:dyDescent="0.25">
      <c r="A107" t="s">
        <v>340</v>
      </c>
      <c r="B107" t="s">
        <v>226</v>
      </c>
    </row>
    <row r="108" spans="1:2" x14ac:dyDescent="0.25">
      <c r="A108" t="s">
        <v>341</v>
      </c>
      <c r="B108" t="s">
        <v>221</v>
      </c>
    </row>
    <row r="109" spans="1:2" x14ac:dyDescent="0.25">
      <c r="A109" t="s">
        <v>341</v>
      </c>
      <c r="B109" t="s">
        <v>223</v>
      </c>
    </row>
    <row r="110" spans="1:2" x14ac:dyDescent="0.25">
      <c r="A110" t="s">
        <v>341</v>
      </c>
      <c r="B110" t="s">
        <v>224</v>
      </c>
    </row>
    <row r="111" spans="1:2" x14ac:dyDescent="0.25">
      <c r="A111" t="s">
        <v>341</v>
      </c>
      <c r="B111" t="s">
        <v>22</v>
      </c>
    </row>
    <row r="112" spans="1:2" x14ac:dyDescent="0.25">
      <c r="A112" t="s">
        <v>341</v>
      </c>
      <c r="B112" t="s">
        <v>226</v>
      </c>
    </row>
    <row r="113" spans="1:2" x14ac:dyDescent="0.25">
      <c r="A113" t="s">
        <v>341</v>
      </c>
      <c r="B113" t="s">
        <v>227</v>
      </c>
    </row>
    <row r="114" spans="1:2" x14ac:dyDescent="0.25">
      <c r="A114" t="s">
        <v>341</v>
      </c>
      <c r="B114" t="s">
        <v>114</v>
      </c>
    </row>
    <row r="115" spans="1:2" x14ac:dyDescent="0.25">
      <c r="A115" t="s">
        <v>342</v>
      </c>
      <c r="B115" t="s">
        <v>221</v>
      </c>
    </row>
    <row r="116" spans="1:2" x14ac:dyDescent="0.25">
      <c r="A116" t="s">
        <v>342</v>
      </c>
      <c r="B116" t="s">
        <v>222</v>
      </c>
    </row>
    <row r="117" spans="1:2" x14ac:dyDescent="0.25">
      <c r="A117" t="s">
        <v>342</v>
      </c>
      <c r="B117" t="s">
        <v>223</v>
      </c>
    </row>
    <row r="118" spans="1:2" x14ac:dyDescent="0.25">
      <c r="A118" t="s">
        <v>342</v>
      </c>
      <c r="B118" t="s">
        <v>224</v>
      </c>
    </row>
    <row r="119" spans="1:2" x14ac:dyDescent="0.25">
      <c r="A119" t="s">
        <v>342</v>
      </c>
      <c r="B119" t="s">
        <v>22</v>
      </c>
    </row>
    <row r="120" spans="1:2" x14ac:dyDescent="0.25">
      <c r="A120" t="s">
        <v>342</v>
      </c>
      <c r="B120" t="s">
        <v>226</v>
      </c>
    </row>
    <row r="121" spans="1:2" x14ac:dyDescent="0.25">
      <c r="A121" t="s">
        <v>342</v>
      </c>
      <c r="B121" t="s">
        <v>227</v>
      </c>
    </row>
    <row r="122" spans="1:2" x14ac:dyDescent="0.25">
      <c r="A122" t="s">
        <v>342</v>
      </c>
      <c r="B122" t="s">
        <v>114</v>
      </c>
    </row>
    <row r="123" spans="1:2" x14ac:dyDescent="0.25">
      <c r="A123" t="s">
        <v>342</v>
      </c>
      <c r="B123" t="s">
        <v>307</v>
      </c>
    </row>
    <row r="124" spans="1:2" x14ac:dyDescent="0.25">
      <c r="A124" t="s">
        <v>342</v>
      </c>
      <c r="B124" t="s">
        <v>343</v>
      </c>
    </row>
    <row r="125" spans="1:2" x14ac:dyDescent="0.25">
      <c r="A125" t="s">
        <v>342</v>
      </c>
      <c r="B125" t="s">
        <v>344</v>
      </c>
    </row>
    <row r="126" spans="1:2" x14ac:dyDescent="0.25">
      <c r="A126" t="s">
        <v>342</v>
      </c>
      <c r="B126" t="s">
        <v>345</v>
      </c>
    </row>
    <row r="127" spans="1:2" x14ac:dyDescent="0.25">
      <c r="A127" t="s">
        <v>342</v>
      </c>
      <c r="B127" t="s">
        <v>346</v>
      </c>
    </row>
    <row r="128" spans="1:2" x14ac:dyDescent="0.25">
      <c r="A128" t="s">
        <v>342</v>
      </c>
      <c r="B128" t="s">
        <v>347</v>
      </c>
    </row>
    <row r="129" spans="1:2" x14ac:dyDescent="0.25">
      <c r="A129" t="s">
        <v>342</v>
      </c>
      <c r="B129" t="s">
        <v>348</v>
      </c>
    </row>
    <row r="130" spans="1:2" x14ac:dyDescent="0.25">
      <c r="A130" t="s">
        <v>342</v>
      </c>
      <c r="B130" t="s">
        <v>349</v>
      </c>
    </row>
    <row r="131" spans="1:2" x14ac:dyDescent="0.25">
      <c r="A131" t="s">
        <v>342</v>
      </c>
      <c r="B131" t="s">
        <v>350</v>
      </c>
    </row>
    <row r="132" spans="1:2" x14ac:dyDescent="0.25">
      <c r="A132" t="s">
        <v>342</v>
      </c>
      <c r="B132" t="s">
        <v>351</v>
      </c>
    </row>
    <row r="133" spans="1:2" x14ac:dyDescent="0.25">
      <c r="A133" t="s">
        <v>342</v>
      </c>
      <c r="B133" t="s">
        <v>352</v>
      </c>
    </row>
    <row r="134" spans="1:2" x14ac:dyDescent="0.25">
      <c r="A134" t="s">
        <v>342</v>
      </c>
      <c r="B134" t="s">
        <v>353</v>
      </c>
    </row>
    <row r="135" spans="1:2" x14ac:dyDescent="0.25">
      <c r="A135" t="s">
        <v>342</v>
      </c>
      <c r="B135" t="s">
        <v>354</v>
      </c>
    </row>
    <row r="136" spans="1:2" x14ac:dyDescent="0.25">
      <c r="A136" t="s">
        <v>342</v>
      </c>
      <c r="B136" t="s">
        <v>355</v>
      </c>
    </row>
    <row r="137" spans="1:2" x14ac:dyDescent="0.25">
      <c r="A137" t="s">
        <v>356</v>
      </c>
      <c r="B137" t="s">
        <v>221</v>
      </c>
    </row>
    <row r="138" spans="1:2" x14ac:dyDescent="0.25">
      <c r="A138" t="s">
        <v>356</v>
      </c>
      <c r="B138" t="s">
        <v>223</v>
      </c>
    </row>
    <row r="139" spans="1:2" x14ac:dyDescent="0.25">
      <c r="A139" t="s">
        <v>356</v>
      </c>
      <c r="B139" t="s">
        <v>224</v>
      </c>
    </row>
    <row r="140" spans="1:2" x14ac:dyDescent="0.25">
      <c r="A140" t="s">
        <v>356</v>
      </c>
      <c r="B140" t="s">
        <v>22</v>
      </c>
    </row>
    <row r="141" spans="1:2" x14ac:dyDescent="0.25">
      <c r="A141" t="s">
        <v>356</v>
      </c>
      <c r="B141" t="s">
        <v>226</v>
      </c>
    </row>
    <row r="142" spans="1:2" x14ac:dyDescent="0.25">
      <c r="A142" t="s">
        <v>356</v>
      </c>
      <c r="B142" t="s">
        <v>227</v>
      </c>
    </row>
    <row r="143" spans="1:2" x14ac:dyDescent="0.25">
      <c r="A143" t="s">
        <v>356</v>
      </c>
      <c r="B143" t="s">
        <v>114</v>
      </c>
    </row>
    <row r="144" spans="1:2" x14ac:dyDescent="0.25">
      <c r="A144" t="s">
        <v>356</v>
      </c>
      <c r="B144" t="s">
        <v>357</v>
      </c>
    </row>
    <row r="145" spans="1:2" x14ac:dyDescent="0.25">
      <c r="A145" t="s">
        <v>26</v>
      </c>
      <c r="B145" t="s">
        <v>211</v>
      </c>
    </row>
    <row r="146" spans="1:2" x14ac:dyDescent="0.25">
      <c r="A146" t="s">
        <v>26</v>
      </c>
      <c r="B146" t="s">
        <v>212</v>
      </c>
    </row>
    <row r="147" spans="1:2" x14ac:dyDescent="0.25">
      <c r="A147" t="s">
        <v>26</v>
      </c>
      <c r="B147" t="s">
        <v>213</v>
      </c>
    </row>
    <row r="148" spans="1:2" x14ac:dyDescent="0.25">
      <c r="A148" t="s">
        <v>26</v>
      </c>
      <c r="B148" t="s">
        <v>358</v>
      </c>
    </row>
    <row r="149" spans="1:2" x14ac:dyDescent="0.25">
      <c r="A149" t="s">
        <v>359</v>
      </c>
      <c r="B149" t="s">
        <v>224</v>
      </c>
    </row>
    <row r="150" spans="1:2" x14ac:dyDescent="0.25">
      <c r="A150" t="s">
        <v>359</v>
      </c>
      <c r="B150" t="s">
        <v>226</v>
      </c>
    </row>
    <row r="151" spans="1:2" x14ac:dyDescent="0.25">
      <c r="A151" t="s">
        <v>359</v>
      </c>
      <c r="B151" t="s">
        <v>114</v>
      </c>
    </row>
    <row r="152" spans="1:2" x14ac:dyDescent="0.25">
      <c r="A152" t="s">
        <v>36</v>
      </c>
      <c r="B152" t="s">
        <v>221</v>
      </c>
    </row>
    <row r="153" spans="1:2" x14ac:dyDescent="0.25">
      <c r="A153" t="s">
        <v>36</v>
      </c>
      <c r="B153" t="s">
        <v>22</v>
      </c>
    </row>
    <row r="154" spans="1:2" x14ac:dyDescent="0.25">
      <c r="A154" t="s">
        <v>36</v>
      </c>
      <c r="B154" t="s">
        <v>227</v>
      </c>
    </row>
    <row r="155" spans="1:2" x14ac:dyDescent="0.25">
      <c r="A155" t="s">
        <v>36</v>
      </c>
      <c r="B155" t="s">
        <v>171</v>
      </c>
    </row>
    <row r="156" spans="1:2" x14ac:dyDescent="0.25">
      <c r="A156" t="s">
        <v>36</v>
      </c>
      <c r="B156" t="s">
        <v>173</v>
      </c>
    </row>
    <row r="157" spans="1:2" x14ac:dyDescent="0.25">
      <c r="A157" t="s">
        <v>36</v>
      </c>
      <c r="B157" t="s">
        <v>175</v>
      </c>
    </row>
    <row r="158" spans="1:2" x14ac:dyDescent="0.25">
      <c r="A158" t="s">
        <v>36</v>
      </c>
      <c r="B158" t="s">
        <v>177</v>
      </c>
    </row>
    <row r="159" spans="1:2" x14ac:dyDescent="0.25">
      <c r="A159" t="s">
        <v>36</v>
      </c>
      <c r="B159" t="s">
        <v>179</v>
      </c>
    </row>
    <row r="160" spans="1:2" x14ac:dyDescent="0.25">
      <c r="A160" t="s">
        <v>36</v>
      </c>
      <c r="B160" t="s">
        <v>181</v>
      </c>
    </row>
    <row r="161" spans="1:2" x14ac:dyDescent="0.25">
      <c r="A161" t="s">
        <v>36</v>
      </c>
      <c r="B161" t="s">
        <v>360</v>
      </c>
    </row>
    <row r="162" spans="1:2" x14ac:dyDescent="0.25">
      <c r="A162" t="s">
        <v>36</v>
      </c>
      <c r="B162" t="s">
        <v>361</v>
      </c>
    </row>
    <row r="163" spans="1:2" x14ac:dyDescent="0.25">
      <c r="A163" t="s">
        <v>239</v>
      </c>
      <c r="B163" t="s">
        <v>221</v>
      </c>
    </row>
    <row r="164" spans="1:2" x14ac:dyDescent="0.25">
      <c r="A164" t="s">
        <v>239</v>
      </c>
      <c r="B164" t="s">
        <v>222</v>
      </c>
    </row>
    <row r="165" spans="1:2" x14ac:dyDescent="0.25">
      <c r="A165" t="s">
        <v>239</v>
      </c>
      <c r="B165" t="s">
        <v>223</v>
      </c>
    </row>
    <row r="166" spans="1:2" x14ac:dyDescent="0.25">
      <c r="A166" t="s">
        <v>239</v>
      </c>
      <c r="B166" t="s">
        <v>224</v>
      </c>
    </row>
    <row r="167" spans="1:2" x14ac:dyDescent="0.25">
      <c r="A167" t="s">
        <v>239</v>
      </c>
      <c r="B167" t="s">
        <v>22</v>
      </c>
    </row>
    <row r="168" spans="1:2" x14ac:dyDescent="0.25">
      <c r="A168" t="s">
        <v>239</v>
      </c>
      <c r="B168" t="s">
        <v>226</v>
      </c>
    </row>
    <row r="169" spans="1:2" x14ac:dyDescent="0.25">
      <c r="A169" t="s">
        <v>239</v>
      </c>
      <c r="B169" t="s">
        <v>227</v>
      </c>
    </row>
    <row r="170" spans="1:2" x14ac:dyDescent="0.25">
      <c r="A170" t="s">
        <v>239</v>
      </c>
      <c r="B170" t="s">
        <v>114</v>
      </c>
    </row>
    <row r="171" spans="1:2" x14ac:dyDescent="0.25">
      <c r="A171" t="s">
        <v>239</v>
      </c>
      <c r="B171" t="s">
        <v>307</v>
      </c>
    </row>
    <row r="172" spans="1:2" x14ac:dyDescent="0.25">
      <c r="A172" t="s">
        <v>362</v>
      </c>
      <c r="B172" t="s">
        <v>221</v>
      </c>
    </row>
    <row r="173" spans="1:2" x14ac:dyDescent="0.25">
      <c r="A173" t="s">
        <v>362</v>
      </c>
      <c r="B173" t="s">
        <v>222</v>
      </c>
    </row>
    <row r="174" spans="1:2" x14ac:dyDescent="0.25">
      <c r="A174" t="s">
        <v>362</v>
      </c>
      <c r="B174" t="s">
        <v>223</v>
      </c>
    </row>
    <row r="175" spans="1:2" x14ac:dyDescent="0.25">
      <c r="A175" t="s">
        <v>362</v>
      </c>
      <c r="B175" t="s">
        <v>224</v>
      </c>
    </row>
    <row r="176" spans="1:2" x14ac:dyDescent="0.25">
      <c r="A176" t="s">
        <v>362</v>
      </c>
      <c r="B176" t="s">
        <v>22</v>
      </c>
    </row>
    <row r="177" spans="1:2" x14ac:dyDescent="0.25">
      <c r="A177" t="s">
        <v>362</v>
      </c>
      <c r="B177" t="s">
        <v>226</v>
      </c>
    </row>
    <row r="178" spans="1:2" x14ac:dyDescent="0.25">
      <c r="A178" t="s">
        <v>22</v>
      </c>
      <c r="B178" t="s">
        <v>106</v>
      </c>
    </row>
    <row r="179" spans="1:2" x14ac:dyDescent="0.25">
      <c r="A179" t="s">
        <v>22</v>
      </c>
      <c r="B179" t="s">
        <v>72</v>
      </c>
    </row>
    <row r="180" spans="1:2" x14ac:dyDescent="0.25">
      <c r="A180" t="s">
        <v>22</v>
      </c>
      <c r="B180" t="s">
        <v>76</v>
      </c>
    </row>
    <row r="181" spans="1:2" x14ac:dyDescent="0.25">
      <c r="A181" t="s">
        <v>22</v>
      </c>
      <c r="B181" t="s">
        <v>79</v>
      </c>
    </row>
    <row r="182" spans="1:2" x14ac:dyDescent="0.25">
      <c r="A182" t="s">
        <v>22</v>
      </c>
      <c r="B182" t="s">
        <v>83</v>
      </c>
    </row>
    <row r="183" spans="1:2" x14ac:dyDescent="0.25">
      <c r="A183" t="s">
        <v>22</v>
      </c>
      <c r="B183" t="s">
        <v>87</v>
      </c>
    </row>
    <row r="184" spans="1:2" x14ac:dyDescent="0.25">
      <c r="A184" t="s">
        <v>22</v>
      </c>
      <c r="B184" t="s">
        <v>91</v>
      </c>
    </row>
    <row r="185" spans="1:2" x14ac:dyDescent="0.25">
      <c r="A185" t="s">
        <v>22</v>
      </c>
      <c r="B185" t="s">
        <v>94</v>
      </c>
    </row>
    <row r="186" spans="1:2" x14ac:dyDescent="0.25">
      <c r="A186" t="s">
        <v>22</v>
      </c>
      <c r="B186" t="s">
        <v>96</v>
      </c>
    </row>
    <row r="187" spans="1:2" x14ac:dyDescent="0.25">
      <c r="A187" t="s">
        <v>22</v>
      </c>
      <c r="B187" t="s">
        <v>98</v>
      </c>
    </row>
    <row r="188" spans="1:2" x14ac:dyDescent="0.25">
      <c r="A188" t="s">
        <v>22</v>
      </c>
      <c r="B188" t="s">
        <v>100</v>
      </c>
    </row>
    <row r="189" spans="1:2" x14ac:dyDescent="0.25">
      <c r="A189" t="s">
        <v>22</v>
      </c>
      <c r="B189" t="s">
        <v>104</v>
      </c>
    </row>
    <row r="190" spans="1:2" x14ac:dyDescent="0.25">
      <c r="A190" t="s">
        <v>363</v>
      </c>
      <c r="B190" t="s">
        <v>221</v>
      </c>
    </row>
    <row r="191" spans="1:2" x14ac:dyDescent="0.25">
      <c r="A191" t="s">
        <v>363</v>
      </c>
      <c r="B191" t="s">
        <v>222</v>
      </c>
    </row>
    <row r="192" spans="1:2" x14ac:dyDescent="0.25">
      <c r="A192" t="s">
        <v>363</v>
      </c>
      <c r="B192" t="s">
        <v>223</v>
      </c>
    </row>
    <row r="193" spans="1:2" x14ac:dyDescent="0.25">
      <c r="A193" t="s">
        <v>363</v>
      </c>
      <c r="B193" t="s">
        <v>224</v>
      </c>
    </row>
    <row r="194" spans="1:2" x14ac:dyDescent="0.25">
      <c r="A194" t="s">
        <v>363</v>
      </c>
      <c r="B194" t="s">
        <v>22</v>
      </c>
    </row>
    <row r="195" spans="1:2" x14ac:dyDescent="0.25">
      <c r="A195" t="s">
        <v>363</v>
      </c>
      <c r="B195" t="s">
        <v>226</v>
      </c>
    </row>
    <row r="196" spans="1:2" x14ac:dyDescent="0.25">
      <c r="A196" t="s">
        <v>363</v>
      </c>
      <c r="B196" t="s">
        <v>227</v>
      </c>
    </row>
    <row r="197" spans="1:2" x14ac:dyDescent="0.25">
      <c r="A197" t="s">
        <v>363</v>
      </c>
      <c r="B197" t="s">
        <v>114</v>
      </c>
    </row>
    <row r="198" spans="1:2" x14ac:dyDescent="0.25">
      <c r="A198" t="s">
        <v>12</v>
      </c>
      <c r="B198" t="s">
        <v>7</v>
      </c>
    </row>
    <row r="199" spans="1:2" x14ac:dyDescent="0.25">
      <c r="A199" t="s">
        <v>12</v>
      </c>
      <c r="B199" t="s">
        <v>13</v>
      </c>
    </row>
    <row r="200" spans="1:2" x14ac:dyDescent="0.25">
      <c r="A200" t="s">
        <v>12</v>
      </c>
      <c r="B200" t="s">
        <v>17</v>
      </c>
    </row>
    <row r="201" spans="1:2" x14ac:dyDescent="0.25">
      <c r="A201" t="s">
        <v>12</v>
      </c>
      <c r="B201" t="s">
        <v>21</v>
      </c>
    </row>
    <row r="202" spans="1:2" x14ac:dyDescent="0.25">
      <c r="A202" t="s">
        <v>12</v>
      </c>
      <c r="B202" t="s">
        <v>25</v>
      </c>
    </row>
    <row r="203" spans="1:2" x14ac:dyDescent="0.25">
      <c r="A203" t="s">
        <v>12</v>
      </c>
      <c r="B203" t="s">
        <v>29</v>
      </c>
    </row>
    <row r="204" spans="1:2" x14ac:dyDescent="0.25">
      <c r="A204" t="s">
        <v>12</v>
      </c>
      <c r="B204" t="s">
        <v>34</v>
      </c>
    </row>
    <row r="205" spans="1:2" x14ac:dyDescent="0.25">
      <c r="A205" t="s">
        <v>12</v>
      </c>
      <c r="B205" t="s">
        <v>38</v>
      </c>
    </row>
    <row r="206" spans="1:2" x14ac:dyDescent="0.25">
      <c r="A206" t="s">
        <v>12</v>
      </c>
      <c r="B206" t="s">
        <v>41</v>
      </c>
    </row>
    <row r="207" spans="1:2" x14ac:dyDescent="0.25">
      <c r="A207" t="s">
        <v>12</v>
      </c>
      <c r="B207" t="s">
        <v>44</v>
      </c>
    </row>
    <row r="208" spans="1:2" x14ac:dyDescent="0.25">
      <c r="A208" t="s">
        <v>47</v>
      </c>
      <c r="B208" t="s">
        <v>48</v>
      </c>
    </row>
    <row r="209" spans="1:2" x14ac:dyDescent="0.25">
      <c r="A209" t="s">
        <v>47</v>
      </c>
      <c r="B209" t="s">
        <v>53</v>
      </c>
    </row>
    <row r="210" spans="1:2" x14ac:dyDescent="0.25">
      <c r="A210" t="s">
        <v>47</v>
      </c>
      <c r="B210" t="s">
        <v>57</v>
      </c>
    </row>
    <row r="211" spans="1:2" x14ac:dyDescent="0.25">
      <c r="A211" t="s">
        <v>47</v>
      </c>
      <c r="B211" t="s">
        <v>61</v>
      </c>
    </row>
    <row r="212" spans="1:2" x14ac:dyDescent="0.25">
      <c r="A212" t="s">
        <v>47</v>
      </c>
      <c r="B212" t="s">
        <v>66</v>
      </c>
    </row>
    <row r="213" spans="1:2" x14ac:dyDescent="0.25">
      <c r="A213" t="s">
        <v>47</v>
      </c>
      <c r="B213" t="s">
        <v>69</v>
      </c>
    </row>
    <row r="214" spans="1:2" x14ac:dyDescent="0.25">
      <c r="A214" t="s">
        <v>364</v>
      </c>
      <c r="B214" t="s">
        <v>106</v>
      </c>
    </row>
    <row r="215" spans="1:2" x14ac:dyDescent="0.25">
      <c r="A215" t="s">
        <v>364</v>
      </c>
      <c r="B215" t="s">
        <v>365</v>
      </c>
    </row>
    <row r="216" spans="1:2" x14ac:dyDescent="0.25">
      <c r="A216" t="s">
        <v>364</v>
      </c>
      <c r="B216" t="s">
        <v>366</v>
      </c>
    </row>
    <row r="217" spans="1:2" x14ac:dyDescent="0.25">
      <c r="A217" t="s">
        <v>364</v>
      </c>
      <c r="B217" t="s">
        <v>367</v>
      </c>
    </row>
    <row r="218" spans="1:2" x14ac:dyDescent="0.25">
      <c r="A218" t="s">
        <v>364</v>
      </c>
      <c r="B218" t="s">
        <v>368</v>
      </c>
    </row>
    <row r="219" spans="1:2" x14ac:dyDescent="0.25">
      <c r="A219" t="s">
        <v>364</v>
      </c>
      <c r="B219" t="s">
        <v>369</v>
      </c>
    </row>
    <row r="220" spans="1:2" x14ac:dyDescent="0.25">
      <c r="A220" t="s">
        <v>364</v>
      </c>
      <c r="B220" t="s">
        <v>370</v>
      </c>
    </row>
    <row r="221" spans="1:2" x14ac:dyDescent="0.25">
      <c r="A221" t="s">
        <v>364</v>
      </c>
      <c r="B221" t="s">
        <v>204</v>
      </c>
    </row>
    <row r="222" spans="1:2" x14ac:dyDescent="0.25">
      <c r="A222" t="s">
        <v>364</v>
      </c>
      <c r="B222" t="s">
        <v>205</v>
      </c>
    </row>
    <row r="223" spans="1:2" x14ac:dyDescent="0.25">
      <c r="A223" t="s">
        <v>364</v>
      </c>
      <c r="B223" t="s">
        <v>206</v>
      </c>
    </row>
    <row r="224" spans="1:2" x14ac:dyDescent="0.25">
      <c r="A224" t="s">
        <v>364</v>
      </c>
      <c r="B224" t="s">
        <v>371</v>
      </c>
    </row>
    <row r="225" spans="1:2" x14ac:dyDescent="0.25">
      <c r="A225" t="s">
        <v>364</v>
      </c>
      <c r="B225" t="s">
        <v>208</v>
      </c>
    </row>
    <row r="226" spans="1:2" x14ac:dyDescent="0.25">
      <c r="A226" t="s">
        <v>364</v>
      </c>
      <c r="B226" t="s">
        <v>209</v>
      </c>
    </row>
    <row r="227" spans="1:2" x14ac:dyDescent="0.25">
      <c r="A227" t="s">
        <v>364</v>
      </c>
      <c r="B227" t="s">
        <v>210</v>
      </c>
    </row>
    <row r="228" spans="1:2" x14ac:dyDescent="0.25">
      <c r="A228" t="s">
        <v>18</v>
      </c>
      <c r="B228" t="s">
        <v>109</v>
      </c>
    </row>
    <row r="229" spans="1:2" x14ac:dyDescent="0.25">
      <c r="A229" t="s">
        <v>18</v>
      </c>
      <c r="B229" t="s">
        <v>111</v>
      </c>
    </row>
    <row r="230" spans="1:2" x14ac:dyDescent="0.25">
      <c r="A230" t="s">
        <v>112</v>
      </c>
      <c r="B230" t="s">
        <v>224</v>
      </c>
    </row>
    <row r="231" spans="1:2" x14ac:dyDescent="0.25">
      <c r="A231" t="s">
        <v>112</v>
      </c>
      <c r="B231" t="s">
        <v>227</v>
      </c>
    </row>
    <row r="232" spans="1:2" x14ac:dyDescent="0.25">
      <c r="A232" t="s">
        <v>112</v>
      </c>
      <c r="B232" t="s">
        <v>309</v>
      </c>
    </row>
    <row r="233" spans="1:2" x14ac:dyDescent="0.25">
      <c r="A233" t="s">
        <v>112</v>
      </c>
      <c r="B233" t="s">
        <v>314</v>
      </c>
    </row>
    <row r="234" spans="1:2" x14ac:dyDescent="0.25">
      <c r="A234" t="s">
        <v>112</v>
      </c>
      <c r="B234" t="s">
        <v>315</v>
      </c>
    </row>
    <row r="235" spans="1:2" x14ac:dyDescent="0.25">
      <c r="A235" t="s">
        <v>112</v>
      </c>
      <c r="B235" t="s">
        <v>316</v>
      </c>
    </row>
    <row r="236" spans="1:2" x14ac:dyDescent="0.25">
      <c r="A236" t="s">
        <v>112</v>
      </c>
      <c r="B236" t="s">
        <v>372</v>
      </c>
    </row>
    <row r="237" spans="1:2" x14ac:dyDescent="0.25">
      <c r="A237" t="s">
        <v>112</v>
      </c>
      <c r="B237" t="s">
        <v>373</v>
      </c>
    </row>
    <row r="238" spans="1:2" x14ac:dyDescent="0.25">
      <c r="A238" t="s">
        <v>112</v>
      </c>
      <c r="B238" t="s">
        <v>374</v>
      </c>
    </row>
    <row r="239" spans="1:2" x14ac:dyDescent="0.25">
      <c r="A239" t="s">
        <v>112</v>
      </c>
      <c r="B239" t="s">
        <v>375</v>
      </c>
    </row>
    <row r="240" spans="1:2" x14ac:dyDescent="0.25">
      <c r="A240" t="s">
        <v>112</v>
      </c>
      <c r="B240" t="s">
        <v>376</v>
      </c>
    </row>
    <row r="241" spans="1:2" x14ac:dyDescent="0.25">
      <c r="A241" t="s">
        <v>377</v>
      </c>
      <c r="B241" t="s">
        <v>378</v>
      </c>
    </row>
    <row r="242" spans="1:2" x14ac:dyDescent="0.25">
      <c r="A242" t="s">
        <v>377</v>
      </c>
      <c r="B242" t="s">
        <v>379</v>
      </c>
    </row>
    <row r="243" spans="1:2" x14ac:dyDescent="0.25">
      <c r="A243" t="s">
        <v>377</v>
      </c>
      <c r="B243" t="s">
        <v>380</v>
      </c>
    </row>
    <row r="244" spans="1:2" x14ac:dyDescent="0.25">
      <c r="A244" t="s">
        <v>377</v>
      </c>
      <c r="B244" t="s">
        <v>381</v>
      </c>
    </row>
    <row r="245" spans="1:2" x14ac:dyDescent="0.25">
      <c r="A245" t="s">
        <v>377</v>
      </c>
      <c r="B245" t="s">
        <v>382</v>
      </c>
    </row>
    <row r="246" spans="1:2" x14ac:dyDescent="0.25">
      <c r="A246" t="s">
        <v>377</v>
      </c>
      <c r="B246" t="s">
        <v>383</v>
      </c>
    </row>
    <row r="247" spans="1:2" x14ac:dyDescent="0.25">
      <c r="A247" t="s">
        <v>377</v>
      </c>
      <c r="B247" t="s">
        <v>384</v>
      </c>
    </row>
    <row r="248" spans="1:2" x14ac:dyDescent="0.25">
      <c r="A248" t="s">
        <v>377</v>
      </c>
      <c r="B248" t="s">
        <v>385</v>
      </c>
    </row>
    <row r="249" spans="1:2" x14ac:dyDescent="0.25">
      <c r="A249" t="s">
        <v>386</v>
      </c>
      <c r="B249" t="s">
        <v>387</v>
      </c>
    </row>
    <row r="250" spans="1:2" x14ac:dyDescent="0.25">
      <c r="A250" t="s">
        <v>386</v>
      </c>
      <c r="B250" t="s">
        <v>388</v>
      </c>
    </row>
    <row r="251" spans="1:2" x14ac:dyDescent="0.25">
      <c r="A251" t="s">
        <v>386</v>
      </c>
      <c r="B251" t="s">
        <v>389</v>
      </c>
    </row>
    <row r="252" spans="1:2" x14ac:dyDescent="0.25">
      <c r="A252" t="s">
        <v>386</v>
      </c>
      <c r="B252" t="s">
        <v>390</v>
      </c>
    </row>
    <row r="253" spans="1:2" x14ac:dyDescent="0.25">
      <c r="A253" t="s">
        <v>386</v>
      </c>
      <c r="B253" t="s">
        <v>391</v>
      </c>
    </row>
    <row r="254" spans="1:2" x14ac:dyDescent="0.25">
      <c r="A254" t="s">
        <v>386</v>
      </c>
      <c r="B254" t="s">
        <v>392</v>
      </c>
    </row>
    <row r="255" spans="1:2" x14ac:dyDescent="0.25">
      <c r="A255" t="s">
        <v>386</v>
      </c>
      <c r="B255" t="s">
        <v>393</v>
      </c>
    </row>
    <row r="256" spans="1:2" x14ac:dyDescent="0.25">
      <c r="A256" t="s">
        <v>386</v>
      </c>
      <c r="B256" t="s">
        <v>394</v>
      </c>
    </row>
    <row r="257" spans="1:2" x14ac:dyDescent="0.25">
      <c r="A257" t="s">
        <v>395</v>
      </c>
      <c r="B257" t="s">
        <v>316</v>
      </c>
    </row>
    <row r="258" spans="1:2" x14ac:dyDescent="0.25">
      <c r="A258" t="s">
        <v>395</v>
      </c>
      <c r="B258" t="s">
        <v>374</v>
      </c>
    </row>
    <row r="259" spans="1:2" x14ac:dyDescent="0.25">
      <c r="A259" t="s">
        <v>395</v>
      </c>
      <c r="B259" t="s">
        <v>396</v>
      </c>
    </row>
    <row r="260" spans="1:2" x14ac:dyDescent="0.25">
      <c r="A260" t="s">
        <v>395</v>
      </c>
      <c r="B260" t="s">
        <v>397</v>
      </c>
    </row>
    <row r="261" spans="1:2" x14ac:dyDescent="0.25">
      <c r="A261" t="s">
        <v>395</v>
      </c>
      <c r="B261" t="s">
        <v>398</v>
      </c>
    </row>
    <row r="262" spans="1:2" x14ac:dyDescent="0.25">
      <c r="A262" t="s">
        <v>395</v>
      </c>
      <c r="B262" t="s">
        <v>399</v>
      </c>
    </row>
    <row r="263" spans="1:2" x14ac:dyDescent="0.25">
      <c r="A263" t="s">
        <v>395</v>
      </c>
      <c r="B263" t="s">
        <v>400</v>
      </c>
    </row>
    <row r="264" spans="1:2" x14ac:dyDescent="0.25">
      <c r="A264" t="s">
        <v>395</v>
      </c>
      <c r="B264" t="s">
        <v>401</v>
      </c>
    </row>
    <row r="265" spans="1:2" x14ac:dyDescent="0.25">
      <c r="A265" t="s">
        <v>402</v>
      </c>
      <c r="B265" t="s">
        <v>403</v>
      </c>
    </row>
    <row r="266" spans="1:2" x14ac:dyDescent="0.25">
      <c r="A266" t="s">
        <v>402</v>
      </c>
      <c r="B266" t="s">
        <v>404</v>
      </c>
    </row>
    <row r="267" spans="1:2" x14ac:dyDescent="0.25">
      <c r="A267" t="s">
        <v>405</v>
      </c>
      <c r="B267" t="s">
        <v>406</v>
      </c>
    </row>
    <row r="268" spans="1:2" x14ac:dyDescent="0.25">
      <c r="A268" t="s">
        <v>405</v>
      </c>
      <c r="B268" t="s">
        <v>407</v>
      </c>
    </row>
    <row r="269" spans="1:2" x14ac:dyDescent="0.25">
      <c r="A269" t="s">
        <v>405</v>
      </c>
      <c r="B269" t="s">
        <v>408</v>
      </c>
    </row>
    <row r="270" spans="1:2" x14ac:dyDescent="0.25">
      <c r="A270" t="s">
        <v>405</v>
      </c>
      <c r="B270" t="s">
        <v>409</v>
      </c>
    </row>
    <row r="271" spans="1:2" x14ac:dyDescent="0.25">
      <c r="A271" t="s">
        <v>405</v>
      </c>
      <c r="B271" t="s">
        <v>410</v>
      </c>
    </row>
    <row r="272" spans="1:2" x14ac:dyDescent="0.25">
      <c r="A272" t="s">
        <v>405</v>
      </c>
      <c r="B272" t="s">
        <v>411</v>
      </c>
    </row>
    <row r="273" spans="1:2" x14ac:dyDescent="0.25">
      <c r="A273" t="s">
        <v>405</v>
      </c>
      <c r="B273" t="s">
        <v>412</v>
      </c>
    </row>
    <row r="274" spans="1:2" x14ac:dyDescent="0.25">
      <c r="A274" t="s">
        <v>405</v>
      </c>
      <c r="B274" t="s">
        <v>413</v>
      </c>
    </row>
    <row r="275" spans="1:2" x14ac:dyDescent="0.25">
      <c r="A275" t="s">
        <v>414</v>
      </c>
      <c r="B275" t="s">
        <v>415</v>
      </c>
    </row>
    <row r="276" spans="1:2" x14ac:dyDescent="0.25">
      <c r="A276" t="s">
        <v>414</v>
      </c>
      <c r="B276" t="s">
        <v>416</v>
      </c>
    </row>
    <row r="277" spans="1:2" x14ac:dyDescent="0.25">
      <c r="A277" t="s">
        <v>414</v>
      </c>
      <c r="B277" t="s">
        <v>417</v>
      </c>
    </row>
    <row r="278" spans="1:2" x14ac:dyDescent="0.25">
      <c r="A278" t="s">
        <v>414</v>
      </c>
      <c r="B278" t="s">
        <v>418</v>
      </c>
    </row>
    <row r="279" spans="1:2" x14ac:dyDescent="0.25">
      <c r="A279" t="s">
        <v>414</v>
      </c>
      <c r="B279" t="s">
        <v>419</v>
      </c>
    </row>
    <row r="280" spans="1:2" x14ac:dyDescent="0.25">
      <c r="A280" t="s">
        <v>414</v>
      </c>
      <c r="B280" t="s">
        <v>420</v>
      </c>
    </row>
    <row r="281" spans="1:2" x14ac:dyDescent="0.25">
      <c r="A281" t="s">
        <v>414</v>
      </c>
      <c r="B281" t="s">
        <v>421</v>
      </c>
    </row>
    <row r="282" spans="1:2" x14ac:dyDescent="0.25">
      <c r="A282" t="s">
        <v>414</v>
      </c>
      <c r="B282" t="s">
        <v>422</v>
      </c>
    </row>
    <row r="283" spans="1:2" x14ac:dyDescent="0.25">
      <c r="A283" t="s">
        <v>423</v>
      </c>
      <c r="B283" t="s">
        <v>314</v>
      </c>
    </row>
    <row r="284" spans="1:2" x14ac:dyDescent="0.25">
      <c r="A284" t="s">
        <v>423</v>
      </c>
      <c r="B284" t="s">
        <v>315</v>
      </c>
    </row>
    <row r="285" spans="1:2" x14ac:dyDescent="0.25">
      <c r="A285" t="s">
        <v>423</v>
      </c>
      <c r="B285" t="s">
        <v>424</v>
      </c>
    </row>
    <row r="286" spans="1:2" x14ac:dyDescent="0.25">
      <c r="A286" t="s">
        <v>425</v>
      </c>
      <c r="B286" t="s">
        <v>224</v>
      </c>
    </row>
    <row r="287" spans="1:2" x14ac:dyDescent="0.25">
      <c r="A287" t="s">
        <v>425</v>
      </c>
      <c r="B287" t="s">
        <v>227</v>
      </c>
    </row>
    <row r="288" spans="1:2" x14ac:dyDescent="0.25">
      <c r="A288" t="s">
        <v>425</v>
      </c>
      <c r="B288" t="s">
        <v>251</v>
      </c>
    </row>
    <row r="289" spans="1:2" x14ac:dyDescent="0.25">
      <c r="A289" t="s">
        <v>425</v>
      </c>
      <c r="B289" t="s">
        <v>201</v>
      </c>
    </row>
    <row r="290" spans="1:2" x14ac:dyDescent="0.25">
      <c r="A290" t="s">
        <v>425</v>
      </c>
      <c r="B290" t="s">
        <v>321</v>
      </c>
    </row>
    <row r="291" spans="1:2" x14ac:dyDescent="0.25">
      <c r="A291" t="s">
        <v>425</v>
      </c>
      <c r="B291" t="s">
        <v>308</v>
      </c>
    </row>
    <row r="292" spans="1:2" x14ac:dyDescent="0.25">
      <c r="A292" t="s">
        <v>426</v>
      </c>
      <c r="B292" t="s">
        <v>311</v>
      </c>
    </row>
    <row r="293" spans="1:2" x14ac:dyDescent="0.25">
      <c r="A293" t="s">
        <v>426</v>
      </c>
      <c r="B293" t="s">
        <v>314</v>
      </c>
    </row>
    <row r="294" spans="1:2" x14ac:dyDescent="0.25">
      <c r="A294" t="s">
        <v>426</v>
      </c>
      <c r="B294" t="s">
        <v>315</v>
      </c>
    </row>
    <row r="295" spans="1:2" x14ac:dyDescent="0.25">
      <c r="A295" t="s">
        <v>426</v>
      </c>
      <c r="B295" t="s">
        <v>316</v>
      </c>
    </row>
    <row r="296" spans="1:2" x14ac:dyDescent="0.25">
      <c r="A296" t="s">
        <v>426</v>
      </c>
      <c r="B296" t="s">
        <v>374</v>
      </c>
    </row>
    <row r="297" spans="1:2" x14ac:dyDescent="0.25">
      <c r="A297" t="s">
        <v>426</v>
      </c>
      <c r="B297" t="s">
        <v>396</v>
      </c>
    </row>
    <row r="298" spans="1:2" x14ac:dyDescent="0.25">
      <c r="A298" t="s">
        <v>426</v>
      </c>
      <c r="B298" t="s">
        <v>397</v>
      </c>
    </row>
    <row r="299" spans="1:2" x14ac:dyDescent="0.25">
      <c r="A299" t="s">
        <v>426</v>
      </c>
      <c r="B299" t="s">
        <v>398</v>
      </c>
    </row>
    <row r="300" spans="1:2" x14ac:dyDescent="0.25">
      <c r="A300" t="s">
        <v>426</v>
      </c>
      <c r="B300" t="s">
        <v>399</v>
      </c>
    </row>
    <row r="301" spans="1:2" x14ac:dyDescent="0.25">
      <c r="A301" t="s">
        <v>426</v>
      </c>
      <c r="B301" t="s">
        <v>400</v>
      </c>
    </row>
    <row r="302" spans="1:2" x14ac:dyDescent="0.25">
      <c r="A302" t="s">
        <v>426</v>
      </c>
      <c r="B302" t="s">
        <v>401</v>
      </c>
    </row>
    <row r="303" spans="1:2" x14ac:dyDescent="0.25">
      <c r="A303" t="s">
        <v>426</v>
      </c>
      <c r="B303" t="s">
        <v>427</v>
      </c>
    </row>
    <row r="304" spans="1:2" x14ac:dyDescent="0.25">
      <c r="A304" t="s">
        <v>426</v>
      </c>
      <c r="B304" t="s">
        <v>428</v>
      </c>
    </row>
    <row r="305" spans="1:2" x14ac:dyDescent="0.25">
      <c r="A305" t="s">
        <v>426</v>
      </c>
      <c r="B305" t="s">
        <v>429</v>
      </c>
    </row>
    <row r="306" spans="1:2" x14ac:dyDescent="0.25">
      <c r="A306" t="s">
        <v>426</v>
      </c>
      <c r="B306" t="s">
        <v>430</v>
      </c>
    </row>
    <row r="307" spans="1:2" x14ac:dyDescent="0.25">
      <c r="A307" t="s">
        <v>431</v>
      </c>
      <c r="B307" t="s">
        <v>432</v>
      </c>
    </row>
    <row r="308" spans="1:2" x14ac:dyDescent="0.25">
      <c r="A308" t="s">
        <v>431</v>
      </c>
      <c r="B308" t="s">
        <v>433</v>
      </c>
    </row>
    <row r="309" spans="1:2" x14ac:dyDescent="0.25">
      <c r="A309" t="s">
        <v>431</v>
      </c>
      <c r="B309" t="s">
        <v>434</v>
      </c>
    </row>
    <row r="310" spans="1:2" x14ac:dyDescent="0.25">
      <c r="A310" t="s">
        <v>431</v>
      </c>
      <c r="B310" t="s">
        <v>435</v>
      </c>
    </row>
    <row r="311" spans="1:2" x14ac:dyDescent="0.25">
      <c r="A311" t="s">
        <v>431</v>
      </c>
      <c r="B311" t="s">
        <v>436</v>
      </c>
    </row>
    <row r="312" spans="1:2" x14ac:dyDescent="0.25">
      <c r="A312" t="s">
        <v>431</v>
      </c>
      <c r="B312" t="s">
        <v>437</v>
      </c>
    </row>
    <row r="313" spans="1:2" x14ac:dyDescent="0.25">
      <c r="A313" t="s">
        <v>431</v>
      </c>
      <c r="B313" t="s">
        <v>438</v>
      </c>
    </row>
    <row r="314" spans="1:2" x14ac:dyDescent="0.25">
      <c r="A314" t="s">
        <v>439</v>
      </c>
      <c r="B314" t="s">
        <v>440</v>
      </c>
    </row>
    <row r="315" spans="1:2" x14ac:dyDescent="0.25">
      <c r="A315" t="s">
        <v>439</v>
      </c>
      <c r="B315" t="s">
        <v>124</v>
      </c>
    </row>
    <row r="316" spans="1:2" x14ac:dyDescent="0.25">
      <c r="A316" t="s">
        <v>439</v>
      </c>
      <c r="B316" t="s">
        <v>441</v>
      </c>
    </row>
    <row r="317" spans="1:2" x14ac:dyDescent="0.25">
      <c r="A317" t="s">
        <v>439</v>
      </c>
      <c r="B317" t="s">
        <v>137</v>
      </c>
    </row>
    <row r="318" spans="1:2" x14ac:dyDescent="0.25">
      <c r="A318" t="s">
        <v>439</v>
      </c>
      <c r="B318" t="s">
        <v>118</v>
      </c>
    </row>
    <row r="319" spans="1:2" x14ac:dyDescent="0.25">
      <c r="A319" t="s">
        <v>439</v>
      </c>
      <c r="B319" t="s">
        <v>134</v>
      </c>
    </row>
    <row r="320" spans="1:2" x14ac:dyDescent="0.25">
      <c r="A320" t="s">
        <v>439</v>
      </c>
      <c r="B320" t="s">
        <v>122</v>
      </c>
    </row>
    <row r="321" spans="1:2" x14ac:dyDescent="0.25">
      <c r="A321" t="s">
        <v>439</v>
      </c>
      <c r="B321" t="s">
        <v>131</v>
      </c>
    </row>
    <row r="322" spans="1:2" x14ac:dyDescent="0.25">
      <c r="A322" t="s">
        <v>439</v>
      </c>
      <c r="B322" t="s">
        <v>442</v>
      </c>
    </row>
    <row r="323" spans="1:2" x14ac:dyDescent="0.25">
      <c r="A323" t="s">
        <v>443</v>
      </c>
      <c r="B323" t="s">
        <v>444</v>
      </c>
    </row>
    <row r="324" spans="1:2" x14ac:dyDescent="0.25">
      <c r="A324" t="s">
        <v>443</v>
      </c>
      <c r="B324" t="s">
        <v>445</v>
      </c>
    </row>
    <row r="325" spans="1:2" x14ac:dyDescent="0.25">
      <c r="A325" t="s">
        <v>446</v>
      </c>
      <c r="B325" t="s">
        <v>447</v>
      </c>
    </row>
    <row r="326" spans="1:2" x14ac:dyDescent="0.25">
      <c r="A326" t="s">
        <v>446</v>
      </c>
      <c r="B326" t="s">
        <v>448</v>
      </c>
    </row>
    <row r="327" spans="1:2" x14ac:dyDescent="0.25">
      <c r="A327" t="s">
        <v>446</v>
      </c>
      <c r="B327" t="s">
        <v>449</v>
      </c>
    </row>
    <row r="328" spans="1:2" x14ac:dyDescent="0.25">
      <c r="A328" t="s">
        <v>450</v>
      </c>
      <c r="B328" t="s">
        <v>451</v>
      </c>
    </row>
    <row r="329" spans="1:2" x14ac:dyDescent="0.25">
      <c r="A329" t="s">
        <v>450</v>
      </c>
      <c r="B329" t="s">
        <v>452</v>
      </c>
    </row>
    <row r="330" spans="1:2" x14ac:dyDescent="0.25">
      <c r="A330" t="s">
        <v>450</v>
      </c>
      <c r="B330" t="s">
        <v>453</v>
      </c>
    </row>
    <row r="331" spans="1:2" x14ac:dyDescent="0.25">
      <c r="A331" t="s">
        <v>454</v>
      </c>
      <c r="B331" t="s">
        <v>455</v>
      </c>
    </row>
    <row r="332" spans="1:2" x14ac:dyDescent="0.25">
      <c r="A332" t="s">
        <v>456</v>
      </c>
      <c r="B332" t="s">
        <v>457</v>
      </c>
    </row>
    <row r="333" spans="1:2" x14ac:dyDescent="0.25">
      <c r="A333" t="s">
        <v>456</v>
      </c>
      <c r="B333" t="s">
        <v>458</v>
      </c>
    </row>
    <row r="334" spans="1:2" x14ac:dyDescent="0.25">
      <c r="A334" t="s">
        <v>459</v>
      </c>
      <c r="B334" t="s">
        <v>460</v>
      </c>
    </row>
    <row r="335" spans="1:2" x14ac:dyDescent="0.25">
      <c r="A335" t="s">
        <v>459</v>
      </c>
      <c r="B335" t="s">
        <v>461</v>
      </c>
    </row>
    <row r="336" spans="1:2" x14ac:dyDescent="0.25">
      <c r="A336" t="s">
        <v>462</v>
      </c>
      <c r="B336" t="s">
        <v>463</v>
      </c>
    </row>
  </sheetData>
  <sheetProtection algorithmName="SHA-512" hashValue="O7zgSxfxq/WwK07deba5xP8c9Yylt7jCWRRekGgpyZmhCfVxyw7ZUZ4iWy5ZaRYR7Qub6gZ39p+2vkRZRrP3jw==" saltValue="jkxQbcwiNDy+GoMgUdCZkw==" spinCount="100000" sheet="1" objects="1" scenarios="1" formatCells="0" sort="0" autoFilter="0"/>
  <autoFilter ref="A1:J336" xr:uid="{92EC578C-F6C2-4275-9F25-4EBC7D8FB472}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1DB5C-AE8E-4DB0-B237-7564B8697802}">
  <sheetPr codeName="Sheet8"/>
  <dimension ref="A1:A38"/>
  <sheetViews>
    <sheetView workbookViewId="0">
      <selection activeCell="A8" sqref="A8"/>
    </sheetView>
  </sheetViews>
  <sheetFormatPr defaultColWidth="8.21875" defaultRowHeight="13.8" x14ac:dyDescent="0.25"/>
  <cols>
    <col min="1" max="1" width="133.109375" style="4" customWidth="1"/>
    <col min="2" max="16384" width="8.21875" style="4"/>
  </cols>
  <sheetData>
    <row r="1" spans="1:1" ht="31.35" customHeight="1" x14ac:dyDescent="0.25">
      <c r="A1" s="16" t="s">
        <v>464</v>
      </c>
    </row>
    <row r="2" spans="1:1" ht="14.1" customHeight="1" x14ac:dyDescent="0.25">
      <c r="A2" s="17"/>
    </row>
    <row r="3" spans="1:1" ht="14.1" customHeight="1" x14ac:dyDescent="0.25">
      <c r="A3" s="18" t="s">
        <v>465</v>
      </c>
    </row>
    <row r="4" spans="1:1" ht="14.1" customHeight="1" x14ac:dyDescent="0.25">
      <c r="A4" s="17" t="s">
        <v>466</v>
      </c>
    </row>
    <row r="5" spans="1:1" ht="14.1" customHeight="1" x14ac:dyDescent="0.25">
      <c r="A5" s="14" t="s">
        <v>467</v>
      </c>
    </row>
    <row r="6" spans="1:1" ht="14.1" customHeight="1" x14ac:dyDescent="0.25">
      <c r="A6" s="14"/>
    </row>
    <row r="7" spans="1:1" ht="14.1" customHeight="1" x14ac:dyDescent="0.25">
      <c r="A7" s="17" t="s">
        <v>468</v>
      </c>
    </row>
    <row r="8" spans="1:1" ht="14.1" customHeight="1" x14ac:dyDescent="0.25">
      <c r="A8" s="14" t="s">
        <v>467</v>
      </c>
    </row>
    <row r="9" spans="1:1" ht="14.1" customHeight="1" x14ac:dyDescent="0.25">
      <c r="A9" s="14"/>
    </row>
    <row r="10" spans="1:1" ht="14.1" customHeight="1" x14ac:dyDescent="0.25">
      <c r="A10" s="17" t="s">
        <v>469</v>
      </c>
    </row>
    <row r="11" spans="1:1" ht="14.1" customHeight="1" x14ac:dyDescent="0.25">
      <c r="A11" s="15" t="s">
        <v>470</v>
      </c>
    </row>
    <row r="12" spans="1:1" ht="14.1" customHeight="1" x14ac:dyDescent="0.25">
      <c r="A12" s="17"/>
    </row>
    <row r="13" spans="1:1" ht="14.1" customHeight="1" x14ac:dyDescent="0.25">
      <c r="A13" s="18" t="s">
        <v>471</v>
      </c>
    </row>
    <row r="14" spans="1:1" ht="14.1" customHeight="1" x14ac:dyDescent="0.25">
      <c r="A14" s="17" t="s">
        <v>472</v>
      </c>
    </row>
    <row r="15" spans="1:1" ht="14.1" customHeight="1" x14ac:dyDescent="0.25">
      <c r="A15" s="17"/>
    </row>
    <row r="16" spans="1:1" ht="14.1" customHeight="1" x14ac:dyDescent="0.25">
      <c r="A16" s="17" t="s">
        <v>473</v>
      </c>
    </row>
    <row r="17" spans="1:1" ht="14.1" customHeight="1" x14ac:dyDescent="0.25">
      <c r="A17" s="17"/>
    </row>
    <row r="18" spans="1:1" ht="14.1" customHeight="1" x14ac:dyDescent="0.25">
      <c r="A18" s="18" t="s">
        <v>474</v>
      </c>
    </row>
    <row r="19" spans="1:1" ht="14.1" customHeight="1" x14ac:dyDescent="0.25">
      <c r="A19" s="19" t="s">
        <v>475</v>
      </c>
    </row>
    <row r="20" spans="1:1" ht="14.1" customHeight="1" x14ac:dyDescent="0.25">
      <c r="A20" s="17" t="s">
        <v>476</v>
      </c>
    </row>
    <row r="21" spans="1:1" ht="14.1" customHeight="1" x14ac:dyDescent="0.25">
      <c r="A21" s="17" t="s">
        <v>477</v>
      </c>
    </row>
    <row r="22" spans="1:1" ht="14.1" customHeight="1" x14ac:dyDescent="0.25">
      <c r="A22" s="17" t="s">
        <v>478</v>
      </c>
    </row>
    <row r="23" spans="1:1" ht="14.1" customHeight="1" x14ac:dyDescent="0.25">
      <c r="A23" s="17" t="s">
        <v>479</v>
      </c>
    </row>
    <row r="24" spans="1:1" ht="14.1" customHeight="1" x14ac:dyDescent="0.25">
      <c r="A24" s="17"/>
    </row>
    <row r="25" spans="1:1" ht="14.1" customHeight="1" x14ac:dyDescent="0.25">
      <c r="A25" s="20" t="s">
        <v>480</v>
      </c>
    </row>
    <row r="26" spans="1:1" ht="14.1" customHeight="1" x14ac:dyDescent="0.25">
      <c r="A26" s="17" t="s">
        <v>481</v>
      </c>
    </row>
    <row r="27" spans="1:1" ht="14.1" customHeight="1" x14ac:dyDescent="0.25">
      <c r="A27" s="17"/>
    </row>
    <row r="28" spans="1:1" ht="14.1" customHeight="1" x14ac:dyDescent="0.25">
      <c r="A28" s="20" t="s">
        <v>482</v>
      </c>
    </row>
    <row r="29" spans="1:1" ht="14.1" customHeight="1" x14ac:dyDescent="0.25">
      <c r="A29" s="17" t="s">
        <v>483</v>
      </c>
    </row>
    <row r="30" spans="1:1" ht="14.1" customHeight="1" x14ac:dyDescent="0.25">
      <c r="A30" s="17" t="s">
        <v>484</v>
      </c>
    </row>
    <row r="31" spans="1:1" ht="14.1" customHeight="1" x14ac:dyDescent="0.25">
      <c r="A31" s="17"/>
    </row>
    <row r="32" spans="1:1" ht="14.1" customHeight="1" x14ac:dyDescent="0.25">
      <c r="A32" s="17"/>
    </row>
    <row r="33" spans="1:1" ht="14.1" customHeight="1" x14ac:dyDescent="0.25">
      <c r="A33" s="17"/>
    </row>
    <row r="34" spans="1:1" ht="14.1" customHeight="1" x14ac:dyDescent="0.25">
      <c r="A34" s="17"/>
    </row>
    <row r="35" spans="1:1" ht="14.1" customHeight="1" x14ac:dyDescent="0.25">
      <c r="A35" s="17"/>
    </row>
    <row r="36" spans="1:1" ht="14.1" customHeight="1" x14ac:dyDescent="0.25">
      <c r="A36" s="17"/>
    </row>
    <row r="37" spans="1:1" ht="14.1" customHeight="1" x14ac:dyDescent="0.25">
      <c r="A37" s="17"/>
    </row>
    <row r="38" spans="1:1" ht="14.1" customHeight="1" x14ac:dyDescent="0.25">
      <c r="A38" s="17"/>
    </row>
  </sheetData>
  <phoneticPr fontId="1" type="noConversion"/>
  <hyperlinks>
    <hyperlink ref="A5" r:id="rId1" xr:uid="{5EB4723E-682A-4DAA-99A8-F8F8B91F0C38}"/>
    <hyperlink ref="A8" r:id="rId2" xr:uid="{F2AEE620-D3DD-4954-B71C-6286BAB8E17C}"/>
    <hyperlink ref="A11" r:id="rId3" xr:uid="{C8E093B7-3BAF-4AA3-8FB9-B2F1C8F4DFE8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8D8C1-196E-43A9-908B-7C02A16F48E6}">
  <sheetPr codeName="Sheet9" filterMode="1"/>
  <dimension ref="B1:Y170"/>
  <sheetViews>
    <sheetView showGridLines="0" zoomScale="70" zoomScaleNormal="70" workbookViewId="0">
      <pane ySplit="7" topLeftCell="A13" activePane="bottomLeft" state="frozen"/>
      <selection pane="bottomLeft" activeCell="E97" sqref="E90:T97"/>
    </sheetView>
  </sheetViews>
  <sheetFormatPr defaultRowHeight="13.8" x14ac:dyDescent="0.25"/>
  <cols>
    <col min="1" max="1" width="5.77734375" customWidth="1"/>
    <col min="3" max="3" width="26.109375" style="12" customWidth="1"/>
    <col min="4" max="4" width="20.44140625" style="12" customWidth="1"/>
    <col min="5" max="5" width="26.44140625" style="12" customWidth="1"/>
    <col min="6" max="6" width="20.33203125" style="12" bestFit="1" customWidth="1"/>
    <col min="7" max="7" width="23.33203125" style="12" bestFit="1" customWidth="1"/>
    <col min="8" max="9" width="26.109375" style="12" bestFit="1" customWidth="1"/>
    <col min="10" max="12" width="15.77734375" customWidth="1"/>
    <col min="13" max="13" width="15.77734375" hidden="1" customWidth="1"/>
    <col min="14" max="14" width="18.44140625" hidden="1" customWidth="1"/>
    <col min="15" max="15" width="17.44140625" hidden="1" customWidth="1"/>
    <col min="16" max="16" width="17.109375" hidden="1" customWidth="1"/>
    <col min="17" max="17" width="18.44140625" hidden="1" customWidth="1"/>
    <col min="18" max="18" width="13" hidden="1" customWidth="1"/>
    <col min="19" max="19" width="25.33203125" bestFit="1" customWidth="1"/>
    <col min="20" max="20" width="24.77734375" bestFit="1" customWidth="1"/>
    <col min="21" max="21" width="25.33203125" bestFit="1" customWidth="1"/>
    <col min="22" max="22" width="24.77734375" bestFit="1" customWidth="1"/>
    <col min="23" max="24" width="13" hidden="1" customWidth="1"/>
    <col min="25" max="25" width="11.33203125" hidden="1" customWidth="1"/>
  </cols>
  <sheetData>
    <row r="1" spans="2:25" x14ac:dyDescent="0.25">
      <c r="C1"/>
      <c r="D1"/>
      <c r="E1"/>
      <c r="F1"/>
      <c r="G1"/>
      <c r="H1"/>
      <c r="I1"/>
    </row>
    <row r="2" spans="2:25" x14ac:dyDescent="0.25">
      <c r="C2"/>
      <c r="D2"/>
      <c r="E2"/>
      <c r="F2"/>
      <c r="G2"/>
      <c r="H2"/>
      <c r="I2"/>
    </row>
    <row r="3" spans="2:25" x14ac:dyDescent="0.25">
      <c r="C3"/>
      <c r="D3"/>
      <c r="E3"/>
      <c r="F3"/>
      <c r="G3"/>
      <c r="H3"/>
      <c r="I3"/>
      <c r="R3" s="32"/>
      <c r="S3" s="32"/>
      <c r="T3" s="32"/>
      <c r="U3" s="32"/>
    </row>
    <row r="4" spans="2:25" x14ac:dyDescent="0.25">
      <c r="C4"/>
      <c r="D4"/>
      <c r="E4"/>
      <c r="F4"/>
      <c r="G4"/>
      <c r="H4"/>
      <c r="I4"/>
    </row>
    <row r="5" spans="2:25" x14ac:dyDescent="0.25">
      <c r="C5"/>
      <c r="D5"/>
      <c r="E5"/>
      <c r="F5"/>
      <c r="G5"/>
      <c r="H5"/>
      <c r="I5"/>
    </row>
    <row r="6" spans="2:25" x14ac:dyDescent="0.25">
      <c r="C6"/>
      <c r="D6"/>
      <c r="E6"/>
      <c r="F6"/>
      <c r="G6"/>
      <c r="H6"/>
      <c r="I6"/>
      <c r="J6" s="1">
        <f>SUBTOTAL(9,J8:J1048576)</f>
        <v>5176.49</v>
      </c>
      <c r="K6" s="1">
        <f>SUBTOTAL(9,K8:K1048576)</f>
        <v>6355.7499999999991</v>
      </c>
      <c r="L6" s="1">
        <f>J6-K6</f>
        <v>-1179.2599999999993</v>
      </c>
    </row>
    <row r="7" spans="2:25" s="25" customFormat="1" ht="16.5" customHeight="1" x14ac:dyDescent="0.25">
      <c r="B7" s="31" t="s">
        <v>485</v>
      </c>
      <c r="C7" s="31" t="s">
        <v>486</v>
      </c>
      <c r="D7" s="22" t="s">
        <v>487</v>
      </c>
      <c r="E7" s="22" t="s">
        <v>488</v>
      </c>
      <c r="F7" s="22" t="s">
        <v>489</v>
      </c>
      <c r="G7" s="22" t="s">
        <v>490</v>
      </c>
      <c r="H7" s="22" t="s">
        <v>491</v>
      </c>
      <c r="I7" s="22" t="s">
        <v>492</v>
      </c>
      <c r="J7" s="23" t="s">
        <v>493</v>
      </c>
      <c r="K7" s="23" t="s">
        <v>494</v>
      </c>
      <c r="L7" s="23" t="s">
        <v>495</v>
      </c>
      <c r="M7" s="23" t="s">
        <v>496</v>
      </c>
      <c r="N7" s="27" t="s">
        <v>497</v>
      </c>
      <c r="O7" s="24" t="s">
        <v>498</v>
      </c>
      <c r="P7" s="23" t="s">
        <v>499</v>
      </c>
      <c r="Q7" s="28" t="s">
        <v>500</v>
      </c>
      <c r="R7" s="28" t="s">
        <v>501</v>
      </c>
      <c r="S7" s="22" t="s">
        <v>502</v>
      </c>
      <c r="T7" s="22" t="s">
        <v>503</v>
      </c>
      <c r="U7" s="22" t="s">
        <v>504</v>
      </c>
      <c r="V7" s="22" t="s">
        <v>505</v>
      </c>
      <c r="W7" s="22" t="s">
        <v>506</v>
      </c>
      <c r="X7" s="22" t="s">
        <v>507</v>
      </c>
      <c r="Y7" s="22" t="s">
        <v>508</v>
      </c>
    </row>
    <row r="8" spans="2:25" hidden="1" x14ac:dyDescent="0.25">
      <c r="B8" s="1">
        <v>1</v>
      </c>
      <c r="C8" s="12" t="s">
        <v>1039</v>
      </c>
      <c r="D8" s="12" t="s">
        <v>1040</v>
      </c>
      <c r="E8" s="12" t="s">
        <v>1041</v>
      </c>
      <c r="F8" s="12" t="s">
        <v>1042</v>
      </c>
      <c r="G8" s="12" t="s">
        <v>1043</v>
      </c>
      <c r="H8" s="12" t="s">
        <v>1044</v>
      </c>
      <c r="I8" s="12" t="s">
        <v>33</v>
      </c>
      <c r="K8">
        <v>30.82</v>
      </c>
      <c r="L8">
        <f>J8-K8</f>
        <v>-30.82</v>
      </c>
      <c r="M8" t="s">
        <v>921</v>
      </c>
      <c r="N8" t="e">
        <f>J8-M8</f>
        <v>#VALUE!</v>
      </c>
      <c r="O8" t="e">
        <f>IF(N8&gt;0,N8,0)</f>
        <v>#VALUE!</v>
      </c>
      <c r="P8" t="e">
        <f>K8+O8</f>
        <v>#VALUE!</v>
      </c>
      <c r="Q8">
        <f>IFERROR(M8/J8,0)</f>
        <v>0</v>
      </c>
      <c r="R8" t="e">
        <f>IF(P8&lt;=J8,0,"Over Budget")</f>
        <v>#VALUE!</v>
      </c>
      <c r="S8" s="32">
        <v>46387</v>
      </c>
      <c r="T8" s="32">
        <v>46387</v>
      </c>
      <c r="U8" s="32">
        <v>46420</v>
      </c>
      <c r="V8" s="32">
        <v>46507</v>
      </c>
    </row>
    <row r="9" spans="2:25" hidden="1" x14ac:dyDescent="0.25">
      <c r="B9" s="38">
        <v>2</v>
      </c>
      <c r="C9" s="36" t="s">
        <v>1045</v>
      </c>
      <c r="D9" s="36" t="s">
        <v>1046</v>
      </c>
      <c r="E9" s="36" t="s">
        <v>1047</v>
      </c>
      <c r="F9" s="36" t="s">
        <v>1048</v>
      </c>
      <c r="G9" s="36" t="s">
        <v>1043</v>
      </c>
      <c r="H9" s="36" t="s">
        <v>1044</v>
      </c>
      <c r="I9" s="36" t="s">
        <v>33</v>
      </c>
      <c r="J9" s="34">
        <v>16</v>
      </c>
      <c r="K9" s="34">
        <v>16</v>
      </c>
      <c r="L9" s="34">
        <f t="shared" ref="L9:L72" si="0">J9-K9</f>
        <v>0</v>
      </c>
      <c r="M9" s="34" t="s">
        <v>921</v>
      </c>
      <c r="N9" s="34" t="e">
        <f t="shared" ref="N9:N72" si="1">J9-M9</f>
        <v>#VALUE!</v>
      </c>
      <c r="O9" s="34" t="e">
        <f t="shared" ref="O9:O72" si="2">IF(N9&gt;0,N9,0)</f>
        <v>#VALUE!</v>
      </c>
      <c r="P9" s="34" t="e">
        <f t="shared" ref="P9:P72" si="3">K9+O9</f>
        <v>#VALUE!</v>
      </c>
      <c r="Q9" s="34">
        <f t="shared" ref="Q9:Q72" si="4">IFERROR(M9/J9,0)</f>
        <v>0</v>
      </c>
      <c r="R9" s="34" t="e">
        <f t="shared" ref="R9:R72" si="5">IF(P9&lt;=J9,0,"Over Budget")</f>
        <v>#VALUE!</v>
      </c>
      <c r="S9" s="34"/>
      <c r="T9" s="34"/>
      <c r="U9" s="37">
        <v>46171</v>
      </c>
      <c r="V9" s="37">
        <v>46172</v>
      </c>
      <c r="W9" s="34"/>
      <c r="X9" s="34"/>
      <c r="Y9" s="34"/>
    </row>
    <row r="10" spans="2:25" hidden="1" x14ac:dyDescent="0.25">
      <c r="B10" s="1">
        <v>3</v>
      </c>
      <c r="C10" s="12" t="s">
        <v>1049</v>
      </c>
      <c r="D10" s="12" t="s">
        <v>1050</v>
      </c>
      <c r="E10" s="12" t="s">
        <v>1051</v>
      </c>
      <c r="F10" s="12" t="s">
        <v>1052</v>
      </c>
      <c r="G10" s="12" t="s">
        <v>1043</v>
      </c>
      <c r="H10" s="12" t="s">
        <v>1044</v>
      </c>
      <c r="I10" s="12" t="s">
        <v>33</v>
      </c>
      <c r="K10">
        <v>30</v>
      </c>
      <c r="L10">
        <f t="shared" si="0"/>
        <v>-30</v>
      </c>
      <c r="M10" t="s">
        <v>921</v>
      </c>
      <c r="N10" t="e">
        <f t="shared" si="1"/>
        <v>#VALUE!</v>
      </c>
      <c r="O10" t="e">
        <f t="shared" si="2"/>
        <v>#VALUE!</v>
      </c>
      <c r="P10" t="e">
        <f t="shared" si="3"/>
        <v>#VALUE!</v>
      </c>
      <c r="Q10">
        <f t="shared" si="4"/>
        <v>0</v>
      </c>
      <c r="R10" t="e">
        <f t="shared" si="5"/>
        <v>#VALUE!</v>
      </c>
      <c r="U10" s="32">
        <v>46160</v>
      </c>
      <c r="V10" s="32">
        <v>46164</v>
      </c>
    </row>
    <row r="11" spans="2:25" hidden="1" x14ac:dyDescent="0.25">
      <c r="B11" s="38">
        <v>4</v>
      </c>
      <c r="C11" s="36" t="s">
        <v>1053</v>
      </c>
      <c r="D11" s="36" t="s">
        <v>1054</v>
      </c>
      <c r="E11" s="36" t="s">
        <v>1055</v>
      </c>
      <c r="F11" s="36" t="s">
        <v>1056</v>
      </c>
      <c r="G11" s="36" t="s">
        <v>1043</v>
      </c>
      <c r="H11" s="36" t="s">
        <v>1044</v>
      </c>
      <c r="I11" s="36" t="s">
        <v>33</v>
      </c>
      <c r="J11" s="34">
        <v>8</v>
      </c>
      <c r="K11" s="34">
        <v>8</v>
      </c>
      <c r="L11" s="34">
        <f t="shared" si="0"/>
        <v>0</v>
      </c>
      <c r="M11" s="34" t="s">
        <v>921</v>
      </c>
      <c r="N11" s="34" t="e">
        <f t="shared" si="1"/>
        <v>#VALUE!</v>
      </c>
      <c r="O11" s="34" t="e">
        <f t="shared" si="2"/>
        <v>#VALUE!</v>
      </c>
      <c r="P11" s="34" t="e">
        <f t="shared" si="3"/>
        <v>#VALUE!</v>
      </c>
      <c r="Q11" s="34">
        <f t="shared" si="4"/>
        <v>0</v>
      </c>
      <c r="R11" s="34" t="e">
        <f t="shared" si="5"/>
        <v>#VALUE!</v>
      </c>
      <c r="S11" s="34"/>
      <c r="T11" s="34"/>
      <c r="U11" s="37">
        <v>46154</v>
      </c>
      <c r="V11" s="37">
        <v>46157</v>
      </c>
      <c r="W11" s="34"/>
      <c r="X11" s="34"/>
      <c r="Y11" s="34"/>
    </row>
    <row r="12" spans="2:25" hidden="1" x14ac:dyDescent="0.25">
      <c r="B12" s="1">
        <v>5</v>
      </c>
      <c r="C12" s="12" t="s">
        <v>1061</v>
      </c>
      <c r="D12" s="12" t="s">
        <v>1062</v>
      </c>
      <c r="E12" s="12" t="s">
        <v>1063</v>
      </c>
      <c r="F12" s="12" t="s">
        <v>1064</v>
      </c>
      <c r="G12" s="12" t="s">
        <v>1043</v>
      </c>
      <c r="H12" s="12" t="s">
        <v>1044</v>
      </c>
      <c r="I12" s="12" t="s">
        <v>33</v>
      </c>
      <c r="J12">
        <v>130.75</v>
      </c>
      <c r="K12">
        <v>130.75</v>
      </c>
      <c r="L12">
        <f t="shared" si="0"/>
        <v>0</v>
      </c>
      <c r="M12" t="s">
        <v>921</v>
      </c>
      <c r="N12" t="e">
        <f t="shared" si="1"/>
        <v>#VALUE!</v>
      </c>
      <c r="O12" t="e">
        <f t="shared" si="2"/>
        <v>#VALUE!</v>
      </c>
      <c r="P12" t="e">
        <f t="shared" si="3"/>
        <v>#VALUE!</v>
      </c>
      <c r="Q12">
        <f t="shared" si="4"/>
        <v>0</v>
      </c>
      <c r="R12" t="e">
        <f t="shared" si="5"/>
        <v>#VALUE!</v>
      </c>
      <c r="S12" s="32">
        <v>46356</v>
      </c>
      <c r="T12" s="32">
        <v>46387</v>
      </c>
      <c r="U12" s="32">
        <v>46388</v>
      </c>
      <c r="V12" s="32">
        <v>46477</v>
      </c>
    </row>
    <row r="13" spans="2:25" x14ac:dyDescent="0.25">
      <c r="B13" s="38">
        <v>6</v>
      </c>
      <c r="C13" s="36" t="s">
        <v>1065</v>
      </c>
      <c r="D13" s="36" t="s">
        <v>1037</v>
      </c>
      <c r="E13" s="36" t="s">
        <v>1066</v>
      </c>
      <c r="F13" s="36" t="s">
        <v>1067</v>
      </c>
      <c r="G13" s="36" t="s">
        <v>1043</v>
      </c>
      <c r="H13" s="36" t="s">
        <v>916</v>
      </c>
      <c r="I13" s="36" t="s">
        <v>33</v>
      </c>
      <c r="J13" s="34">
        <v>282.23</v>
      </c>
      <c r="K13" s="34">
        <v>282.23</v>
      </c>
      <c r="L13" s="34">
        <f t="shared" si="0"/>
        <v>0</v>
      </c>
      <c r="M13" s="34" t="s">
        <v>921</v>
      </c>
      <c r="N13" s="34" t="e">
        <f t="shared" si="1"/>
        <v>#VALUE!</v>
      </c>
      <c r="O13" s="34" t="e">
        <f t="shared" si="2"/>
        <v>#VALUE!</v>
      </c>
      <c r="P13" s="34" t="e">
        <f t="shared" si="3"/>
        <v>#VALUE!</v>
      </c>
      <c r="Q13" s="34">
        <f t="shared" si="4"/>
        <v>0</v>
      </c>
      <c r="R13" s="34" t="e">
        <f t="shared" si="5"/>
        <v>#VALUE!</v>
      </c>
      <c r="S13" s="34"/>
      <c r="T13" s="34"/>
      <c r="U13" s="37">
        <v>46209</v>
      </c>
      <c r="V13" s="37">
        <v>46387</v>
      </c>
      <c r="W13" s="34"/>
      <c r="X13" s="34"/>
      <c r="Y13" s="34"/>
    </row>
    <row r="14" spans="2:25" x14ac:dyDescent="0.25">
      <c r="B14" s="1">
        <v>7</v>
      </c>
      <c r="C14" s="12" t="s">
        <v>1038</v>
      </c>
      <c r="D14" s="12" t="s">
        <v>1037</v>
      </c>
      <c r="E14" s="12" t="s">
        <v>1066</v>
      </c>
      <c r="F14" s="12" t="s">
        <v>1067</v>
      </c>
      <c r="G14" s="12" t="s">
        <v>1043</v>
      </c>
      <c r="H14" s="12" t="s">
        <v>916</v>
      </c>
      <c r="I14" s="12" t="s">
        <v>33</v>
      </c>
      <c r="J14">
        <v>710.9</v>
      </c>
      <c r="K14">
        <v>710.9</v>
      </c>
      <c r="L14">
        <f t="shared" si="0"/>
        <v>0</v>
      </c>
      <c r="M14" t="s">
        <v>921</v>
      </c>
      <c r="N14" t="e">
        <f t="shared" si="1"/>
        <v>#VALUE!</v>
      </c>
      <c r="O14" t="e">
        <f t="shared" si="2"/>
        <v>#VALUE!</v>
      </c>
      <c r="P14" t="e">
        <f t="shared" si="3"/>
        <v>#VALUE!</v>
      </c>
      <c r="Q14">
        <f t="shared" si="4"/>
        <v>0</v>
      </c>
      <c r="R14" t="e">
        <f t="shared" si="5"/>
        <v>#VALUE!</v>
      </c>
      <c r="U14" s="32">
        <v>46115</v>
      </c>
      <c r="V14" s="32">
        <v>46203</v>
      </c>
    </row>
    <row r="15" spans="2:25" hidden="1" x14ac:dyDescent="0.25">
      <c r="B15" s="38">
        <v>8</v>
      </c>
      <c r="C15" s="36" t="s">
        <v>1068</v>
      </c>
      <c r="D15" s="36" t="s">
        <v>1069</v>
      </c>
      <c r="E15" s="36" t="s">
        <v>1070</v>
      </c>
      <c r="F15" s="36" t="s">
        <v>1071</v>
      </c>
      <c r="G15" s="36" t="s">
        <v>1043</v>
      </c>
      <c r="H15" s="36" t="s">
        <v>1044</v>
      </c>
      <c r="I15" s="36" t="s">
        <v>1044</v>
      </c>
      <c r="J15" s="34">
        <v>20.350000000000001</v>
      </c>
      <c r="K15" s="34">
        <v>20.350000000000001</v>
      </c>
      <c r="L15" s="34">
        <f t="shared" si="0"/>
        <v>0</v>
      </c>
      <c r="M15" s="34" t="s">
        <v>921</v>
      </c>
      <c r="N15" s="34" t="e">
        <f t="shared" si="1"/>
        <v>#VALUE!</v>
      </c>
      <c r="O15" s="34" t="e">
        <f t="shared" si="2"/>
        <v>#VALUE!</v>
      </c>
      <c r="P15" s="34" t="e">
        <f t="shared" si="3"/>
        <v>#VALUE!</v>
      </c>
      <c r="Q15" s="34">
        <f t="shared" si="4"/>
        <v>0</v>
      </c>
      <c r="R15" s="34" t="e">
        <f t="shared" si="5"/>
        <v>#VALUE!</v>
      </c>
      <c r="S15" s="37">
        <v>46357</v>
      </c>
      <c r="T15" s="37">
        <v>46387</v>
      </c>
      <c r="U15" s="37">
        <v>46388</v>
      </c>
      <c r="V15" s="37">
        <v>46465</v>
      </c>
      <c r="W15" s="34"/>
      <c r="X15" s="34"/>
      <c r="Y15" s="34"/>
    </row>
    <row r="16" spans="2:25" hidden="1" x14ac:dyDescent="0.25">
      <c r="B16" s="1">
        <v>9</v>
      </c>
      <c r="C16" s="12" t="s">
        <v>1081</v>
      </c>
      <c r="D16" s="12" t="s">
        <v>1082</v>
      </c>
      <c r="E16" s="12" t="s">
        <v>1083</v>
      </c>
      <c r="F16" s="12" t="s">
        <v>1084</v>
      </c>
      <c r="G16" s="12" t="s">
        <v>1043</v>
      </c>
      <c r="H16" s="12" t="s">
        <v>1080</v>
      </c>
      <c r="I16" s="12" t="s">
        <v>33</v>
      </c>
      <c r="J16">
        <v>74.25</v>
      </c>
      <c r="K16">
        <v>137.97</v>
      </c>
      <c r="L16">
        <f t="shared" si="0"/>
        <v>-63.72</v>
      </c>
      <c r="M16" t="s">
        <v>921</v>
      </c>
      <c r="N16" t="e">
        <f t="shared" si="1"/>
        <v>#VALUE!</v>
      </c>
      <c r="O16" t="e">
        <f t="shared" si="2"/>
        <v>#VALUE!</v>
      </c>
      <c r="P16" t="e">
        <f t="shared" si="3"/>
        <v>#VALUE!</v>
      </c>
      <c r="Q16">
        <f t="shared" si="4"/>
        <v>0</v>
      </c>
      <c r="R16" t="e">
        <f t="shared" si="5"/>
        <v>#VALUE!</v>
      </c>
      <c r="S16" s="32">
        <v>46307</v>
      </c>
      <c r="T16" s="32">
        <v>46356</v>
      </c>
      <c r="U16" s="32">
        <v>46388</v>
      </c>
      <c r="V16" s="32">
        <v>46477</v>
      </c>
    </row>
    <row r="17" spans="2:25" hidden="1" x14ac:dyDescent="0.25">
      <c r="B17" s="38">
        <v>10</v>
      </c>
      <c r="C17" s="36" t="s">
        <v>1085</v>
      </c>
      <c r="D17" s="36" t="s">
        <v>1086</v>
      </c>
      <c r="E17" s="36" t="s">
        <v>1087</v>
      </c>
      <c r="F17" s="36" t="s">
        <v>1088</v>
      </c>
      <c r="G17" s="36" t="s">
        <v>1043</v>
      </c>
      <c r="H17" s="36" t="s">
        <v>1089</v>
      </c>
      <c r="I17" s="36" t="s">
        <v>33</v>
      </c>
      <c r="J17" s="34">
        <v>732.49</v>
      </c>
      <c r="K17" s="34">
        <v>732.49</v>
      </c>
      <c r="L17" s="34">
        <f t="shared" si="0"/>
        <v>0</v>
      </c>
      <c r="M17" s="34" t="s">
        <v>921</v>
      </c>
      <c r="N17" s="34" t="e">
        <f t="shared" si="1"/>
        <v>#VALUE!</v>
      </c>
      <c r="O17" s="34" t="e">
        <f t="shared" si="2"/>
        <v>#VALUE!</v>
      </c>
      <c r="P17" s="34" t="e">
        <f t="shared" si="3"/>
        <v>#VALUE!</v>
      </c>
      <c r="Q17" s="34">
        <f t="shared" si="4"/>
        <v>0</v>
      </c>
      <c r="R17" s="34" t="e">
        <f t="shared" si="5"/>
        <v>#VALUE!</v>
      </c>
      <c r="S17" s="37">
        <v>46357</v>
      </c>
      <c r="T17" s="37">
        <v>46388</v>
      </c>
      <c r="U17" s="37">
        <v>46388</v>
      </c>
      <c r="V17" s="37">
        <v>46507</v>
      </c>
      <c r="W17" s="34"/>
      <c r="X17" s="34"/>
      <c r="Y17" s="34"/>
    </row>
    <row r="18" spans="2:25" hidden="1" x14ac:dyDescent="0.25">
      <c r="B18" s="1">
        <v>11</v>
      </c>
      <c r="C18" s="12" t="s">
        <v>1091</v>
      </c>
      <c r="D18" s="12" t="s">
        <v>1092</v>
      </c>
      <c r="E18" s="12" t="s">
        <v>1093</v>
      </c>
      <c r="F18" s="12" t="s">
        <v>1094</v>
      </c>
      <c r="G18" s="12" t="s">
        <v>1043</v>
      </c>
      <c r="H18" s="12" t="s">
        <v>1080</v>
      </c>
      <c r="I18" s="12" t="s">
        <v>33</v>
      </c>
      <c r="J18">
        <v>149.6</v>
      </c>
      <c r="K18">
        <v>25.44</v>
      </c>
      <c r="L18">
        <f t="shared" si="0"/>
        <v>124.16</v>
      </c>
      <c r="M18" t="s">
        <v>921</v>
      </c>
      <c r="N18" t="e">
        <f t="shared" si="1"/>
        <v>#VALUE!</v>
      </c>
      <c r="O18" t="e">
        <f t="shared" si="2"/>
        <v>#VALUE!</v>
      </c>
      <c r="P18" t="e">
        <f t="shared" si="3"/>
        <v>#VALUE!</v>
      </c>
      <c r="Q18">
        <f t="shared" si="4"/>
        <v>0</v>
      </c>
      <c r="R18" t="e">
        <f t="shared" si="5"/>
        <v>#VALUE!</v>
      </c>
      <c r="S18" s="32">
        <v>46371</v>
      </c>
      <c r="T18" s="32">
        <v>46387</v>
      </c>
      <c r="U18" s="32">
        <v>46419</v>
      </c>
      <c r="V18" s="32">
        <v>46492</v>
      </c>
    </row>
    <row r="19" spans="2:25" x14ac:dyDescent="0.25">
      <c r="B19" s="38">
        <v>12</v>
      </c>
      <c r="C19" s="36" t="s">
        <v>932</v>
      </c>
      <c r="D19" s="36" t="s">
        <v>933</v>
      </c>
      <c r="E19" s="36" t="s">
        <v>934</v>
      </c>
      <c r="F19" s="36" t="s">
        <v>935</v>
      </c>
      <c r="G19" s="36" t="s">
        <v>1043</v>
      </c>
      <c r="H19" s="36" t="s">
        <v>916</v>
      </c>
      <c r="I19" s="36" t="s">
        <v>911</v>
      </c>
      <c r="J19" s="34">
        <v>99</v>
      </c>
      <c r="K19" s="34">
        <v>144</v>
      </c>
      <c r="L19" s="34">
        <f t="shared" si="0"/>
        <v>-45</v>
      </c>
      <c r="M19" s="34" t="s">
        <v>921</v>
      </c>
      <c r="N19" s="34" t="e">
        <f t="shared" si="1"/>
        <v>#VALUE!</v>
      </c>
      <c r="O19" s="34" t="e">
        <f t="shared" si="2"/>
        <v>#VALUE!</v>
      </c>
      <c r="P19" s="34" t="e">
        <f t="shared" si="3"/>
        <v>#VALUE!</v>
      </c>
      <c r="Q19" s="34">
        <f t="shared" si="4"/>
        <v>0</v>
      </c>
      <c r="R19" s="34" t="e">
        <f t="shared" si="5"/>
        <v>#VALUE!</v>
      </c>
      <c r="S19" s="37">
        <v>46371</v>
      </c>
      <c r="T19" s="37">
        <v>46387</v>
      </c>
      <c r="U19" s="37">
        <v>46388</v>
      </c>
      <c r="V19" s="37">
        <v>46433</v>
      </c>
      <c r="W19" s="34"/>
      <c r="X19" s="34"/>
      <c r="Y19" s="34"/>
    </row>
    <row r="20" spans="2:25" hidden="1" x14ac:dyDescent="0.25">
      <c r="B20" s="1">
        <v>13</v>
      </c>
      <c r="C20" s="12" t="s">
        <v>1111</v>
      </c>
      <c r="D20" s="12" t="s">
        <v>1112</v>
      </c>
      <c r="E20" s="12" t="s">
        <v>1113</v>
      </c>
      <c r="F20" s="12" t="s">
        <v>1114</v>
      </c>
      <c r="G20" s="12" t="s">
        <v>1043</v>
      </c>
      <c r="H20" s="12" t="s">
        <v>1044</v>
      </c>
      <c r="I20" s="12" t="s">
        <v>33</v>
      </c>
      <c r="K20">
        <v>36.54</v>
      </c>
      <c r="L20">
        <f t="shared" si="0"/>
        <v>-36.54</v>
      </c>
      <c r="M20" t="s">
        <v>921</v>
      </c>
      <c r="N20" t="e">
        <f t="shared" si="1"/>
        <v>#VALUE!</v>
      </c>
      <c r="O20" t="e">
        <f t="shared" si="2"/>
        <v>#VALUE!</v>
      </c>
      <c r="P20" t="e">
        <f t="shared" si="3"/>
        <v>#VALUE!</v>
      </c>
      <c r="Q20">
        <f t="shared" si="4"/>
        <v>0</v>
      </c>
      <c r="R20" t="e">
        <f t="shared" si="5"/>
        <v>#VALUE!</v>
      </c>
      <c r="S20" s="32">
        <v>46357</v>
      </c>
      <c r="T20" s="32">
        <v>46387</v>
      </c>
      <c r="U20" s="32">
        <v>46420</v>
      </c>
      <c r="V20" s="32">
        <v>46446</v>
      </c>
    </row>
    <row r="21" spans="2:25" hidden="1" x14ac:dyDescent="0.25">
      <c r="B21" s="38">
        <v>14</v>
      </c>
      <c r="C21" s="36" t="s">
        <v>1095</v>
      </c>
      <c r="D21" s="36" t="s">
        <v>1096</v>
      </c>
      <c r="E21" s="36" t="s">
        <v>1097</v>
      </c>
      <c r="F21" s="36" t="s">
        <v>1098</v>
      </c>
      <c r="G21" s="36" t="s">
        <v>1043</v>
      </c>
      <c r="H21" s="36" t="s">
        <v>33</v>
      </c>
      <c r="I21" s="36" t="s">
        <v>33</v>
      </c>
      <c r="J21" s="34">
        <v>14.3</v>
      </c>
      <c r="K21" s="34">
        <v>14.3</v>
      </c>
      <c r="L21" s="34">
        <f t="shared" si="0"/>
        <v>0</v>
      </c>
      <c r="M21" s="34" t="s">
        <v>921</v>
      </c>
      <c r="N21" s="34" t="e">
        <f t="shared" si="1"/>
        <v>#VALUE!</v>
      </c>
      <c r="O21" s="34" t="e">
        <f t="shared" si="2"/>
        <v>#VALUE!</v>
      </c>
      <c r="P21" s="34" t="e">
        <f t="shared" si="3"/>
        <v>#VALUE!</v>
      </c>
      <c r="Q21" s="34">
        <f t="shared" si="4"/>
        <v>0</v>
      </c>
      <c r="R21" s="34" t="e">
        <f t="shared" si="5"/>
        <v>#VALUE!</v>
      </c>
      <c r="S21" s="37">
        <v>46404</v>
      </c>
      <c r="T21" s="37">
        <v>46409</v>
      </c>
      <c r="U21" s="37">
        <v>46409</v>
      </c>
      <c r="V21" s="37">
        <v>46437</v>
      </c>
      <c r="W21" s="34"/>
      <c r="X21" s="34"/>
      <c r="Y21" s="34"/>
    </row>
    <row r="22" spans="2:25" hidden="1" x14ac:dyDescent="0.25">
      <c r="B22" s="1">
        <v>15</v>
      </c>
      <c r="C22" s="12" t="s">
        <v>1115</v>
      </c>
      <c r="D22" s="12" t="s">
        <v>1116</v>
      </c>
      <c r="E22" s="12" t="s">
        <v>1117</v>
      </c>
      <c r="F22" s="12" t="s">
        <v>1118</v>
      </c>
      <c r="G22" s="12" t="s">
        <v>1043</v>
      </c>
      <c r="H22" s="12" t="s">
        <v>1044</v>
      </c>
      <c r="I22" s="12" t="s">
        <v>33</v>
      </c>
      <c r="J22">
        <v>309.98</v>
      </c>
      <c r="K22">
        <v>309.98</v>
      </c>
      <c r="L22">
        <f t="shared" si="0"/>
        <v>0</v>
      </c>
      <c r="M22" t="s">
        <v>921</v>
      </c>
      <c r="N22" t="e">
        <f t="shared" si="1"/>
        <v>#VALUE!</v>
      </c>
      <c r="O22" t="e">
        <f t="shared" si="2"/>
        <v>#VALUE!</v>
      </c>
      <c r="P22" t="e">
        <f t="shared" si="3"/>
        <v>#VALUE!</v>
      </c>
      <c r="Q22">
        <f t="shared" si="4"/>
        <v>0</v>
      </c>
      <c r="R22" t="e">
        <f t="shared" si="5"/>
        <v>#VALUE!</v>
      </c>
      <c r="S22" s="32">
        <v>46386</v>
      </c>
      <c r="T22" s="32">
        <v>46387</v>
      </c>
      <c r="U22" s="32">
        <v>46392</v>
      </c>
      <c r="V22" s="32">
        <v>46477</v>
      </c>
    </row>
    <row r="23" spans="2:25" hidden="1" x14ac:dyDescent="0.25">
      <c r="B23" s="38">
        <v>16</v>
      </c>
      <c r="C23" s="36" t="s">
        <v>1119</v>
      </c>
      <c r="D23" s="36" t="s">
        <v>1120</v>
      </c>
      <c r="E23" s="36" t="s">
        <v>1121</v>
      </c>
      <c r="F23" s="36" t="s">
        <v>1122</v>
      </c>
      <c r="G23" s="36" t="s">
        <v>1043</v>
      </c>
      <c r="H23" s="36" t="s">
        <v>1044</v>
      </c>
      <c r="I23" s="36" t="s">
        <v>33</v>
      </c>
      <c r="J23" s="34">
        <v>472.78</v>
      </c>
      <c r="K23" s="34">
        <v>472.78</v>
      </c>
      <c r="L23" s="34">
        <f t="shared" si="0"/>
        <v>0</v>
      </c>
      <c r="M23" s="34" t="s">
        <v>921</v>
      </c>
      <c r="N23" s="34" t="e">
        <f t="shared" si="1"/>
        <v>#VALUE!</v>
      </c>
      <c r="O23" s="34" t="e">
        <f t="shared" si="2"/>
        <v>#VALUE!</v>
      </c>
      <c r="P23" s="34" t="e">
        <f t="shared" si="3"/>
        <v>#VALUE!</v>
      </c>
      <c r="Q23" s="34">
        <f t="shared" si="4"/>
        <v>0</v>
      </c>
      <c r="R23" s="34" t="e">
        <f t="shared" si="5"/>
        <v>#VALUE!</v>
      </c>
      <c r="S23" s="37">
        <v>46356</v>
      </c>
      <c r="T23" s="37">
        <v>46387</v>
      </c>
      <c r="U23" s="37">
        <v>46388</v>
      </c>
      <c r="V23" s="37">
        <v>46477</v>
      </c>
      <c r="W23" s="34"/>
      <c r="X23" s="34"/>
      <c r="Y23" s="34"/>
    </row>
    <row r="24" spans="2:25" x14ac:dyDescent="0.25">
      <c r="B24" s="1">
        <v>17</v>
      </c>
      <c r="C24" s="12" t="s">
        <v>1123</v>
      </c>
      <c r="D24" s="12" t="s">
        <v>1124</v>
      </c>
      <c r="E24" s="12" t="s">
        <v>1125</v>
      </c>
      <c r="F24" s="12" t="s">
        <v>1126</v>
      </c>
      <c r="G24" s="12" t="s">
        <v>1043</v>
      </c>
      <c r="H24" s="12" t="s">
        <v>916</v>
      </c>
      <c r="I24" s="12" t="s">
        <v>33</v>
      </c>
      <c r="J24">
        <v>102.41</v>
      </c>
      <c r="K24">
        <v>102.41</v>
      </c>
      <c r="L24">
        <f t="shared" si="0"/>
        <v>0</v>
      </c>
      <c r="M24" t="s">
        <v>921</v>
      </c>
      <c r="N24" t="e">
        <f t="shared" si="1"/>
        <v>#VALUE!</v>
      </c>
      <c r="O24" t="e">
        <f t="shared" si="2"/>
        <v>#VALUE!</v>
      </c>
      <c r="P24" t="e">
        <f t="shared" si="3"/>
        <v>#VALUE!</v>
      </c>
      <c r="Q24">
        <f t="shared" si="4"/>
        <v>0</v>
      </c>
      <c r="R24" t="e">
        <f t="shared" si="5"/>
        <v>#VALUE!</v>
      </c>
      <c r="U24" s="32">
        <v>46255</v>
      </c>
      <c r="V24" s="32">
        <v>46263</v>
      </c>
    </row>
    <row r="25" spans="2:25" hidden="1" x14ac:dyDescent="0.25">
      <c r="B25" s="38">
        <v>18</v>
      </c>
      <c r="C25" s="36" t="s">
        <v>1127</v>
      </c>
      <c r="D25" s="36" t="s">
        <v>1128</v>
      </c>
      <c r="E25" s="36" t="s">
        <v>1129</v>
      </c>
      <c r="F25" s="36" t="s">
        <v>1130</v>
      </c>
      <c r="G25" s="36" t="s">
        <v>1043</v>
      </c>
      <c r="H25" s="36" t="s">
        <v>33</v>
      </c>
      <c r="I25" s="36" t="s">
        <v>33</v>
      </c>
      <c r="J25" s="34">
        <v>71.5</v>
      </c>
      <c r="K25" s="34">
        <v>71.5</v>
      </c>
      <c r="L25" s="34">
        <f t="shared" si="0"/>
        <v>0</v>
      </c>
      <c r="M25" s="34" t="s">
        <v>921</v>
      </c>
      <c r="N25" s="34" t="e">
        <f t="shared" si="1"/>
        <v>#VALUE!</v>
      </c>
      <c r="O25" s="34" t="e">
        <f t="shared" si="2"/>
        <v>#VALUE!</v>
      </c>
      <c r="P25" s="34" t="e">
        <f t="shared" si="3"/>
        <v>#VALUE!</v>
      </c>
      <c r="Q25" s="34">
        <f t="shared" si="4"/>
        <v>0</v>
      </c>
      <c r="R25" s="34" t="e">
        <f t="shared" si="5"/>
        <v>#VALUE!</v>
      </c>
      <c r="S25" s="37">
        <v>46357</v>
      </c>
      <c r="T25" s="37">
        <v>46387</v>
      </c>
      <c r="U25" s="37">
        <v>46388</v>
      </c>
      <c r="V25" s="37">
        <v>46477</v>
      </c>
      <c r="W25" s="34"/>
      <c r="X25" s="34"/>
      <c r="Y25" s="34"/>
    </row>
    <row r="26" spans="2:25" hidden="1" x14ac:dyDescent="0.25">
      <c r="B26" s="1">
        <v>19</v>
      </c>
      <c r="C26" s="12" t="s">
        <v>1136</v>
      </c>
      <c r="D26" s="12" t="s">
        <v>1137</v>
      </c>
      <c r="E26" s="12" t="s">
        <v>1138</v>
      </c>
      <c r="F26" s="12" t="s">
        <v>1139</v>
      </c>
      <c r="G26" s="12" t="s">
        <v>1043</v>
      </c>
      <c r="H26" s="12" t="s">
        <v>1080</v>
      </c>
      <c r="I26" s="12" t="s">
        <v>1135</v>
      </c>
      <c r="J26">
        <v>33</v>
      </c>
      <c r="K26">
        <v>50.47</v>
      </c>
      <c r="L26">
        <f t="shared" si="0"/>
        <v>-17.47</v>
      </c>
      <c r="M26" t="s">
        <v>921</v>
      </c>
      <c r="N26" t="e">
        <f t="shared" si="1"/>
        <v>#VALUE!</v>
      </c>
      <c r="O26" t="e">
        <f t="shared" si="2"/>
        <v>#VALUE!</v>
      </c>
      <c r="P26" t="e">
        <f t="shared" si="3"/>
        <v>#VALUE!</v>
      </c>
      <c r="Q26">
        <f t="shared" si="4"/>
        <v>0</v>
      </c>
      <c r="R26" t="e">
        <f t="shared" si="5"/>
        <v>#VALUE!</v>
      </c>
      <c r="S26" s="32">
        <v>46296</v>
      </c>
      <c r="T26" s="32">
        <v>46387</v>
      </c>
      <c r="U26" s="32">
        <v>46388</v>
      </c>
      <c r="V26" s="32">
        <v>46538</v>
      </c>
    </row>
    <row r="27" spans="2:25" hidden="1" x14ac:dyDescent="0.25">
      <c r="B27" s="38">
        <v>20</v>
      </c>
      <c r="C27" s="36" t="s">
        <v>1156</v>
      </c>
      <c r="D27" s="36" t="s">
        <v>1157</v>
      </c>
      <c r="E27" s="36" t="s">
        <v>1158</v>
      </c>
      <c r="F27" s="36" t="s">
        <v>1159</v>
      </c>
      <c r="G27" s="36" t="s">
        <v>1043</v>
      </c>
      <c r="H27" s="36" t="s">
        <v>1080</v>
      </c>
      <c r="I27" s="36" t="s">
        <v>1135</v>
      </c>
      <c r="J27" s="34">
        <v>10.66</v>
      </c>
      <c r="K27" s="34">
        <v>10.66</v>
      </c>
      <c r="L27" s="34">
        <f t="shared" si="0"/>
        <v>0</v>
      </c>
      <c r="M27" s="34" t="s">
        <v>921</v>
      </c>
      <c r="N27" s="34" t="e">
        <f t="shared" si="1"/>
        <v>#VALUE!</v>
      </c>
      <c r="O27" s="34" t="e">
        <f t="shared" si="2"/>
        <v>#VALUE!</v>
      </c>
      <c r="P27" s="34" t="e">
        <f t="shared" si="3"/>
        <v>#VALUE!</v>
      </c>
      <c r="Q27" s="34">
        <f t="shared" si="4"/>
        <v>0</v>
      </c>
      <c r="R27" s="34" t="e">
        <f t="shared" si="5"/>
        <v>#VALUE!</v>
      </c>
      <c r="S27" s="37">
        <v>46314</v>
      </c>
      <c r="T27" s="37">
        <v>46387</v>
      </c>
      <c r="U27" s="37">
        <v>46388</v>
      </c>
      <c r="V27" s="37">
        <v>46568</v>
      </c>
      <c r="W27" s="34"/>
      <c r="X27" s="34"/>
      <c r="Y27" s="34"/>
    </row>
    <row r="28" spans="2:25" hidden="1" x14ac:dyDescent="0.25">
      <c r="B28" s="1">
        <v>21</v>
      </c>
      <c r="C28" s="12" t="s">
        <v>1140</v>
      </c>
      <c r="D28" s="12" t="s">
        <v>1141</v>
      </c>
      <c r="E28" s="12" t="s">
        <v>1142</v>
      </c>
      <c r="F28" s="12" t="s">
        <v>1143</v>
      </c>
      <c r="G28" s="12" t="s">
        <v>1043</v>
      </c>
      <c r="H28" s="12" t="s">
        <v>1080</v>
      </c>
      <c r="I28" s="12" t="s">
        <v>1135</v>
      </c>
      <c r="J28">
        <v>60.5</v>
      </c>
      <c r="K28">
        <v>99.52</v>
      </c>
      <c r="L28">
        <f t="shared" si="0"/>
        <v>-39.019999999999996</v>
      </c>
      <c r="M28" t="s">
        <v>921</v>
      </c>
      <c r="N28" t="e">
        <f t="shared" si="1"/>
        <v>#VALUE!</v>
      </c>
      <c r="O28" t="e">
        <f t="shared" si="2"/>
        <v>#VALUE!</v>
      </c>
      <c r="P28" t="e">
        <f t="shared" si="3"/>
        <v>#VALUE!</v>
      </c>
      <c r="Q28">
        <f t="shared" si="4"/>
        <v>0</v>
      </c>
      <c r="R28" t="e">
        <f t="shared" si="5"/>
        <v>#VALUE!</v>
      </c>
      <c r="S28" s="32">
        <v>46447</v>
      </c>
      <c r="T28" s="32">
        <v>46477</v>
      </c>
      <c r="U28" s="32">
        <v>46478</v>
      </c>
      <c r="V28" s="32">
        <v>46568</v>
      </c>
    </row>
    <row r="29" spans="2:25" hidden="1" x14ac:dyDescent="0.25">
      <c r="B29" s="38">
        <v>22</v>
      </c>
      <c r="C29" s="36" t="s">
        <v>1144</v>
      </c>
      <c r="D29" s="36" t="s">
        <v>1145</v>
      </c>
      <c r="E29" s="36" t="s">
        <v>1146</v>
      </c>
      <c r="F29" s="36" t="s">
        <v>1147</v>
      </c>
      <c r="G29" s="36" t="s">
        <v>1043</v>
      </c>
      <c r="H29" s="36" t="s">
        <v>1080</v>
      </c>
      <c r="I29" s="36" t="s">
        <v>1135</v>
      </c>
      <c r="J29" s="34">
        <v>33</v>
      </c>
      <c r="K29" s="34">
        <v>40.47</v>
      </c>
      <c r="L29" s="34">
        <f t="shared" si="0"/>
        <v>-7.4699999999999989</v>
      </c>
      <c r="M29" s="34" t="s">
        <v>921</v>
      </c>
      <c r="N29" s="34" t="e">
        <f t="shared" si="1"/>
        <v>#VALUE!</v>
      </c>
      <c r="O29" s="34" t="e">
        <f t="shared" si="2"/>
        <v>#VALUE!</v>
      </c>
      <c r="P29" s="34" t="e">
        <f t="shared" si="3"/>
        <v>#VALUE!</v>
      </c>
      <c r="Q29" s="34">
        <f t="shared" si="4"/>
        <v>0</v>
      </c>
      <c r="R29" s="34" t="e">
        <f t="shared" si="5"/>
        <v>#VALUE!</v>
      </c>
      <c r="S29" s="37">
        <v>46371</v>
      </c>
      <c r="T29" s="37">
        <v>46387</v>
      </c>
      <c r="U29" s="37">
        <v>46447</v>
      </c>
      <c r="V29" s="37">
        <v>46507</v>
      </c>
      <c r="W29" s="34"/>
      <c r="X29" s="34"/>
      <c r="Y29" s="34"/>
    </row>
    <row r="30" spans="2:25" hidden="1" x14ac:dyDescent="0.25">
      <c r="B30" s="1">
        <v>23</v>
      </c>
      <c r="C30" s="12" t="s">
        <v>1152</v>
      </c>
      <c r="D30" s="12" t="s">
        <v>1153</v>
      </c>
      <c r="E30" s="12" t="s">
        <v>1154</v>
      </c>
      <c r="F30" s="12" t="s">
        <v>1155</v>
      </c>
      <c r="G30" s="12" t="s">
        <v>1043</v>
      </c>
      <c r="H30" s="12" t="s">
        <v>1080</v>
      </c>
      <c r="I30" s="12" t="s">
        <v>1135</v>
      </c>
      <c r="J30">
        <v>93.5</v>
      </c>
      <c r="K30">
        <v>142.99</v>
      </c>
      <c r="L30">
        <f t="shared" si="0"/>
        <v>-49.490000000000009</v>
      </c>
      <c r="M30" t="s">
        <v>921</v>
      </c>
      <c r="N30" t="e">
        <f t="shared" si="1"/>
        <v>#VALUE!</v>
      </c>
      <c r="O30" t="e">
        <f t="shared" si="2"/>
        <v>#VALUE!</v>
      </c>
      <c r="P30" t="e">
        <f t="shared" si="3"/>
        <v>#VALUE!</v>
      </c>
      <c r="Q30">
        <f t="shared" si="4"/>
        <v>0</v>
      </c>
      <c r="R30" t="e">
        <f t="shared" si="5"/>
        <v>#VALUE!</v>
      </c>
      <c r="S30" s="32">
        <v>46371</v>
      </c>
      <c r="T30" s="32">
        <v>46387</v>
      </c>
      <c r="U30" s="32">
        <v>46447</v>
      </c>
      <c r="V30" s="32">
        <v>46507</v>
      </c>
    </row>
    <row r="31" spans="2:25" hidden="1" x14ac:dyDescent="0.25">
      <c r="B31" s="38">
        <v>24</v>
      </c>
      <c r="C31" s="36" t="s">
        <v>1099</v>
      </c>
      <c r="D31" s="36" t="s">
        <v>1100</v>
      </c>
      <c r="E31" s="36" t="s">
        <v>1101</v>
      </c>
      <c r="F31" s="36" t="s">
        <v>1102</v>
      </c>
      <c r="G31" s="36" t="s">
        <v>1043</v>
      </c>
      <c r="H31" s="36" t="s">
        <v>1080</v>
      </c>
      <c r="I31" s="36" t="s">
        <v>33</v>
      </c>
      <c r="J31" s="34">
        <v>126.5</v>
      </c>
      <c r="K31" s="34">
        <v>143.44999999999999</v>
      </c>
      <c r="L31" s="34">
        <f t="shared" si="0"/>
        <v>-16.949999999999989</v>
      </c>
      <c r="M31" s="34" t="s">
        <v>921</v>
      </c>
      <c r="N31" s="34" t="e">
        <f t="shared" si="1"/>
        <v>#VALUE!</v>
      </c>
      <c r="O31" s="34" t="e">
        <f t="shared" si="2"/>
        <v>#VALUE!</v>
      </c>
      <c r="P31" s="34" t="e">
        <f t="shared" si="3"/>
        <v>#VALUE!</v>
      </c>
      <c r="Q31" s="34">
        <f t="shared" si="4"/>
        <v>0</v>
      </c>
      <c r="R31" s="34" t="e">
        <f t="shared" si="5"/>
        <v>#VALUE!</v>
      </c>
      <c r="S31" s="37">
        <v>46371</v>
      </c>
      <c r="T31" s="37">
        <v>46387</v>
      </c>
      <c r="U31" s="37">
        <v>46388</v>
      </c>
      <c r="V31" s="37">
        <v>46477</v>
      </c>
      <c r="W31" s="34"/>
      <c r="X31" s="34"/>
      <c r="Y31" s="34"/>
    </row>
    <row r="32" spans="2:25" hidden="1" x14ac:dyDescent="0.25">
      <c r="B32" s="1">
        <v>25</v>
      </c>
      <c r="C32" s="12" t="s">
        <v>1103</v>
      </c>
      <c r="D32" s="12" t="s">
        <v>1104</v>
      </c>
      <c r="E32" s="12" t="s">
        <v>1105</v>
      </c>
      <c r="F32" s="12" t="s">
        <v>1106</v>
      </c>
      <c r="G32" s="12" t="s">
        <v>1043</v>
      </c>
      <c r="H32" s="12" t="s">
        <v>1044</v>
      </c>
      <c r="I32" s="12" t="s">
        <v>33</v>
      </c>
      <c r="J32">
        <v>90.45</v>
      </c>
      <c r="K32">
        <v>90.45</v>
      </c>
      <c r="L32">
        <f t="shared" si="0"/>
        <v>0</v>
      </c>
      <c r="M32" t="s">
        <v>921</v>
      </c>
      <c r="N32" t="e">
        <f t="shared" si="1"/>
        <v>#VALUE!</v>
      </c>
      <c r="O32" t="e">
        <f t="shared" si="2"/>
        <v>#VALUE!</v>
      </c>
      <c r="P32" t="e">
        <f t="shared" si="3"/>
        <v>#VALUE!</v>
      </c>
      <c r="Q32">
        <f t="shared" si="4"/>
        <v>0</v>
      </c>
      <c r="R32" t="e">
        <f t="shared" si="5"/>
        <v>#VALUE!</v>
      </c>
      <c r="S32" s="32">
        <v>46357</v>
      </c>
      <c r="T32" s="32">
        <v>46387</v>
      </c>
      <c r="U32" s="32">
        <v>46387</v>
      </c>
      <c r="V32" s="32">
        <v>46507</v>
      </c>
    </row>
    <row r="33" spans="2:25" hidden="1" x14ac:dyDescent="0.25">
      <c r="B33" s="38">
        <v>26</v>
      </c>
      <c r="C33" s="36" t="s">
        <v>1107</v>
      </c>
      <c r="D33" s="36" t="s">
        <v>1108</v>
      </c>
      <c r="E33" s="36" t="s">
        <v>1109</v>
      </c>
      <c r="F33" s="36" t="s">
        <v>1110</v>
      </c>
      <c r="G33" s="36" t="s">
        <v>1043</v>
      </c>
      <c r="H33" s="36" t="s">
        <v>1080</v>
      </c>
      <c r="I33" s="36" t="s">
        <v>33</v>
      </c>
      <c r="J33" s="34">
        <v>33</v>
      </c>
      <c r="K33" s="34">
        <v>39.47</v>
      </c>
      <c r="L33" s="34">
        <f t="shared" si="0"/>
        <v>-6.4699999999999989</v>
      </c>
      <c r="M33" s="34" t="s">
        <v>921</v>
      </c>
      <c r="N33" s="34" t="e">
        <f t="shared" si="1"/>
        <v>#VALUE!</v>
      </c>
      <c r="O33" s="34" t="e">
        <f t="shared" si="2"/>
        <v>#VALUE!</v>
      </c>
      <c r="P33" s="34" t="e">
        <f t="shared" si="3"/>
        <v>#VALUE!</v>
      </c>
      <c r="Q33" s="34">
        <f t="shared" si="4"/>
        <v>0</v>
      </c>
      <c r="R33" s="34" t="e">
        <f t="shared" si="5"/>
        <v>#VALUE!</v>
      </c>
      <c r="S33" s="37">
        <v>46365</v>
      </c>
      <c r="T33" s="37">
        <v>46369</v>
      </c>
      <c r="U33" s="37">
        <v>46456</v>
      </c>
      <c r="V33" s="37">
        <v>46460</v>
      </c>
      <c r="W33" s="34"/>
      <c r="X33" s="34"/>
      <c r="Y33" s="34"/>
    </row>
    <row r="34" spans="2:25" x14ac:dyDescent="0.25">
      <c r="B34" s="1">
        <v>27</v>
      </c>
      <c r="C34" s="12" t="s">
        <v>927</v>
      </c>
      <c r="D34" s="12" t="s">
        <v>928</v>
      </c>
      <c r="E34" s="12" t="s">
        <v>929</v>
      </c>
      <c r="F34" s="12" t="s">
        <v>930</v>
      </c>
      <c r="G34" s="12" t="s">
        <v>1043</v>
      </c>
      <c r="H34" s="12" t="s">
        <v>916</v>
      </c>
      <c r="I34" s="12" t="s">
        <v>911</v>
      </c>
      <c r="J34">
        <v>24.2</v>
      </c>
      <c r="K34">
        <v>33.74</v>
      </c>
      <c r="L34">
        <f t="shared" si="0"/>
        <v>-9.5400000000000027</v>
      </c>
      <c r="M34" t="s">
        <v>921</v>
      </c>
      <c r="N34" t="e">
        <f t="shared" si="1"/>
        <v>#VALUE!</v>
      </c>
      <c r="O34" t="e">
        <f t="shared" si="2"/>
        <v>#VALUE!</v>
      </c>
      <c r="P34" t="e">
        <f t="shared" si="3"/>
        <v>#VALUE!</v>
      </c>
      <c r="Q34">
        <f t="shared" si="4"/>
        <v>0</v>
      </c>
      <c r="R34" t="e">
        <f t="shared" si="5"/>
        <v>#VALUE!</v>
      </c>
      <c r="S34" s="32">
        <v>46371</v>
      </c>
      <c r="T34" s="32">
        <v>46387</v>
      </c>
      <c r="U34" s="32">
        <v>46388</v>
      </c>
      <c r="V34" s="32">
        <v>46477</v>
      </c>
    </row>
    <row r="35" spans="2:25" hidden="1" x14ac:dyDescent="0.25">
      <c r="B35" s="38">
        <v>28</v>
      </c>
      <c r="C35" s="36" t="s">
        <v>1057</v>
      </c>
      <c r="D35" s="36" t="s">
        <v>1058</v>
      </c>
      <c r="E35" s="36" t="s">
        <v>1059</v>
      </c>
      <c r="F35" s="36" t="s">
        <v>1060</v>
      </c>
      <c r="G35" s="36" t="s">
        <v>1043</v>
      </c>
      <c r="H35" s="36" t="s">
        <v>1044</v>
      </c>
      <c r="I35" s="36" t="s">
        <v>33</v>
      </c>
      <c r="J35" s="34">
        <v>306.64</v>
      </c>
      <c r="K35" s="34">
        <v>306.64</v>
      </c>
      <c r="L35" s="34">
        <f t="shared" si="0"/>
        <v>0</v>
      </c>
      <c r="M35" s="34" t="s">
        <v>921</v>
      </c>
      <c r="N35" s="34" t="e">
        <f t="shared" si="1"/>
        <v>#VALUE!</v>
      </c>
      <c r="O35" s="34" t="e">
        <f t="shared" si="2"/>
        <v>#VALUE!</v>
      </c>
      <c r="P35" s="34" t="e">
        <f t="shared" si="3"/>
        <v>#VALUE!</v>
      </c>
      <c r="Q35" s="34">
        <f t="shared" si="4"/>
        <v>0</v>
      </c>
      <c r="R35" s="34" t="e">
        <f t="shared" si="5"/>
        <v>#VALUE!</v>
      </c>
      <c r="S35" s="37">
        <v>46326</v>
      </c>
      <c r="T35" s="37">
        <v>46387</v>
      </c>
      <c r="U35" s="37">
        <v>46388</v>
      </c>
      <c r="V35" s="37">
        <v>46477</v>
      </c>
      <c r="W35" s="34"/>
      <c r="X35" s="34"/>
      <c r="Y35" s="34"/>
    </row>
    <row r="36" spans="2:25" hidden="1" x14ac:dyDescent="0.25">
      <c r="B36" s="1">
        <v>29</v>
      </c>
      <c r="C36" s="12" t="s">
        <v>1072</v>
      </c>
      <c r="D36" s="12" t="s">
        <v>1073</v>
      </c>
      <c r="E36" s="12" t="s">
        <v>1074</v>
      </c>
      <c r="F36" s="12" t="s">
        <v>1075</v>
      </c>
      <c r="G36" s="12" t="s">
        <v>1043</v>
      </c>
      <c r="H36" s="12" t="s">
        <v>1044</v>
      </c>
      <c r="I36" s="12" t="s">
        <v>1044</v>
      </c>
      <c r="J36">
        <v>18.04</v>
      </c>
      <c r="K36">
        <v>18.04</v>
      </c>
      <c r="L36">
        <f t="shared" si="0"/>
        <v>0</v>
      </c>
      <c r="M36" t="s">
        <v>921</v>
      </c>
      <c r="N36" t="e">
        <f t="shared" si="1"/>
        <v>#VALUE!</v>
      </c>
      <c r="O36" t="e">
        <f t="shared" si="2"/>
        <v>#VALUE!</v>
      </c>
      <c r="P36" t="e">
        <f t="shared" si="3"/>
        <v>#VALUE!</v>
      </c>
      <c r="Q36">
        <f t="shared" si="4"/>
        <v>0</v>
      </c>
      <c r="R36" t="e">
        <f t="shared" si="5"/>
        <v>#VALUE!</v>
      </c>
      <c r="S36" s="32">
        <v>46327</v>
      </c>
      <c r="T36" s="32">
        <v>46387</v>
      </c>
      <c r="U36" s="32">
        <v>46388</v>
      </c>
      <c r="V36" s="32">
        <v>46477</v>
      </c>
    </row>
    <row r="37" spans="2:25" hidden="1" x14ac:dyDescent="0.25">
      <c r="B37" s="38">
        <v>30</v>
      </c>
      <c r="C37" s="36" t="s">
        <v>1076</v>
      </c>
      <c r="D37" s="36" t="s">
        <v>1077</v>
      </c>
      <c r="E37" s="36" t="s">
        <v>1078</v>
      </c>
      <c r="F37" s="36" t="s">
        <v>1079</v>
      </c>
      <c r="G37" s="36" t="s">
        <v>1043</v>
      </c>
      <c r="H37" s="36" t="s">
        <v>1080</v>
      </c>
      <c r="I37" s="36" t="s">
        <v>33</v>
      </c>
      <c r="J37" s="34">
        <v>6.6</v>
      </c>
      <c r="K37" s="34">
        <v>6.6</v>
      </c>
      <c r="L37" s="34">
        <f t="shared" si="0"/>
        <v>0</v>
      </c>
      <c r="M37" s="34" t="s">
        <v>921</v>
      </c>
      <c r="N37" s="34" t="e">
        <f t="shared" si="1"/>
        <v>#VALUE!</v>
      </c>
      <c r="O37" s="34" t="e">
        <f t="shared" si="2"/>
        <v>#VALUE!</v>
      </c>
      <c r="P37" s="34" t="e">
        <f t="shared" si="3"/>
        <v>#VALUE!</v>
      </c>
      <c r="Q37" s="34">
        <f t="shared" si="4"/>
        <v>0</v>
      </c>
      <c r="R37" s="34" t="e">
        <f t="shared" si="5"/>
        <v>#VALUE!</v>
      </c>
      <c r="S37" s="37">
        <v>46366</v>
      </c>
      <c r="T37" s="37">
        <v>46387</v>
      </c>
      <c r="U37" s="37">
        <v>46388</v>
      </c>
      <c r="V37" s="37">
        <v>46568</v>
      </c>
      <c r="W37" s="34"/>
      <c r="X37" s="34"/>
      <c r="Y37" s="34"/>
    </row>
    <row r="38" spans="2:25" hidden="1" x14ac:dyDescent="0.25">
      <c r="B38" s="1">
        <v>31</v>
      </c>
      <c r="C38" s="12" t="s">
        <v>941</v>
      </c>
      <c r="D38" s="12" t="s">
        <v>942</v>
      </c>
      <c r="E38" s="12" t="s">
        <v>943</v>
      </c>
      <c r="F38" s="12" t="s">
        <v>944</v>
      </c>
      <c r="G38" s="12" t="s">
        <v>1043</v>
      </c>
      <c r="H38" s="12" t="s">
        <v>1090</v>
      </c>
      <c r="I38" s="12" t="s">
        <v>33</v>
      </c>
      <c r="K38">
        <v>25.88</v>
      </c>
      <c r="L38">
        <f t="shared" si="0"/>
        <v>-25.88</v>
      </c>
      <c r="M38" t="s">
        <v>921</v>
      </c>
      <c r="N38" t="e">
        <f t="shared" si="1"/>
        <v>#VALUE!</v>
      </c>
      <c r="O38" t="e">
        <f t="shared" si="2"/>
        <v>#VALUE!</v>
      </c>
      <c r="P38" t="e">
        <f t="shared" si="3"/>
        <v>#VALUE!</v>
      </c>
      <c r="Q38">
        <f t="shared" si="4"/>
        <v>0</v>
      </c>
      <c r="R38" t="e">
        <f t="shared" si="5"/>
        <v>#VALUE!</v>
      </c>
      <c r="S38" s="32">
        <v>46371</v>
      </c>
      <c r="T38" s="32">
        <v>46387</v>
      </c>
      <c r="U38" s="32">
        <v>46388</v>
      </c>
      <c r="V38" s="32">
        <v>46476</v>
      </c>
    </row>
    <row r="39" spans="2:25" hidden="1" x14ac:dyDescent="0.25">
      <c r="B39" s="38">
        <v>32</v>
      </c>
      <c r="C39" s="36" t="s">
        <v>923</v>
      </c>
      <c r="D39" s="36" t="s">
        <v>924</v>
      </c>
      <c r="E39" s="36" t="s">
        <v>925</v>
      </c>
      <c r="F39" s="36" t="s">
        <v>926</v>
      </c>
      <c r="G39" s="36" t="s">
        <v>1043</v>
      </c>
      <c r="H39" s="36" t="s">
        <v>1090</v>
      </c>
      <c r="I39" s="36" t="s">
        <v>33</v>
      </c>
      <c r="J39" s="34"/>
      <c r="K39" s="34">
        <v>96.67</v>
      </c>
      <c r="L39" s="34">
        <f t="shared" si="0"/>
        <v>-96.67</v>
      </c>
      <c r="M39" s="34" t="s">
        <v>921</v>
      </c>
      <c r="N39" s="34" t="e">
        <f t="shared" si="1"/>
        <v>#VALUE!</v>
      </c>
      <c r="O39" s="34" t="e">
        <f t="shared" si="2"/>
        <v>#VALUE!</v>
      </c>
      <c r="P39" s="34" t="e">
        <f t="shared" si="3"/>
        <v>#VALUE!</v>
      </c>
      <c r="Q39" s="34">
        <f t="shared" si="4"/>
        <v>0</v>
      </c>
      <c r="R39" s="34" t="e">
        <f t="shared" si="5"/>
        <v>#VALUE!</v>
      </c>
      <c r="S39" s="37">
        <v>46371</v>
      </c>
      <c r="T39" s="37">
        <v>46387</v>
      </c>
      <c r="U39" s="37">
        <v>46388</v>
      </c>
      <c r="V39" s="37">
        <v>46476</v>
      </c>
      <c r="W39" s="34"/>
      <c r="X39" s="34"/>
      <c r="Y39" s="34"/>
    </row>
    <row r="40" spans="2:25" hidden="1" x14ac:dyDescent="0.25">
      <c r="B40" s="1">
        <v>33</v>
      </c>
      <c r="C40" s="12" t="s">
        <v>1148</v>
      </c>
      <c r="D40" s="12" t="s">
        <v>1149</v>
      </c>
      <c r="E40" s="12" t="s">
        <v>1150</v>
      </c>
      <c r="F40" s="12" t="s">
        <v>1151</v>
      </c>
      <c r="G40" s="12" t="s">
        <v>1043</v>
      </c>
      <c r="H40" s="12" t="s">
        <v>1080</v>
      </c>
      <c r="I40" s="12" t="s">
        <v>1135</v>
      </c>
      <c r="J40">
        <v>93.5</v>
      </c>
      <c r="K40">
        <v>115.7</v>
      </c>
      <c r="L40">
        <f t="shared" si="0"/>
        <v>-22.200000000000003</v>
      </c>
      <c r="M40" t="s">
        <v>921</v>
      </c>
      <c r="N40" t="e">
        <f t="shared" si="1"/>
        <v>#VALUE!</v>
      </c>
      <c r="O40" t="e">
        <f t="shared" si="2"/>
        <v>#VALUE!</v>
      </c>
      <c r="P40" t="e">
        <f t="shared" si="3"/>
        <v>#VALUE!</v>
      </c>
      <c r="Q40">
        <f t="shared" si="4"/>
        <v>0</v>
      </c>
      <c r="R40" t="e">
        <f t="shared" si="5"/>
        <v>#VALUE!</v>
      </c>
      <c r="S40" s="32">
        <v>46372</v>
      </c>
      <c r="T40" s="32">
        <v>46387</v>
      </c>
      <c r="U40" s="32">
        <v>46388</v>
      </c>
      <c r="V40" s="32">
        <v>46538</v>
      </c>
    </row>
    <row r="41" spans="2:25" hidden="1" x14ac:dyDescent="0.25">
      <c r="B41" s="38">
        <v>34</v>
      </c>
      <c r="C41" s="36" t="s">
        <v>1131</v>
      </c>
      <c r="D41" s="36" t="s">
        <v>1132</v>
      </c>
      <c r="E41" s="36" t="s">
        <v>1133</v>
      </c>
      <c r="F41" s="36" t="s">
        <v>1134</v>
      </c>
      <c r="G41" s="36" t="s">
        <v>1043</v>
      </c>
      <c r="H41" s="36" t="s">
        <v>1080</v>
      </c>
      <c r="I41" s="36" t="s">
        <v>1135</v>
      </c>
      <c r="J41" s="34"/>
      <c r="K41" s="34">
        <v>36</v>
      </c>
      <c r="L41" s="34">
        <f t="shared" si="0"/>
        <v>-36</v>
      </c>
      <c r="M41" s="34" t="s">
        <v>921</v>
      </c>
      <c r="N41" s="34" t="e">
        <f t="shared" si="1"/>
        <v>#VALUE!</v>
      </c>
      <c r="O41" s="34" t="e">
        <f t="shared" si="2"/>
        <v>#VALUE!</v>
      </c>
      <c r="P41" s="34" t="e">
        <f t="shared" si="3"/>
        <v>#VALUE!</v>
      </c>
      <c r="Q41" s="34">
        <f t="shared" si="4"/>
        <v>0</v>
      </c>
      <c r="R41" s="34" t="e">
        <f t="shared" si="5"/>
        <v>#VALUE!</v>
      </c>
      <c r="S41" s="37">
        <v>46335</v>
      </c>
      <c r="T41" s="37">
        <v>46387</v>
      </c>
      <c r="U41" s="37">
        <v>46419</v>
      </c>
      <c r="V41" s="37">
        <v>46472</v>
      </c>
      <c r="W41" s="34"/>
      <c r="X41" s="34"/>
      <c r="Y41" s="34"/>
    </row>
    <row r="42" spans="2:25" hidden="1" x14ac:dyDescent="0.25">
      <c r="B42" s="1">
        <v>35</v>
      </c>
      <c r="C42" s="12" t="s">
        <v>1160</v>
      </c>
      <c r="D42" s="12" t="s">
        <v>1161</v>
      </c>
      <c r="E42" s="12" t="s">
        <v>1121</v>
      </c>
      <c r="F42" s="12" t="s">
        <v>1162</v>
      </c>
      <c r="G42" s="12" t="s">
        <v>1043</v>
      </c>
      <c r="H42" s="12" t="s">
        <v>1044</v>
      </c>
      <c r="I42" s="12" t="s">
        <v>33</v>
      </c>
      <c r="J42">
        <v>464.68</v>
      </c>
      <c r="K42">
        <v>464.68</v>
      </c>
      <c r="L42">
        <f t="shared" si="0"/>
        <v>0</v>
      </c>
      <c r="M42" t="s">
        <v>921</v>
      </c>
      <c r="N42" t="e">
        <f t="shared" si="1"/>
        <v>#VALUE!</v>
      </c>
      <c r="O42" t="e">
        <f t="shared" si="2"/>
        <v>#VALUE!</v>
      </c>
      <c r="P42" t="e">
        <f t="shared" si="3"/>
        <v>#VALUE!</v>
      </c>
      <c r="Q42">
        <f t="shared" si="4"/>
        <v>0</v>
      </c>
      <c r="R42" t="e">
        <f t="shared" si="5"/>
        <v>#VALUE!</v>
      </c>
      <c r="S42" s="32">
        <v>46356</v>
      </c>
      <c r="T42" s="32">
        <v>46387</v>
      </c>
      <c r="U42" s="32">
        <v>46388</v>
      </c>
      <c r="V42" s="32">
        <v>46477</v>
      </c>
    </row>
    <row r="43" spans="2:25" hidden="1" x14ac:dyDescent="0.25">
      <c r="B43" s="38">
        <v>36</v>
      </c>
      <c r="C43" s="36" t="s">
        <v>1167</v>
      </c>
      <c r="D43" s="36" t="s">
        <v>1168</v>
      </c>
      <c r="E43" s="36" t="s">
        <v>1169</v>
      </c>
      <c r="F43" s="36" t="s">
        <v>1170</v>
      </c>
      <c r="G43" s="36" t="s">
        <v>1043</v>
      </c>
      <c r="H43" s="36" t="s">
        <v>33</v>
      </c>
      <c r="I43" s="36" t="s">
        <v>33</v>
      </c>
      <c r="J43" s="34">
        <v>28.6</v>
      </c>
      <c r="K43" s="34">
        <v>28.6</v>
      </c>
      <c r="L43" s="34">
        <f t="shared" si="0"/>
        <v>0</v>
      </c>
      <c r="M43" s="34" t="s">
        <v>921</v>
      </c>
      <c r="N43" s="34" t="e">
        <f t="shared" si="1"/>
        <v>#VALUE!</v>
      </c>
      <c r="O43" s="34" t="e">
        <f t="shared" si="2"/>
        <v>#VALUE!</v>
      </c>
      <c r="P43" s="34" t="e">
        <f t="shared" si="3"/>
        <v>#VALUE!</v>
      </c>
      <c r="Q43" s="34">
        <f t="shared" si="4"/>
        <v>0</v>
      </c>
      <c r="R43" s="34" t="e">
        <f t="shared" si="5"/>
        <v>#VALUE!</v>
      </c>
      <c r="S43" s="37">
        <v>46327</v>
      </c>
      <c r="T43" s="37">
        <v>46387</v>
      </c>
      <c r="U43" s="37">
        <v>46388</v>
      </c>
      <c r="V43" s="37">
        <v>46477</v>
      </c>
      <c r="W43" s="34"/>
      <c r="X43" s="34"/>
      <c r="Y43" s="34"/>
    </row>
    <row r="44" spans="2:25" hidden="1" x14ac:dyDescent="0.25">
      <c r="B44" s="1">
        <v>37</v>
      </c>
      <c r="C44" s="12" t="s">
        <v>1171</v>
      </c>
      <c r="D44" s="12" t="s">
        <v>1077</v>
      </c>
      <c r="E44" s="12" t="s">
        <v>1078</v>
      </c>
      <c r="F44" s="12" t="s">
        <v>1079</v>
      </c>
      <c r="G44" s="12" t="s">
        <v>1043</v>
      </c>
      <c r="H44" s="12" t="s">
        <v>1080</v>
      </c>
      <c r="I44" s="12" t="s">
        <v>33</v>
      </c>
      <c r="J44">
        <v>0</v>
      </c>
      <c r="K44">
        <v>0</v>
      </c>
      <c r="L44">
        <f t="shared" si="0"/>
        <v>0</v>
      </c>
      <c r="M44" t="s">
        <v>921</v>
      </c>
      <c r="N44" t="e">
        <f t="shared" si="1"/>
        <v>#VALUE!</v>
      </c>
      <c r="O44" t="e">
        <f t="shared" si="2"/>
        <v>#VALUE!</v>
      </c>
      <c r="P44" t="e">
        <f t="shared" si="3"/>
        <v>#VALUE!</v>
      </c>
      <c r="Q44">
        <f t="shared" si="4"/>
        <v>0</v>
      </c>
      <c r="R44" t="e">
        <f t="shared" si="5"/>
        <v>#VALUE!</v>
      </c>
      <c r="S44" s="32">
        <v>46525</v>
      </c>
      <c r="T44" s="32">
        <v>46525</v>
      </c>
      <c r="U44" s="32">
        <v>46525</v>
      </c>
      <c r="V44" s="32">
        <v>46529</v>
      </c>
    </row>
    <row r="45" spans="2:25" hidden="1" x14ac:dyDescent="0.25">
      <c r="B45" s="38">
        <v>38</v>
      </c>
      <c r="C45" s="36" t="s">
        <v>1176</v>
      </c>
      <c r="D45" s="36" t="s">
        <v>1177</v>
      </c>
      <c r="E45" s="36" t="s">
        <v>1178</v>
      </c>
      <c r="F45" s="36" t="s">
        <v>1179</v>
      </c>
      <c r="G45" s="36" t="s">
        <v>1043</v>
      </c>
      <c r="H45" s="36" t="s">
        <v>1080</v>
      </c>
      <c r="I45" s="36" t="s">
        <v>33</v>
      </c>
      <c r="J45" s="34">
        <v>49.5</v>
      </c>
      <c r="K45" s="34">
        <v>44.7</v>
      </c>
      <c r="L45" s="34">
        <f t="shared" si="0"/>
        <v>4.7999999999999972</v>
      </c>
      <c r="M45" s="34" t="s">
        <v>921</v>
      </c>
      <c r="N45" s="34" t="e">
        <f t="shared" si="1"/>
        <v>#VALUE!</v>
      </c>
      <c r="O45" s="34" t="e">
        <f t="shared" si="2"/>
        <v>#VALUE!</v>
      </c>
      <c r="P45" s="34" t="e">
        <f t="shared" si="3"/>
        <v>#VALUE!</v>
      </c>
      <c r="Q45" s="34">
        <f t="shared" si="4"/>
        <v>0</v>
      </c>
      <c r="R45" s="34" t="e">
        <f t="shared" si="5"/>
        <v>#VALUE!</v>
      </c>
      <c r="S45" s="37">
        <v>46371</v>
      </c>
      <c r="T45" s="37">
        <v>46387</v>
      </c>
      <c r="U45" s="37">
        <v>46447</v>
      </c>
      <c r="V45" s="37">
        <v>46507</v>
      </c>
      <c r="W45" s="34"/>
      <c r="X45" s="34"/>
      <c r="Y45" s="34"/>
    </row>
    <row r="46" spans="2:25" hidden="1" x14ac:dyDescent="0.25">
      <c r="B46" s="1">
        <v>39</v>
      </c>
      <c r="C46" s="12" t="s">
        <v>1180</v>
      </c>
      <c r="D46" s="12" t="s">
        <v>1181</v>
      </c>
      <c r="E46" s="12" t="s">
        <v>1182</v>
      </c>
      <c r="F46" s="12" t="s">
        <v>1183</v>
      </c>
      <c r="G46" s="12" t="s">
        <v>1043</v>
      </c>
      <c r="H46" s="12" t="s">
        <v>1044</v>
      </c>
      <c r="I46" s="12" t="s">
        <v>33</v>
      </c>
      <c r="J46">
        <v>6.85</v>
      </c>
      <c r="K46">
        <v>6.85</v>
      </c>
      <c r="L46">
        <f t="shared" si="0"/>
        <v>0</v>
      </c>
      <c r="M46" t="s">
        <v>921</v>
      </c>
      <c r="N46" t="e">
        <f t="shared" si="1"/>
        <v>#VALUE!</v>
      </c>
      <c r="O46" t="e">
        <f t="shared" si="2"/>
        <v>#VALUE!</v>
      </c>
      <c r="P46" t="e">
        <f t="shared" si="3"/>
        <v>#VALUE!</v>
      </c>
      <c r="Q46">
        <f t="shared" si="4"/>
        <v>0</v>
      </c>
      <c r="R46" t="e">
        <f t="shared" si="5"/>
        <v>#VALUE!</v>
      </c>
      <c r="S46" s="32">
        <v>46357</v>
      </c>
      <c r="T46" s="32">
        <v>46387</v>
      </c>
      <c r="U46" s="32">
        <v>46388</v>
      </c>
      <c r="V46" s="32">
        <v>46538</v>
      </c>
    </row>
    <row r="47" spans="2:25" x14ac:dyDescent="0.25">
      <c r="B47" s="38">
        <v>40</v>
      </c>
      <c r="C47" s="36" t="s">
        <v>1184</v>
      </c>
      <c r="D47" s="36" t="s">
        <v>1185</v>
      </c>
      <c r="E47" s="36" t="s">
        <v>1186</v>
      </c>
      <c r="F47" s="36" t="s">
        <v>1187</v>
      </c>
      <c r="G47" s="36" t="s">
        <v>1043</v>
      </c>
      <c r="H47" s="36" t="s">
        <v>916</v>
      </c>
      <c r="I47" s="36" t="s">
        <v>911</v>
      </c>
      <c r="J47" s="34">
        <v>38.74</v>
      </c>
      <c r="K47" s="34">
        <v>38.74</v>
      </c>
      <c r="L47" s="34">
        <f t="shared" si="0"/>
        <v>0</v>
      </c>
      <c r="M47" s="34" t="s">
        <v>921</v>
      </c>
      <c r="N47" s="34" t="e">
        <f t="shared" si="1"/>
        <v>#VALUE!</v>
      </c>
      <c r="O47" s="34" t="e">
        <f t="shared" si="2"/>
        <v>#VALUE!</v>
      </c>
      <c r="P47" s="34" t="e">
        <f t="shared" si="3"/>
        <v>#VALUE!</v>
      </c>
      <c r="Q47" s="34">
        <f t="shared" si="4"/>
        <v>0</v>
      </c>
      <c r="R47" s="34" t="e">
        <f t="shared" si="5"/>
        <v>#VALUE!</v>
      </c>
      <c r="S47" s="37">
        <v>46394</v>
      </c>
      <c r="T47" s="37">
        <v>46394</v>
      </c>
      <c r="U47" s="37">
        <v>46395</v>
      </c>
      <c r="V47" s="37">
        <v>46473</v>
      </c>
      <c r="W47" s="34"/>
      <c r="X47" s="34"/>
      <c r="Y47" s="34"/>
    </row>
    <row r="48" spans="2:25" hidden="1" x14ac:dyDescent="0.25">
      <c r="B48" s="1">
        <v>41</v>
      </c>
      <c r="C48" s="12" t="s">
        <v>1188</v>
      </c>
      <c r="D48" s="12" t="s">
        <v>1189</v>
      </c>
      <c r="E48" s="12" t="s">
        <v>1190</v>
      </c>
      <c r="F48" s="12" t="s">
        <v>1191</v>
      </c>
      <c r="G48" s="12" t="s">
        <v>1043</v>
      </c>
      <c r="H48" s="12" t="s">
        <v>1044</v>
      </c>
      <c r="I48" s="12" t="s">
        <v>33</v>
      </c>
      <c r="J48">
        <v>48.4</v>
      </c>
      <c r="K48">
        <v>62.49</v>
      </c>
      <c r="L48">
        <f t="shared" si="0"/>
        <v>-14.090000000000003</v>
      </c>
      <c r="M48" t="s">
        <v>921</v>
      </c>
      <c r="N48" t="e">
        <f t="shared" si="1"/>
        <v>#VALUE!</v>
      </c>
      <c r="O48" t="e">
        <f t="shared" si="2"/>
        <v>#VALUE!</v>
      </c>
      <c r="P48" t="e">
        <f t="shared" si="3"/>
        <v>#VALUE!</v>
      </c>
      <c r="Q48">
        <f t="shared" si="4"/>
        <v>0</v>
      </c>
      <c r="R48" t="e">
        <f t="shared" si="5"/>
        <v>#VALUE!</v>
      </c>
      <c r="S48" s="32">
        <v>46371</v>
      </c>
      <c r="T48" s="32">
        <v>46387</v>
      </c>
      <c r="U48" s="32">
        <v>46388</v>
      </c>
      <c r="V48" s="32">
        <v>46476</v>
      </c>
    </row>
    <row r="49" spans="2:25" hidden="1" x14ac:dyDescent="0.25">
      <c r="B49" s="38">
        <v>42</v>
      </c>
      <c r="C49" s="36" t="s">
        <v>1192</v>
      </c>
      <c r="D49" s="36" t="s">
        <v>1193</v>
      </c>
      <c r="E49" s="36" t="s">
        <v>1194</v>
      </c>
      <c r="F49" s="36" t="s">
        <v>1195</v>
      </c>
      <c r="G49" s="36" t="s">
        <v>1043</v>
      </c>
      <c r="H49" s="36" t="s">
        <v>1044</v>
      </c>
      <c r="I49" s="36" t="s">
        <v>33</v>
      </c>
      <c r="J49" s="34">
        <v>246.59</v>
      </c>
      <c r="K49" s="34">
        <v>246.59</v>
      </c>
      <c r="L49" s="34">
        <f t="shared" si="0"/>
        <v>0</v>
      </c>
      <c r="M49" s="34" t="s">
        <v>921</v>
      </c>
      <c r="N49" s="34" t="e">
        <f t="shared" si="1"/>
        <v>#VALUE!</v>
      </c>
      <c r="O49" s="34" t="e">
        <f t="shared" si="2"/>
        <v>#VALUE!</v>
      </c>
      <c r="P49" s="34" t="e">
        <f t="shared" si="3"/>
        <v>#VALUE!</v>
      </c>
      <c r="Q49" s="34">
        <f t="shared" si="4"/>
        <v>0</v>
      </c>
      <c r="R49" s="34" t="e">
        <f t="shared" si="5"/>
        <v>#VALUE!</v>
      </c>
      <c r="S49" s="37">
        <v>46371</v>
      </c>
      <c r="T49" s="37">
        <v>46387</v>
      </c>
      <c r="U49" s="37">
        <v>46388</v>
      </c>
      <c r="V49" s="37">
        <v>46498</v>
      </c>
      <c r="W49" s="34"/>
      <c r="X49" s="34"/>
      <c r="Y49" s="34"/>
    </row>
    <row r="50" spans="2:25" hidden="1" x14ac:dyDescent="0.25">
      <c r="B50" s="1">
        <v>43</v>
      </c>
      <c r="C50" s="12" t="s">
        <v>1196</v>
      </c>
      <c r="D50" s="12" t="s">
        <v>1197</v>
      </c>
      <c r="E50" s="12" t="s">
        <v>1198</v>
      </c>
      <c r="F50" s="12" t="s">
        <v>1199</v>
      </c>
      <c r="G50" s="12" t="s">
        <v>1043</v>
      </c>
      <c r="H50" s="12" t="s">
        <v>1044</v>
      </c>
      <c r="I50" s="12" t="s">
        <v>33</v>
      </c>
      <c r="J50">
        <v>20.9</v>
      </c>
      <c r="K50">
        <v>106.96</v>
      </c>
      <c r="L50">
        <f t="shared" si="0"/>
        <v>-86.06</v>
      </c>
      <c r="M50" t="s">
        <v>921</v>
      </c>
      <c r="N50" t="e">
        <f t="shared" si="1"/>
        <v>#VALUE!</v>
      </c>
      <c r="O50" t="e">
        <f t="shared" si="2"/>
        <v>#VALUE!</v>
      </c>
      <c r="P50" t="e">
        <f t="shared" si="3"/>
        <v>#VALUE!</v>
      </c>
      <c r="Q50">
        <f t="shared" si="4"/>
        <v>0</v>
      </c>
      <c r="R50" t="e">
        <f t="shared" si="5"/>
        <v>#VALUE!</v>
      </c>
      <c r="S50" s="32">
        <v>46371</v>
      </c>
      <c r="T50" s="32">
        <v>46387</v>
      </c>
      <c r="U50" s="32">
        <v>46388</v>
      </c>
      <c r="V50" s="32">
        <v>46505</v>
      </c>
    </row>
    <row r="51" spans="2:25" hidden="1" x14ac:dyDescent="0.25">
      <c r="B51" s="38">
        <v>44</v>
      </c>
      <c r="C51" s="36" t="s">
        <v>1200</v>
      </c>
      <c r="D51" s="36" t="s">
        <v>1201</v>
      </c>
      <c r="E51" s="36" t="s">
        <v>1202</v>
      </c>
      <c r="F51" s="36" t="s">
        <v>1203</v>
      </c>
      <c r="G51" s="36" t="s">
        <v>1043</v>
      </c>
      <c r="H51" s="36" t="s">
        <v>1089</v>
      </c>
      <c r="I51" s="36" t="s">
        <v>33</v>
      </c>
      <c r="J51" s="34">
        <v>407.18</v>
      </c>
      <c r="K51" s="34">
        <v>923.98</v>
      </c>
      <c r="L51" s="34">
        <f t="shared" si="0"/>
        <v>-516.79999999999995</v>
      </c>
      <c r="M51" s="34" t="s">
        <v>921</v>
      </c>
      <c r="N51" s="34" t="e">
        <f t="shared" si="1"/>
        <v>#VALUE!</v>
      </c>
      <c r="O51" s="34" t="e">
        <f t="shared" si="2"/>
        <v>#VALUE!</v>
      </c>
      <c r="P51" s="34" t="e">
        <f t="shared" si="3"/>
        <v>#VALUE!</v>
      </c>
      <c r="Q51" s="34">
        <f t="shared" si="4"/>
        <v>0</v>
      </c>
      <c r="R51" s="34" t="e">
        <f t="shared" si="5"/>
        <v>#VALUE!</v>
      </c>
      <c r="S51" s="37">
        <v>46357</v>
      </c>
      <c r="T51" s="37">
        <v>46387</v>
      </c>
      <c r="U51" s="37">
        <v>46388</v>
      </c>
      <c r="V51" s="37">
        <v>46507</v>
      </c>
      <c r="W51" s="34"/>
      <c r="X51" s="34"/>
      <c r="Y51" s="34"/>
    </row>
    <row r="52" spans="2:25" hidden="1" x14ac:dyDescent="0.25">
      <c r="B52" s="1">
        <v>45</v>
      </c>
      <c r="C52" s="12" t="s">
        <v>1204</v>
      </c>
      <c r="D52" s="12" t="s">
        <v>1205</v>
      </c>
      <c r="E52" s="12" t="s">
        <v>1206</v>
      </c>
      <c r="F52" s="12" t="s">
        <v>1207</v>
      </c>
      <c r="G52" s="12" t="s">
        <v>1043</v>
      </c>
      <c r="H52" s="12" t="s">
        <v>1044</v>
      </c>
      <c r="I52" s="12" t="s">
        <v>33</v>
      </c>
      <c r="J52">
        <v>15.4</v>
      </c>
      <c r="K52">
        <v>23.16</v>
      </c>
      <c r="L52">
        <f t="shared" si="0"/>
        <v>-7.76</v>
      </c>
      <c r="M52" t="s">
        <v>921</v>
      </c>
      <c r="N52" t="e">
        <f t="shared" si="1"/>
        <v>#VALUE!</v>
      </c>
      <c r="O52" t="e">
        <f t="shared" si="2"/>
        <v>#VALUE!</v>
      </c>
      <c r="P52" t="e">
        <f t="shared" si="3"/>
        <v>#VALUE!</v>
      </c>
      <c r="Q52">
        <f t="shared" si="4"/>
        <v>0</v>
      </c>
      <c r="R52" t="e">
        <f t="shared" si="5"/>
        <v>#VALUE!</v>
      </c>
      <c r="S52" s="32">
        <v>46371</v>
      </c>
      <c r="T52" s="32">
        <v>46387</v>
      </c>
      <c r="U52" s="32">
        <v>46388</v>
      </c>
      <c r="V52" s="32">
        <v>46498</v>
      </c>
    </row>
    <row r="53" spans="2:25" hidden="1" x14ac:dyDescent="0.25">
      <c r="B53" s="38">
        <v>46</v>
      </c>
      <c r="C53" s="36" t="s">
        <v>963</v>
      </c>
      <c r="D53" s="36" t="s">
        <v>964</v>
      </c>
      <c r="E53" s="36" t="s">
        <v>945</v>
      </c>
      <c r="F53" s="36" t="s">
        <v>965</v>
      </c>
      <c r="G53" s="36" t="s">
        <v>1043</v>
      </c>
      <c r="H53" s="36" t="s">
        <v>1080</v>
      </c>
      <c r="I53" s="36" t="s">
        <v>911</v>
      </c>
      <c r="J53" s="34">
        <v>41.8</v>
      </c>
      <c r="K53" s="34">
        <v>47.93</v>
      </c>
      <c r="L53" s="34">
        <f t="shared" si="0"/>
        <v>-6.1300000000000026</v>
      </c>
      <c r="M53" s="34" t="s">
        <v>921</v>
      </c>
      <c r="N53" s="34" t="e">
        <f t="shared" si="1"/>
        <v>#VALUE!</v>
      </c>
      <c r="O53" s="34" t="e">
        <f t="shared" si="2"/>
        <v>#VALUE!</v>
      </c>
      <c r="P53" s="34" t="e">
        <f t="shared" si="3"/>
        <v>#VALUE!</v>
      </c>
      <c r="Q53" s="34">
        <f t="shared" si="4"/>
        <v>0</v>
      </c>
      <c r="R53" s="34" t="e">
        <f t="shared" si="5"/>
        <v>#VALUE!</v>
      </c>
      <c r="S53" s="37">
        <v>46371</v>
      </c>
      <c r="T53" s="37">
        <v>46387</v>
      </c>
      <c r="U53" s="37">
        <v>46388</v>
      </c>
      <c r="V53" s="37">
        <v>46560</v>
      </c>
      <c r="W53" s="34"/>
      <c r="X53" s="34"/>
      <c r="Y53" s="34"/>
    </row>
    <row r="54" spans="2:25" hidden="1" x14ac:dyDescent="0.25">
      <c r="B54" s="1">
        <v>47</v>
      </c>
      <c r="C54" s="12" t="s">
        <v>1208</v>
      </c>
      <c r="D54" s="12" t="s">
        <v>1209</v>
      </c>
      <c r="E54" s="12" t="s">
        <v>1210</v>
      </c>
      <c r="F54" s="12" t="s">
        <v>1211</v>
      </c>
      <c r="G54" s="12" t="s">
        <v>1043</v>
      </c>
      <c r="H54" s="12" t="s">
        <v>1080</v>
      </c>
      <c r="I54" s="12" t="s">
        <v>33</v>
      </c>
      <c r="J54">
        <v>12.1</v>
      </c>
      <c r="K54">
        <v>17.66</v>
      </c>
      <c r="L54">
        <f t="shared" si="0"/>
        <v>-5.5600000000000005</v>
      </c>
      <c r="M54" t="s">
        <v>921</v>
      </c>
      <c r="N54" t="e">
        <f t="shared" si="1"/>
        <v>#VALUE!</v>
      </c>
      <c r="O54" t="e">
        <f t="shared" si="2"/>
        <v>#VALUE!</v>
      </c>
      <c r="P54" t="e">
        <f t="shared" si="3"/>
        <v>#VALUE!</v>
      </c>
      <c r="Q54">
        <f t="shared" si="4"/>
        <v>0</v>
      </c>
      <c r="R54" t="e">
        <f t="shared" si="5"/>
        <v>#VALUE!</v>
      </c>
      <c r="S54" s="32">
        <v>46371</v>
      </c>
      <c r="T54" s="32">
        <v>46387</v>
      </c>
      <c r="U54" s="32">
        <v>46388</v>
      </c>
      <c r="V54" s="32">
        <v>46471</v>
      </c>
    </row>
    <row r="55" spans="2:25" x14ac:dyDescent="0.25">
      <c r="B55" s="38">
        <v>48</v>
      </c>
      <c r="C55" s="36" t="s">
        <v>960</v>
      </c>
      <c r="D55" s="36" t="s">
        <v>961</v>
      </c>
      <c r="E55" s="36" t="s">
        <v>937</v>
      </c>
      <c r="F55" s="36" t="s">
        <v>962</v>
      </c>
      <c r="G55" s="36" t="s">
        <v>1043</v>
      </c>
      <c r="H55" s="36" t="s">
        <v>916</v>
      </c>
      <c r="I55" s="36" t="s">
        <v>911</v>
      </c>
      <c r="J55" s="34">
        <v>22</v>
      </c>
      <c r="K55" s="34">
        <v>26.64</v>
      </c>
      <c r="L55" s="34">
        <f t="shared" si="0"/>
        <v>-4.6400000000000006</v>
      </c>
      <c r="M55" s="34" t="s">
        <v>921</v>
      </c>
      <c r="N55" s="34" t="e">
        <f t="shared" si="1"/>
        <v>#VALUE!</v>
      </c>
      <c r="O55" s="34" t="e">
        <f t="shared" si="2"/>
        <v>#VALUE!</v>
      </c>
      <c r="P55" s="34" t="e">
        <f t="shared" si="3"/>
        <v>#VALUE!</v>
      </c>
      <c r="Q55" s="34">
        <f t="shared" si="4"/>
        <v>0</v>
      </c>
      <c r="R55" s="34" t="e">
        <f t="shared" si="5"/>
        <v>#VALUE!</v>
      </c>
      <c r="S55" s="37">
        <v>46378</v>
      </c>
      <c r="T55" s="37">
        <v>46387</v>
      </c>
      <c r="U55" s="37">
        <v>46420</v>
      </c>
      <c r="V55" s="37">
        <v>46431</v>
      </c>
      <c r="W55" s="34"/>
      <c r="X55" s="34"/>
      <c r="Y55" s="34"/>
    </row>
    <row r="56" spans="2:25" hidden="1" x14ac:dyDescent="0.25">
      <c r="B56" s="1">
        <v>49</v>
      </c>
      <c r="C56" s="12" t="s">
        <v>1212</v>
      </c>
      <c r="D56" s="12" t="s">
        <v>1213</v>
      </c>
      <c r="E56" s="12" t="s">
        <v>1214</v>
      </c>
      <c r="F56" s="12" t="s">
        <v>1215</v>
      </c>
      <c r="G56" s="12" t="s">
        <v>1043</v>
      </c>
      <c r="H56" s="12" t="s">
        <v>1044</v>
      </c>
      <c r="I56" s="12" t="s">
        <v>33</v>
      </c>
      <c r="J56">
        <v>121</v>
      </c>
      <c r="K56">
        <v>123.68</v>
      </c>
      <c r="L56">
        <f t="shared" si="0"/>
        <v>-2.6800000000000068</v>
      </c>
      <c r="M56" t="s">
        <v>921</v>
      </c>
      <c r="N56" t="e">
        <f t="shared" si="1"/>
        <v>#VALUE!</v>
      </c>
      <c r="O56" t="e">
        <f t="shared" si="2"/>
        <v>#VALUE!</v>
      </c>
      <c r="P56" t="e">
        <f t="shared" si="3"/>
        <v>#VALUE!</v>
      </c>
      <c r="Q56">
        <f t="shared" si="4"/>
        <v>0</v>
      </c>
      <c r="R56" t="e">
        <f t="shared" si="5"/>
        <v>#VALUE!</v>
      </c>
      <c r="S56" s="32">
        <v>46386</v>
      </c>
      <c r="T56" s="32">
        <v>46387</v>
      </c>
      <c r="U56" s="32">
        <v>46478</v>
      </c>
      <c r="V56" s="32">
        <v>46529</v>
      </c>
    </row>
    <row r="57" spans="2:25" hidden="1" x14ac:dyDescent="0.25">
      <c r="B57" s="38">
        <v>50</v>
      </c>
      <c r="C57" s="36" t="s">
        <v>957</v>
      </c>
      <c r="D57" s="36" t="s">
        <v>958</v>
      </c>
      <c r="E57" s="36" t="s">
        <v>936</v>
      </c>
      <c r="F57" s="36" t="s">
        <v>959</v>
      </c>
      <c r="G57" s="36" t="s">
        <v>1043</v>
      </c>
      <c r="H57" s="36" t="s">
        <v>1080</v>
      </c>
      <c r="I57" s="36" t="s">
        <v>33</v>
      </c>
      <c r="J57" s="34">
        <v>242</v>
      </c>
      <c r="K57" s="34">
        <v>248.73</v>
      </c>
      <c r="L57" s="34">
        <f t="shared" si="0"/>
        <v>-6.7299999999999898</v>
      </c>
      <c r="M57" s="34" t="s">
        <v>921</v>
      </c>
      <c r="N57" s="34" t="e">
        <f t="shared" si="1"/>
        <v>#VALUE!</v>
      </c>
      <c r="O57" s="34" t="e">
        <f t="shared" si="2"/>
        <v>#VALUE!</v>
      </c>
      <c r="P57" s="34" t="e">
        <f t="shared" si="3"/>
        <v>#VALUE!</v>
      </c>
      <c r="Q57" s="34">
        <f t="shared" si="4"/>
        <v>0</v>
      </c>
      <c r="R57" s="34" t="e">
        <f t="shared" si="5"/>
        <v>#VALUE!</v>
      </c>
      <c r="S57" s="37">
        <v>46371</v>
      </c>
      <c r="T57" s="37">
        <v>46387</v>
      </c>
      <c r="U57" s="37">
        <v>46388</v>
      </c>
      <c r="V57" s="37">
        <v>46460</v>
      </c>
      <c r="W57" s="34"/>
      <c r="X57" s="34"/>
      <c r="Y57" s="34"/>
    </row>
    <row r="58" spans="2:25" hidden="1" x14ac:dyDescent="0.25">
      <c r="B58" s="1">
        <v>51</v>
      </c>
      <c r="C58" s="12" t="s">
        <v>1216</v>
      </c>
      <c r="D58" s="12" t="s">
        <v>1217</v>
      </c>
      <c r="E58" s="12" t="s">
        <v>1218</v>
      </c>
      <c r="F58" s="12" t="s">
        <v>1219</v>
      </c>
      <c r="G58" s="12" t="s">
        <v>1043</v>
      </c>
      <c r="H58" s="12" t="s">
        <v>1044</v>
      </c>
      <c r="I58" s="12" t="s">
        <v>33</v>
      </c>
      <c r="J58">
        <v>487.17</v>
      </c>
      <c r="K58">
        <v>487.17</v>
      </c>
      <c r="L58">
        <f t="shared" si="0"/>
        <v>0</v>
      </c>
      <c r="M58" t="s">
        <v>921</v>
      </c>
      <c r="N58" t="e">
        <f t="shared" si="1"/>
        <v>#VALUE!</v>
      </c>
      <c r="O58" t="e">
        <f t="shared" si="2"/>
        <v>#VALUE!</v>
      </c>
      <c r="P58" t="e">
        <f t="shared" si="3"/>
        <v>#VALUE!</v>
      </c>
      <c r="Q58">
        <f t="shared" si="4"/>
        <v>0</v>
      </c>
      <c r="R58" t="e">
        <f t="shared" si="5"/>
        <v>#VALUE!</v>
      </c>
      <c r="S58" s="32">
        <v>46357</v>
      </c>
      <c r="T58" s="32">
        <v>46387</v>
      </c>
      <c r="U58" s="32">
        <v>46389</v>
      </c>
      <c r="V58" s="32">
        <v>46536</v>
      </c>
    </row>
    <row r="59" spans="2:25" hidden="1" x14ac:dyDescent="0.25">
      <c r="B59" s="38">
        <v>52</v>
      </c>
      <c r="C59" s="36" t="s">
        <v>1220</v>
      </c>
      <c r="D59" s="36" t="s">
        <v>1221</v>
      </c>
      <c r="E59" s="36" t="s">
        <v>1097</v>
      </c>
      <c r="F59" s="36" t="s">
        <v>1222</v>
      </c>
      <c r="G59" s="36" t="s">
        <v>1043</v>
      </c>
      <c r="H59" s="36" t="s">
        <v>912</v>
      </c>
      <c r="I59" s="36" t="s">
        <v>33</v>
      </c>
      <c r="J59" s="34">
        <v>113.3</v>
      </c>
      <c r="K59" s="34">
        <v>113.3</v>
      </c>
      <c r="L59" s="34">
        <f t="shared" si="0"/>
        <v>0</v>
      </c>
      <c r="M59" s="34" t="s">
        <v>921</v>
      </c>
      <c r="N59" s="34" t="e">
        <f t="shared" si="1"/>
        <v>#VALUE!</v>
      </c>
      <c r="O59" s="34" t="e">
        <f t="shared" si="2"/>
        <v>#VALUE!</v>
      </c>
      <c r="P59" s="34" t="e">
        <f t="shared" si="3"/>
        <v>#VALUE!</v>
      </c>
      <c r="Q59" s="34">
        <f t="shared" si="4"/>
        <v>0</v>
      </c>
      <c r="R59" s="34" t="e">
        <f t="shared" si="5"/>
        <v>#VALUE!</v>
      </c>
      <c r="S59" s="34"/>
      <c r="T59" s="34"/>
      <c r="U59" s="37">
        <v>46213</v>
      </c>
      <c r="V59" s="37">
        <v>46241</v>
      </c>
      <c r="W59" s="34"/>
      <c r="X59" s="34"/>
      <c r="Y59" s="34"/>
    </row>
    <row r="60" spans="2:25" hidden="1" x14ac:dyDescent="0.25">
      <c r="B60" s="1">
        <v>53</v>
      </c>
      <c r="C60" s="12" t="s">
        <v>1223</v>
      </c>
      <c r="D60" s="12" t="s">
        <v>1224</v>
      </c>
      <c r="E60" s="12" t="s">
        <v>1225</v>
      </c>
      <c r="F60" s="12" t="s">
        <v>1226</v>
      </c>
      <c r="G60" s="12" t="s">
        <v>1043</v>
      </c>
      <c r="H60" s="12" t="s">
        <v>1044</v>
      </c>
      <c r="I60" s="12" t="s">
        <v>33</v>
      </c>
      <c r="K60">
        <v>34.25</v>
      </c>
      <c r="L60">
        <f t="shared" si="0"/>
        <v>-34.25</v>
      </c>
      <c r="M60" t="s">
        <v>921</v>
      </c>
      <c r="N60" t="e">
        <f t="shared" si="1"/>
        <v>#VALUE!</v>
      </c>
      <c r="O60" t="e">
        <f t="shared" si="2"/>
        <v>#VALUE!</v>
      </c>
      <c r="P60" t="e">
        <f t="shared" si="3"/>
        <v>#VALUE!</v>
      </c>
      <c r="Q60">
        <f t="shared" si="4"/>
        <v>0</v>
      </c>
      <c r="R60" t="e">
        <f t="shared" si="5"/>
        <v>#VALUE!</v>
      </c>
      <c r="S60" s="32">
        <v>46434</v>
      </c>
      <c r="T60" s="32">
        <v>46438</v>
      </c>
      <c r="U60" s="32">
        <v>46441</v>
      </c>
      <c r="V60" s="32">
        <v>46477</v>
      </c>
    </row>
    <row r="61" spans="2:25" hidden="1" x14ac:dyDescent="0.25">
      <c r="B61" s="38">
        <v>54</v>
      </c>
      <c r="C61" s="36" t="s">
        <v>1227</v>
      </c>
      <c r="D61" s="36" t="s">
        <v>1228</v>
      </c>
      <c r="E61" s="36" t="s">
        <v>1229</v>
      </c>
      <c r="F61" s="36" t="s">
        <v>1230</v>
      </c>
      <c r="G61" s="36" t="s">
        <v>1043</v>
      </c>
      <c r="H61" s="36" t="s">
        <v>33</v>
      </c>
      <c r="I61" s="36" t="s">
        <v>33</v>
      </c>
      <c r="J61" s="34"/>
      <c r="K61" s="34">
        <v>18</v>
      </c>
      <c r="L61" s="34">
        <f t="shared" si="0"/>
        <v>-18</v>
      </c>
      <c r="M61" s="34" t="s">
        <v>921</v>
      </c>
      <c r="N61" s="34" t="e">
        <f t="shared" si="1"/>
        <v>#VALUE!</v>
      </c>
      <c r="O61" s="34" t="e">
        <f t="shared" si="2"/>
        <v>#VALUE!</v>
      </c>
      <c r="P61" s="34" t="e">
        <f t="shared" si="3"/>
        <v>#VALUE!</v>
      </c>
      <c r="Q61" s="34">
        <f t="shared" si="4"/>
        <v>0</v>
      </c>
      <c r="R61" s="34" t="e">
        <f t="shared" si="5"/>
        <v>#VALUE!</v>
      </c>
      <c r="S61" s="34"/>
      <c r="T61" s="34"/>
      <c r="U61" s="37">
        <v>46266</v>
      </c>
      <c r="V61" s="37">
        <v>46295</v>
      </c>
      <c r="W61" s="34"/>
      <c r="X61" s="34"/>
      <c r="Y61" s="34"/>
    </row>
    <row r="62" spans="2:25" x14ac:dyDescent="0.25">
      <c r="B62" s="1">
        <v>55</v>
      </c>
      <c r="C62" s="12" t="s">
        <v>966</v>
      </c>
      <c r="D62" s="12" t="s">
        <v>967</v>
      </c>
      <c r="E62" s="12" t="s">
        <v>968</v>
      </c>
      <c r="F62" s="12" t="s">
        <v>969</v>
      </c>
      <c r="G62" s="12" t="s">
        <v>1043</v>
      </c>
      <c r="H62" s="12" t="s">
        <v>916</v>
      </c>
      <c r="I62" s="12" t="s">
        <v>911</v>
      </c>
      <c r="J62">
        <v>491.73</v>
      </c>
      <c r="K62">
        <v>491.73</v>
      </c>
      <c r="L62">
        <f t="shared" si="0"/>
        <v>0</v>
      </c>
      <c r="M62" t="s">
        <v>921</v>
      </c>
      <c r="N62" t="e">
        <f t="shared" si="1"/>
        <v>#VALUE!</v>
      </c>
      <c r="O62" t="e">
        <f t="shared" si="2"/>
        <v>#VALUE!</v>
      </c>
      <c r="P62" t="e">
        <f t="shared" si="3"/>
        <v>#VALUE!</v>
      </c>
      <c r="Q62">
        <f t="shared" si="4"/>
        <v>0</v>
      </c>
      <c r="R62" t="e">
        <f t="shared" si="5"/>
        <v>#VALUE!</v>
      </c>
      <c r="S62" s="32">
        <v>46343</v>
      </c>
      <c r="T62" s="32">
        <v>46387</v>
      </c>
      <c r="U62" s="32">
        <v>46418</v>
      </c>
      <c r="V62" s="32">
        <v>46538</v>
      </c>
    </row>
    <row r="63" spans="2:25" hidden="1" x14ac:dyDescent="0.25">
      <c r="B63" s="38">
        <v>56</v>
      </c>
      <c r="C63" s="36" t="s">
        <v>1231</v>
      </c>
      <c r="D63" s="36" t="s">
        <v>1232</v>
      </c>
      <c r="E63" s="36" t="s">
        <v>1233</v>
      </c>
      <c r="F63" s="36" t="s">
        <v>1234</v>
      </c>
      <c r="G63" s="36" t="s">
        <v>1043</v>
      </c>
      <c r="H63" s="36" t="s">
        <v>1080</v>
      </c>
      <c r="I63" s="36" t="s">
        <v>33</v>
      </c>
      <c r="J63" s="34">
        <v>49.5</v>
      </c>
      <c r="K63" s="34">
        <v>39.700000000000003</v>
      </c>
      <c r="L63" s="34">
        <f t="shared" si="0"/>
        <v>9.7999999999999972</v>
      </c>
      <c r="M63" s="34" t="s">
        <v>921</v>
      </c>
      <c r="N63" s="34" t="e">
        <f t="shared" si="1"/>
        <v>#VALUE!</v>
      </c>
      <c r="O63" s="34" t="e">
        <f t="shared" si="2"/>
        <v>#VALUE!</v>
      </c>
      <c r="P63" s="34" t="e">
        <f t="shared" si="3"/>
        <v>#VALUE!</v>
      </c>
      <c r="Q63" s="34">
        <f t="shared" si="4"/>
        <v>0</v>
      </c>
      <c r="R63" s="34" t="e">
        <f t="shared" si="5"/>
        <v>#VALUE!</v>
      </c>
      <c r="S63" s="37">
        <v>46350</v>
      </c>
      <c r="T63" s="37">
        <v>46356</v>
      </c>
      <c r="U63" s="37">
        <v>46399</v>
      </c>
      <c r="V63" s="37">
        <v>46413</v>
      </c>
      <c r="W63" s="34"/>
      <c r="X63" s="34"/>
      <c r="Y63" s="34"/>
    </row>
    <row r="64" spans="2:25" hidden="1" x14ac:dyDescent="0.25">
      <c r="B64" s="1">
        <v>57</v>
      </c>
      <c r="C64" s="12" t="s">
        <v>1235</v>
      </c>
      <c r="D64" s="12" t="s">
        <v>1236</v>
      </c>
      <c r="E64" s="12" t="s">
        <v>1237</v>
      </c>
      <c r="F64" s="12" t="s">
        <v>1238</v>
      </c>
      <c r="G64" s="12" t="s">
        <v>1043</v>
      </c>
      <c r="H64" s="12" t="s">
        <v>1090</v>
      </c>
      <c r="I64" s="12" t="s">
        <v>33</v>
      </c>
      <c r="J64">
        <v>40.04</v>
      </c>
      <c r="K64">
        <v>40.04</v>
      </c>
      <c r="L64">
        <f t="shared" si="0"/>
        <v>0</v>
      </c>
      <c r="M64" t="s">
        <v>921</v>
      </c>
      <c r="N64" t="e">
        <f t="shared" si="1"/>
        <v>#VALUE!</v>
      </c>
      <c r="O64" t="e">
        <f t="shared" si="2"/>
        <v>#VALUE!</v>
      </c>
      <c r="P64" t="e">
        <f t="shared" si="3"/>
        <v>#VALUE!</v>
      </c>
      <c r="Q64">
        <f t="shared" si="4"/>
        <v>0</v>
      </c>
      <c r="R64" t="e">
        <f t="shared" si="5"/>
        <v>#VALUE!</v>
      </c>
      <c r="S64" s="32">
        <v>46357</v>
      </c>
      <c r="T64" s="32">
        <v>46387</v>
      </c>
      <c r="U64" s="32">
        <v>46388</v>
      </c>
      <c r="V64" s="32">
        <v>46477</v>
      </c>
    </row>
    <row r="65" spans="2:25" hidden="1" x14ac:dyDescent="0.25">
      <c r="B65" s="38">
        <v>58</v>
      </c>
      <c r="C65" s="36" t="s">
        <v>1239</v>
      </c>
      <c r="D65" s="36" t="s">
        <v>1240</v>
      </c>
      <c r="E65" s="36" t="s">
        <v>1003</v>
      </c>
      <c r="F65" s="36" t="s">
        <v>1241</v>
      </c>
      <c r="G65" s="36" t="s">
        <v>1043</v>
      </c>
      <c r="H65" s="36" t="s">
        <v>33</v>
      </c>
      <c r="I65" s="36" t="s">
        <v>33</v>
      </c>
      <c r="J65" s="34"/>
      <c r="K65" s="34">
        <v>3.3</v>
      </c>
      <c r="L65" s="34">
        <f t="shared" si="0"/>
        <v>-3.3</v>
      </c>
      <c r="M65" s="34" t="s">
        <v>921</v>
      </c>
      <c r="N65" s="34" t="e">
        <f t="shared" si="1"/>
        <v>#VALUE!</v>
      </c>
      <c r="O65" s="34" t="e">
        <f t="shared" si="2"/>
        <v>#VALUE!</v>
      </c>
      <c r="P65" s="34" t="e">
        <f t="shared" si="3"/>
        <v>#VALUE!</v>
      </c>
      <c r="Q65" s="34">
        <f t="shared" si="4"/>
        <v>0</v>
      </c>
      <c r="R65" s="34" t="e">
        <f t="shared" si="5"/>
        <v>#VALUE!</v>
      </c>
      <c r="S65" s="37">
        <v>46335</v>
      </c>
      <c r="T65" s="37">
        <v>46353</v>
      </c>
      <c r="U65" s="37">
        <v>46398</v>
      </c>
      <c r="V65" s="37">
        <v>46477</v>
      </c>
      <c r="W65" s="34"/>
      <c r="X65" s="34"/>
      <c r="Y65" s="34"/>
    </row>
    <row r="66" spans="2:25" hidden="1" x14ac:dyDescent="0.25">
      <c r="B66" s="1">
        <v>59</v>
      </c>
      <c r="C66" s="12" t="s">
        <v>1256</v>
      </c>
      <c r="D66" s="12" t="s">
        <v>1257</v>
      </c>
      <c r="E66" s="12" t="s">
        <v>938</v>
      </c>
      <c r="F66" s="12" t="s">
        <v>1258</v>
      </c>
      <c r="G66" s="12" t="s">
        <v>1043</v>
      </c>
      <c r="H66" s="12" t="s">
        <v>912</v>
      </c>
      <c r="I66" s="12" t="s">
        <v>33</v>
      </c>
      <c r="J66">
        <v>26.4</v>
      </c>
      <c r="K66">
        <v>26.4</v>
      </c>
      <c r="L66">
        <f t="shared" si="0"/>
        <v>0</v>
      </c>
      <c r="M66" t="s">
        <v>921</v>
      </c>
      <c r="N66" t="e">
        <f t="shared" si="1"/>
        <v>#VALUE!</v>
      </c>
      <c r="O66" t="e">
        <f t="shared" si="2"/>
        <v>#VALUE!</v>
      </c>
      <c r="P66" t="e">
        <f t="shared" si="3"/>
        <v>#VALUE!</v>
      </c>
      <c r="Q66">
        <f t="shared" si="4"/>
        <v>0</v>
      </c>
      <c r="R66" t="e">
        <f t="shared" si="5"/>
        <v>#VALUE!</v>
      </c>
      <c r="S66" s="32">
        <v>46364</v>
      </c>
      <c r="T66" s="32">
        <v>46387</v>
      </c>
      <c r="U66" s="32">
        <v>46388</v>
      </c>
      <c r="V66" s="32">
        <v>46477</v>
      </c>
    </row>
    <row r="67" spans="2:25" hidden="1" x14ac:dyDescent="0.25">
      <c r="B67" s="38">
        <v>60</v>
      </c>
      <c r="C67" s="36" t="s">
        <v>1263</v>
      </c>
      <c r="D67" s="36" t="s">
        <v>1264</v>
      </c>
      <c r="E67" s="36" t="s">
        <v>1265</v>
      </c>
      <c r="F67" s="36" t="s">
        <v>1266</v>
      </c>
      <c r="G67" s="36" t="s">
        <v>1043</v>
      </c>
      <c r="H67" s="36" t="s">
        <v>1089</v>
      </c>
      <c r="I67" s="36" t="s">
        <v>33</v>
      </c>
      <c r="J67" s="34">
        <v>897.53</v>
      </c>
      <c r="K67" s="34">
        <v>897.53</v>
      </c>
      <c r="L67" s="34">
        <f t="shared" si="0"/>
        <v>0</v>
      </c>
      <c r="M67" s="34" t="s">
        <v>921</v>
      </c>
      <c r="N67" s="34" t="e">
        <f t="shared" si="1"/>
        <v>#VALUE!</v>
      </c>
      <c r="O67" s="34" t="e">
        <f t="shared" si="2"/>
        <v>#VALUE!</v>
      </c>
      <c r="P67" s="34" t="e">
        <f t="shared" si="3"/>
        <v>#VALUE!</v>
      </c>
      <c r="Q67" s="34">
        <f t="shared" si="4"/>
        <v>0</v>
      </c>
      <c r="R67" s="34" t="e">
        <f t="shared" si="5"/>
        <v>#VALUE!</v>
      </c>
      <c r="S67" s="37">
        <v>46357</v>
      </c>
      <c r="T67" s="37">
        <v>46387</v>
      </c>
      <c r="U67" s="37">
        <v>46388</v>
      </c>
      <c r="V67" s="37">
        <v>46507</v>
      </c>
      <c r="W67" s="34"/>
      <c r="X67" s="34"/>
      <c r="Y67" s="34"/>
    </row>
    <row r="68" spans="2:25" hidden="1" x14ac:dyDescent="0.25">
      <c r="B68" s="1">
        <v>61</v>
      </c>
      <c r="C68" s="12" t="s">
        <v>1246</v>
      </c>
      <c r="D68" s="12" t="s">
        <v>1247</v>
      </c>
      <c r="E68" s="12" t="s">
        <v>1059</v>
      </c>
      <c r="F68" s="12" t="s">
        <v>1248</v>
      </c>
      <c r="G68" s="12" t="s">
        <v>1043</v>
      </c>
      <c r="H68" s="12" t="s">
        <v>1044</v>
      </c>
      <c r="I68" s="12" t="s">
        <v>1249</v>
      </c>
      <c r="J68">
        <v>1994</v>
      </c>
      <c r="K68">
        <v>1994</v>
      </c>
      <c r="L68">
        <f t="shared" si="0"/>
        <v>0</v>
      </c>
      <c r="M68" t="s">
        <v>921</v>
      </c>
      <c r="N68" t="e">
        <f t="shared" si="1"/>
        <v>#VALUE!</v>
      </c>
      <c r="O68" t="e">
        <f t="shared" si="2"/>
        <v>#VALUE!</v>
      </c>
      <c r="P68" t="e">
        <f t="shared" si="3"/>
        <v>#VALUE!</v>
      </c>
      <c r="Q68">
        <f t="shared" si="4"/>
        <v>0</v>
      </c>
      <c r="R68" t="e">
        <f t="shared" si="5"/>
        <v>#VALUE!</v>
      </c>
      <c r="S68" s="32">
        <v>46356</v>
      </c>
      <c r="T68" s="32">
        <v>46387</v>
      </c>
      <c r="U68" s="32">
        <v>46388</v>
      </c>
      <c r="V68" s="32">
        <v>46507</v>
      </c>
    </row>
    <row r="69" spans="2:25" hidden="1" x14ac:dyDescent="0.25">
      <c r="B69" s="38">
        <v>62</v>
      </c>
      <c r="C69" s="36" t="s">
        <v>1242</v>
      </c>
      <c r="D69" s="36" t="s">
        <v>1243</v>
      </c>
      <c r="E69" s="36" t="s">
        <v>1244</v>
      </c>
      <c r="F69" s="36" t="s">
        <v>1245</v>
      </c>
      <c r="G69" s="36" t="s">
        <v>1043</v>
      </c>
      <c r="H69" s="36" t="s">
        <v>1044</v>
      </c>
      <c r="I69" s="36" t="s">
        <v>33</v>
      </c>
      <c r="J69" s="34">
        <v>14.85</v>
      </c>
      <c r="K69" s="34">
        <v>19.100000000000001</v>
      </c>
      <c r="L69" s="34">
        <f t="shared" si="0"/>
        <v>-4.2500000000000018</v>
      </c>
      <c r="M69" s="34" t="s">
        <v>921</v>
      </c>
      <c r="N69" s="34" t="e">
        <f t="shared" si="1"/>
        <v>#VALUE!</v>
      </c>
      <c r="O69" s="34" t="e">
        <f t="shared" si="2"/>
        <v>#VALUE!</v>
      </c>
      <c r="P69" s="34" t="e">
        <f t="shared" si="3"/>
        <v>#VALUE!</v>
      </c>
      <c r="Q69" s="34">
        <f t="shared" si="4"/>
        <v>0</v>
      </c>
      <c r="R69" s="34" t="e">
        <f t="shared" si="5"/>
        <v>#VALUE!</v>
      </c>
      <c r="S69" s="37">
        <v>46272</v>
      </c>
      <c r="T69" s="37">
        <v>46356</v>
      </c>
      <c r="U69" s="37">
        <v>46388</v>
      </c>
      <c r="V69" s="37">
        <v>46444</v>
      </c>
      <c r="W69" s="34"/>
      <c r="X69" s="34"/>
      <c r="Y69" s="34"/>
    </row>
    <row r="70" spans="2:25" hidden="1" x14ac:dyDescent="0.25">
      <c r="B70" s="1">
        <v>63</v>
      </c>
      <c r="C70" s="12" t="s">
        <v>946</v>
      </c>
      <c r="D70" s="12" t="s">
        <v>947</v>
      </c>
      <c r="E70" s="12" t="s">
        <v>948</v>
      </c>
      <c r="F70" s="12" t="s">
        <v>949</v>
      </c>
      <c r="G70" s="12" t="s">
        <v>1043</v>
      </c>
      <c r="H70" s="12" t="s">
        <v>1080</v>
      </c>
      <c r="I70" s="12" t="s">
        <v>1135</v>
      </c>
      <c r="J70">
        <v>66</v>
      </c>
      <c r="K70">
        <v>76.67</v>
      </c>
      <c r="L70">
        <f t="shared" si="0"/>
        <v>-10.670000000000002</v>
      </c>
      <c r="M70" t="s">
        <v>921</v>
      </c>
      <c r="N70" t="e">
        <f t="shared" si="1"/>
        <v>#VALUE!</v>
      </c>
      <c r="O70" t="e">
        <f t="shared" si="2"/>
        <v>#VALUE!</v>
      </c>
      <c r="P70" t="e">
        <f t="shared" si="3"/>
        <v>#VALUE!</v>
      </c>
      <c r="Q70">
        <f t="shared" si="4"/>
        <v>0</v>
      </c>
      <c r="R70" t="e">
        <f t="shared" si="5"/>
        <v>#VALUE!</v>
      </c>
      <c r="S70" s="32">
        <v>46357</v>
      </c>
      <c r="T70" s="32">
        <v>46387</v>
      </c>
      <c r="U70" s="32">
        <v>46426</v>
      </c>
      <c r="V70" s="32">
        <v>46431</v>
      </c>
    </row>
    <row r="71" spans="2:25" hidden="1" x14ac:dyDescent="0.25">
      <c r="B71" s="38">
        <v>64</v>
      </c>
      <c r="C71" s="36" t="s">
        <v>950</v>
      </c>
      <c r="D71" s="36" t="s">
        <v>951</v>
      </c>
      <c r="E71" s="36" t="s">
        <v>952</v>
      </c>
      <c r="F71" s="36" t="s">
        <v>953</v>
      </c>
      <c r="G71" s="36" t="s">
        <v>1043</v>
      </c>
      <c r="H71" s="36" t="s">
        <v>1080</v>
      </c>
      <c r="I71" s="36" t="s">
        <v>1135</v>
      </c>
      <c r="J71" s="34">
        <v>198</v>
      </c>
      <c r="K71" s="34">
        <v>254</v>
      </c>
      <c r="L71" s="34">
        <f t="shared" si="0"/>
        <v>-56</v>
      </c>
      <c r="M71" s="34" t="s">
        <v>921</v>
      </c>
      <c r="N71" s="34" t="e">
        <f t="shared" si="1"/>
        <v>#VALUE!</v>
      </c>
      <c r="O71" s="34" t="e">
        <f t="shared" si="2"/>
        <v>#VALUE!</v>
      </c>
      <c r="P71" s="34" t="e">
        <f t="shared" si="3"/>
        <v>#VALUE!</v>
      </c>
      <c r="Q71" s="34">
        <f t="shared" si="4"/>
        <v>0</v>
      </c>
      <c r="R71" s="34" t="e">
        <f t="shared" si="5"/>
        <v>#VALUE!</v>
      </c>
      <c r="S71" s="37">
        <v>46371</v>
      </c>
      <c r="T71" s="37">
        <v>46387</v>
      </c>
      <c r="U71" s="37">
        <v>46478</v>
      </c>
      <c r="V71" s="37">
        <v>46507</v>
      </c>
      <c r="W71" s="34"/>
      <c r="X71" s="34"/>
      <c r="Y71" s="34"/>
    </row>
    <row r="72" spans="2:25" hidden="1" x14ac:dyDescent="0.25">
      <c r="B72" s="1">
        <v>65</v>
      </c>
      <c r="C72" s="12" t="s">
        <v>1267</v>
      </c>
      <c r="D72" s="12" t="s">
        <v>1268</v>
      </c>
      <c r="E72" s="12" t="s">
        <v>1269</v>
      </c>
      <c r="F72" s="12" t="s">
        <v>1270</v>
      </c>
      <c r="G72" s="12" t="s">
        <v>1043</v>
      </c>
      <c r="H72" s="12" t="s">
        <v>33</v>
      </c>
      <c r="I72" s="12" t="s">
        <v>33</v>
      </c>
      <c r="J72">
        <v>60.06</v>
      </c>
      <c r="K72">
        <v>60.06</v>
      </c>
      <c r="L72">
        <f t="shared" si="0"/>
        <v>0</v>
      </c>
      <c r="M72" t="s">
        <v>921</v>
      </c>
      <c r="N72" t="e">
        <f t="shared" si="1"/>
        <v>#VALUE!</v>
      </c>
      <c r="O72" t="e">
        <f t="shared" si="2"/>
        <v>#VALUE!</v>
      </c>
      <c r="P72" t="e">
        <f t="shared" si="3"/>
        <v>#VALUE!</v>
      </c>
      <c r="Q72">
        <f t="shared" si="4"/>
        <v>0</v>
      </c>
      <c r="R72" t="e">
        <f t="shared" si="5"/>
        <v>#VALUE!</v>
      </c>
      <c r="S72" s="32">
        <v>46357</v>
      </c>
      <c r="T72" s="32">
        <v>46387</v>
      </c>
      <c r="U72" s="32">
        <v>46388</v>
      </c>
      <c r="V72" s="32">
        <v>46477</v>
      </c>
    </row>
    <row r="73" spans="2:25" hidden="1" x14ac:dyDescent="0.25">
      <c r="B73" s="38">
        <v>66</v>
      </c>
      <c r="C73" s="36" t="s">
        <v>1271</v>
      </c>
      <c r="D73" s="36" t="s">
        <v>1272</v>
      </c>
      <c r="E73" s="36" t="s">
        <v>1273</v>
      </c>
      <c r="F73" s="36" t="s">
        <v>1274</v>
      </c>
      <c r="G73" s="36" t="s">
        <v>1043</v>
      </c>
      <c r="H73" s="36" t="s">
        <v>1044</v>
      </c>
      <c r="I73" s="36" t="s">
        <v>1044</v>
      </c>
      <c r="J73" s="34">
        <v>13.81</v>
      </c>
      <c r="K73" s="34">
        <v>13.81</v>
      </c>
      <c r="L73" s="34">
        <f t="shared" ref="L73:L136" si="6">J73-K73</f>
        <v>0</v>
      </c>
      <c r="M73" s="34" t="s">
        <v>921</v>
      </c>
      <c r="N73" s="34" t="e">
        <f t="shared" ref="N73:N136" si="7">J73-M73</f>
        <v>#VALUE!</v>
      </c>
      <c r="O73" s="34" t="e">
        <f t="shared" ref="O73:O136" si="8">IF(N73&gt;0,N73,0)</f>
        <v>#VALUE!</v>
      </c>
      <c r="P73" s="34" t="e">
        <f t="shared" ref="P73:P136" si="9">K73+O73</f>
        <v>#VALUE!</v>
      </c>
      <c r="Q73" s="34">
        <f t="shared" ref="Q73:Q136" si="10">IFERROR(M73/J73,0)</f>
        <v>0</v>
      </c>
      <c r="R73" s="34" t="e">
        <f t="shared" ref="R73:R136" si="11">IF(P73&lt;=J73,0,"Over Budget")</f>
        <v>#VALUE!</v>
      </c>
      <c r="S73" s="37">
        <v>46357</v>
      </c>
      <c r="T73" s="37">
        <v>46387</v>
      </c>
      <c r="U73" s="37">
        <v>46388</v>
      </c>
      <c r="V73" s="37">
        <v>46477</v>
      </c>
      <c r="W73" s="34"/>
      <c r="X73" s="34"/>
      <c r="Y73" s="34"/>
    </row>
    <row r="74" spans="2:25" hidden="1" x14ac:dyDescent="0.25">
      <c r="B74" s="1">
        <v>67</v>
      </c>
      <c r="C74" s="12" t="s">
        <v>954</v>
      </c>
      <c r="D74" s="12" t="s">
        <v>955</v>
      </c>
      <c r="E74" s="12" t="s">
        <v>952</v>
      </c>
      <c r="F74" s="12" t="s">
        <v>956</v>
      </c>
      <c r="G74" s="12" t="s">
        <v>1043</v>
      </c>
      <c r="H74" s="12" t="s">
        <v>1080</v>
      </c>
      <c r="I74" s="12" t="s">
        <v>1135</v>
      </c>
      <c r="J74">
        <v>49.5</v>
      </c>
      <c r="K74">
        <v>49.5</v>
      </c>
      <c r="L74">
        <f t="shared" si="6"/>
        <v>0</v>
      </c>
      <c r="M74" t="s">
        <v>921</v>
      </c>
      <c r="N74" t="e">
        <f t="shared" si="7"/>
        <v>#VALUE!</v>
      </c>
      <c r="O74" t="e">
        <f t="shared" si="8"/>
        <v>#VALUE!</v>
      </c>
      <c r="P74" t="e">
        <f t="shared" si="9"/>
        <v>#VALUE!</v>
      </c>
      <c r="Q74">
        <f t="shared" si="10"/>
        <v>0</v>
      </c>
      <c r="R74" t="e">
        <f t="shared" si="11"/>
        <v>#VALUE!</v>
      </c>
      <c r="S74" s="32">
        <v>46357</v>
      </c>
      <c r="T74" s="32">
        <v>46387</v>
      </c>
      <c r="U74" s="32">
        <v>46434</v>
      </c>
      <c r="V74" s="32">
        <v>46507</v>
      </c>
    </row>
    <row r="75" spans="2:25" hidden="1" x14ac:dyDescent="0.25">
      <c r="B75" s="38">
        <v>68</v>
      </c>
      <c r="C75" s="36" t="s">
        <v>1275</v>
      </c>
      <c r="D75" s="36" t="s">
        <v>1276</v>
      </c>
      <c r="E75" s="36" t="s">
        <v>1277</v>
      </c>
      <c r="F75" s="36" t="s">
        <v>1278</v>
      </c>
      <c r="G75" s="36" t="s">
        <v>1043</v>
      </c>
      <c r="H75" s="36" t="s">
        <v>1080</v>
      </c>
      <c r="I75" s="36" t="s">
        <v>1135</v>
      </c>
      <c r="J75" s="34">
        <v>0</v>
      </c>
      <c r="K75" s="34">
        <v>0</v>
      </c>
      <c r="L75" s="34">
        <f t="shared" si="6"/>
        <v>0</v>
      </c>
      <c r="M75" s="34" t="s">
        <v>921</v>
      </c>
      <c r="N75" s="34" t="e">
        <f t="shared" si="7"/>
        <v>#VALUE!</v>
      </c>
      <c r="O75" s="34" t="e">
        <f t="shared" si="8"/>
        <v>#VALUE!</v>
      </c>
      <c r="P75" s="34" t="e">
        <f t="shared" si="9"/>
        <v>#VALUE!</v>
      </c>
      <c r="Q75" s="34">
        <f t="shared" si="10"/>
        <v>0</v>
      </c>
      <c r="R75" s="34" t="e">
        <f t="shared" si="11"/>
        <v>#VALUE!</v>
      </c>
      <c r="S75" s="37">
        <v>46477</v>
      </c>
      <c r="T75" s="37">
        <v>46478</v>
      </c>
      <c r="U75" s="37">
        <v>46478</v>
      </c>
      <c r="V75" s="37">
        <v>46538</v>
      </c>
      <c r="W75" s="34"/>
      <c r="X75" s="34"/>
      <c r="Y75" s="34"/>
    </row>
    <row r="76" spans="2:25" hidden="1" x14ac:dyDescent="0.25">
      <c r="B76" s="1">
        <v>69</v>
      </c>
      <c r="C76" s="12" t="s">
        <v>1279</v>
      </c>
      <c r="D76" s="12" t="s">
        <v>1280</v>
      </c>
      <c r="E76" s="12" t="s">
        <v>1281</v>
      </c>
      <c r="F76" s="12" t="s">
        <v>1282</v>
      </c>
      <c r="G76" s="12" t="s">
        <v>1043</v>
      </c>
      <c r="H76" s="12" t="s">
        <v>1080</v>
      </c>
      <c r="I76" s="12" t="s">
        <v>1135</v>
      </c>
      <c r="J76">
        <v>49.5</v>
      </c>
      <c r="K76">
        <v>60.7</v>
      </c>
      <c r="L76">
        <f t="shared" si="6"/>
        <v>-11.200000000000003</v>
      </c>
      <c r="M76" t="s">
        <v>921</v>
      </c>
      <c r="N76" t="e">
        <f t="shared" si="7"/>
        <v>#VALUE!</v>
      </c>
      <c r="O76" t="e">
        <f t="shared" si="8"/>
        <v>#VALUE!</v>
      </c>
      <c r="P76" t="e">
        <f t="shared" si="9"/>
        <v>#VALUE!</v>
      </c>
      <c r="Q76">
        <f t="shared" si="10"/>
        <v>0</v>
      </c>
      <c r="R76" t="e">
        <f t="shared" si="11"/>
        <v>#VALUE!</v>
      </c>
      <c r="S76" s="32">
        <v>46371</v>
      </c>
      <c r="T76" s="32">
        <v>46387</v>
      </c>
      <c r="U76" s="32">
        <v>46388</v>
      </c>
      <c r="V76" s="32">
        <v>46492</v>
      </c>
    </row>
    <row r="77" spans="2:25" hidden="1" x14ac:dyDescent="0.25">
      <c r="B77" s="38">
        <v>70</v>
      </c>
      <c r="C77" s="36" t="s">
        <v>1283</v>
      </c>
      <c r="D77" s="36" t="s">
        <v>1284</v>
      </c>
      <c r="E77" s="36" t="s">
        <v>1285</v>
      </c>
      <c r="F77" s="36" t="s">
        <v>1286</v>
      </c>
      <c r="G77" s="36" t="s">
        <v>1043</v>
      </c>
      <c r="H77" s="36" t="s">
        <v>1080</v>
      </c>
      <c r="I77" s="36" t="s">
        <v>1135</v>
      </c>
      <c r="J77" s="34">
        <v>33</v>
      </c>
      <c r="K77" s="34">
        <v>53.47</v>
      </c>
      <c r="L77" s="34">
        <f t="shared" si="6"/>
        <v>-20.47</v>
      </c>
      <c r="M77" s="34" t="s">
        <v>921</v>
      </c>
      <c r="N77" s="34" t="e">
        <f t="shared" si="7"/>
        <v>#VALUE!</v>
      </c>
      <c r="O77" s="34" t="e">
        <f t="shared" si="8"/>
        <v>#VALUE!</v>
      </c>
      <c r="P77" s="34" t="e">
        <f t="shared" si="9"/>
        <v>#VALUE!</v>
      </c>
      <c r="Q77" s="34">
        <f t="shared" si="10"/>
        <v>0</v>
      </c>
      <c r="R77" s="34" t="e">
        <f t="shared" si="11"/>
        <v>#VALUE!</v>
      </c>
      <c r="S77" s="37">
        <v>46357</v>
      </c>
      <c r="T77" s="37">
        <v>46387</v>
      </c>
      <c r="U77" s="37">
        <v>46388</v>
      </c>
      <c r="V77" s="37">
        <v>46507</v>
      </c>
      <c r="W77" s="34"/>
      <c r="X77" s="34"/>
      <c r="Y77" s="34"/>
    </row>
    <row r="78" spans="2:25" hidden="1" x14ac:dyDescent="0.25">
      <c r="B78" s="1">
        <v>71</v>
      </c>
      <c r="C78" s="12" t="s">
        <v>1259</v>
      </c>
      <c r="D78" s="12" t="s">
        <v>1260</v>
      </c>
      <c r="E78" s="12" t="s">
        <v>1261</v>
      </c>
      <c r="F78" s="12" t="s">
        <v>1262</v>
      </c>
      <c r="G78" s="12" t="s">
        <v>1043</v>
      </c>
      <c r="H78" s="12" t="s">
        <v>1044</v>
      </c>
      <c r="I78" s="12" t="s">
        <v>33</v>
      </c>
      <c r="K78">
        <v>400</v>
      </c>
      <c r="L78">
        <f t="shared" si="6"/>
        <v>-400</v>
      </c>
      <c r="M78" t="s">
        <v>921</v>
      </c>
      <c r="N78" t="e">
        <f t="shared" si="7"/>
        <v>#VALUE!</v>
      </c>
      <c r="O78" t="e">
        <f t="shared" si="8"/>
        <v>#VALUE!</v>
      </c>
      <c r="P78" t="e">
        <f t="shared" si="9"/>
        <v>#VALUE!</v>
      </c>
      <c r="Q78">
        <f t="shared" si="10"/>
        <v>0</v>
      </c>
      <c r="R78" t="e">
        <f t="shared" si="11"/>
        <v>#VALUE!</v>
      </c>
      <c r="S78" s="32">
        <v>46301</v>
      </c>
      <c r="T78" s="32">
        <v>46356</v>
      </c>
      <c r="U78" s="32">
        <v>46357</v>
      </c>
      <c r="V78" s="32">
        <v>46473</v>
      </c>
    </row>
    <row r="79" spans="2:25" hidden="1" x14ac:dyDescent="0.25">
      <c r="B79" s="38">
        <v>72</v>
      </c>
      <c r="C79" s="36" t="s">
        <v>1163</v>
      </c>
      <c r="D79" s="36" t="s">
        <v>1164</v>
      </c>
      <c r="E79" s="36" t="s">
        <v>1165</v>
      </c>
      <c r="F79" s="36" t="s">
        <v>1166</v>
      </c>
      <c r="G79" s="36" t="s">
        <v>1043</v>
      </c>
      <c r="H79" s="36" t="s">
        <v>1089</v>
      </c>
      <c r="I79" s="36" t="s">
        <v>33</v>
      </c>
      <c r="J79" s="34">
        <v>131.16999999999999</v>
      </c>
      <c r="K79" s="34">
        <v>131.16999999999999</v>
      </c>
      <c r="L79" s="34">
        <f t="shared" si="6"/>
        <v>0</v>
      </c>
      <c r="M79" s="34" t="s">
        <v>921</v>
      </c>
      <c r="N79" s="34" t="e">
        <f t="shared" si="7"/>
        <v>#VALUE!</v>
      </c>
      <c r="O79" s="34" t="e">
        <f t="shared" si="8"/>
        <v>#VALUE!</v>
      </c>
      <c r="P79" s="34" t="e">
        <f t="shared" si="9"/>
        <v>#VALUE!</v>
      </c>
      <c r="Q79" s="34">
        <f t="shared" si="10"/>
        <v>0</v>
      </c>
      <c r="R79" s="34" t="e">
        <f t="shared" si="11"/>
        <v>#VALUE!</v>
      </c>
      <c r="S79" s="37">
        <v>46357</v>
      </c>
      <c r="T79" s="37">
        <v>46387</v>
      </c>
      <c r="U79" s="37">
        <v>46388</v>
      </c>
      <c r="V79" s="37">
        <v>46477</v>
      </c>
      <c r="W79" s="34"/>
      <c r="X79" s="34"/>
      <c r="Y79" s="34"/>
    </row>
    <row r="80" spans="2:25" hidden="1" x14ac:dyDescent="0.25">
      <c r="B80" s="1">
        <v>73</v>
      </c>
      <c r="C80" s="12" t="s">
        <v>1253</v>
      </c>
      <c r="D80" s="12" t="s">
        <v>1254</v>
      </c>
      <c r="E80" s="12" t="s">
        <v>1059</v>
      </c>
      <c r="F80" s="12" t="s">
        <v>1255</v>
      </c>
      <c r="G80" s="12" t="s">
        <v>1043</v>
      </c>
      <c r="H80" s="12" t="s">
        <v>1044</v>
      </c>
      <c r="I80" s="12" t="s">
        <v>33</v>
      </c>
      <c r="J80">
        <v>164</v>
      </c>
      <c r="K80">
        <v>164</v>
      </c>
      <c r="L80">
        <f t="shared" si="6"/>
        <v>0</v>
      </c>
      <c r="M80" t="s">
        <v>921</v>
      </c>
      <c r="N80" t="e">
        <f t="shared" si="7"/>
        <v>#VALUE!</v>
      </c>
      <c r="O80" t="e">
        <f t="shared" si="8"/>
        <v>#VALUE!</v>
      </c>
      <c r="P80" t="e">
        <f t="shared" si="9"/>
        <v>#VALUE!</v>
      </c>
      <c r="Q80">
        <f t="shared" si="10"/>
        <v>0</v>
      </c>
      <c r="R80" t="e">
        <f t="shared" si="11"/>
        <v>#VALUE!</v>
      </c>
      <c r="S80" s="32">
        <v>46356</v>
      </c>
      <c r="T80" s="32">
        <v>46387</v>
      </c>
      <c r="U80" s="32">
        <v>46388</v>
      </c>
      <c r="V80" s="32">
        <v>46507</v>
      </c>
    </row>
    <row r="81" spans="2:25" hidden="1" x14ac:dyDescent="0.25">
      <c r="B81" s="38">
        <v>74</v>
      </c>
      <c r="C81" s="36" t="s">
        <v>1287</v>
      </c>
      <c r="D81" s="36" t="s">
        <v>1288</v>
      </c>
      <c r="E81" s="36" t="s">
        <v>1289</v>
      </c>
      <c r="F81" s="36" t="s">
        <v>1290</v>
      </c>
      <c r="G81" s="36" t="s">
        <v>1043</v>
      </c>
      <c r="H81" s="36" t="s">
        <v>33</v>
      </c>
      <c r="I81" s="36" t="s">
        <v>33</v>
      </c>
      <c r="J81" s="34">
        <v>26.51</v>
      </c>
      <c r="K81" s="34">
        <v>26.51</v>
      </c>
      <c r="L81" s="34">
        <f t="shared" si="6"/>
        <v>0</v>
      </c>
      <c r="M81" s="34" t="s">
        <v>921</v>
      </c>
      <c r="N81" s="34" t="e">
        <f t="shared" si="7"/>
        <v>#VALUE!</v>
      </c>
      <c r="O81" s="34" t="e">
        <f t="shared" si="8"/>
        <v>#VALUE!</v>
      </c>
      <c r="P81" s="34" t="e">
        <f t="shared" si="9"/>
        <v>#VALUE!</v>
      </c>
      <c r="Q81" s="34">
        <f t="shared" si="10"/>
        <v>0</v>
      </c>
      <c r="R81" s="34" t="e">
        <f t="shared" si="11"/>
        <v>#VALUE!</v>
      </c>
      <c r="S81" s="37">
        <v>46327</v>
      </c>
      <c r="T81" s="37">
        <v>46387</v>
      </c>
      <c r="U81" s="37">
        <v>46388</v>
      </c>
      <c r="V81" s="37">
        <v>46568</v>
      </c>
      <c r="W81" s="34"/>
      <c r="X81" s="34"/>
      <c r="Y81" s="34"/>
    </row>
    <row r="82" spans="2:25" hidden="1" x14ac:dyDescent="0.25">
      <c r="B82" s="1">
        <v>75</v>
      </c>
      <c r="C82" s="12" t="s">
        <v>1250</v>
      </c>
      <c r="D82" s="12" t="s">
        <v>1251</v>
      </c>
      <c r="E82" s="12" t="s">
        <v>1059</v>
      </c>
      <c r="F82" s="12" t="s">
        <v>1252</v>
      </c>
      <c r="G82" s="12" t="s">
        <v>1043</v>
      </c>
      <c r="H82" s="12" t="s">
        <v>1044</v>
      </c>
      <c r="I82" s="12" t="s">
        <v>33</v>
      </c>
      <c r="J82">
        <v>3156</v>
      </c>
      <c r="K82">
        <v>3156</v>
      </c>
      <c r="L82">
        <f t="shared" si="6"/>
        <v>0</v>
      </c>
      <c r="M82" t="s">
        <v>921</v>
      </c>
      <c r="N82" t="e">
        <f t="shared" si="7"/>
        <v>#VALUE!</v>
      </c>
      <c r="O82" t="e">
        <f t="shared" si="8"/>
        <v>#VALUE!</v>
      </c>
      <c r="P82" t="e">
        <f t="shared" si="9"/>
        <v>#VALUE!</v>
      </c>
      <c r="Q82">
        <f t="shared" si="10"/>
        <v>0</v>
      </c>
      <c r="R82" t="e">
        <f t="shared" si="11"/>
        <v>#VALUE!</v>
      </c>
      <c r="S82" s="32">
        <v>46327</v>
      </c>
      <c r="T82" s="32">
        <v>46387</v>
      </c>
      <c r="U82" s="32">
        <v>46388</v>
      </c>
      <c r="V82" s="32">
        <v>46477</v>
      </c>
    </row>
    <row r="83" spans="2:25" hidden="1" x14ac:dyDescent="0.25">
      <c r="B83" s="38">
        <v>76</v>
      </c>
      <c r="C83" s="36" t="s">
        <v>1172</v>
      </c>
      <c r="D83" s="36" t="s">
        <v>1173</v>
      </c>
      <c r="E83" s="36" t="s">
        <v>1174</v>
      </c>
      <c r="F83" s="36" t="s">
        <v>1175</v>
      </c>
      <c r="G83" s="36" t="s">
        <v>1043</v>
      </c>
      <c r="H83" s="36" t="s">
        <v>1044</v>
      </c>
      <c r="I83" s="36" t="s">
        <v>1044</v>
      </c>
      <c r="J83" s="34">
        <v>19.14</v>
      </c>
      <c r="K83" s="34">
        <v>89.14</v>
      </c>
      <c r="L83" s="34">
        <f t="shared" si="6"/>
        <v>-70</v>
      </c>
      <c r="M83" s="34" t="s">
        <v>921</v>
      </c>
      <c r="N83" s="34" t="e">
        <f t="shared" si="7"/>
        <v>#VALUE!</v>
      </c>
      <c r="O83" s="34" t="e">
        <f t="shared" si="8"/>
        <v>#VALUE!</v>
      </c>
      <c r="P83" s="34" t="e">
        <f t="shared" si="9"/>
        <v>#VALUE!</v>
      </c>
      <c r="Q83" s="34">
        <f t="shared" si="10"/>
        <v>0</v>
      </c>
      <c r="R83" s="34" t="e">
        <f t="shared" si="11"/>
        <v>#VALUE!</v>
      </c>
      <c r="S83" s="37">
        <v>46371</v>
      </c>
      <c r="T83" s="37">
        <v>46387</v>
      </c>
      <c r="U83" s="37">
        <v>46388</v>
      </c>
      <c r="V83" s="37">
        <v>46477</v>
      </c>
      <c r="W83" s="34"/>
      <c r="X83" s="34"/>
      <c r="Y83" s="34"/>
    </row>
    <row r="84" spans="2:25" hidden="1" x14ac:dyDescent="0.25">
      <c r="B84" s="1">
        <v>77</v>
      </c>
      <c r="C84" s="12" t="s">
        <v>1000</v>
      </c>
      <c r="D84" s="12" t="s">
        <v>1001</v>
      </c>
      <c r="E84" s="12" t="s">
        <v>931</v>
      </c>
      <c r="F84" s="12" t="s">
        <v>1002</v>
      </c>
      <c r="G84" s="12" t="s">
        <v>1043</v>
      </c>
      <c r="H84" s="12" t="s">
        <v>1090</v>
      </c>
      <c r="I84" s="12" t="s">
        <v>33</v>
      </c>
      <c r="J84">
        <v>34.99</v>
      </c>
      <c r="K84">
        <v>34.99</v>
      </c>
      <c r="L84">
        <f t="shared" si="6"/>
        <v>0</v>
      </c>
      <c r="M84" t="s">
        <v>921</v>
      </c>
      <c r="N84" t="e">
        <f t="shared" si="7"/>
        <v>#VALUE!</v>
      </c>
      <c r="O84" t="e">
        <f t="shared" si="8"/>
        <v>#VALUE!</v>
      </c>
      <c r="P84" t="e">
        <f t="shared" si="9"/>
        <v>#VALUE!</v>
      </c>
      <c r="Q84">
        <f t="shared" si="10"/>
        <v>0</v>
      </c>
      <c r="R84" t="e">
        <f t="shared" si="11"/>
        <v>#VALUE!</v>
      </c>
      <c r="S84" s="32">
        <v>46357</v>
      </c>
      <c r="T84" s="32">
        <v>46387</v>
      </c>
      <c r="U84" s="32">
        <v>46388</v>
      </c>
      <c r="V84" s="32">
        <v>46538</v>
      </c>
    </row>
    <row r="85" spans="2:25" hidden="1" x14ac:dyDescent="0.25">
      <c r="B85" s="38">
        <v>78</v>
      </c>
      <c r="C85" s="36" t="s">
        <v>1291</v>
      </c>
      <c r="D85" s="36" t="s">
        <v>1292</v>
      </c>
      <c r="E85" s="36" t="s">
        <v>1293</v>
      </c>
      <c r="F85" s="36" t="s">
        <v>1294</v>
      </c>
      <c r="G85" s="36" t="s">
        <v>1043</v>
      </c>
      <c r="H85" s="36" t="s">
        <v>1044</v>
      </c>
      <c r="I85" s="36" t="s">
        <v>33</v>
      </c>
      <c r="J85" s="34">
        <v>74.8</v>
      </c>
      <c r="K85" s="34">
        <v>74.8</v>
      </c>
      <c r="L85" s="34">
        <f t="shared" si="6"/>
        <v>0</v>
      </c>
      <c r="M85" s="34" t="s">
        <v>921</v>
      </c>
      <c r="N85" s="34" t="e">
        <f t="shared" si="7"/>
        <v>#VALUE!</v>
      </c>
      <c r="O85" s="34" t="e">
        <f t="shared" si="8"/>
        <v>#VALUE!</v>
      </c>
      <c r="P85" s="34" t="e">
        <f t="shared" si="9"/>
        <v>#VALUE!</v>
      </c>
      <c r="Q85" s="34">
        <f t="shared" si="10"/>
        <v>0</v>
      </c>
      <c r="R85" s="34" t="e">
        <f t="shared" si="11"/>
        <v>#VALUE!</v>
      </c>
      <c r="S85" s="37">
        <v>46371</v>
      </c>
      <c r="T85" s="37">
        <v>46387</v>
      </c>
      <c r="U85" s="37">
        <v>46388</v>
      </c>
      <c r="V85" s="37">
        <v>46476</v>
      </c>
      <c r="W85" s="34"/>
      <c r="X85" s="34"/>
      <c r="Y85" s="34"/>
    </row>
    <row r="86" spans="2:25" hidden="1" x14ac:dyDescent="0.25">
      <c r="B86" s="1">
        <v>79</v>
      </c>
      <c r="C86" s="12" t="s">
        <v>1295</v>
      </c>
      <c r="D86" s="12" t="s">
        <v>1296</v>
      </c>
      <c r="E86" s="12" t="s">
        <v>1297</v>
      </c>
      <c r="F86" s="12" t="s">
        <v>1298</v>
      </c>
      <c r="G86" s="12" t="s">
        <v>1043</v>
      </c>
      <c r="H86" s="12" t="s">
        <v>1090</v>
      </c>
      <c r="I86" s="12" t="s">
        <v>33</v>
      </c>
      <c r="J86">
        <v>105.15</v>
      </c>
      <c r="K86">
        <v>105.15</v>
      </c>
      <c r="L86">
        <f t="shared" si="6"/>
        <v>0</v>
      </c>
      <c r="M86" t="s">
        <v>921</v>
      </c>
      <c r="N86" t="e">
        <f t="shared" si="7"/>
        <v>#VALUE!</v>
      </c>
      <c r="O86" t="e">
        <f t="shared" si="8"/>
        <v>#VALUE!</v>
      </c>
      <c r="P86" t="e">
        <f t="shared" si="9"/>
        <v>#VALUE!</v>
      </c>
      <c r="Q86">
        <f t="shared" si="10"/>
        <v>0</v>
      </c>
      <c r="R86" t="e">
        <f t="shared" si="11"/>
        <v>#VALUE!</v>
      </c>
      <c r="S86" s="32">
        <v>46371</v>
      </c>
      <c r="T86" s="32">
        <v>46387</v>
      </c>
      <c r="U86" s="32">
        <v>46388</v>
      </c>
      <c r="V86" s="32">
        <v>46461</v>
      </c>
    </row>
    <row r="87" spans="2:25" hidden="1" x14ac:dyDescent="0.25">
      <c r="B87" s="38">
        <v>80</v>
      </c>
      <c r="C87" s="36" t="s">
        <v>974</v>
      </c>
      <c r="D87" s="36" t="s">
        <v>975</v>
      </c>
      <c r="E87" s="36" t="s">
        <v>976</v>
      </c>
      <c r="F87" s="36" t="s">
        <v>977</v>
      </c>
      <c r="G87" s="36" t="s">
        <v>1043</v>
      </c>
      <c r="H87" s="36" t="s">
        <v>1090</v>
      </c>
      <c r="I87" s="36" t="s">
        <v>33</v>
      </c>
      <c r="J87" s="34">
        <v>51.77</v>
      </c>
      <c r="K87" s="34">
        <v>51.77</v>
      </c>
      <c r="L87" s="34">
        <f t="shared" si="6"/>
        <v>0</v>
      </c>
      <c r="M87" s="34" t="s">
        <v>921</v>
      </c>
      <c r="N87" s="34" t="e">
        <f t="shared" si="7"/>
        <v>#VALUE!</v>
      </c>
      <c r="O87" s="34" t="e">
        <f t="shared" si="8"/>
        <v>#VALUE!</v>
      </c>
      <c r="P87" s="34" t="e">
        <f t="shared" si="9"/>
        <v>#VALUE!</v>
      </c>
      <c r="Q87" s="34">
        <f t="shared" si="10"/>
        <v>0</v>
      </c>
      <c r="R87" s="34" t="e">
        <f t="shared" si="11"/>
        <v>#VALUE!</v>
      </c>
      <c r="S87" s="37">
        <v>46343</v>
      </c>
      <c r="T87" s="37">
        <v>46387</v>
      </c>
      <c r="U87" s="37">
        <v>46418</v>
      </c>
      <c r="V87" s="37">
        <v>46538</v>
      </c>
      <c r="W87" s="34"/>
      <c r="X87" s="34"/>
      <c r="Y87" s="34"/>
    </row>
    <row r="88" spans="2:25" x14ac:dyDescent="0.25">
      <c r="B88" s="1">
        <v>81</v>
      </c>
      <c r="C88" s="12" t="s">
        <v>997</v>
      </c>
      <c r="D88" s="12" t="s">
        <v>998</v>
      </c>
      <c r="E88" s="12" t="s">
        <v>971</v>
      </c>
      <c r="F88" s="12" t="s">
        <v>999</v>
      </c>
      <c r="G88" s="12" t="s">
        <v>1043</v>
      </c>
      <c r="H88" s="12" t="s">
        <v>916</v>
      </c>
      <c r="I88" s="12" t="s">
        <v>1299</v>
      </c>
      <c r="J88">
        <v>132</v>
      </c>
      <c r="K88">
        <v>131.87</v>
      </c>
      <c r="L88">
        <f t="shared" si="6"/>
        <v>0.12999999999999545</v>
      </c>
      <c r="M88" t="s">
        <v>921</v>
      </c>
      <c r="N88" t="e">
        <f t="shared" si="7"/>
        <v>#VALUE!</v>
      </c>
      <c r="O88" t="e">
        <f t="shared" si="8"/>
        <v>#VALUE!</v>
      </c>
      <c r="P88" t="e">
        <f t="shared" si="9"/>
        <v>#VALUE!</v>
      </c>
      <c r="Q88">
        <f t="shared" si="10"/>
        <v>0</v>
      </c>
      <c r="R88" t="e">
        <f t="shared" si="11"/>
        <v>#VALUE!</v>
      </c>
      <c r="S88" s="32">
        <v>46357</v>
      </c>
      <c r="T88" s="32">
        <v>46387</v>
      </c>
      <c r="U88" s="32">
        <v>46388</v>
      </c>
      <c r="V88" s="32">
        <v>46477</v>
      </c>
    </row>
    <row r="89" spans="2:25" hidden="1" x14ac:dyDescent="0.25">
      <c r="B89" s="38">
        <v>82</v>
      </c>
      <c r="C89" s="36" t="s">
        <v>1300</v>
      </c>
      <c r="D89" s="36" t="s">
        <v>1301</v>
      </c>
      <c r="E89" s="36" t="s">
        <v>1302</v>
      </c>
      <c r="F89" s="36" t="s">
        <v>1303</v>
      </c>
      <c r="G89" s="36" t="s">
        <v>1043</v>
      </c>
      <c r="H89" s="36" t="s">
        <v>1044</v>
      </c>
      <c r="I89" s="36" t="s">
        <v>33</v>
      </c>
      <c r="J89" s="34">
        <v>25.88</v>
      </c>
      <c r="K89" s="34">
        <v>25.88</v>
      </c>
      <c r="L89" s="34">
        <f t="shared" si="6"/>
        <v>0</v>
      </c>
      <c r="M89" s="34" t="s">
        <v>921</v>
      </c>
      <c r="N89" s="34" t="e">
        <f t="shared" si="7"/>
        <v>#VALUE!</v>
      </c>
      <c r="O89" s="34" t="e">
        <f t="shared" si="8"/>
        <v>#VALUE!</v>
      </c>
      <c r="P89" s="34" t="e">
        <f t="shared" si="9"/>
        <v>#VALUE!</v>
      </c>
      <c r="Q89" s="34">
        <f t="shared" si="10"/>
        <v>0</v>
      </c>
      <c r="R89" s="34" t="e">
        <f t="shared" si="11"/>
        <v>#VALUE!</v>
      </c>
      <c r="S89" s="37">
        <v>46364</v>
      </c>
      <c r="T89" s="37">
        <v>46387</v>
      </c>
      <c r="U89" s="37">
        <v>46418</v>
      </c>
      <c r="V89" s="37">
        <v>46538</v>
      </c>
      <c r="W89" s="34"/>
      <c r="X89" s="34"/>
      <c r="Y89" s="34"/>
    </row>
    <row r="90" spans="2:25" x14ac:dyDescent="0.25">
      <c r="B90" s="1">
        <v>83</v>
      </c>
      <c r="C90" s="12" t="s">
        <v>994</v>
      </c>
      <c r="D90" s="12" t="s">
        <v>995</v>
      </c>
      <c r="E90" s="12" t="s">
        <v>992</v>
      </c>
      <c r="F90" s="12" t="s">
        <v>996</v>
      </c>
      <c r="G90" s="12" t="s">
        <v>1043</v>
      </c>
      <c r="H90" s="12" t="s">
        <v>916</v>
      </c>
      <c r="I90" s="12" t="s">
        <v>911</v>
      </c>
      <c r="J90">
        <v>16.5</v>
      </c>
      <c r="K90">
        <v>15.24</v>
      </c>
      <c r="L90">
        <f t="shared" si="6"/>
        <v>1.2599999999999998</v>
      </c>
      <c r="M90" t="s">
        <v>921</v>
      </c>
      <c r="N90" t="e">
        <f t="shared" si="7"/>
        <v>#VALUE!</v>
      </c>
      <c r="O90" t="e">
        <f t="shared" si="8"/>
        <v>#VALUE!</v>
      </c>
      <c r="P90" t="e">
        <f t="shared" si="9"/>
        <v>#VALUE!</v>
      </c>
      <c r="Q90">
        <f t="shared" si="10"/>
        <v>0</v>
      </c>
      <c r="R90" t="e">
        <f t="shared" si="11"/>
        <v>#VALUE!</v>
      </c>
      <c r="S90" s="32">
        <v>46371</v>
      </c>
      <c r="T90" s="32">
        <v>46375</v>
      </c>
      <c r="U90" s="32">
        <v>46393</v>
      </c>
      <c r="V90" s="32">
        <v>46397</v>
      </c>
    </row>
    <row r="91" spans="2:25" hidden="1" x14ac:dyDescent="0.25">
      <c r="B91" s="38">
        <v>84</v>
      </c>
      <c r="C91" s="36" t="s">
        <v>981</v>
      </c>
      <c r="D91" s="36" t="s">
        <v>982</v>
      </c>
      <c r="E91" s="36" t="s">
        <v>922</v>
      </c>
      <c r="F91" s="36" t="s">
        <v>983</v>
      </c>
      <c r="G91" s="36" t="s">
        <v>1043</v>
      </c>
      <c r="H91" s="36" t="s">
        <v>1090</v>
      </c>
      <c r="I91" s="36" t="s">
        <v>33</v>
      </c>
      <c r="J91" s="34">
        <v>263.48</v>
      </c>
      <c r="K91" s="34">
        <v>263.48</v>
      </c>
      <c r="L91" s="34">
        <f t="shared" si="6"/>
        <v>0</v>
      </c>
      <c r="M91" s="34" t="s">
        <v>921</v>
      </c>
      <c r="N91" s="34" t="e">
        <f t="shared" si="7"/>
        <v>#VALUE!</v>
      </c>
      <c r="O91" s="34" t="e">
        <f t="shared" si="8"/>
        <v>#VALUE!</v>
      </c>
      <c r="P91" s="34" t="e">
        <f t="shared" si="9"/>
        <v>#VALUE!</v>
      </c>
      <c r="Q91" s="34">
        <f t="shared" si="10"/>
        <v>0</v>
      </c>
      <c r="R91" s="34" t="e">
        <f t="shared" si="11"/>
        <v>#VALUE!</v>
      </c>
      <c r="S91" s="37">
        <v>46371</v>
      </c>
      <c r="T91" s="37">
        <v>46387</v>
      </c>
      <c r="U91" s="37">
        <v>46388</v>
      </c>
      <c r="V91" s="37">
        <v>46476</v>
      </c>
      <c r="W91" s="34"/>
      <c r="X91" s="34"/>
      <c r="Y91" s="34"/>
    </row>
    <row r="92" spans="2:25" hidden="1" x14ac:dyDescent="0.25">
      <c r="B92" s="1">
        <v>85</v>
      </c>
      <c r="C92" s="12" t="s">
        <v>1308</v>
      </c>
      <c r="D92" s="12" t="s">
        <v>1309</v>
      </c>
      <c r="E92" s="12" t="s">
        <v>1310</v>
      </c>
      <c r="F92" s="12" t="s">
        <v>1311</v>
      </c>
      <c r="G92" s="12" t="s">
        <v>1043</v>
      </c>
      <c r="H92" s="12" t="s">
        <v>1044</v>
      </c>
      <c r="I92" s="12" t="s">
        <v>33</v>
      </c>
      <c r="K92">
        <v>17.010000000000002</v>
      </c>
      <c r="L92">
        <f t="shared" si="6"/>
        <v>-17.010000000000002</v>
      </c>
      <c r="M92" t="s">
        <v>921</v>
      </c>
      <c r="N92" t="e">
        <f t="shared" si="7"/>
        <v>#VALUE!</v>
      </c>
      <c r="O92" t="e">
        <f t="shared" si="8"/>
        <v>#VALUE!</v>
      </c>
      <c r="P92" t="e">
        <f t="shared" si="9"/>
        <v>#VALUE!</v>
      </c>
      <c r="Q92">
        <f t="shared" si="10"/>
        <v>0</v>
      </c>
      <c r="R92" t="e">
        <f t="shared" si="11"/>
        <v>#VALUE!</v>
      </c>
      <c r="S92" s="32">
        <v>46357</v>
      </c>
      <c r="T92" s="32">
        <v>46387</v>
      </c>
      <c r="U92" s="32">
        <v>46388</v>
      </c>
      <c r="V92" s="32">
        <v>46477</v>
      </c>
    </row>
    <row r="93" spans="2:25" hidden="1" x14ac:dyDescent="0.25">
      <c r="B93" s="38">
        <v>86</v>
      </c>
      <c r="C93" s="36" t="s">
        <v>1312</v>
      </c>
      <c r="D93" s="36" t="s">
        <v>1313</v>
      </c>
      <c r="E93" s="36" t="s">
        <v>1314</v>
      </c>
      <c r="F93" s="36" t="s">
        <v>1315</v>
      </c>
      <c r="G93" s="36" t="s">
        <v>1043</v>
      </c>
      <c r="H93" s="36" t="s">
        <v>1044</v>
      </c>
      <c r="I93" s="36" t="s">
        <v>33</v>
      </c>
      <c r="J93" s="34">
        <v>3</v>
      </c>
      <c r="K93" s="34">
        <v>3</v>
      </c>
      <c r="L93" s="34">
        <f t="shared" si="6"/>
        <v>0</v>
      </c>
      <c r="M93" s="34" t="s">
        <v>921</v>
      </c>
      <c r="N93" s="34" t="e">
        <f t="shared" si="7"/>
        <v>#VALUE!</v>
      </c>
      <c r="O93" s="34" t="e">
        <f t="shared" si="8"/>
        <v>#VALUE!</v>
      </c>
      <c r="P93" s="34" t="e">
        <f t="shared" si="9"/>
        <v>#VALUE!</v>
      </c>
      <c r="Q93" s="34">
        <f t="shared" si="10"/>
        <v>0</v>
      </c>
      <c r="R93" s="34" t="e">
        <f t="shared" si="11"/>
        <v>#VALUE!</v>
      </c>
      <c r="S93" s="34"/>
      <c r="T93" s="34"/>
      <c r="U93" s="37">
        <v>46151</v>
      </c>
      <c r="V93" s="37">
        <v>46151</v>
      </c>
      <c r="W93" s="34"/>
      <c r="X93" s="34"/>
      <c r="Y93" s="34"/>
    </row>
    <row r="94" spans="2:25" hidden="1" x14ac:dyDescent="0.25">
      <c r="B94" s="1">
        <v>87</v>
      </c>
      <c r="C94" s="12" t="s">
        <v>1316</v>
      </c>
      <c r="D94" s="12" t="s">
        <v>1317</v>
      </c>
      <c r="E94" s="12" t="s">
        <v>1318</v>
      </c>
      <c r="F94" s="12" t="s">
        <v>1319</v>
      </c>
      <c r="G94" s="12" t="s">
        <v>1043</v>
      </c>
      <c r="H94" s="12" t="s">
        <v>1044</v>
      </c>
      <c r="I94" s="12" t="s">
        <v>33</v>
      </c>
      <c r="J94">
        <v>73</v>
      </c>
      <c r="K94">
        <v>73</v>
      </c>
      <c r="L94">
        <f t="shared" si="6"/>
        <v>0</v>
      </c>
      <c r="M94" t="s">
        <v>921</v>
      </c>
      <c r="N94" t="e">
        <f t="shared" si="7"/>
        <v>#VALUE!</v>
      </c>
      <c r="O94" t="e">
        <f t="shared" si="8"/>
        <v>#VALUE!</v>
      </c>
      <c r="P94" t="e">
        <f t="shared" si="9"/>
        <v>#VALUE!</v>
      </c>
      <c r="Q94">
        <f t="shared" si="10"/>
        <v>0</v>
      </c>
      <c r="R94" t="e">
        <f t="shared" si="11"/>
        <v>#VALUE!</v>
      </c>
      <c r="U94" s="32">
        <v>46160</v>
      </c>
      <c r="V94" s="32">
        <v>46171</v>
      </c>
    </row>
    <row r="95" spans="2:25" hidden="1" x14ac:dyDescent="0.25">
      <c r="B95" s="38">
        <v>88</v>
      </c>
      <c r="C95" s="36" t="s">
        <v>978</v>
      </c>
      <c r="D95" s="36" t="s">
        <v>979</v>
      </c>
      <c r="E95" s="36" t="s">
        <v>973</v>
      </c>
      <c r="F95" s="36" t="s">
        <v>980</v>
      </c>
      <c r="G95" s="36" t="s">
        <v>1043</v>
      </c>
      <c r="H95" s="36" t="s">
        <v>1080</v>
      </c>
      <c r="I95" s="36" t="s">
        <v>33</v>
      </c>
      <c r="J95" s="34">
        <v>101.2</v>
      </c>
      <c r="K95" s="34">
        <v>128.19999999999999</v>
      </c>
      <c r="L95" s="34">
        <f t="shared" si="6"/>
        <v>-26.999999999999986</v>
      </c>
      <c r="M95" s="34" t="s">
        <v>921</v>
      </c>
      <c r="N95" s="34" t="e">
        <f t="shared" si="7"/>
        <v>#VALUE!</v>
      </c>
      <c r="O95" s="34" t="e">
        <f t="shared" si="8"/>
        <v>#VALUE!</v>
      </c>
      <c r="P95" s="34" t="e">
        <f t="shared" si="9"/>
        <v>#VALUE!</v>
      </c>
      <c r="Q95" s="34">
        <f t="shared" si="10"/>
        <v>0</v>
      </c>
      <c r="R95" s="34" t="e">
        <f t="shared" si="11"/>
        <v>#VALUE!</v>
      </c>
      <c r="S95" s="37">
        <v>46357</v>
      </c>
      <c r="T95" s="37">
        <v>46368</v>
      </c>
      <c r="U95" s="37">
        <v>46413</v>
      </c>
      <c r="V95" s="37">
        <v>46431</v>
      </c>
      <c r="W95" s="34"/>
      <c r="X95" s="34"/>
      <c r="Y95" s="34"/>
    </row>
    <row r="96" spans="2:25" hidden="1" x14ac:dyDescent="0.25">
      <c r="B96" s="1">
        <v>89</v>
      </c>
      <c r="C96" s="12" t="s">
        <v>1320</v>
      </c>
      <c r="D96" s="12" t="s">
        <v>1321</v>
      </c>
      <c r="E96" s="12" t="s">
        <v>1322</v>
      </c>
      <c r="F96" s="12" t="s">
        <v>1323</v>
      </c>
      <c r="G96" s="12" t="s">
        <v>1043</v>
      </c>
      <c r="H96" s="12" t="s">
        <v>1044</v>
      </c>
      <c r="I96" s="12" t="s">
        <v>1044</v>
      </c>
      <c r="K96">
        <v>18.809999999999999</v>
      </c>
      <c r="L96">
        <f t="shared" si="6"/>
        <v>-18.809999999999999</v>
      </c>
      <c r="M96" t="s">
        <v>921</v>
      </c>
      <c r="N96" t="e">
        <f t="shared" si="7"/>
        <v>#VALUE!</v>
      </c>
      <c r="O96" t="e">
        <f t="shared" si="8"/>
        <v>#VALUE!</v>
      </c>
      <c r="P96" t="e">
        <f t="shared" si="9"/>
        <v>#VALUE!</v>
      </c>
      <c r="Q96">
        <f t="shared" si="10"/>
        <v>0</v>
      </c>
      <c r="R96" t="e">
        <f t="shared" si="11"/>
        <v>#VALUE!</v>
      </c>
      <c r="S96" s="32">
        <v>46357</v>
      </c>
      <c r="T96" s="32">
        <v>46387</v>
      </c>
      <c r="U96" s="32">
        <v>46397</v>
      </c>
      <c r="V96" s="32">
        <v>46487</v>
      </c>
    </row>
    <row r="97" spans="2:25" x14ac:dyDescent="0.25">
      <c r="B97" s="38">
        <v>90</v>
      </c>
      <c r="C97" s="36" t="s">
        <v>990</v>
      </c>
      <c r="D97" s="36" t="s">
        <v>991</v>
      </c>
      <c r="E97" s="36" t="s">
        <v>992</v>
      </c>
      <c r="F97" s="36" t="s">
        <v>993</v>
      </c>
      <c r="G97" s="36" t="s">
        <v>1043</v>
      </c>
      <c r="H97" s="36" t="s">
        <v>916</v>
      </c>
      <c r="I97" s="36" t="s">
        <v>911</v>
      </c>
      <c r="J97" s="34">
        <v>169.33</v>
      </c>
      <c r="K97" s="34">
        <v>169.33</v>
      </c>
      <c r="L97" s="34">
        <f t="shared" si="6"/>
        <v>0</v>
      </c>
      <c r="M97" s="34" t="s">
        <v>921</v>
      </c>
      <c r="N97" s="34" t="e">
        <f t="shared" si="7"/>
        <v>#VALUE!</v>
      </c>
      <c r="O97" s="34" t="e">
        <f t="shared" si="8"/>
        <v>#VALUE!</v>
      </c>
      <c r="P97" s="34" t="e">
        <f t="shared" si="9"/>
        <v>#VALUE!</v>
      </c>
      <c r="Q97" s="34">
        <f t="shared" si="10"/>
        <v>0</v>
      </c>
      <c r="R97" s="34" t="e">
        <f t="shared" si="11"/>
        <v>#VALUE!</v>
      </c>
      <c r="S97" s="37">
        <v>46357</v>
      </c>
      <c r="T97" s="37">
        <v>46387</v>
      </c>
      <c r="U97" s="37">
        <v>46393</v>
      </c>
      <c r="V97" s="37">
        <v>46397</v>
      </c>
      <c r="W97" s="34"/>
      <c r="X97" s="34"/>
      <c r="Y97" s="34"/>
    </row>
    <row r="98" spans="2:25" hidden="1" x14ac:dyDescent="0.25">
      <c r="B98" s="1">
        <v>91</v>
      </c>
      <c r="C98" s="12" t="s">
        <v>984</v>
      </c>
      <c r="D98" s="12" t="s">
        <v>985</v>
      </c>
      <c r="E98" s="12" t="s">
        <v>970</v>
      </c>
      <c r="F98" s="12" t="s">
        <v>986</v>
      </c>
      <c r="G98" s="12" t="s">
        <v>1043</v>
      </c>
      <c r="H98" s="12" t="s">
        <v>1090</v>
      </c>
      <c r="I98" s="12" t="s">
        <v>33</v>
      </c>
      <c r="J98">
        <v>52.25</v>
      </c>
      <c r="K98">
        <v>60.71</v>
      </c>
      <c r="L98">
        <f t="shared" si="6"/>
        <v>-8.4600000000000009</v>
      </c>
      <c r="M98" t="s">
        <v>921</v>
      </c>
      <c r="N98" t="e">
        <f t="shared" si="7"/>
        <v>#VALUE!</v>
      </c>
      <c r="O98" t="e">
        <f t="shared" si="8"/>
        <v>#VALUE!</v>
      </c>
      <c r="P98" t="e">
        <f t="shared" si="9"/>
        <v>#VALUE!</v>
      </c>
      <c r="Q98">
        <f t="shared" si="10"/>
        <v>0</v>
      </c>
      <c r="R98" t="e">
        <f t="shared" si="11"/>
        <v>#VALUE!</v>
      </c>
      <c r="S98" s="32">
        <v>46371</v>
      </c>
      <c r="T98" s="32">
        <v>46387</v>
      </c>
      <c r="U98" s="32">
        <v>46388</v>
      </c>
      <c r="V98" s="32">
        <v>46474</v>
      </c>
    </row>
    <row r="99" spans="2:25" hidden="1" x14ac:dyDescent="0.25">
      <c r="B99" s="38">
        <v>92</v>
      </c>
      <c r="C99" s="36" t="s">
        <v>1332</v>
      </c>
      <c r="D99" s="36" t="s">
        <v>1333</v>
      </c>
      <c r="E99" s="36" t="s">
        <v>1178</v>
      </c>
      <c r="F99" s="36" t="s">
        <v>1334</v>
      </c>
      <c r="G99" s="36" t="s">
        <v>1043</v>
      </c>
      <c r="H99" s="36" t="s">
        <v>1080</v>
      </c>
      <c r="I99" s="36" t="s">
        <v>33</v>
      </c>
      <c r="J99" s="34">
        <v>214.5</v>
      </c>
      <c r="K99" s="34">
        <v>378.03</v>
      </c>
      <c r="L99" s="34">
        <f t="shared" si="6"/>
        <v>-163.52999999999997</v>
      </c>
      <c r="M99" s="34" t="s">
        <v>921</v>
      </c>
      <c r="N99" s="34" t="e">
        <f t="shared" si="7"/>
        <v>#VALUE!</v>
      </c>
      <c r="O99" s="34" t="e">
        <f t="shared" si="8"/>
        <v>#VALUE!</v>
      </c>
      <c r="P99" s="34" t="e">
        <f t="shared" si="9"/>
        <v>#VALUE!</v>
      </c>
      <c r="Q99" s="34">
        <f t="shared" si="10"/>
        <v>0</v>
      </c>
      <c r="R99" s="34" t="e">
        <f t="shared" si="11"/>
        <v>#VALUE!</v>
      </c>
      <c r="S99" s="37">
        <v>46371</v>
      </c>
      <c r="T99" s="37">
        <v>46387</v>
      </c>
      <c r="U99" s="37">
        <v>46478</v>
      </c>
      <c r="V99" s="37">
        <v>46538</v>
      </c>
      <c r="W99" s="34"/>
      <c r="X99" s="34"/>
      <c r="Y99" s="34"/>
    </row>
    <row r="100" spans="2:25" hidden="1" x14ac:dyDescent="0.25">
      <c r="B100" s="1">
        <v>93</v>
      </c>
      <c r="C100" s="12" t="s">
        <v>1343</v>
      </c>
      <c r="D100" s="12" t="s">
        <v>1344</v>
      </c>
      <c r="E100" s="12" t="s">
        <v>1345</v>
      </c>
      <c r="F100" s="12" t="s">
        <v>1346</v>
      </c>
      <c r="G100" s="12" t="s">
        <v>1043</v>
      </c>
      <c r="H100" s="12" t="s">
        <v>1090</v>
      </c>
      <c r="I100" s="12" t="s">
        <v>1347</v>
      </c>
      <c r="J100">
        <v>333.85</v>
      </c>
      <c r="K100">
        <v>333.85</v>
      </c>
      <c r="L100">
        <f t="shared" si="6"/>
        <v>0</v>
      </c>
      <c r="M100" t="s">
        <v>921</v>
      </c>
      <c r="N100" t="e">
        <f t="shared" si="7"/>
        <v>#VALUE!</v>
      </c>
      <c r="O100" t="e">
        <f t="shared" si="8"/>
        <v>#VALUE!</v>
      </c>
      <c r="P100" t="e">
        <f t="shared" si="9"/>
        <v>#VALUE!</v>
      </c>
      <c r="Q100">
        <f t="shared" si="10"/>
        <v>0</v>
      </c>
      <c r="R100" t="e">
        <f t="shared" si="11"/>
        <v>#VALUE!</v>
      </c>
      <c r="U100" s="32">
        <v>46247</v>
      </c>
      <c r="V100" s="32">
        <v>46295</v>
      </c>
    </row>
    <row r="101" spans="2:25" hidden="1" x14ac:dyDescent="0.25">
      <c r="B101" s="38">
        <v>94</v>
      </c>
      <c r="C101" s="36" t="s">
        <v>1348</v>
      </c>
      <c r="D101" s="36" t="s">
        <v>1349</v>
      </c>
      <c r="E101" s="36" t="s">
        <v>1350</v>
      </c>
      <c r="F101" s="36" t="s">
        <v>1351</v>
      </c>
      <c r="G101" s="36" t="s">
        <v>1043</v>
      </c>
      <c r="H101" s="36" t="s">
        <v>1080</v>
      </c>
      <c r="I101" s="36" t="s">
        <v>1135</v>
      </c>
      <c r="J101" s="34">
        <v>79</v>
      </c>
      <c r="K101" s="34">
        <v>96.74</v>
      </c>
      <c r="L101" s="34">
        <f t="shared" si="6"/>
        <v>-17.739999999999995</v>
      </c>
      <c r="M101" s="34" t="s">
        <v>921</v>
      </c>
      <c r="N101" s="34" t="e">
        <f t="shared" si="7"/>
        <v>#VALUE!</v>
      </c>
      <c r="O101" s="34" t="e">
        <f t="shared" si="8"/>
        <v>#VALUE!</v>
      </c>
      <c r="P101" s="34" t="e">
        <f t="shared" si="9"/>
        <v>#VALUE!</v>
      </c>
      <c r="Q101" s="34">
        <f t="shared" si="10"/>
        <v>0</v>
      </c>
      <c r="R101" s="34" t="e">
        <f t="shared" si="11"/>
        <v>#VALUE!</v>
      </c>
      <c r="S101" s="37">
        <v>46477</v>
      </c>
      <c r="T101" s="37">
        <v>46538</v>
      </c>
      <c r="U101" s="37">
        <v>46538</v>
      </c>
      <c r="V101" s="37">
        <v>46599</v>
      </c>
      <c r="W101" s="34"/>
      <c r="X101" s="34"/>
      <c r="Y101" s="34"/>
    </row>
    <row r="102" spans="2:25" hidden="1" x14ac:dyDescent="0.25">
      <c r="B102" s="1">
        <v>95</v>
      </c>
      <c r="C102" s="12" t="s">
        <v>1352</v>
      </c>
      <c r="D102" s="12" t="s">
        <v>1128</v>
      </c>
      <c r="E102" s="12" t="s">
        <v>1129</v>
      </c>
      <c r="F102" s="12" t="s">
        <v>1130</v>
      </c>
      <c r="G102" s="12" t="s">
        <v>1043</v>
      </c>
      <c r="H102" s="12" t="s">
        <v>1080</v>
      </c>
      <c r="I102" s="12" t="s">
        <v>1135</v>
      </c>
      <c r="J102">
        <v>228.64</v>
      </c>
      <c r="K102">
        <v>228.64</v>
      </c>
      <c r="L102">
        <f t="shared" si="6"/>
        <v>0</v>
      </c>
      <c r="M102" t="s">
        <v>921</v>
      </c>
      <c r="N102" t="e">
        <f t="shared" si="7"/>
        <v>#VALUE!</v>
      </c>
      <c r="O102" t="e">
        <f t="shared" si="8"/>
        <v>#VALUE!</v>
      </c>
      <c r="P102" t="e">
        <f t="shared" si="9"/>
        <v>#VALUE!</v>
      </c>
      <c r="Q102">
        <f t="shared" si="10"/>
        <v>0</v>
      </c>
      <c r="R102" t="e">
        <f t="shared" si="11"/>
        <v>#VALUE!</v>
      </c>
      <c r="S102" s="32">
        <v>46376</v>
      </c>
      <c r="T102" s="32">
        <v>46387</v>
      </c>
      <c r="U102" s="32">
        <v>46418</v>
      </c>
      <c r="V102" s="32">
        <v>46466</v>
      </c>
    </row>
    <row r="103" spans="2:25" x14ac:dyDescent="0.25">
      <c r="B103" s="38">
        <v>96</v>
      </c>
      <c r="C103" s="36" t="s">
        <v>1353</v>
      </c>
      <c r="D103" s="36" t="s">
        <v>1354</v>
      </c>
      <c r="E103" s="36" t="s">
        <v>1355</v>
      </c>
      <c r="F103" s="36" t="s">
        <v>1356</v>
      </c>
      <c r="G103" s="36" t="s">
        <v>1043</v>
      </c>
      <c r="H103" s="36" t="s">
        <v>916</v>
      </c>
      <c r="I103" s="36" t="s">
        <v>1357</v>
      </c>
      <c r="J103" s="34">
        <v>789.8</v>
      </c>
      <c r="K103" s="34">
        <v>789.8</v>
      </c>
      <c r="L103" s="34">
        <f t="shared" si="6"/>
        <v>0</v>
      </c>
      <c r="M103" s="34" t="s">
        <v>921</v>
      </c>
      <c r="N103" s="34" t="e">
        <f t="shared" si="7"/>
        <v>#VALUE!</v>
      </c>
      <c r="O103" s="34" t="e">
        <f t="shared" si="8"/>
        <v>#VALUE!</v>
      </c>
      <c r="P103" s="34" t="e">
        <f t="shared" si="9"/>
        <v>#VALUE!</v>
      </c>
      <c r="Q103" s="34">
        <f t="shared" si="10"/>
        <v>0</v>
      </c>
      <c r="R103" s="34" t="e">
        <f t="shared" si="11"/>
        <v>#VALUE!</v>
      </c>
      <c r="S103" s="34"/>
      <c r="T103" s="34"/>
      <c r="U103" s="37">
        <v>46241</v>
      </c>
      <c r="V103" s="37">
        <v>46507</v>
      </c>
      <c r="W103" s="34"/>
      <c r="X103" s="34"/>
      <c r="Y103" s="34"/>
    </row>
    <row r="104" spans="2:25" x14ac:dyDescent="0.25">
      <c r="B104" s="1">
        <v>97</v>
      </c>
      <c r="C104" s="12" t="s">
        <v>1324</v>
      </c>
      <c r="D104" s="12" t="s">
        <v>1325</v>
      </c>
      <c r="E104" s="12" t="s">
        <v>1326</v>
      </c>
      <c r="F104" s="12" t="s">
        <v>1327</v>
      </c>
      <c r="G104" s="12" t="s">
        <v>1043</v>
      </c>
      <c r="H104" s="12" t="s">
        <v>916</v>
      </c>
      <c r="I104" s="12" t="s">
        <v>1089</v>
      </c>
      <c r="K104">
        <v>88</v>
      </c>
      <c r="L104">
        <f t="shared" si="6"/>
        <v>-88</v>
      </c>
      <c r="M104" t="s">
        <v>921</v>
      </c>
      <c r="N104" t="e">
        <f t="shared" si="7"/>
        <v>#VALUE!</v>
      </c>
      <c r="O104" t="e">
        <f t="shared" si="8"/>
        <v>#VALUE!</v>
      </c>
      <c r="P104" t="e">
        <f t="shared" si="9"/>
        <v>#VALUE!</v>
      </c>
      <c r="Q104">
        <f t="shared" si="10"/>
        <v>0</v>
      </c>
      <c r="R104" t="e">
        <f t="shared" si="11"/>
        <v>#VALUE!</v>
      </c>
      <c r="S104" s="32">
        <v>46321</v>
      </c>
      <c r="T104" s="32">
        <v>46346</v>
      </c>
      <c r="U104" s="32">
        <v>46388</v>
      </c>
      <c r="V104" s="32">
        <v>46477</v>
      </c>
    </row>
    <row r="105" spans="2:25" hidden="1" x14ac:dyDescent="0.25">
      <c r="B105" s="38">
        <v>98</v>
      </c>
      <c r="C105" s="36" t="s">
        <v>1304</v>
      </c>
      <c r="D105" s="36" t="s">
        <v>1305</v>
      </c>
      <c r="E105" s="36" t="s">
        <v>1306</v>
      </c>
      <c r="F105" s="36" t="s">
        <v>1307</v>
      </c>
      <c r="G105" s="36" t="s">
        <v>1043</v>
      </c>
      <c r="H105" s="36" t="s">
        <v>1044</v>
      </c>
      <c r="I105" s="36" t="s">
        <v>1044</v>
      </c>
      <c r="J105" s="34">
        <v>9.9</v>
      </c>
      <c r="K105" s="34">
        <v>9.9</v>
      </c>
      <c r="L105" s="34">
        <f t="shared" si="6"/>
        <v>0</v>
      </c>
      <c r="M105" s="34" t="s">
        <v>921</v>
      </c>
      <c r="N105" s="34" t="e">
        <f t="shared" si="7"/>
        <v>#VALUE!</v>
      </c>
      <c r="O105" s="34" t="e">
        <f t="shared" si="8"/>
        <v>#VALUE!</v>
      </c>
      <c r="P105" s="34" t="e">
        <f t="shared" si="9"/>
        <v>#VALUE!</v>
      </c>
      <c r="Q105" s="34">
        <f t="shared" si="10"/>
        <v>0</v>
      </c>
      <c r="R105" s="34" t="e">
        <f t="shared" si="11"/>
        <v>#VALUE!</v>
      </c>
      <c r="S105" s="37">
        <v>46336</v>
      </c>
      <c r="T105" s="37">
        <v>46387</v>
      </c>
      <c r="U105" s="37">
        <v>46388</v>
      </c>
      <c r="V105" s="37">
        <v>46568</v>
      </c>
      <c r="W105" s="34"/>
      <c r="X105" s="34"/>
      <c r="Y105" s="34"/>
    </row>
    <row r="106" spans="2:25" x14ac:dyDescent="0.25">
      <c r="B106" s="1">
        <v>99</v>
      </c>
      <c r="C106" s="12" t="s">
        <v>1339</v>
      </c>
      <c r="D106" s="12" t="s">
        <v>1340</v>
      </c>
      <c r="E106" s="12" t="s">
        <v>1341</v>
      </c>
      <c r="F106" s="12" t="s">
        <v>1342</v>
      </c>
      <c r="G106" s="12" t="s">
        <v>1043</v>
      </c>
      <c r="H106" s="12" t="s">
        <v>916</v>
      </c>
      <c r="I106" s="12" t="s">
        <v>911</v>
      </c>
      <c r="J106">
        <v>1316.11</v>
      </c>
      <c r="K106">
        <v>1316.11</v>
      </c>
      <c r="L106">
        <f t="shared" si="6"/>
        <v>0</v>
      </c>
      <c r="M106" t="s">
        <v>921</v>
      </c>
      <c r="N106" t="e">
        <f t="shared" si="7"/>
        <v>#VALUE!</v>
      </c>
      <c r="O106" t="e">
        <f t="shared" si="8"/>
        <v>#VALUE!</v>
      </c>
      <c r="P106" t="e">
        <f t="shared" si="9"/>
        <v>#VALUE!</v>
      </c>
      <c r="Q106">
        <f t="shared" si="10"/>
        <v>0</v>
      </c>
      <c r="R106" t="e">
        <f t="shared" si="11"/>
        <v>#VALUE!</v>
      </c>
      <c r="S106" s="32">
        <v>46372</v>
      </c>
      <c r="T106" s="32">
        <v>46507</v>
      </c>
      <c r="U106" s="32">
        <v>46372</v>
      </c>
      <c r="V106" s="32">
        <v>46507</v>
      </c>
    </row>
    <row r="107" spans="2:25" hidden="1" x14ac:dyDescent="0.25">
      <c r="B107" s="38">
        <v>100</v>
      </c>
      <c r="C107" s="36" t="s">
        <v>1328</v>
      </c>
      <c r="D107" s="36" t="s">
        <v>1329</v>
      </c>
      <c r="E107" s="36" t="s">
        <v>1330</v>
      </c>
      <c r="F107" s="36" t="s">
        <v>1331</v>
      </c>
      <c r="G107" s="36" t="s">
        <v>1043</v>
      </c>
      <c r="H107" s="36" t="s">
        <v>1044</v>
      </c>
      <c r="I107" s="36" t="s">
        <v>33</v>
      </c>
      <c r="J107" s="34">
        <v>149.5</v>
      </c>
      <c r="K107" s="34">
        <v>149.5</v>
      </c>
      <c r="L107" s="34">
        <f t="shared" si="6"/>
        <v>0</v>
      </c>
      <c r="M107" s="34" t="s">
        <v>921</v>
      </c>
      <c r="N107" s="34" t="e">
        <f t="shared" si="7"/>
        <v>#VALUE!</v>
      </c>
      <c r="O107" s="34" t="e">
        <f t="shared" si="8"/>
        <v>#VALUE!</v>
      </c>
      <c r="P107" s="34" t="e">
        <f t="shared" si="9"/>
        <v>#VALUE!</v>
      </c>
      <c r="Q107" s="34">
        <f t="shared" si="10"/>
        <v>0</v>
      </c>
      <c r="R107" s="34" t="e">
        <f t="shared" si="11"/>
        <v>#VALUE!</v>
      </c>
      <c r="S107" s="37">
        <v>46310</v>
      </c>
      <c r="T107" s="37">
        <v>46357</v>
      </c>
      <c r="U107" s="37">
        <v>46387</v>
      </c>
      <c r="V107" s="37">
        <v>46476</v>
      </c>
      <c r="W107" s="34"/>
      <c r="X107" s="34"/>
      <c r="Y107" s="34"/>
    </row>
    <row r="108" spans="2:25" hidden="1" x14ac:dyDescent="0.25">
      <c r="B108" s="1">
        <v>101</v>
      </c>
      <c r="C108" s="12" t="s">
        <v>987</v>
      </c>
      <c r="D108" s="12" t="s">
        <v>988</v>
      </c>
      <c r="E108" s="12" t="s">
        <v>925</v>
      </c>
      <c r="F108" s="12" t="s">
        <v>989</v>
      </c>
      <c r="G108" s="12" t="s">
        <v>1043</v>
      </c>
      <c r="H108" s="12" t="s">
        <v>1090</v>
      </c>
      <c r="I108" s="12" t="s">
        <v>33</v>
      </c>
      <c r="K108">
        <v>3.81</v>
      </c>
      <c r="L108">
        <f t="shared" si="6"/>
        <v>-3.81</v>
      </c>
      <c r="M108" t="s">
        <v>921</v>
      </c>
      <c r="N108" t="e">
        <f t="shared" si="7"/>
        <v>#VALUE!</v>
      </c>
      <c r="O108" t="e">
        <f t="shared" si="8"/>
        <v>#VALUE!</v>
      </c>
      <c r="P108" t="e">
        <f t="shared" si="9"/>
        <v>#VALUE!</v>
      </c>
      <c r="Q108">
        <f t="shared" si="10"/>
        <v>0</v>
      </c>
      <c r="R108" t="e">
        <f t="shared" si="11"/>
        <v>#VALUE!</v>
      </c>
      <c r="S108" s="32">
        <v>46371</v>
      </c>
      <c r="T108" s="32">
        <v>46387</v>
      </c>
      <c r="U108" s="32">
        <v>46388</v>
      </c>
      <c r="V108" s="32">
        <v>46476</v>
      </c>
    </row>
    <row r="109" spans="2:25" hidden="1" x14ac:dyDescent="0.25">
      <c r="B109" s="38">
        <v>102</v>
      </c>
      <c r="C109" s="36" t="s">
        <v>1335</v>
      </c>
      <c r="D109" s="36" t="s">
        <v>1336</v>
      </c>
      <c r="E109" s="36" t="s">
        <v>1337</v>
      </c>
      <c r="F109" s="36" t="s">
        <v>1338</v>
      </c>
      <c r="G109" s="36" t="s">
        <v>1043</v>
      </c>
      <c r="H109" s="36" t="s">
        <v>1080</v>
      </c>
      <c r="I109" s="36" t="s">
        <v>33</v>
      </c>
      <c r="J109" s="34">
        <v>27.5</v>
      </c>
      <c r="K109" s="34">
        <v>33.03</v>
      </c>
      <c r="L109" s="34">
        <f t="shared" si="6"/>
        <v>-5.5300000000000011</v>
      </c>
      <c r="M109" s="34" t="s">
        <v>921</v>
      </c>
      <c r="N109" s="34" t="e">
        <f t="shared" si="7"/>
        <v>#VALUE!</v>
      </c>
      <c r="O109" s="34" t="e">
        <f t="shared" si="8"/>
        <v>#VALUE!</v>
      </c>
      <c r="P109" s="34" t="e">
        <f t="shared" si="9"/>
        <v>#VALUE!</v>
      </c>
      <c r="Q109" s="34">
        <f t="shared" si="10"/>
        <v>0</v>
      </c>
      <c r="R109" s="34" t="e">
        <f t="shared" si="11"/>
        <v>#VALUE!</v>
      </c>
      <c r="S109" s="37">
        <v>46372</v>
      </c>
      <c r="T109" s="37">
        <v>46387</v>
      </c>
      <c r="U109" s="37">
        <v>46388</v>
      </c>
      <c r="V109" s="37">
        <v>46538</v>
      </c>
      <c r="W109" s="34"/>
      <c r="X109" s="34"/>
      <c r="Y109" s="34"/>
    </row>
    <row r="110" spans="2:25" hidden="1" x14ac:dyDescent="0.25">
      <c r="B110" s="1">
        <v>103</v>
      </c>
      <c r="C110" s="12" t="s">
        <v>1378</v>
      </c>
      <c r="D110" s="12" t="s">
        <v>1379</v>
      </c>
      <c r="E110" s="12" t="s">
        <v>1194</v>
      </c>
      <c r="F110" s="12" t="s">
        <v>1380</v>
      </c>
      <c r="G110" s="12" t="s">
        <v>1043</v>
      </c>
      <c r="H110" s="12" t="s">
        <v>1044</v>
      </c>
      <c r="I110" s="12" t="s">
        <v>33</v>
      </c>
      <c r="J110">
        <v>187</v>
      </c>
      <c r="K110">
        <v>200</v>
      </c>
      <c r="L110">
        <f t="shared" si="6"/>
        <v>-13</v>
      </c>
      <c r="M110" t="s">
        <v>921</v>
      </c>
      <c r="N110" t="e">
        <f t="shared" si="7"/>
        <v>#VALUE!</v>
      </c>
      <c r="O110" t="e">
        <f t="shared" si="8"/>
        <v>#VALUE!</v>
      </c>
      <c r="P110" t="e">
        <f t="shared" si="9"/>
        <v>#VALUE!</v>
      </c>
      <c r="Q110">
        <f t="shared" si="10"/>
        <v>0</v>
      </c>
      <c r="R110" t="e">
        <f t="shared" si="11"/>
        <v>#VALUE!</v>
      </c>
      <c r="S110" s="32">
        <v>46327</v>
      </c>
      <c r="T110" s="32">
        <v>46387</v>
      </c>
      <c r="U110" s="32">
        <v>46388</v>
      </c>
      <c r="V110" s="32">
        <v>46538</v>
      </c>
    </row>
    <row r="111" spans="2:25" hidden="1" x14ac:dyDescent="0.25">
      <c r="B111" s="38">
        <v>104</v>
      </c>
      <c r="C111" s="36" t="s">
        <v>1370</v>
      </c>
      <c r="D111" s="36" t="s">
        <v>1371</v>
      </c>
      <c r="E111" s="36" t="s">
        <v>1372</v>
      </c>
      <c r="F111" s="36" t="s">
        <v>1373</v>
      </c>
      <c r="G111" s="36" t="s">
        <v>1043</v>
      </c>
      <c r="H111" s="36" t="s">
        <v>1044</v>
      </c>
      <c r="I111" s="36" t="s">
        <v>33</v>
      </c>
      <c r="J111" s="34">
        <v>17.600000000000001</v>
      </c>
      <c r="K111" s="34">
        <v>26.6</v>
      </c>
      <c r="L111" s="34">
        <f t="shared" si="6"/>
        <v>-9</v>
      </c>
      <c r="M111" s="34" t="s">
        <v>921</v>
      </c>
      <c r="N111" s="34" t="e">
        <f t="shared" si="7"/>
        <v>#VALUE!</v>
      </c>
      <c r="O111" s="34" t="e">
        <f t="shared" si="8"/>
        <v>#VALUE!</v>
      </c>
      <c r="P111" s="34" t="e">
        <f t="shared" si="9"/>
        <v>#VALUE!</v>
      </c>
      <c r="Q111" s="34">
        <f t="shared" si="10"/>
        <v>0</v>
      </c>
      <c r="R111" s="34" t="e">
        <f t="shared" si="11"/>
        <v>#VALUE!</v>
      </c>
      <c r="S111" s="37">
        <v>46327</v>
      </c>
      <c r="T111" s="37">
        <v>46388</v>
      </c>
      <c r="U111" s="37">
        <v>46388</v>
      </c>
      <c r="V111" s="37">
        <v>46538</v>
      </c>
      <c r="W111" s="34"/>
      <c r="X111" s="34"/>
      <c r="Y111" s="34"/>
    </row>
    <row r="112" spans="2:25" hidden="1" x14ac:dyDescent="0.25">
      <c r="B112" s="1">
        <v>105</v>
      </c>
      <c r="C112" s="12" t="s">
        <v>1381</v>
      </c>
      <c r="D112" s="12" t="s">
        <v>1077</v>
      </c>
      <c r="E112" s="12" t="s">
        <v>1078</v>
      </c>
      <c r="F112" s="12" t="s">
        <v>1079</v>
      </c>
      <c r="G112" s="12" t="s">
        <v>1043</v>
      </c>
      <c r="H112" s="12" t="s">
        <v>1080</v>
      </c>
      <c r="I112" s="12" t="s">
        <v>33</v>
      </c>
      <c r="J112">
        <v>6.6</v>
      </c>
      <c r="K112">
        <v>6.6</v>
      </c>
      <c r="L112">
        <f t="shared" si="6"/>
        <v>0</v>
      </c>
      <c r="M112" t="s">
        <v>921</v>
      </c>
      <c r="N112" t="e">
        <f t="shared" si="7"/>
        <v>#VALUE!</v>
      </c>
      <c r="O112" t="e">
        <f t="shared" si="8"/>
        <v>#VALUE!</v>
      </c>
      <c r="P112" t="e">
        <f t="shared" si="9"/>
        <v>#VALUE!</v>
      </c>
      <c r="Q112">
        <f t="shared" si="10"/>
        <v>0</v>
      </c>
      <c r="R112" t="e">
        <f t="shared" si="11"/>
        <v>#VALUE!</v>
      </c>
      <c r="S112" s="32">
        <v>46296</v>
      </c>
      <c r="T112" s="32">
        <v>46387</v>
      </c>
      <c r="U112" s="32">
        <v>46388</v>
      </c>
      <c r="V112" s="32">
        <v>46538</v>
      </c>
    </row>
    <row r="113" spans="2:25" hidden="1" x14ac:dyDescent="0.25">
      <c r="B113" s="38">
        <v>106</v>
      </c>
      <c r="C113" s="36" t="s">
        <v>1418</v>
      </c>
      <c r="D113" s="36" t="s">
        <v>1419</v>
      </c>
      <c r="E113" s="36" t="s">
        <v>945</v>
      </c>
      <c r="F113" s="36" t="s">
        <v>1420</v>
      </c>
      <c r="G113" s="36" t="s">
        <v>1043</v>
      </c>
      <c r="H113" s="36" t="s">
        <v>33</v>
      </c>
      <c r="I113" s="36" t="s">
        <v>33</v>
      </c>
      <c r="J113" s="34"/>
      <c r="K113" s="34">
        <v>9</v>
      </c>
      <c r="L113" s="34">
        <f t="shared" si="6"/>
        <v>-9</v>
      </c>
      <c r="M113" s="34" t="s">
        <v>921</v>
      </c>
      <c r="N113" s="34" t="e">
        <f t="shared" si="7"/>
        <v>#VALUE!</v>
      </c>
      <c r="O113" s="34" t="e">
        <f t="shared" si="8"/>
        <v>#VALUE!</v>
      </c>
      <c r="P113" s="34" t="e">
        <f t="shared" si="9"/>
        <v>#VALUE!</v>
      </c>
      <c r="Q113" s="34">
        <f t="shared" si="10"/>
        <v>0</v>
      </c>
      <c r="R113" s="34" t="e">
        <f t="shared" si="11"/>
        <v>#VALUE!</v>
      </c>
      <c r="S113" s="34"/>
      <c r="T113" s="34"/>
      <c r="U113" s="37">
        <v>46266</v>
      </c>
      <c r="V113" s="37">
        <v>46295</v>
      </c>
      <c r="W113" s="34"/>
      <c r="X113" s="34"/>
      <c r="Y113" s="34"/>
    </row>
    <row r="114" spans="2:25" x14ac:dyDescent="0.25">
      <c r="B114" s="1">
        <v>107</v>
      </c>
      <c r="C114" s="12" t="s">
        <v>1004</v>
      </c>
      <c r="D114" s="12" t="s">
        <v>1005</v>
      </c>
      <c r="E114" s="12" t="s">
        <v>937</v>
      </c>
      <c r="F114" s="12" t="s">
        <v>1006</v>
      </c>
      <c r="G114" s="12" t="s">
        <v>1043</v>
      </c>
      <c r="H114" s="12" t="s">
        <v>916</v>
      </c>
      <c r="I114" s="12" t="s">
        <v>911</v>
      </c>
      <c r="J114">
        <v>33</v>
      </c>
      <c r="K114">
        <v>37.47</v>
      </c>
      <c r="L114">
        <f t="shared" si="6"/>
        <v>-4.4699999999999989</v>
      </c>
      <c r="M114" t="s">
        <v>921</v>
      </c>
      <c r="N114" t="e">
        <f t="shared" si="7"/>
        <v>#VALUE!</v>
      </c>
      <c r="O114" t="e">
        <f t="shared" si="8"/>
        <v>#VALUE!</v>
      </c>
      <c r="P114" t="e">
        <f t="shared" si="9"/>
        <v>#VALUE!</v>
      </c>
      <c r="Q114">
        <f t="shared" si="10"/>
        <v>0</v>
      </c>
      <c r="R114" t="e">
        <f t="shared" si="11"/>
        <v>#VALUE!</v>
      </c>
      <c r="S114" s="32">
        <v>46371</v>
      </c>
      <c r="T114" s="32">
        <v>46387</v>
      </c>
      <c r="U114" s="32">
        <v>46388</v>
      </c>
      <c r="V114" s="32">
        <v>46477</v>
      </c>
    </row>
    <row r="115" spans="2:25" hidden="1" x14ac:dyDescent="0.25">
      <c r="B115" s="38">
        <v>108</v>
      </c>
      <c r="C115" s="36" t="s">
        <v>1396</v>
      </c>
      <c r="D115" s="36" t="s">
        <v>1397</v>
      </c>
      <c r="E115" s="36" t="s">
        <v>1398</v>
      </c>
      <c r="F115" s="36" t="s">
        <v>1399</v>
      </c>
      <c r="G115" s="36" t="s">
        <v>1043</v>
      </c>
      <c r="H115" s="36" t="s">
        <v>1080</v>
      </c>
      <c r="I115" s="36" t="s">
        <v>33</v>
      </c>
      <c r="J115" s="34">
        <v>66</v>
      </c>
      <c r="K115" s="34">
        <v>92.43</v>
      </c>
      <c r="L115" s="34">
        <f t="shared" si="6"/>
        <v>-26.430000000000007</v>
      </c>
      <c r="M115" s="34" t="s">
        <v>921</v>
      </c>
      <c r="N115" s="34" t="e">
        <f t="shared" si="7"/>
        <v>#VALUE!</v>
      </c>
      <c r="O115" s="34" t="e">
        <f t="shared" si="8"/>
        <v>#VALUE!</v>
      </c>
      <c r="P115" s="34" t="e">
        <f t="shared" si="9"/>
        <v>#VALUE!</v>
      </c>
      <c r="Q115" s="34">
        <f t="shared" si="10"/>
        <v>0</v>
      </c>
      <c r="R115" s="34" t="e">
        <f t="shared" si="11"/>
        <v>#VALUE!</v>
      </c>
      <c r="S115" s="37">
        <v>46371</v>
      </c>
      <c r="T115" s="37">
        <v>46387</v>
      </c>
      <c r="U115" s="37">
        <v>46388</v>
      </c>
      <c r="V115" s="37">
        <v>46507</v>
      </c>
      <c r="W115" s="34"/>
      <c r="X115" s="34"/>
      <c r="Y115" s="34"/>
    </row>
    <row r="116" spans="2:25" hidden="1" x14ac:dyDescent="0.25">
      <c r="B116" s="1">
        <v>109</v>
      </c>
      <c r="C116" s="12" t="s">
        <v>1404</v>
      </c>
      <c r="D116" s="12" t="s">
        <v>1405</v>
      </c>
      <c r="E116" s="12" t="s">
        <v>1406</v>
      </c>
      <c r="F116" s="12" t="s">
        <v>1407</v>
      </c>
      <c r="G116" s="12" t="s">
        <v>1043</v>
      </c>
      <c r="H116" s="12" t="s">
        <v>1080</v>
      </c>
      <c r="I116" s="12" t="s">
        <v>33</v>
      </c>
      <c r="J116">
        <v>48.4</v>
      </c>
      <c r="K116">
        <v>49.5</v>
      </c>
      <c r="L116">
        <f t="shared" si="6"/>
        <v>-1.1000000000000014</v>
      </c>
      <c r="M116" t="s">
        <v>921</v>
      </c>
      <c r="N116" t="e">
        <f t="shared" si="7"/>
        <v>#VALUE!</v>
      </c>
      <c r="O116" t="e">
        <f t="shared" si="8"/>
        <v>#VALUE!</v>
      </c>
      <c r="P116" t="e">
        <f t="shared" si="9"/>
        <v>#VALUE!</v>
      </c>
      <c r="Q116">
        <f t="shared" si="10"/>
        <v>0</v>
      </c>
      <c r="R116" t="e">
        <f t="shared" si="11"/>
        <v>#VALUE!</v>
      </c>
      <c r="S116" s="32">
        <v>46480</v>
      </c>
      <c r="T116" s="32">
        <v>46482</v>
      </c>
      <c r="U116" s="32">
        <v>46483</v>
      </c>
      <c r="V116" s="32">
        <v>46507</v>
      </c>
    </row>
    <row r="117" spans="2:25" hidden="1" x14ac:dyDescent="0.25">
      <c r="B117" s="38">
        <v>110</v>
      </c>
      <c r="C117" s="36" t="s">
        <v>1425</v>
      </c>
      <c r="D117" s="36" t="s">
        <v>1426</v>
      </c>
      <c r="E117" s="36" t="s">
        <v>1427</v>
      </c>
      <c r="F117" s="36" t="s">
        <v>1428</v>
      </c>
      <c r="G117" s="36" t="s">
        <v>1043</v>
      </c>
      <c r="H117" s="36" t="s">
        <v>1044</v>
      </c>
      <c r="I117" s="36" t="s">
        <v>33</v>
      </c>
      <c r="J117" s="34">
        <v>18.27</v>
      </c>
      <c r="K117" s="34">
        <v>18.27</v>
      </c>
      <c r="L117" s="34">
        <f t="shared" si="6"/>
        <v>0</v>
      </c>
      <c r="M117" s="34" t="s">
        <v>921</v>
      </c>
      <c r="N117" s="34" t="e">
        <f t="shared" si="7"/>
        <v>#VALUE!</v>
      </c>
      <c r="O117" s="34" t="e">
        <f t="shared" si="8"/>
        <v>#VALUE!</v>
      </c>
      <c r="P117" s="34" t="e">
        <f t="shared" si="9"/>
        <v>#VALUE!</v>
      </c>
      <c r="Q117" s="34">
        <f t="shared" si="10"/>
        <v>0</v>
      </c>
      <c r="R117" s="34" t="e">
        <f t="shared" si="11"/>
        <v>#VALUE!</v>
      </c>
      <c r="S117" s="37">
        <v>46371</v>
      </c>
      <c r="T117" s="37">
        <v>46387</v>
      </c>
      <c r="U117" s="37">
        <v>46388</v>
      </c>
      <c r="V117" s="37">
        <v>46499</v>
      </c>
      <c r="W117" s="34"/>
      <c r="X117" s="34"/>
      <c r="Y117" s="34"/>
    </row>
    <row r="118" spans="2:25" hidden="1" x14ac:dyDescent="0.25">
      <c r="B118" s="1">
        <v>111</v>
      </c>
      <c r="C118" s="12" t="s">
        <v>1358</v>
      </c>
      <c r="D118" s="12" t="s">
        <v>1359</v>
      </c>
      <c r="E118" s="12" t="s">
        <v>1360</v>
      </c>
      <c r="F118" s="12" t="s">
        <v>1361</v>
      </c>
      <c r="G118" s="12" t="s">
        <v>1043</v>
      </c>
      <c r="H118" s="12" t="s">
        <v>1362</v>
      </c>
      <c r="I118" s="12" t="s">
        <v>33</v>
      </c>
      <c r="J118">
        <v>24</v>
      </c>
      <c r="K118">
        <v>24</v>
      </c>
      <c r="L118">
        <f t="shared" si="6"/>
        <v>0</v>
      </c>
      <c r="M118" t="s">
        <v>921</v>
      </c>
      <c r="N118" t="e">
        <f t="shared" si="7"/>
        <v>#VALUE!</v>
      </c>
      <c r="O118" t="e">
        <f t="shared" si="8"/>
        <v>#VALUE!</v>
      </c>
      <c r="P118" t="e">
        <f t="shared" si="9"/>
        <v>#VALUE!</v>
      </c>
      <c r="Q118">
        <f t="shared" si="10"/>
        <v>0</v>
      </c>
      <c r="R118" t="e">
        <f t="shared" si="11"/>
        <v>#VALUE!</v>
      </c>
      <c r="U118" s="32">
        <v>45924</v>
      </c>
      <c r="V118" s="32">
        <v>45924</v>
      </c>
    </row>
    <row r="119" spans="2:25" hidden="1" x14ac:dyDescent="0.25">
      <c r="B119" s="38">
        <v>112</v>
      </c>
      <c r="C119" s="36" t="s">
        <v>1409</v>
      </c>
      <c r="D119" s="36" t="s">
        <v>1410</v>
      </c>
      <c r="E119" s="36" t="s">
        <v>1411</v>
      </c>
      <c r="F119" s="36" t="s">
        <v>1412</v>
      </c>
      <c r="G119" s="36" t="s">
        <v>1043</v>
      </c>
      <c r="H119" s="36" t="s">
        <v>1044</v>
      </c>
      <c r="I119" s="36" t="s">
        <v>33</v>
      </c>
      <c r="J119" s="34"/>
      <c r="K119" s="34">
        <v>4</v>
      </c>
      <c r="L119" s="34">
        <f t="shared" si="6"/>
        <v>-4</v>
      </c>
      <c r="M119" s="34" t="s">
        <v>921</v>
      </c>
      <c r="N119" s="34" t="e">
        <f t="shared" si="7"/>
        <v>#VALUE!</v>
      </c>
      <c r="O119" s="34" t="e">
        <f t="shared" si="8"/>
        <v>#VALUE!</v>
      </c>
      <c r="P119" s="34" t="e">
        <f t="shared" si="9"/>
        <v>#VALUE!</v>
      </c>
      <c r="Q119" s="34">
        <f t="shared" si="10"/>
        <v>0</v>
      </c>
      <c r="R119" s="34" t="e">
        <f t="shared" si="11"/>
        <v>#VALUE!</v>
      </c>
      <c r="S119" s="34"/>
      <c r="T119" s="34"/>
      <c r="U119" s="37">
        <v>46162</v>
      </c>
      <c r="V119" s="37">
        <v>46162</v>
      </c>
      <c r="W119" s="34"/>
      <c r="X119" s="34"/>
      <c r="Y119" s="34"/>
    </row>
    <row r="120" spans="2:25" hidden="1" x14ac:dyDescent="0.25">
      <c r="B120" s="1">
        <v>113</v>
      </c>
      <c r="C120" s="12" t="s">
        <v>1413</v>
      </c>
      <c r="D120" s="12" t="s">
        <v>1414</v>
      </c>
      <c r="E120" s="12" t="s">
        <v>1415</v>
      </c>
      <c r="F120" s="12" t="s">
        <v>1416</v>
      </c>
      <c r="G120" s="12" t="s">
        <v>1043</v>
      </c>
      <c r="H120" s="12" t="s">
        <v>1090</v>
      </c>
      <c r="I120" s="12" t="s">
        <v>33</v>
      </c>
      <c r="J120">
        <v>5</v>
      </c>
      <c r="K120">
        <v>5</v>
      </c>
      <c r="L120">
        <f t="shared" si="6"/>
        <v>0</v>
      </c>
      <c r="M120" t="s">
        <v>921</v>
      </c>
      <c r="N120" t="e">
        <f t="shared" si="7"/>
        <v>#VALUE!</v>
      </c>
      <c r="O120" t="e">
        <f t="shared" si="8"/>
        <v>#VALUE!</v>
      </c>
      <c r="P120" t="e">
        <f t="shared" si="9"/>
        <v>#VALUE!</v>
      </c>
      <c r="Q120">
        <f t="shared" si="10"/>
        <v>0</v>
      </c>
      <c r="R120" t="e">
        <f t="shared" si="11"/>
        <v>#VALUE!</v>
      </c>
      <c r="U120" s="32">
        <v>46163</v>
      </c>
      <c r="V120" s="32">
        <v>46163</v>
      </c>
    </row>
    <row r="121" spans="2:25" hidden="1" x14ac:dyDescent="0.25">
      <c r="B121" s="38">
        <v>114</v>
      </c>
      <c r="C121" s="36" t="s">
        <v>1363</v>
      </c>
      <c r="D121" s="36" t="s">
        <v>1364</v>
      </c>
      <c r="E121" s="36" t="s">
        <v>1041</v>
      </c>
      <c r="F121" s="36" t="s">
        <v>1365</v>
      </c>
      <c r="G121" s="36" t="s">
        <v>1043</v>
      </c>
      <c r="H121" s="36" t="s">
        <v>1044</v>
      </c>
      <c r="I121" s="36" t="s">
        <v>33</v>
      </c>
      <c r="J121" s="34"/>
      <c r="K121" s="34">
        <v>2.74</v>
      </c>
      <c r="L121" s="34">
        <f t="shared" si="6"/>
        <v>-2.74</v>
      </c>
      <c r="M121" s="34" t="s">
        <v>921</v>
      </c>
      <c r="N121" s="34" t="e">
        <f t="shared" si="7"/>
        <v>#VALUE!</v>
      </c>
      <c r="O121" s="34" t="e">
        <f t="shared" si="8"/>
        <v>#VALUE!</v>
      </c>
      <c r="P121" s="34" t="e">
        <f t="shared" si="9"/>
        <v>#VALUE!</v>
      </c>
      <c r="Q121" s="34">
        <f t="shared" si="10"/>
        <v>0</v>
      </c>
      <c r="R121" s="34" t="e">
        <f t="shared" si="11"/>
        <v>#VALUE!</v>
      </c>
      <c r="S121" s="37">
        <v>46428</v>
      </c>
      <c r="T121" s="37">
        <v>46429</v>
      </c>
      <c r="U121" s="37">
        <v>46441</v>
      </c>
      <c r="V121" s="37">
        <v>46477</v>
      </c>
      <c r="W121" s="34"/>
      <c r="X121" s="34"/>
      <c r="Y121" s="34"/>
    </row>
    <row r="122" spans="2:25" x14ac:dyDescent="0.25">
      <c r="B122" s="1">
        <v>115</v>
      </c>
      <c r="C122" s="12" t="s">
        <v>1010</v>
      </c>
      <c r="D122" s="12" t="s">
        <v>1011</v>
      </c>
      <c r="E122" s="12" t="s">
        <v>972</v>
      </c>
      <c r="F122" s="12" t="s">
        <v>1012</v>
      </c>
      <c r="G122" s="12" t="s">
        <v>1043</v>
      </c>
      <c r="H122" s="12" t="s">
        <v>916</v>
      </c>
      <c r="I122" s="12" t="s">
        <v>911</v>
      </c>
      <c r="J122">
        <v>106.49</v>
      </c>
      <c r="K122">
        <v>106.49</v>
      </c>
      <c r="L122">
        <f t="shared" si="6"/>
        <v>0</v>
      </c>
      <c r="M122" t="s">
        <v>921</v>
      </c>
      <c r="N122" t="e">
        <f t="shared" si="7"/>
        <v>#VALUE!</v>
      </c>
      <c r="O122" t="e">
        <f t="shared" si="8"/>
        <v>#VALUE!</v>
      </c>
      <c r="P122" t="e">
        <f t="shared" si="9"/>
        <v>#VALUE!</v>
      </c>
      <c r="Q122">
        <f t="shared" si="10"/>
        <v>0</v>
      </c>
      <c r="R122" t="e">
        <f t="shared" si="11"/>
        <v>#VALUE!</v>
      </c>
      <c r="S122" s="32">
        <v>46386</v>
      </c>
      <c r="T122" s="32">
        <v>46387</v>
      </c>
      <c r="U122" s="32">
        <v>46388</v>
      </c>
      <c r="V122" s="32">
        <v>46525</v>
      </c>
    </row>
    <row r="123" spans="2:25" hidden="1" x14ac:dyDescent="0.25">
      <c r="B123" s="38">
        <v>116</v>
      </c>
      <c r="C123" s="36" t="s">
        <v>1385</v>
      </c>
      <c r="D123" s="36" t="s">
        <v>1386</v>
      </c>
      <c r="E123" s="36" t="s">
        <v>938</v>
      </c>
      <c r="F123" s="36" t="s">
        <v>1387</v>
      </c>
      <c r="G123" s="36" t="s">
        <v>1043</v>
      </c>
      <c r="H123" s="36" t="s">
        <v>912</v>
      </c>
      <c r="I123" s="36" t="s">
        <v>33</v>
      </c>
      <c r="J123" s="34">
        <v>25.3</v>
      </c>
      <c r="K123" s="34">
        <v>25.3</v>
      </c>
      <c r="L123" s="34">
        <f t="shared" si="6"/>
        <v>0</v>
      </c>
      <c r="M123" s="34" t="s">
        <v>921</v>
      </c>
      <c r="N123" s="34" t="e">
        <f t="shared" si="7"/>
        <v>#VALUE!</v>
      </c>
      <c r="O123" s="34" t="e">
        <f t="shared" si="8"/>
        <v>#VALUE!</v>
      </c>
      <c r="P123" s="34" t="e">
        <f t="shared" si="9"/>
        <v>#VALUE!</v>
      </c>
      <c r="Q123" s="34">
        <f t="shared" si="10"/>
        <v>0</v>
      </c>
      <c r="R123" s="34" t="e">
        <f t="shared" si="11"/>
        <v>#VALUE!</v>
      </c>
      <c r="S123" s="37">
        <v>46371</v>
      </c>
      <c r="T123" s="37">
        <v>46387</v>
      </c>
      <c r="U123" s="37">
        <v>46388</v>
      </c>
      <c r="V123" s="37">
        <v>46476</v>
      </c>
      <c r="W123" s="34"/>
      <c r="X123" s="34"/>
      <c r="Y123" s="34"/>
    </row>
    <row r="124" spans="2:25" hidden="1" x14ac:dyDescent="0.25">
      <c r="B124" s="1">
        <v>117</v>
      </c>
      <c r="C124" s="12" t="s">
        <v>1007</v>
      </c>
      <c r="D124" s="12" t="s">
        <v>1008</v>
      </c>
      <c r="E124" s="12" t="s">
        <v>931</v>
      </c>
      <c r="F124" s="12" t="s">
        <v>1009</v>
      </c>
      <c r="G124" s="12" t="s">
        <v>1043</v>
      </c>
      <c r="H124" s="12" t="s">
        <v>1090</v>
      </c>
      <c r="I124" s="12" t="s">
        <v>33</v>
      </c>
      <c r="J124">
        <v>90.62</v>
      </c>
      <c r="K124">
        <v>90.62</v>
      </c>
      <c r="L124">
        <f t="shared" si="6"/>
        <v>0</v>
      </c>
      <c r="M124" t="s">
        <v>921</v>
      </c>
      <c r="N124" t="e">
        <f t="shared" si="7"/>
        <v>#VALUE!</v>
      </c>
      <c r="O124" t="e">
        <f t="shared" si="8"/>
        <v>#VALUE!</v>
      </c>
      <c r="P124" t="e">
        <f t="shared" si="9"/>
        <v>#VALUE!</v>
      </c>
      <c r="Q124">
        <f t="shared" si="10"/>
        <v>0</v>
      </c>
      <c r="R124" t="e">
        <f t="shared" si="11"/>
        <v>#VALUE!</v>
      </c>
      <c r="S124" s="32">
        <v>46371</v>
      </c>
      <c r="T124" s="32">
        <v>46387</v>
      </c>
      <c r="U124" s="32">
        <v>46388</v>
      </c>
      <c r="V124" s="32">
        <v>46477</v>
      </c>
    </row>
    <row r="125" spans="2:25" hidden="1" x14ac:dyDescent="0.25">
      <c r="B125" s="38">
        <v>118</v>
      </c>
      <c r="C125" s="36" t="s">
        <v>1382</v>
      </c>
      <c r="D125" s="36" t="s">
        <v>1383</v>
      </c>
      <c r="E125" s="36" t="s">
        <v>1097</v>
      </c>
      <c r="F125" s="36" t="s">
        <v>1384</v>
      </c>
      <c r="G125" s="36" t="s">
        <v>1043</v>
      </c>
      <c r="H125" s="36" t="s">
        <v>33</v>
      </c>
      <c r="I125" s="36" t="s">
        <v>33</v>
      </c>
      <c r="J125" s="34">
        <v>94.6</v>
      </c>
      <c r="K125" s="34">
        <v>94.6</v>
      </c>
      <c r="L125" s="34">
        <f t="shared" si="6"/>
        <v>0</v>
      </c>
      <c r="M125" s="34" t="s">
        <v>921</v>
      </c>
      <c r="N125" s="34" t="e">
        <f t="shared" si="7"/>
        <v>#VALUE!</v>
      </c>
      <c r="O125" s="34" t="e">
        <f t="shared" si="8"/>
        <v>#VALUE!</v>
      </c>
      <c r="P125" s="34" t="e">
        <f t="shared" si="9"/>
        <v>#VALUE!</v>
      </c>
      <c r="Q125" s="34">
        <f t="shared" si="10"/>
        <v>0</v>
      </c>
      <c r="R125" s="34" t="e">
        <f t="shared" si="11"/>
        <v>#VALUE!</v>
      </c>
      <c r="S125" s="34"/>
      <c r="T125" s="34"/>
      <c r="U125" s="37">
        <v>46405</v>
      </c>
      <c r="V125" s="37">
        <v>46437</v>
      </c>
      <c r="W125" s="34"/>
      <c r="X125" s="34"/>
      <c r="Y125" s="34"/>
    </row>
    <row r="126" spans="2:25" hidden="1" x14ac:dyDescent="0.25">
      <c r="B126" s="1">
        <v>119</v>
      </c>
      <c r="C126" s="12" t="s">
        <v>1408</v>
      </c>
      <c r="D126" s="12" t="s">
        <v>1141</v>
      </c>
      <c r="E126" s="12" t="s">
        <v>1142</v>
      </c>
      <c r="F126" s="12" t="s">
        <v>1143</v>
      </c>
      <c r="G126" s="12" t="s">
        <v>1043</v>
      </c>
      <c r="H126" s="12" t="s">
        <v>1080</v>
      </c>
      <c r="I126" s="12" t="s">
        <v>33</v>
      </c>
      <c r="J126">
        <v>60.5</v>
      </c>
      <c r="K126">
        <v>48.52</v>
      </c>
      <c r="L126">
        <f t="shared" si="6"/>
        <v>11.979999999999997</v>
      </c>
      <c r="M126" t="s">
        <v>921</v>
      </c>
      <c r="N126" t="e">
        <f t="shared" si="7"/>
        <v>#VALUE!</v>
      </c>
      <c r="O126" t="e">
        <f t="shared" si="8"/>
        <v>#VALUE!</v>
      </c>
      <c r="P126" t="e">
        <f t="shared" si="9"/>
        <v>#VALUE!</v>
      </c>
      <c r="Q126">
        <f t="shared" si="10"/>
        <v>0</v>
      </c>
      <c r="R126" t="e">
        <f t="shared" si="11"/>
        <v>#VALUE!</v>
      </c>
      <c r="S126" s="32">
        <v>46371</v>
      </c>
      <c r="T126" s="32">
        <v>46387</v>
      </c>
      <c r="U126" s="32">
        <v>46388</v>
      </c>
      <c r="V126" s="32">
        <v>46477</v>
      </c>
    </row>
    <row r="127" spans="2:25" hidden="1" x14ac:dyDescent="0.25">
      <c r="B127" s="38">
        <v>120</v>
      </c>
      <c r="C127" s="36" t="s">
        <v>1019</v>
      </c>
      <c r="D127" s="36" t="s">
        <v>1020</v>
      </c>
      <c r="E127" s="36" t="s">
        <v>1021</v>
      </c>
      <c r="F127" s="36" t="s">
        <v>1022</v>
      </c>
      <c r="G127" s="36" t="s">
        <v>1043</v>
      </c>
      <c r="H127" s="36" t="s">
        <v>1090</v>
      </c>
      <c r="I127" s="36" t="s">
        <v>33</v>
      </c>
      <c r="J127" s="34">
        <v>16.5</v>
      </c>
      <c r="K127" s="34">
        <v>16.239999999999998</v>
      </c>
      <c r="L127" s="34">
        <f t="shared" si="6"/>
        <v>0.26000000000000156</v>
      </c>
      <c r="M127" s="34" t="s">
        <v>921</v>
      </c>
      <c r="N127" s="34" t="e">
        <f t="shared" si="7"/>
        <v>#VALUE!</v>
      </c>
      <c r="O127" s="34" t="e">
        <f t="shared" si="8"/>
        <v>#VALUE!</v>
      </c>
      <c r="P127" s="34" t="e">
        <f t="shared" si="9"/>
        <v>#VALUE!</v>
      </c>
      <c r="Q127" s="34">
        <f t="shared" si="10"/>
        <v>0</v>
      </c>
      <c r="R127" s="34" t="e">
        <f t="shared" si="11"/>
        <v>#VALUE!</v>
      </c>
      <c r="S127" s="37">
        <v>46371</v>
      </c>
      <c r="T127" s="37">
        <v>46387</v>
      </c>
      <c r="U127" s="37">
        <v>46388</v>
      </c>
      <c r="V127" s="37">
        <v>46477</v>
      </c>
      <c r="W127" s="34"/>
      <c r="X127" s="34"/>
      <c r="Y127" s="34"/>
    </row>
    <row r="128" spans="2:25" hidden="1" x14ac:dyDescent="0.25">
      <c r="B128" s="1">
        <v>121</v>
      </c>
      <c r="C128" s="12" t="s">
        <v>1392</v>
      </c>
      <c r="D128" s="12" t="s">
        <v>1393</v>
      </c>
      <c r="E128" s="12" t="s">
        <v>1394</v>
      </c>
      <c r="F128" s="12" t="s">
        <v>1395</v>
      </c>
      <c r="G128" s="12" t="s">
        <v>1043</v>
      </c>
      <c r="H128" s="12" t="s">
        <v>1044</v>
      </c>
      <c r="I128" s="12" t="s">
        <v>33</v>
      </c>
      <c r="J128">
        <v>16.5</v>
      </c>
      <c r="K128">
        <v>19.420000000000002</v>
      </c>
      <c r="L128">
        <f t="shared" si="6"/>
        <v>-2.9200000000000017</v>
      </c>
      <c r="M128" t="s">
        <v>921</v>
      </c>
      <c r="N128" t="e">
        <f t="shared" si="7"/>
        <v>#VALUE!</v>
      </c>
      <c r="O128" t="e">
        <f t="shared" si="8"/>
        <v>#VALUE!</v>
      </c>
      <c r="P128" t="e">
        <f t="shared" si="9"/>
        <v>#VALUE!</v>
      </c>
      <c r="Q128">
        <f t="shared" si="10"/>
        <v>0</v>
      </c>
      <c r="R128" t="e">
        <f t="shared" si="11"/>
        <v>#VALUE!</v>
      </c>
      <c r="S128" s="32">
        <v>46371</v>
      </c>
      <c r="T128" s="32">
        <v>46387</v>
      </c>
      <c r="U128" s="32">
        <v>46388</v>
      </c>
      <c r="V128" s="32">
        <v>46508</v>
      </c>
    </row>
    <row r="129" spans="2:25" hidden="1" x14ac:dyDescent="0.25">
      <c r="B129" s="38">
        <v>122</v>
      </c>
      <c r="C129" s="36" t="s">
        <v>1388</v>
      </c>
      <c r="D129" s="36" t="s">
        <v>1389</v>
      </c>
      <c r="E129" s="36" t="s">
        <v>1390</v>
      </c>
      <c r="F129" s="36" t="s">
        <v>1391</v>
      </c>
      <c r="G129" s="36" t="s">
        <v>1043</v>
      </c>
      <c r="H129" s="36" t="s">
        <v>1089</v>
      </c>
      <c r="I129" s="36" t="s">
        <v>33</v>
      </c>
      <c r="J129" s="34">
        <v>150.69999999999999</v>
      </c>
      <c r="K129" s="34">
        <v>154.87</v>
      </c>
      <c r="L129" s="34">
        <f t="shared" si="6"/>
        <v>-4.1700000000000159</v>
      </c>
      <c r="M129" s="34" t="s">
        <v>921</v>
      </c>
      <c r="N129" s="34" t="e">
        <f t="shared" si="7"/>
        <v>#VALUE!</v>
      </c>
      <c r="O129" s="34" t="e">
        <f t="shared" si="8"/>
        <v>#VALUE!</v>
      </c>
      <c r="P129" s="34" t="e">
        <f t="shared" si="9"/>
        <v>#VALUE!</v>
      </c>
      <c r="Q129" s="34">
        <f t="shared" si="10"/>
        <v>0</v>
      </c>
      <c r="R129" s="34" t="e">
        <f t="shared" si="11"/>
        <v>#VALUE!</v>
      </c>
      <c r="S129" s="37">
        <v>46388</v>
      </c>
      <c r="T129" s="37">
        <v>46477</v>
      </c>
      <c r="U129" s="37">
        <v>46388</v>
      </c>
      <c r="V129" s="37">
        <v>46477</v>
      </c>
      <c r="W129" s="34"/>
      <c r="X129" s="34"/>
      <c r="Y129" s="34"/>
    </row>
    <row r="130" spans="2:25" hidden="1" x14ac:dyDescent="0.25">
      <c r="B130" s="1">
        <v>123</v>
      </c>
      <c r="C130" s="12" t="s">
        <v>1400</v>
      </c>
      <c r="D130" s="12" t="s">
        <v>1401</v>
      </c>
      <c r="E130" s="12" t="s">
        <v>1402</v>
      </c>
      <c r="F130" s="12" t="s">
        <v>1403</v>
      </c>
      <c r="G130" s="12" t="s">
        <v>1043</v>
      </c>
      <c r="H130" s="12" t="s">
        <v>1080</v>
      </c>
      <c r="I130" s="12" t="s">
        <v>33</v>
      </c>
      <c r="J130">
        <v>27.5</v>
      </c>
      <c r="K130">
        <v>38.03</v>
      </c>
      <c r="L130">
        <f t="shared" si="6"/>
        <v>-10.530000000000001</v>
      </c>
      <c r="M130" t="s">
        <v>921</v>
      </c>
      <c r="N130" t="e">
        <f t="shared" si="7"/>
        <v>#VALUE!</v>
      </c>
      <c r="O130" t="e">
        <f t="shared" si="8"/>
        <v>#VALUE!</v>
      </c>
      <c r="P130" t="e">
        <f t="shared" si="9"/>
        <v>#VALUE!</v>
      </c>
      <c r="Q130">
        <f t="shared" si="10"/>
        <v>0</v>
      </c>
      <c r="R130" t="e">
        <f t="shared" si="11"/>
        <v>#VALUE!</v>
      </c>
      <c r="S130" s="32">
        <v>46336</v>
      </c>
      <c r="T130" s="32">
        <v>46387</v>
      </c>
      <c r="U130" s="32">
        <v>46388</v>
      </c>
      <c r="V130" s="32">
        <v>46473</v>
      </c>
    </row>
    <row r="131" spans="2:25" hidden="1" x14ac:dyDescent="0.25">
      <c r="B131" s="38">
        <v>124</v>
      </c>
      <c r="C131" s="36" t="s">
        <v>1437</v>
      </c>
      <c r="D131" s="36" t="s">
        <v>1438</v>
      </c>
      <c r="E131" s="36" t="s">
        <v>1023</v>
      </c>
      <c r="F131" s="36" t="s">
        <v>1439</v>
      </c>
      <c r="G131" s="36" t="s">
        <v>1043</v>
      </c>
      <c r="H131" s="36" t="s">
        <v>1080</v>
      </c>
      <c r="I131" s="36" t="s">
        <v>1135</v>
      </c>
      <c r="J131" s="34">
        <v>151.25</v>
      </c>
      <c r="K131" s="34">
        <v>156</v>
      </c>
      <c r="L131" s="34">
        <f t="shared" si="6"/>
        <v>-4.75</v>
      </c>
      <c r="M131" s="34" t="s">
        <v>921</v>
      </c>
      <c r="N131" s="34" t="e">
        <f t="shared" si="7"/>
        <v>#VALUE!</v>
      </c>
      <c r="O131" s="34" t="e">
        <f t="shared" si="8"/>
        <v>#VALUE!</v>
      </c>
      <c r="P131" s="34" t="e">
        <f t="shared" si="9"/>
        <v>#VALUE!</v>
      </c>
      <c r="Q131" s="34">
        <f t="shared" si="10"/>
        <v>0</v>
      </c>
      <c r="R131" s="34" t="e">
        <f t="shared" si="11"/>
        <v>#VALUE!</v>
      </c>
      <c r="S131" s="37">
        <v>46232</v>
      </c>
      <c r="T131" s="37">
        <v>46234</v>
      </c>
      <c r="U131" s="37">
        <v>46234</v>
      </c>
      <c r="V131" s="37">
        <v>46568</v>
      </c>
      <c r="W131" s="34"/>
      <c r="X131" s="34"/>
      <c r="Y131" s="34"/>
    </row>
    <row r="132" spans="2:25" hidden="1" x14ac:dyDescent="0.25">
      <c r="B132" s="1">
        <v>125</v>
      </c>
      <c r="C132" s="12" t="s">
        <v>1440</v>
      </c>
      <c r="D132" s="12" t="s">
        <v>1441</v>
      </c>
      <c r="E132" s="12" t="s">
        <v>1023</v>
      </c>
      <c r="F132" s="12" t="s">
        <v>1442</v>
      </c>
      <c r="G132" s="12" t="s">
        <v>1043</v>
      </c>
      <c r="H132" s="12" t="s">
        <v>1080</v>
      </c>
      <c r="I132" s="12" t="s">
        <v>1135</v>
      </c>
      <c r="J132">
        <v>159.5</v>
      </c>
      <c r="K132">
        <v>163</v>
      </c>
      <c r="L132">
        <f t="shared" si="6"/>
        <v>-3.5</v>
      </c>
      <c r="M132" t="s">
        <v>921</v>
      </c>
      <c r="N132" t="e">
        <f t="shared" si="7"/>
        <v>#VALUE!</v>
      </c>
      <c r="O132" t="e">
        <f t="shared" si="8"/>
        <v>#VALUE!</v>
      </c>
      <c r="P132" t="e">
        <f t="shared" si="9"/>
        <v>#VALUE!</v>
      </c>
      <c r="Q132">
        <f t="shared" si="10"/>
        <v>0</v>
      </c>
      <c r="R132" t="e">
        <f t="shared" si="11"/>
        <v>#VALUE!</v>
      </c>
      <c r="S132" s="32">
        <v>46232</v>
      </c>
      <c r="T132" s="32">
        <v>46234</v>
      </c>
      <c r="U132" s="32">
        <v>46234</v>
      </c>
      <c r="V132" s="32">
        <v>46568</v>
      </c>
    </row>
    <row r="133" spans="2:25" hidden="1" x14ac:dyDescent="0.25">
      <c r="B133" s="38">
        <v>126</v>
      </c>
      <c r="C133" s="36" t="s">
        <v>1433</v>
      </c>
      <c r="D133" s="36" t="s">
        <v>1434</v>
      </c>
      <c r="E133" s="36" t="s">
        <v>1435</v>
      </c>
      <c r="F133" s="36" t="s">
        <v>1436</v>
      </c>
      <c r="G133" s="36" t="s">
        <v>1043</v>
      </c>
      <c r="H133" s="36" t="s">
        <v>1044</v>
      </c>
      <c r="I133" s="36" t="s">
        <v>33</v>
      </c>
      <c r="J133" s="34">
        <v>17.010000000000002</v>
      </c>
      <c r="K133" s="34">
        <v>17.010000000000002</v>
      </c>
      <c r="L133" s="34">
        <f t="shared" si="6"/>
        <v>0</v>
      </c>
      <c r="M133" s="34" t="s">
        <v>921</v>
      </c>
      <c r="N133" s="34" t="e">
        <f t="shared" si="7"/>
        <v>#VALUE!</v>
      </c>
      <c r="O133" s="34" t="e">
        <f t="shared" si="8"/>
        <v>#VALUE!</v>
      </c>
      <c r="P133" s="34" t="e">
        <f t="shared" si="9"/>
        <v>#VALUE!</v>
      </c>
      <c r="Q133" s="34">
        <f t="shared" si="10"/>
        <v>0</v>
      </c>
      <c r="R133" s="34" t="e">
        <f t="shared" si="11"/>
        <v>#VALUE!</v>
      </c>
      <c r="S133" s="37">
        <v>46357</v>
      </c>
      <c r="T133" s="37">
        <v>46387</v>
      </c>
      <c r="U133" s="37">
        <v>46389</v>
      </c>
      <c r="V133" s="37">
        <v>46477</v>
      </c>
      <c r="W133" s="34"/>
      <c r="X133" s="34"/>
      <c r="Y133" s="34"/>
    </row>
    <row r="134" spans="2:25" hidden="1" x14ac:dyDescent="0.25">
      <c r="B134" s="1">
        <v>127</v>
      </c>
      <c r="C134" s="12" t="s">
        <v>1421</v>
      </c>
      <c r="D134" s="12" t="s">
        <v>1422</v>
      </c>
      <c r="E134" s="12" t="s">
        <v>1423</v>
      </c>
      <c r="F134" s="12" t="s">
        <v>1424</v>
      </c>
      <c r="G134" s="12" t="s">
        <v>1043</v>
      </c>
      <c r="H134" s="12" t="s">
        <v>1044</v>
      </c>
      <c r="I134" s="12" t="s">
        <v>33</v>
      </c>
      <c r="J134">
        <v>22.01</v>
      </c>
      <c r="K134">
        <v>22.01</v>
      </c>
      <c r="L134">
        <f t="shared" si="6"/>
        <v>0</v>
      </c>
      <c r="M134" t="s">
        <v>921</v>
      </c>
      <c r="N134" t="e">
        <f t="shared" si="7"/>
        <v>#VALUE!</v>
      </c>
      <c r="O134" t="e">
        <f t="shared" si="8"/>
        <v>#VALUE!</v>
      </c>
      <c r="P134" t="e">
        <f t="shared" si="9"/>
        <v>#VALUE!</v>
      </c>
      <c r="Q134">
        <f t="shared" si="10"/>
        <v>0</v>
      </c>
      <c r="R134" t="e">
        <f t="shared" si="11"/>
        <v>#VALUE!</v>
      </c>
      <c r="S134" s="32">
        <v>46419</v>
      </c>
      <c r="T134" s="32">
        <v>46471</v>
      </c>
      <c r="U134" s="32">
        <v>46472</v>
      </c>
      <c r="V134" s="32">
        <v>46504</v>
      </c>
    </row>
    <row r="135" spans="2:25" x14ac:dyDescent="0.25">
      <c r="B135" s="38">
        <v>128</v>
      </c>
      <c r="C135" s="36" t="s">
        <v>1417</v>
      </c>
      <c r="D135" s="36" t="s">
        <v>1037</v>
      </c>
      <c r="E135" s="36" t="s">
        <v>1066</v>
      </c>
      <c r="F135" s="36" t="s">
        <v>1067</v>
      </c>
      <c r="G135" s="36" t="s">
        <v>1043</v>
      </c>
      <c r="H135" s="36" t="s">
        <v>916</v>
      </c>
      <c r="I135" s="36" t="s">
        <v>33</v>
      </c>
      <c r="J135" s="34">
        <v>561.99</v>
      </c>
      <c r="K135" s="34">
        <v>561.99</v>
      </c>
      <c r="L135" s="34">
        <f t="shared" si="6"/>
        <v>0</v>
      </c>
      <c r="M135" s="34" t="s">
        <v>921</v>
      </c>
      <c r="N135" s="34" t="e">
        <f t="shared" si="7"/>
        <v>#VALUE!</v>
      </c>
      <c r="O135" s="34" t="e">
        <f t="shared" si="8"/>
        <v>#VALUE!</v>
      </c>
      <c r="P135" s="34" t="e">
        <f t="shared" si="9"/>
        <v>#VALUE!</v>
      </c>
      <c r="Q135" s="34">
        <f t="shared" si="10"/>
        <v>0</v>
      </c>
      <c r="R135" s="34" t="e">
        <f t="shared" si="11"/>
        <v>#VALUE!</v>
      </c>
      <c r="S135" s="34"/>
      <c r="T135" s="34"/>
      <c r="U135" s="37">
        <v>46388</v>
      </c>
      <c r="V135" s="37">
        <v>46477</v>
      </c>
      <c r="W135" s="34"/>
      <c r="X135" s="34"/>
      <c r="Y135" s="34"/>
    </row>
    <row r="136" spans="2:25" hidden="1" x14ac:dyDescent="0.25">
      <c r="B136" s="1">
        <v>129</v>
      </c>
      <c r="C136" s="12" t="s">
        <v>1366</v>
      </c>
      <c r="D136" s="12" t="s">
        <v>1367</v>
      </c>
      <c r="E136" s="12" t="s">
        <v>1368</v>
      </c>
      <c r="F136" s="12" t="s">
        <v>1369</v>
      </c>
      <c r="G136" s="12" t="s">
        <v>1043</v>
      </c>
      <c r="H136" s="12" t="s">
        <v>1044</v>
      </c>
      <c r="I136" s="12" t="s">
        <v>33</v>
      </c>
      <c r="J136">
        <v>103.84</v>
      </c>
      <c r="K136">
        <v>103.84</v>
      </c>
      <c r="L136">
        <f t="shared" si="6"/>
        <v>0</v>
      </c>
      <c r="M136" t="s">
        <v>921</v>
      </c>
      <c r="N136" t="e">
        <f t="shared" si="7"/>
        <v>#VALUE!</v>
      </c>
      <c r="O136" t="e">
        <f t="shared" si="8"/>
        <v>#VALUE!</v>
      </c>
      <c r="P136" t="e">
        <f t="shared" si="9"/>
        <v>#VALUE!</v>
      </c>
      <c r="Q136">
        <f t="shared" si="10"/>
        <v>0</v>
      </c>
      <c r="R136" t="e">
        <f t="shared" si="11"/>
        <v>#VALUE!</v>
      </c>
      <c r="S136" s="32">
        <v>46371</v>
      </c>
      <c r="T136" s="32">
        <v>46387</v>
      </c>
      <c r="U136" s="32">
        <v>46388</v>
      </c>
      <c r="V136" s="32">
        <v>46752</v>
      </c>
    </row>
    <row r="137" spans="2:25" hidden="1" x14ac:dyDescent="0.25">
      <c r="B137" s="38">
        <v>130</v>
      </c>
      <c r="C137" s="36" t="s">
        <v>1374</v>
      </c>
      <c r="D137" s="36" t="s">
        <v>1375</v>
      </c>
      <c r="E137" s="36" t="s">
        <v>1376</v>
      </c>
      <c r="F137" s="36" t="s">
        <v>1377</v>
      </c>
      <c r="G137" s="36" t="s">
        <v>1043</v>
      </c>
      <c r="H137" s="36" t="s">
        <v>1044</v>
      </c>
      <c r="I137" s="36" t="s">
        <v>33</v>
      </c>
      <c r="J137" s="34">
        <v>41.89</v>
      </c>
      <c r="K137" s="34">
        <v>43.89</v>
      </c>
      <c r="L137" s="34">
        <f t="shared" ref="L137:L170" si="12">J137-K137</f>
        <v>-2</v>
      </c>
      <c r="M137" s="34" t="s">
        <v>921</v>
      </c>
      <c r="N137" s="34" t="e">
        <f t="shared" ref="N137:N170" si="13">J137-M137</f>
        <v>#VALUE!</v>
      </c>
      <c r="O137" s="34" t="e">
        <f t="shared" ref="O137:O170" si="14">IF(N137&gt;0,N137,0)</f>
        <v>#VALUE!</v>
      </c>
      <c r="P137" s="34" t="e">
        <f t="shared" ref="P137:P170" si="15">K137+O137</f>
        <v>#VALUE!</v>
      </c>
      <c r="Q137" s="34">
        <f t="shared" ref="Q137:Q170" si="16">IFERROR(M137/J137,0)</f>
        <v>0</v>
      </c>
      <c r="R137" s="34" t="e">
        <f t="shared" ref="R137:R170" si="17">IF(P137&lt;=J137,0,"Over Budget")</f>
        <v>#VALUE!</v>
      </c>
      <c r="S137" s="37">
        <v>46371</v>
      </c>
      <c r="T137" s="37">
        <v>46387</v>
      </c>
      <c r="U137" s="37">
        <v>46388</v>
      </c>
      <c r="V137" s="37">
        <v>46477</v>
      </c>
      <c r="W137" s="34"/>
      <c r="X137" s="34"/>
      <c r="Y137" s="34"/>
    </row>
    <row r="138" spans="2:25" hidden="1" x14ac:dyDescent="0.25">
      <c r="B138" s="1">
        <v>131</v>
      </c>
      <c r="C138" s="12" t="s">
        <v>1013</v>
      </c>
      <c r="D138" s="12" t="s">
        <v>1014</v>
      </c>
      <c r="E138" s="12" t="s">
        <v>939</v>
      </c>
      <c r="F138" s="12" t="s">
        <v>1015</v>
      </c>
      <c r="G138" s="12" t="s">
        <v>1043</v>
      </c>
      <c r="H138" s="12" t="s">
        <v>1080</v>
      </c>
      <c r="I138" s="12" t="s">
        <v>1135</v>
      </c>
      <c r="J138">
        <v>33</v>
      </c>
      <c r="K138">
        <v>36.51</v>
      </c>
      <c r="L138">
        <f t="shared" si="12"/>
        <v>-3.509999999999998</v>
      </c>
      <c r="M138" t="s">
        <v>921</v>
      </c>
      <c r="N138" t="e">
        <f t="shared" si="13"/>
        <v>#VALUE!</v>
      </c>
      <c r="O138" t="e">
        <f t="shared" si="14"/>
        <v>#VALUE!</v>
      </c>
      <c r="P138" t="e">
        <f t="shared" si="15"/>
        <v>#VALUE!</v>
      </c>
      <c r="Q138">
        <f t="shared" si="16"/>
        <v>0</v>
      </c>
      <c r="R138" t="e">
        <f t="shared" si="17"/>
        <v>#VALUE!</v>
      </c>
      <c r="S138" s="32">
        <v>46366</v>
      </c>
      <c r="T138" s="32">
        <v>46387</v>
      </c>
      <c r="U138" s="32">
        <v>46399</v>
      </c>
      <c r="V138" s="32">
        <v>46452</v>
      </c>
    </row>
    <row r="139" spans="2:25" hidden="1" x14ac:dyDescent="0.25">
      <c r="B139" s="38">
        <v>132</v>
      </c>
      <c r="C139" s="36" t="s">
        <v>1429</v>
      </c>
      <c r="D139" s="36" t="s">
        <v>1430</v>
      </c>
      <c r="E139" s="36" t="s">
        <v>1431</v>
      </c>
      <c r="F139" s="36" t="s">
        <v>1432</v>
      </c>
      <c r="G139" s="36" t="s">
        <v>1043</v>
      </c>
      <c r="H139" s="36" t="s">
        <v>1044</v>
      </c>
      <c r="I139" s="36" t="s">
        <v>1249</v>
      </c>
      <c r="J139" s="34">
        <v>1398.32</v>
      </c>
      <c r="K139" s="34">
        <v>1398.32</v>
      </c>
      <c r="L139" s="34">
        <f t="shared" si="12"/>
        <v>0</v>
      </c>
      <c r="M139" s="34" t="s">
        <v>921</v>
      </c>
      <c r="N139" s="34" t="e">
        <f t="shared" si="13"/>
        <v>#VALUE!</v>
      </c>
      <c r="O139" s="34" t="e">
        <f t="shared" si="14"/>
        <v>#VALUE!</v>
      </c>
      <c r="P139" s="34" t="e">
        <f t="shared" si="15"/>
        <v>#VALUE!</v>
      </c>
      <c r="Q139" s="34">
        <f t="shared" si="16"/>
        <v>0</v>
      </c>
      <c r="R139" s="34" t="e">
        <f t="shared" si="17"/>
        <v>#VALUE!</v>
      </c>
      <c r="S139" s="37">
        <v>46233</v>
      </c>
      <c r="T139" s="37">
        <v>46356</v>
      </c>
      <c r="U139" s="37">
        <v>46388</v>
      </c>
      <c r="V139" s="37">
        <v>46568</v>
      </c>
      <c r="W139" s="34"/>
      <c r="X139" s="34"/>
      <c r="Y139" s="34"/>
    </row>
    <row r="140" spans="2:25" hidden="1" x14ac:dyDescent="0.25">
      <c r="B140" s="1">
        <v>133</v>
      </c>
      <c r="C140" s="12" t="s">
        <v>1016</v>
      </c>
      <c r="D140" s="12" t="s">
        <v>1017</v>
      </c>
      <c r="E140" s="12" t="s">
        <v>940</v>
      </c>
      <c r="F140" s="12" t="s">
        <v>1018</v>
      </c>
      <c r="G140" s="12" t="s">
        <v>1043</v>
      </c>
      <c r="H140" s="12" t="s">
        <v>1080</v>
      </c>
      <c r="I140" s="12" t="s">
        <v>1135</v>
      </c>
      <c r="J140">
        <v>31.9</v>
      </c>
      <c r="K140">
        <v>33.08</v>
      </c>
      <c r="L140">
        <f t="shared" si="12"/>
        <v>-1.1799999999999997</v>
      </c>
      <c r="M140" t="s">
        <v>921</v>
      </c>
      <c r="N140" t="e">
        <f t="shared" si="13"/>
        <v>#VALUE!</v>
      </c>
      <c r="O140" t="e">
        <f t="shared" si="14"/>
        <v>#VALUE!</v>
      </c>
      <c r="P140" t="e">
        <f t="shared" si="15"/>
        <v>#VALUE!</v>
      </c>
      <c r="Q140">
        <f t="shared" si="16"/>
        <v>0</v>
      </c>
      <c r="R140" t="e">
        <f t="shared" si="17"/>
        <v>#VALUE!</v>
      </c>
      <c r="S140" s="32">
        <v>46357</v>
      </c>
      <c r="T140" s="32">
        <v>46387</v>
      </c>
      <c r="U140" s="32">
        <v>46392</v>
      </c>
      <c r="V140" s="32">
        <v>46410</v>
      </c>
    </row>
    <row r="141" spans="2:25" hidden="1" x14ac:dyDescent="0.25">
      <c r="B141" s="38">
        <v>134</v>
      </c>
      <c r="C141" s="36" t="s">
        <v>1452</v>
      </c>
      <c r="D141" s="36" t="s">
        <v>1453</v>
      </c>
      <c r="E141" s="36" t="s">
        <v>1450</v>
      </c>
      <c r="F141" s="36" t="s">
        <v>1454</v>
      </c>
      <c r="G141" s="36" t="s">
        <v>1043</v>
      </c>
      <c r="H141" s="36" t="s">
        <v>1080</v>
      </c>
      <c r="I141" s="36" t="s">
        <v>1135</v>
      </c>
      <c r="J141" s="34">
        <v>614.49</v>
      </c>
      <c r="K141" s="34">
        <v>614.49</v>
      </c>
      <c r="L141" s="34">
        <f t="shared" si="12"/>
        <v>0</v>
      </c>
      <c r="M141" s="34" t="s">
        <v>921</v>
      </c>
      <c r="N141" s="34" t="e">
        <f t="shared" si="13"/>
        <v>#VALUE!</v>
      </c>
      <c r="O141" s="34" t="e">
        <f t="shared" si="14"/>
        <v>#VALUE!</v>
      </c>
      <c r="P141" s="34" t="e">
        <f t="shared" si="15"/>
        <v>#VALUE!</v>
      </c>
      <c r="Q141" s="34">
        <f t="shared" si="16"/>
        <v>0</v>
      </c>
      <c r="R141" s="34" t="e">
        <f t="shared" si="17"/>
        <v>#VALUE!</v>
      </c>
      <c r="S141" s="37">
        <v>46357</v>
      </c>
      <c r="T141" s="37">
        <v>46388</v>
      </c>
      <c r="U141" s="37">
        <v>46388</v>
      </c>
      <c r="V141" s="37">
        <v>46507</v>
      </c>
      <c r="W141" s="34"/>
      <c r="X141" s="34"/>
      <c r="Y141" s="34"/>
    </row>
    <row r="142" spans="2:25" hidden="1" x14ac:dyDescent="0.25">
      <c r="B142" s="1">
        <v>135</v>
      </c>
      <c r="C142" s="12" t="s">
        <v>1448</v>
      </c>
      <c r="D142" s="12" t="s">
        <v>1449</v>
      </c>
      <c r="E142" s="12" t="s">
        <v>1450</v>
      </c>
      <c r="F142" s="12" t="s">
        <v>1451</v>
      </c>
      <c r="G142" s="12" t="s">
        <v>1043</v>
      </c>
      <c r="H142" s="12" t="s">
        <v>1080</v>
      </c>
      <c r="I142" s="12" t="s">
        <v>1135</v>
      </c>
      <c r="J142">
        <v>416.02</v>
      </c>
      <c r="K142">
        <v>416.02</v>
      </c>
      <c r="L142">
        <f t="shared" si="12"/>
        <v>0</v>
      </c>
      <c r="M142" t="s">
        <v>921</v>
      </c>
      <c r="N142" t="e">
        <f t="shared" si="13"/>
        <v>#VALUE!</v>
      </c>
      <c r="O142" t="e">
        <f t="shared" si="14"/>
        <v>#VALUE!</v>
      </c>
      <c r="P142" t="e">
        <f t="shared" si="15"/>
        <v>#VALUE!</v>
      </c>
      <c r="Q142">
        <f t="shared" si="16"/>
        <v>0</v>
      </c>
      <c r="R142" t="e">
        <f t="shared" si="17"/>
        <v>#VALUE!</v>
      </c>
      <c r="S142" s="32">
        <v>46357</v>
      </c>
      <c r="T142" s="32">
        <v>46388</v>
      </c>
      <c r="U142" s="32">
        <v>46388</v>
      </c>
      <c r="V142" s="32">
        <v>46507</v>
      </c>
    </row>
    <row r="143" spans="2:25" hidden="1" x14ac:dyDescent="0.25">
      <c r="B143" s="38">
        <v>136</v>
      </c>
      <c r="C143" s="36" t="s">
        <v>1443</v>
      </c>
      <c r="D143" s="36" t="s">
        <v>1444</v>
      </c>
      <c r="E143" s="36" t="s">
        <v>1445</v>
      </c>
      <c r="F143" s="36" t="s">
        <v>1446</v>
      </c>
      <c r="G143" s="36" t="s">
        <v>1043</v>
      </c>
      <c r="H143" s="36" t="s">
        <v>1080</v>
      </c>
      <c r="I143" s="36" t="s">
        <v>1447</v>
      </c>
      <c r="J143" s="34">
        <v>60.5</v>
      </c>
      <c r="K143" s="34">
        <v>69.5</v>
      </c>
      <c r="L143" s="34">
        <f t="shared" si="12"/>
        <v>-9</v>
      </c>
      <c r="M143" s="34" t="s">
        <v>921</v>
      </c>
      <c r="N143" s="34" t="e">
        <f t="shared" si="13"/>
        <v>#VALUE!</v>
      </c>
      <c r="O143" s="34" t="e">
        <f t="shared" si="14"/>
        <v>#VALUE!</v>
      </c>
      <c r="P143" s="34" t="e">
        <f t="shared" si="15"/>
        <v>#VALUE!</v>
      </c>
      <c r="Q143" s="34">
        <f t="shared" si="16"/>
        <v>0</v>
      </c>
      <c r="R143" s="34" t="e">
        <f t="shared" si="17"/>
        <v>#VALUE!</v>
      </c>
      <c r="S143" s="37">
        <v>46335</v>
      </c>
      <c r="T143" s="37">
        <v>46387</v>
      </c>
      <c r="U143" s="37">
        <v>46419</v>
      </c>
      <c r="V143" s="37">
        <v>46472</v>
      </c>
      <c r="W143" s="34"/>
      <c r="X143" s="34"/>
      <c r="Y143" s="34"/>
    </row>
    <row r="144" spans="2:25" hidden="1" x14ac:dyDescent="0.25">
      <c r="B144" s="1">
        <v>137</v>
      </c>
      <c r="C144" s="12" t="s">
        <v>1455</v>
      </c>
      <c r="D144" s="12" t="s">
        <v>1456</v>
      </c>
      <c r="E144" s="12" t="s">
        <v>1394</v>
      </c>
      <c r="F144" s="12" t="s">
        <v>1457</v>
      </c>
      <c r="G144" s="12" t="s">
        <v>1043</v>
      </c>
      <c r="H144" s="12" t="s">
        <v>1090</v>
      </c>
      <c r="I144" s="12" t="s">
        <v>33</v>
      </c>
      <c r="J144">
        <v>0</v>
      </c>
      <c r="K144">
        <v>0</v>
      </c>
      <c r="L144">
        <f t="shared" si="12"/>
        <v>0</v>
      </c>
      <c r="M144" t="s">
        <v>921</v>
      </c>
      <c r="N144" t="e">
        <f t="shared" si="13"/>
        <v>#VALUE!</v>
      </c>
      <c r="O144" t="e">
        <f t="shared" si="14"/>
        <v>#VALUE!</v>
      </c>
      <c r="P144" t="e">
        <f t="shared" si="15"/>
        <v>#VALUE!</v>
      </c>
      <c r="Q144">
        <f t="shared" si="16"/>
        <v>0</v>
      </c>
      <c r="R144" t="e">
        <f t="shared" si="17"/>
        <v>#VALUE!</v>
      </c>
      <c r="S144" s="32">
        <v>46371</v>
      </c>
      <c r="T144" s="32">
        <v>46387</v>
      </c>
      <c r="U144" s="32">
        <v>46388</v>
      </c>
      <c r="V144" s="32">
        <v>46476</v>
      </c>
    </row>
    <row r="145" spans="2:25" hidden="1" x14ac:dyDescent="0.25">
      <c r="B145" s="38">
        <v>138</v>
      </c>
      <c r="C145" s="36" t="s">
        <v>1076</v>
      </c>
      <c r="D145" s="36" t="s">
        <v>1077</v>
      </c>
      <c r="E145" s="36" t="s">
        <v>1078</v>
      </c>
      <c r="F145" s="36" t="s">
        <v>1079</v>
      </c>
      <c r="G145" s="36" t="s">
        <v>1043</v>
      </c>
      <c r="H145" s="36" t="s">
        <v>1080</v>
      </c>
      <c r="I145" s="36" t="s">
        <v>33</v>
      </c>
      <c r="J145" s="34"/>
      <c r="K145" s="34"/>
      <c r="L145" s="34">
        <f t="shared" si="12"/>
        <v>0</v>
      </c>
      <c r="M145" s="34" t="s">
        <v>921</v>
      </c>
      <c r="N145" s="34" t="e">
        <f t="shared" si="13"/>
        <v>#VALUE!</v>
      </c>
      <c r="O145" s="34" t="e">
        <f t="shared" si="14"/>
        <v>#VALUE!</v>
      </c>
      <c r="P145" s="34" t="e">
        <f t="shared" si="15"/>
        <v>#VALUE!</v>
      </c>
      <c r="Q145" s="34">
        <f t="shared" si="16"/>
        <v>0</v>
      </c>
      <c r="R145" s="34" t="e">
        <f t="shared" si="17"/>
        <v>#VALUE!</v>
      </c>
      <c r="S145" s="37">
        <v>46296</v>
      </c>
      <c r="T145" s="37">
        <v>46387</v>
      </c>
      <c r="U145" s="37">
        <v>46388</v>
      </c>
      <c r="V145" s="37">
        <v>46568</v>
      </c>
      <c r="W145" s="34"/>
      <c r="X145" s="34"/>
      <c r="Y145" s="34"/>
    </row>
    <row r="146" spans="2:25" hidden="1" x14ac:dyDescent="0.25">
      <c r="B146" s="1">
        <v>139</v>
      </c>
      <c r="C146" s="12" t="s">
        <v>1458</v>
      </c>
      <c r="D146" s="12" t="s">
        <v>1459</v>
      </c>
      <c r="E146" s="12" t="s">
        <v>1460</v>
      </c>
      <c r="F146" s="12" t="s">
        <v>1461</v>
      </c>
      <c r="G146" s="12" t="s">
        <v>1043</v>
      </c>
      <c r="H146" s="12" t="s">
        <v>1090</v>
      </c>
      <c r="I146" s="12" t="s">
        <v>33</v>
      </c>
      <c r="J146">
        <v>42.9</v>
      </c>
      <c r="K146">
        <v>42.9</v>
      </c>
      <c r="L146">
        <f t="shared" si="12"/>
        <v>0</v>
      </c>
      <c r="M146" t="s">
        <v>921</v>
      </c>
      <c r="N146" t="e">
        <f t="shared" si="13"/>
        <v>#VALUE!</v>
      </c>
      <c r="O146" t="e">
        <f t="shared" si="14"/>
        <v>#VALUE!</v>
      </c>
      <c r="P146" t="e">
        <f t="shared" si="15"/>
        <v>#VALUE!</v>
      </c>
      <c r="Q146">
        <f t="shared" si="16"/>
        <v>0</v>
      </c>
      <c r="R146" t="e">
        <f t="shared" si="17"/>
        <v>#VALUE!</v>
      </c>
      <c r="S146" s="32">
        <v>46327</v>
      </c>
      <c r="T146" s="32">
        <v>46387</v>
      </c>
      <c r="U146" s="32">
        <v>46388</v>
      </c>
      <c r="V146" s="32">
        <v>46477</v>
      </c>
    </row>
    <row r="147" spans="2:25" hidden="1" x14ac:dyDescent="0.25">
      <c r="B147" s="38">
        <v>140</v>
      </c>
      <c r="C147" s="36" t="s">
        <v>1462</v>
      </c>
      <c r="D147" s="36" t="s">
        <v>1082</v>
      </c>
      <c r="E147" s="36" t="s">
        <v>1083</v>
      </c>
      <c r="F147" s="36" t="s">
        <v>1084</v>
      </c>
      <c r="G147" s="36" t="s">
        <v>1043</v>
      </c>
      <c r="H147" s="36" t="s">
        <v>1080</v>
      </c>
      <c r="I147" s="36" t="s">
        <v>33</v>
      </c>
      <c r="J147" s="34">
        <v>35.42</v>
      </c>
      <c r="K147" s="34">
        <v>23.1</v>
      </c>
      <c r="L147" s="34">
        <f t="shared" si="12"/>
        <v>12.32</v>
      </c>
      <c r="M147" s="34" t="s">
        <v>921</v>
      </c>
      <c r="N147" s="34" t="e">
        <f t="shared" si="13"/>
        <v>#VALUE!</v>
      </c>
      <c r="O147" s="34" t="e">
        <f t="shared" si="14"/>
        <v>#VALUE!</v>
      </c>
      <c r="P147" s="34" t="e">
        <f t="shared" si="15"/>
        <v>#VALUE!</v>
      </c>
      <c r="Q147" s="34">
        <f t="shared" si="16"/>
        <v>0</v>
      </c>
      <c r="R147" s="34" t="e">
        <f t="shared" si="17"/>
        <v>#VALUE!</v>
      </c>
      <c r="S147" s="37">
        <v>46328</v>
      </c>
      <c r="T147" s="37">
        <v>46387</v>
      </c>
      <c r="U147" s="37">
        <v>46388</v>
      </c>
      <c r="V147" s="37">
        <v>46507</v>
      </c>
      <c r="W147" s="34"/>
      <c r="X147" s="34"/>
      <c r="Y147" s="34"/>
    </row>
    <row r="148" spans="2:25" hidden="1" x14ac:dyDescent="0.25">
      <c r="B148" s="1">
        <v>141</v>
      </c>
      <c r="C148" s="12" t="s">
        <v>1463</v>
      </c>
      <c r="D148" s="12" t="s">
        <v>1464</v>
      </c>
      <c r="E148" s="12" t="s">
        <v>1465</v>
      </c>
      <c r="F148" s="12" t="s">
        <v>1466</v>
      </c>
      <c r="G148" s="12" t="s">
        <v>1043</v>
      </c>
      <c r="H148" s="12" t="s">
        <v>1080</v>
      </c>
      <c r="I148" s="12" t="s">
        <v>33</v>
      </c>
      <c r="J148">
        <v>10.119999999999999</v>
      </c>
      <c r="K148">
        <v>13.6</v>
      </c>
      <c r="L148">
        <f t="shared" si="12"/>
        <v>-3.4800000000000004</v>
      </c>
      <c r="M148" t="s">
        <v>921</v>
      </c>
      <c r="N148" t="e">
        <f t="shared" si="13"/>
        <v>#VALUE!</v>
      </c>
      <c r="O148" t="e">
        <f t="shared" si="14"/>
        <v>#VALUE!</v>
      </c>
      <c r="P148" t="e">
        <f t="shared" si="15"/>
        <v>#VALUE!</v>
      </c>
      <c r="Q148">
        <f t="shared" si="16"/>
        <v>0</v>
      </c>
      <c r="R148" t="e">
        <f t="shared" si="17"/>
        <v>#VALUE!</v>
      </c>
      <c r="S148" s="32">
        <v>46327</v>
      </c>
      <c r="T148" s="32">
        <v>46387</v>
      </c>
      <c r="U148" s="32">
        <v>46419</v>
      </c>
      <c r="V148" s="32">
        <v>46477</v>
      </c>
    </row>
    <row r="149" spans="2:25" hidden="1" x14ac:dyDescent="0.25">
      <c r="B149" s="38">
        <v>142</v>
      </c>
      <c r="C149" s="36" t="s">
        <v>1467</v>
      </c>
      <c r="D149" s="36" t="s">
        <v>1468</v>
      </c>
      <c r="E149" s="36" t="s">
        <v>1469</v>
      </c>
      <c r="F149" s="36" t="s">
        <v>1470</v>
      </c>
      <c r="G149" s="36" t="s">
        <v>1043</v>
      </c>
      <c r="H149" s="36" t="s">
        <v>1044</v>
      </c>
      <c r="I149" s="36" t="s">
        <v>33</v>
      </c>
      <c r="J149" s="34"/>
      <c r="K149" s="34">
        <v>17.22</v>
      </c>
      <c r="L149" s="34">
        <f t="shared" si="12"/>
        <v>-17.22</v>
      </c>
      <c r="M149" s="34" t="s">
        <v>921</v>
      </c>
      <c r="N149" s="34" t="e">
        <f t="shared" si="13"/>
        <v>#VALUE!</v>
      </c>
      <c r="O149" s="34" t="e">
        <f t="shared" si="14"/>
        <v>#VALUE!</v>
      </c>
      <c r="P149" s="34" t="e">
        <f t="shared" si="15"/>
        <v>#VALUE!</v>
      </c>
      <c r="Q149" s="34">
        <f t="shared" si="16"/>
        <v>0</v>
      </c>
      <c r="R149" s="34" t="e">
        <f t="shared" si="17"/>
        <v>#VALUE!</v>
      </c>
      <c r="S149" s="37">
        <v>46357</v>
      </c>
      <c r="T149" s="37">
        <v>46387</v>
      </c>
      <c r="U149" s="37">
        <v>46387</v>
      </c>
      <c r="V149" s="37">
        <v>46446</v>
      </c>
      <c r="W149" s="34"/>
      <c r="X149" s="34"/>
      <c r="Y149" s="34"/>
    </row>
    <row r="150" spans="2:25" hidden="1" x14ac:dyDescent="0.25">
      <c r="B150" s="1">
        <v>143</v>
      </c>
      <c r="C150" s="12" t="s">
        <v>1471</v>
      </c>
      <c r="D150" s="12" t="s">
        <v>1472</v>
      </c>
      <c r="E150" s="12" t="s">
        <v>938</v>
      </c>
      <c r="F150" s="12" t="s">
        <v>1473</v>
      </c>
      <c r="G150" s="12" t="s">
        <v>1043</v>
      </c>
      <c r="H150" s="12" t="s">
        <v>912</v>
      </c>
      <c r="I150" s="12" t="s">
        <v>33</v>
      </c>
      <c r="J150">
        <v>204.6</v>
      </c>
      <c r="K150">
        <v>204.6</v>
      </c>
      <c r="L150">
        <f t="shared" si="12"/>
        <v>0</v>
      </c>
      <c r="M150" t="s">
        <v>921</v>
      </c>
      <c r="N150" t="e">
        <f t="shared" si="13"/>
        <v>#VALUE!</v>
      </c>
      <c r="O150" t="e">
        <f t="shared" si="14"/>
        <v>#VALUE!</v>
      </c>
      <c r="P150" t="e">
        <f t="shared" si="15"/>
        <v>#VALUE!</v>
      </c>
      <c r="Q150">
        <f t="shared" si="16"/>
        <v>0</v>
      </c>
      <c r="R150" t="e">
        <f t="shared" si="17"/>
        <v>#VALUE!</v>
      </c>
      <c r="S150" s="32">
        <v>46371</v>
      </c>
      <c r="T150" s="32">
        <v>46387</v>
      </c>
      <c r="U150" s="32">
        <v>46388</v>
      </c>
      <c r="V150" s="32">
        <v>46535</v>
      </c>
    </row>
    <row r="151" spans="2:25" hidden="1" x14ac:dyDescent="0.25">
      <c r="B151" s="38">
        <v>144</v>
      </c>
      <c r="C151" s="36" t="s">
        <v>1474</v>
      </c>
      <c r="D151" s="36" t="s">
        <v>1475</v>
      </c>
      <c r="E151" s="36" t="s">
        <v>1476</v>
      </c>
      <c r="F151" s="36" t="s">
        <v>1477</v>
      </c>
      <c r="G151" s="36" t="s">
        <v>1043</v>
      </c>
      <c r="H151" s="36" t="s">
        <v>1044</v>
      </c>
      <c r="I151" s="36" t="s">
        <v>33</v>
      </c>
      <c r="J151" s="34"/>
      <c r="K151" s="34">
        <v>5.01</v>
      </c>
      <c r="L151" s="34">
        <f t="shared" si="12"/>
        <v>-5.01</v>
      </c>
      <c r="M151" s="34" t="s">
        <v>921</v>
      </c>
      <c r="N151" s="34" t="e">
        <f t="shared" si="13"/>
        <v>#VALUE!</v>
      </c>
      <c r="O151" s="34" t="e">
        <f t="shared" si="14"/>
        <v>#VALUE!</v>
      </c>
      <c r="P151" s="34" t="e">
        <f t="shared" si="15"/>
        <v>#VALUE!</v>
      </c>
      <c r="Q151" s="34">
        <f t="shared" si="16"/>
        <v>0</v>
      </c>
      <c r="R151" s="34" t="e">
        <f t="shared" si="17"/>
        <v>#VALUE!</v>
      </c>
      <c r="S151" s="37">
        <v>46357</v>
      </c>
      <c r="T151" s="37">
        <v>46387</v>
      </c>
      <c r="U151" s="37">
        <v>46388</v>
      </c>
      <c r="V151" s="37">
        <v>46477</v>
      </c>
      <c r="W151" s="34"/>
      <c r="X151" s="34"/>
      <c r="Y151" s="34"/>
    </row>
    <row r="152" spans="2:25" hidden="1" x14ac:dyDescent="0.25">
      <c r="B152" s="1">
        <v>145</v>
      </c>
      <c r="C152" s="12" t="s">
        <v>1481</v>
      </c>
      <c r="D152" s="12" t="s">
        <v>1482</v>
      </c>
      <c r="E152" s="12" t="s">
        <v>1483</v>
      </c>
      <c r="F152" s="12" t="s">
        <v>1484</v>
      </c>
      <c r="G152" s="12" t="s">
        <v>1043</v>
      </c>
      <c r="H152" s="12" t="s">
        <v>1044</v>
      </c>
      <c r="I152" s="12" t="s">
        <v>33</v>
      </c>
      <c r="J152">
        <v>35.85</v>
      </c>
      <c r="K152">
        <v>35.85</v>
      </c>
      <c r="L152">
        <f t="shared" si="12"/>
        <v>0</v>
      </c>
      <c r="M152" t="s">
        <v>921</v>
      </c>
      <c r="N152" t="e">
        <f t="shared" si="13"/>
        <v>#VALUE!</v>
      </c>
      <c r="O152" t="e">
        <f t="shared" si="14"/>
        <v>#VALUE!</v>
      </c>
      <c r="P152" t="e">
        <f t="shared" si="15"/>
        <v>#VALUE!</v>
      </c>
      <c r="Q152">
        <f t="shared" si="16"/>
        <v>0</v>
      </c>
      <c r="R152" t="e">
        <f t="shared" si="17"/>
        <v>#VALUE!</v>
      </c>
      <c r="S152" s="32">
        <v>46393</v>
      </c>
      <c r="T152" s="32">
        <v>46393</v>
      </c>
      <c r="U152" s="32">
        <v>46393</v>
      </c>
      <c r="V152" s="32">
        <v>46445</v>
      </c>
    </row>
    <row r="153" spans="2:25" hidden="1" x14ac:dyDescent="0.25">
      <c r="B153" s="38">
        <v>146</v>
      </c>
      <c r="C153" s="36" t="s">
        <v>1485</v>
      </c>
      <c r="D153" s="36" t="s">
        <v>1486</v>
      </c>
      <c r="E153" s="36" t="s">
        <v>1487</v>
      </c>
      <c r="F153" s="36" t="s">
        <v>1488</v>
      </c>
      <c r="G153" s="36" t="s">
        <v>1043</v>
      </c>
      <c r="H153" s="36" t="s">
        <v>1489</v>
      </c>
      <c r="I153" s="36" t="s">
        <v>33</v>
      </c>
      <c r="J153" s="34">
        <v>150.15</v>
      </c>
      <c r="K153" s="34">
        <v>150.13</v>
      </c>
      <c r="L153" s="34">
        <f t="shared" si="12"/>
        <v>2.0000000000010232E-2</v>
      </c>
      <c r="M153" s="34" t="s">
        <v>921</v>
      </c>
      <c r="N153" s="34" t="e">
        <f t="shared" si="13"/>
        <v>#VALUE!</v>
      </c>
      <c r="O153" s="34" t="e">
        <f t="shared" si="14"/>
        <v>#VALUE!</v>
      </c>
      <c r="P153" s="34" t="e">
        <f t="shared" si="15"/>
        <v>#VALUE!</v>
      </c>
      <c r="Q153" s="34">
        <f t="shared" si="16"/>
        <v>0</v>
      </c>
      <c r="R153" s="34" t="e">
        <f t="shared" si="17"/>
        <v>#VALUE!</v>
      </c>
      <c r="S153" s="34"/>
      <c r="T153" s="34"/>
      <c r="U153" s="37">
        <v>46213</v>
      </c>
      <c r="V153" s="37">
        <v>46242</v>
      </c>
      <c r="W153" s="34"/>
      <c r="X153" s="34"/>
      <c r="Y153" s="34"/>
    </row>
    <row r="154" spans="2:25" hidden="1" x14ac:dyDescent="0.25">
      <c r="B154" s="1">
        <v>147</v>
      </c>
      <c r="C154" s="12" t="s">
        <v>1490</v>
      </c>
      <c r="D154" s="12" t="s">
        <v>1491</v>
      </c>
      <c r="E154" s="12" t="s">
        <v>945</v>
      </c>
      <c r="F154" s="12" t="s">
        <v>1492</v>
      </c>
      <c r="G154" s="12" t="s">
        <v>1043</v>
      </c>
      <c r="H154" s="12" t="s">
        <v>1080</v>
      </c>
      <c r="I154" s="12" t="s">
        <v>1135</v>
      </c>
      <c r="J154">
        <v>319</v>
      </c>
      <c r="K154">
        <v>327</v>
      </c>
      <c r="L154">
        <f t="shared" si="12"/>
        <v>-8</v>
      </c>
      <c r="M154" t="s">
        <v>921</v>
      </c>
      <c r="N154" t="e">
        <f t="shared" si="13"/>
        <v>#VALUE!</v>
      </c>
      <c r="O154" t="e">
        <f t="shared" si="14"/>
        <v>#VALUE!</v>
      </c>
      <c r="P154" t="e">
        <f t="shared" si="15"/>
        <v>#VALUE!</v>
      </c>
      <c r="Q154">
        <f t="shared" si="16"/>
        <v>0</v>
      </c>
      <c r="R154" t="e">
        <f t="shared" si="17"/>
        <v>#VALUE!</v>
      </c>
      <c r="S154" s="32">
        <v>46357</v>
      </c>
      <c r="T154" s="32">
        <v>46387</v>
      </c>
      <c r="U154" s="32">
        <v>46478</v>
      </c>
      <c r="V154" s="32">
        <v>46538</v>
      </c>
    </row>
    <row r="155" spans="2:25" hidden="1" x14ac:dyDescent="0.25">
      <c r="B155" s="38">
        <v>148</v>
      </c>
      <c r="C155" s="36" t="s">
        <v>1493</v>
      </c>
      <c r="D155" s="36" t="s">
        <v>1232</v>
      </c>
      <c r="E155" s="36" t="s">
        <v>1233</v>
      </c>
      <c r="F155" s="36" t="s">
        <v>1234</v>
      </c>
      <c r="G155" s="36" t="s">
        <v>1043</v>
      </c>
      <c r="H155" s="36" t="s">
        <v>1080</v>
      </c>
      <c r="I155" s="36" t="s">
        <v>33</v>
      </c>
      <c r="J155" s="34">
        <v>154</v>
      </c>
      <c r="K155" s="34">
        <v>193.51</v>
      </c>
      <c r="L155" s="34">
        <f t="shared" si="12"/>
        <v>-39.509999999999991</v>
      </c>
      <c r="M155" s="34" t="s">
        <v>921</v>
      </c>
      <c r="N155" s="34" t="e">
        <f t="shared" si="13"/>
        <v>#VALUE!</v>
      </c>
      <c r="O155" s="34" t="e">
        <f t="shared" si="14"/>
        <v>#VALUE!</v>
      </c>
      <c r="P155" s="34" t="e">
        <f t="shared" si="15"/>
        <v>#VALUE!</v>
      </c>
      <c r="Q155" s="34">
        <f t="shared" si="16"/>
        <v>0</v>
      </c>
      <c r="R155" s="34" t="e">
        <f t="shared" si="17"/>
        <v>#VALUE!</v>
      </c>
      <c r="S155" s="37">
        <v>46357</v>
      </c>
      <c r="T155" s="37">
        <v>46387</v>
      </c>
      <c r="U155" s="37">
        <v>46456</v>
      </c>
      <c r="V155" s="37">
        <v>46474</v>
      </c>
      <c r="W155" s="34"/>
      <c r="X155" s="34"/>
      <c r="Y155" s="34"/>
    </row>
    <row r="156" spans="2:25" x14ac:dyDescent="0.25">
      <c r="B156" s="1">
        <v>149</v>
      </c>
      <c r="C156" s="12" t="s">
        <v>1024</v>
      </c>
      <c r="D156" s="12" t="s">
        <v>1025</v>
      </c>
      <c r="E156" s="12" t="s">
        <v>1026</v>
      </c>
      <c r="F156" s="12" t="s">
        <v>1027</v>
      </c>
      <c r="G156" s="12" t="s">
        <v>1043</v>
      </c>
      <c r="H156" s="12" t="s">
        <v>916</v>
      </c>
      <c r="I156" s="12" t="s">
        <v>911</v>
      </c>
      <c r="J156">
        <v>280.06</v>
      </c>
      <c r="K156">
        <v>308.61</v>
      </c>
      <c r="L156">
        <f t="shared" si="12"/>
        <v>-28.550000000000011</v>
      </c>
      <c r="M156" t="s">
        <v>921</v>
      </c>
      <c r="N156" t="e">
        <f t="shared" si="13"/>
        <v>#VALUE!</v>
      </c>
      <c r="O156" t="e">
        <f t="shared" si="14"/>
        <v>#VALUE!</v>
      </c>
      <c r="P156" t="e">
        <f t="shared" si="15"/>
        <v>#VALUE!</v>
      </c>
      <c r="Q156">
        <f t="shared" si="16"/>
        <v>0</v>
      </c>
      <c r="R156" t="e">
        <f t="shared" si="17"/>
        <v>#VALUE!</v>
      </c>
      <c r="S156" s="32">
        <v>46379</v>
      </c>
      <c r="T156" s="32">
        <v>46379</v>
      </c>
      <c r="U156" s="32">
        <v>46500</v>
      </c>
      <c r="V156" s="32">
        <v>46568</v>
      </c>
    </row>
    <row r="157" spans="2:25" hidden="1" x14ac:dyDescent="0.25">
      <c r="B157" s="38">
        <v>150</v>
      </c>
      <c r="C157" s="36" t="s">
        <v>1028</v>
      </c>
      <c r="D157" s="36" t="s">
        <v>1029</v>
      </c>
      <c r="E157" s="36" t="s">
        <v>931</v>
      </c>
      <c r="F157" s="36" t="s">
        <v>1030</v>
      </c>
      <c r="G157" s="36" t="s">
        <v>1043</v>
      </c>
      <c r="H157" s="36" t="s">
        <v>1090</v>
      </c>
      <c r="I157" s="36" t="s">
        <v>33</v>
      </c>
      <c r="J157" s="34">
        <v>8.8000000000000007</v>
      </c>
      <c r="K157" s="34">
        <v>9.06</v>
      </c>
      <c r="L157" s="34">
        <f t="shared" si="12"/>
        <v>-0.25999999999999979</v>
      </c>
      <c r="M157" s="34" t="s">
        <v>921</v>
      </c>
      <c r="N157" s="34" t="e">
        <f t="shared" si="13"/>
        <v>#VALUE!</v>
      </c>
      <c r="O157" s="34" t="e">
        <f t="shared" si="14"/>
        <v>#VALUE!</v>
      </c>
      <c r="P157" s="34" t="e">
        <f t="shared" si="15"/>
        <v>#VALUE!</v>
      </c>
      <c r="Q157" s="34">
        <f t="shared" si="16"/>
        <v>0</v>
      </c>
      <c r="R157" s="34" t="e">
        <f t="shared" si="17"/>
        <v>#VALUE!</v>
      </c>
      <c r="S157" s="37">
        <v>46371</v>
      </c>
      <c r="T157" s="37">
        <v>46387</v>
      </c>
      <c r="U157" s="37">
        <v>46388</v>
      </c>
      <c r="V157" s="37">
        <v>46477</v>
      </c>
      <c r="W157" s="34"/>
      <c r="X157" s="34"/>
      <c r="Y157" s="34"/>
    </row>
    <row r="158" spans="2:25" hidden="1" x14ac:dyDescent="0.25">
      <c r="B158" s="1">
        <v>151</v>
      </c>
      <c r="C158" s="12" t="s">
        <v>1494</v>
      </c>
      <c r="D158" s="12" t="s">
        <v>1495</v>
      </c>
      <c r="E158" s="12" t="s">
        <v>1496</v>
      </c>
      <c r="F158" s="12" t="s">
        <v>1497</v>
      </c>
      <c r="G158" s="12" t="s">
        <v>1043</v>
      </c>
      <c r="H158" s="12" t="s">
        <v>33</v>
      </c>
      <c r="I158" s="12" t="s">
        <v>33</v>
      </c>
      <c r="K158">
        <v>10</v>
      </c>
      <c r="L158">
        <f t="shared" si="12"/>
        <v>-10</v>
      </c>
      <c r="M158" t="s">
        <v>921</v>
      </c>
      <c r="N158" t="e">
        <f t="shared" si="13"/>
        <v>#VALUE!</v>
      </c>
      <c r="O158" t="e">
        <f t="shared" si="14"/>
        <v>#VALUE!</v>
      </c>
      <c r="P158" t="e">
        <f t="shared" si="15"/>
        <v>#VALUE!</v>
      </c>
      <c r="Q158">
        <f t="shared" si="16"/>
        <v>0</v>
      </c>
      <c r="R158" t="e">
        <f t="shared" si="17"/>
        <v>#VALUE!</v>
      </c>
      <c r="U158" s="32">
        <v>46266</v>
      </c>
      <c r="V158" s="32">
        <v>46295</v>
      </c>
    </row>
    <row r="159" spans="2:25" hidden="1" x14ac:dyDescent="0.25">
      <c r="B159" s="38">
        <v>152</v>
      </c>
      <c r="C159" s="36" t="s">
        <v>1498</v>
      </c>
      <c r="D159" s="36" t="s">
        <v>1383</v>
      </c>
      <c r="E159" s="36" t="s">
        <v>1097</v>
      </c>
      <c r="F159" s="36" t="s">
        <v>1384</v>
      </c>
      <c r="G159" s="36" t="s">
        <v>1043</v>
      </c>
      <c r="H159" s="36" t="s">
        <v>912</v>
      </c>
      <c r="I159" s="36" t="s">
        <v>33</v>
      </c>
      <c r="J159" s="34">
        <v>34.1</v>
      </c>
      <c r="K159" s="34">
        <v>34.1</v>
      </c>
      <c r="L159" s="34">
        <f t="shared" si="12"/>
        <v>0</v>
      </c>
      <c r="M159" s="34" t="s">
        <v>921</v>
      </c>
      <c r="N159" s="34" t="e">
        <f t="shared" si="13"/>
        <v>#VALUE!</v>
      </c>
      <c r="O159" s="34" t="e">
        <f t="shared" si="14"/>
        <v>#VALUE!</v>
      </c>
      <c r="P159" s="34" t="e">
        <f t="shared" si="15"/>
        <v>#VALUE!</v>
      </c>
      <c r="Q159" s="34">
        <f t="shared" si="16"/>
        <v>0</v>
      </c>
      <c r="R159" s="34" t="e">
        <f t="shared" si="17"/>
        <v>#VALUE!</v>
      </c>
      <c r="S159" s="34"/>
      <c r="T159" s="34"/>
      <c r="U159" s="37">
        <v>46273</v>
      </c>
      <c r="V159" s="37">
        <v>46295</v>
      </c>
      <c r="W159" s="34"/>
      <c r="X159" s="34"/>
      <c r="Y159" s="34"/>
    </row>
    <row r="160" spans="2:25" hidden="1" x14ac:dyDescent="0.25">
      <c r="B160" s="1">
        <v>153</v>
      </c>
      <c r="C160" s="12" t="s">
        <v>1031</v>
      </c>
      <c r="D160" s="12" t="s">
        <v>1032</v>
      </c>
      <c r="E160" s="12" t="s">
        <v>922</v>
      </c>
      <c r="F160" s="12" t="s">
        <v>1033</v>
      </c>
      <c r="G160" s="12" t="s">
        <v>1043</v>
      </c>
      <c r="H160" s="12" t="s">
        <v>1090</v>
      </c>
      <c r="I160" s="12" t="s">
        <v>33</v>
      </c>
      <c r="J160">
        <v>51.77</v>
      </c>
      <c r="K160">
        <v>51.77</v>
      </c>
      <c r="L160">
        <f t="shared" si="12"/>
        <v>0</v>
      </c>
      <c r="M160" t="s">
        <v>921</v>
      </c>
      <c r="N160" t="e">
        <f t="shared" si="13"/>
        <v>#VALUE!</v>
      </c>
      <c r="O160" t="e">
        <f t="shared" si="14"/>
        <v>#VALUE!</v>
      </c>
      <c r="P160" t="e">
        <f t="shared" si="15"/>
        <v>#VALUE!</v>
      </c>
      <c r="Q160">
        <f t="shared" si="16"/>
        <v>0</v>
      </c>
      <c r="R160" t="e">
        <f t="shared" si="17"/>
        <v>#VALUE!</v>
      </c>
      <c r="S160" s="32">
        <v>46371</v>
      </c>
      <c r="T160" s="32">
        <v>46387</v>
      </c>
      <c r="U160" s="32">
        <v>46388</v>
      </c>
      <c r="V160" s="32">
        <v>46476</v>
      </c>
    </row>
    <row r="161" spans="2:25" hidden="1" x14ac:dyDescent="0.25">
      <c r="B161" s="38">
        <v>154</v>
      </c>
      <c r="C161" s="36" t="s">
        <v>1501</v>
      </c>
      <c r="D161" s="36" t="s">
        <v>1502</v>
      </c>
      <c r="E161" s="36" t="s">
        <v>1503</v>
      </c>
      <c r="F161" s="36" t="s">
        <v>1504</v>
      </c>
      <c r="G161" s="36" t="s">
        <v>1043</v>
      </c>
      <c r="H161" s="36" t="s">
        <v>1044</v>
      </c>
      <c r="I161" s="36" t="s">
        <v>33</v>
      </c>
      <c r="J161" s="34">
        <v>100.1</v>
      </c>
      <c r="K161" s="34">
        <v>110.1</v>
      </c>
      <c r="L161" s="34">
        <f t="shared" si="12"/>
        <v>-10</v>
      </c>
      <c r="M161" s="34" t="s">
        <v>921</v>
      </c>
      <c r="N161" s="34" t="e">
        <f t="shared" si="13"/>
        <v>#VALUE!</v>
      </c>
      <c r="O161" s="34" t="e">
        <f t="shared" si="14"/>
        <v>#VALUE!</v>
      </c>
      <c r="P161" s="34" t="e">
        <f t="shared" si="15"/>
        <v>#VALUE!</v>
      </c>
      <c r="Q161" s="34">
        <f t="shared" si="16"/>
        <v>0</v>
      </c>
      <c r="R161" s="34" t="e">
        <f t="shared" si="17"/>
        <v>#VALUE!</v>
      </c>
      <c r="S161" s="37">
        <v>46357</v>
      </c>
      <c r="T161" s="37">
        <v>46387</v>
      </c>
      <c r="U161" s="37">
        <v>46388</v>
      </c>
      <c r="V161" s="37">
        <v>46507</v>
      </c>
      <c r="W161" s="34"/>
      <c r="X161" s="34"/>
      <c r="Y161" s="34"/>
    </row>
    <row r="162" spans="2:25" hidden="1" x14ac:dyDescent="0.25">
      <c r="B162" s="1">
        <v>155</v>
      </c>
      <c r="C162" s="12" t="s">
        <v>1505</v>
      </c>
      <c r="D162" s="12" t="s">
        <v>1506</v>
      </c>
      <c r="E162" s="12" t="s">
        <v>1507</v>
      </c>
      <c r="F162" s="12" t="s">
        <v>1508</v>
      </c>
      <c r="G162" s="12" t="s">
        <v>1043</v>
      </c>
      <c r="H162" s="12" t="s">
        <v>1044</v>
      </c>
      <c r="I162" s="12" t="s">
        <v>33</v>
      </c>
      <c r="J162">
        <v>39.82</v>
      </c>
      <c r="K162">
        <v>59.82</v>
      </c>
      <c r="L162">
        <f t="shared" si="12"/>
        <v>-20</v>
      </c>
      <c r="M162" t="s">
        <v>921</v>
      </c>
      <c r="N162" t="e">
        <f t="shared" si="13"/>
        <v>#VALUE!</v>
      </c>
      <c r="O162" t="e">
        <f t="shared" si="14"/>
        <v>#VALUE!</v>
      </c>
      <c r="P162" t="e">
        <f t="shared" si="15"/>
        <v>#VALUE!</v>
      </c>
      <c r="Q162">
        <f t="shared" si="16"/>
        <v>0</v>
      </c>
      <c r="R162" t="e">
        <f t="shared" si="17"/>
        <v>#VALUE!</v>
      </c>
      <c r="S162" s="32">
        <v>46357</v>
      </c>
      <c r="T162" s="32">
        <v>46387</v>
      </c>
      <c r="U162" s="32">
        <v>46447</v>
      </c>
      <c r="V162" s="32">
        <v>46507</v>
      </c>
    </row>
    <row r="163" spans="2:25" hidden="1" x14ac:dyDescent="0.25">
      <c r="B163" s="38">
        <v>156</v>
      </c>
      <c r="C163" s="36" t="s">
        <v>1034</v>
      </c>
      <c r="D163" s="36" t="s">
        <v>1035</v>
      </c>
      <c r="E163" s="36" t="s">
        <v>936</v>
      </c>
      <c r="F163" s="36" t="s">
        <v>1036</v>
      </c>
      <c r="G163" s="36" t="s">
        <v>1043</v>
      </c>
      <c r="H163" s="36" t="s">
        <v>1080</v>
      </c>
      <c r="I163" s="36" t="s">
        <v>33</v>
      </c>
      <c r="J163" s="34">
        <v>242</v>
      </c>
      <c r="K163" s="34">
        <v>352.73</v>
      </c>
      <c r="L163" s="34">
        <f t="shared" si="12"/>
        <v>-110.73000000000002</v>
      </c>
      <c r="M163" s="34" t="s">
        <v>921</v>
      </c>
      <c r="N163" s="34" t="e">
        <f t="shared" si="13"/>
        <v>#VALUE!</v>
      </c>
      <c r="O163" s="34" t="e">
        <f t="shared" si="14"/>
        <v>#VALUE!</v>
      </c>
      <c r="P163" s="34" t="e">
        <f t="shared" si="15"/>
        <v>#VALUE!</v>
      </c>
      <c r="Q163" s="34">
        <f t="shared" si="16"/>
        <v>0</v>
      </c>
      <c r="R163" s="34" t="e">
        <f t="shared" si="17"/>
        <v>#VALUE!</v>
      </c>
      <c r="S163" s="37">
        <v>46371</v>
      </c>
      <c r="T163" s="37">
        <v>46387</v>
      </c>
      <c r="U163" s="37">
        <v>46388</v>
      </c>
      <c r="V163" s="37">
        <v>46477</v>
      </c>
      <c r="W163" s="34"/>
      <c r="X163" s="34"/>
      <c r="Y163" s="34"/>
    </row>
    <row r="164" spans="2:25" hidden="1" x14ac:dyDescent="0.25">
      <c r="B164" s="1">
        <v>157</v>
      </c>
      <c r="C164" s="12" t="s">
        <v>1513</v>
      </c>
      <c r="D164" s="12" t="s">
        <v>1137</v>
      </c>
      <c r="E164" s="12" t="s">
        <v>1138</v>
      </c>
      <c r="F164" s="12" t="s">
        <v>1139</v>
      </c>
      <c r="G164" s="12" t="s">
        <v>1043</v>
      </c>
      <c r="H164" s="12" t="s">
        <v>1080</v>
      </c>
      <c r="I164" s="12" t="s">
        <v>1135</v>
      </c>
      <c r="J164">
        <v>33</v>
      </c>
      <c r="K164">
        <v>26.47</v>
      </c>
      <c r="L164">
        <f t="shared" si="12"/>
        <v>6.5300000000000011</v>
      </c>
      <c r="M164" t="s">
        <v>921</v>
      </c>
      <c r="N164" t="e">
        <f t="shared" si="13"/>
        <v>#VALUE!</v>
      </c>
      <c r="O164" t="e">
        <f t="shared" si="14"/>
        <v>#VALUE!</v>
      </c>
      <c r="P164" t="e">
        <f t="shared" si="15"/>
        <v>#VALUE!</v>
      </c>
      <c r="Q164">
        <f t="shared" si="16"/>
        <v>0</v>
      </c>
      <c r="R164" t="e">
        <f t="shared" si="17"/>
        <v>#VALUE!</v>
      </c>
      <c r="S164" s="32">
        <v>46371</v>
      </c>
      <c r="T164" s="32">
        <v>46387</v>
      </c>
      <c r="U164" s="32">
        <v>46478</v>
      </c>
      <c r="V164" s="32">
        <v>46568</v>
      </c>
    </row>
    <row r="165" spans="2:25" hidden="1" x14ac:dyDescent="0.25">
      <c r="B165" s="38">
        <v>158</v>
      </c>
      <c r="C165" s="36" t="s">
        <v>9841</v>
      </c>
      <c r="D165" s="36" t="s">
        <v>1260</v>
      </c>
      <c r="E165" s="36" t="s">
        <v>1261</v>
      </c>
      <c r="F165" s="36" t="s">
        <v>9842</v>
      </c>
      <c r="G165" s="36" t="s">
        <v>1043</v>
      </c>
      <c r="H165" s="36" t="s">
        <v>1044</v>
      </c>
      <c r="I165" s="36" t="s">
        <v>33</v>
      </c>
      <c r="J165" s="34">
        <v>264</v>
      </c>
      <c r="K165" s="34">
        <v>264</v>
      </c>
      <c r="L165" s="34">
        <f t="shared" si="12"/>
        <v>0</v>
      </c>
      <c r="M165" s="34" t="s">
        <v>921</v>
      </c>
      <c r="N165" s="34" t="e">
        <f t="shared" si="13"/>
        <v>#VALUE!</v>
      </c>
      <c r="O165" s="34" t="e">
        <f t="shared" si="14"/>
        <v>#VALUE!</v>
      </c>
      <c r="P165" s="34" t="e">
        <f t="shared" si="15"/>
        <v>#VALUE!</v>
      </c>
      <c r="Q165" s="34">
        <f t="shared" si="16"/>
        <v>0</v>
      </c>
      <c r="R165" s="34" t="e">
        <f t="shared" si="17"/>
        <v>#VALUE!</v>
      </c>
      <c r="S165" s="34"/>
      <c r="T165" s="34"/>
      <c r="U165" s="37">
        <v>46261</v>
      </c>
      <c r="V165" s="37">
        <v>46295</v>
      </c>
      <c r="W165" s="34"/>
      <c r="X165" s="34"/>
      <c r="Y165" s="34"/>
    </row>
    <row r="166" spans="2:25" hidden="1" x14ac:dyDescent="0.25">
      <c r="B166" s="1">
        <v>159</v>
      </c>
      <c r="C166" s="12" t="s">
        <v>1499</v>
      </c>
      <c r="D166" s="12" t="s">
        <v>1260</v>
      </c>
      <c r="E166" s="12" t="s">
        <v>1261</v>
      </c>
      <c r="F166" s="12" t="s">
        <v>1262</v>
      </c>
      <c r="G166" s="12" t="s">
        <v>1043</v>
      </c>
      <c r="H166" s="12" t="s">
        <v>1044</v>
      </c>
      <c r="I166" s="12" t="s">
        <v>33</v>
      </c>
      <c r="K166">
        <v>39.6</v>
      </c>
      <c r="L166">
        <f t="shared" si="12"/>
        <v>-39.6</v>
      </c>
      <c r="M166" t="s">
        <v>921</v>
      </c>
      <c r="N166" t="e">
        <f t="shared" si="13"/>
        <v>#VALUE!</v>
      </c>
      <c r="O166" t="e">
        <f t="shared" si="14"/>
        <v>#VALUE!</v>
      </c>
      <c r="P166" t="e">
        <f t="shared" si="15"/>
        <v>#VALUE!</v>
      </c>
      <c r="Q166">
        <f t="shared" si="16"/>
        <v>0</v>
      </c>
      <c r="R166" t="e">
        <f t="shared" si="17"/>
        <v>#VALUE!</v>
      </c>
      <c r="S166" s="32">
        <v>46301</v>
      </c>
      <c r="T166" s="32">
        <v>46356</v>
      </c>
      <c r="U166" s="32">
        <v>46357</v>
      </c>
      <c r="V166" s="32">
        <v>46473</v>
      </c>
    </row>
    <row r="167" spans="2:25" x14ac:dyDescent="0.25">
      <c r="B167" s="38">
        <v>160</v>
      </c>
      <c r="C167" s="36" t="s">
        <v>1500</v>
      </c>
      <c r="D167" s="36" t="s">
        <v>1260</v>
      </c>
      <c r="E167" s="36" t="s">
        <v>1261</v>
      </c>
      <c r="F167" s="36" t="s">
        <v>1262</v>
      </c>
      <c r="G167" s="36" t="s">
        <v>1043</v>
      </c>
      <c r="H167" s="36" t="s">
        <v>916</v>
      </c>
      <c r="I167" s="36" t="s">
        <v>33</v>
      </c>
      <c r="J167" s="34"/>
      <c r="K167" s="34">
        <v>1000.45</v>
      </c>
      <c r="L167" s="34">
        <f t="shared" si="12"/>
        <v>-1000.45</v>
      </c>
      <c r="M167" s="34" t="s">
        <v>921</v>
      </c>
      <c r="N167" s="34" t="e">
        <f t="shared" si="13"/>
        <v>#VALUE!</v>
      </c>
      <c r="O167" s="34" t="e">
        <f t="shared" si="14"/>
        <v>#VALUE!</v>
      </c>
      <c r="P167" s="34" t="e">
        <f t="shared" si="15"/>
        <v>#VALUE!</v>
      </c>
      <c r="Q167" s="34">
        <f t="shared" si="16"/>
        <v>0</v>
      </c>
      <c r="R167" s="34" t="e">
        <f t="shared" si="17"/>
        <v>#VALUE!</v>
      </c>
      <c r="S167" s="37">
        <v>46301</v>
      </c>
      <c r="T167" s="37">
        <v>46356</v>
      </c>
      <c r="U167" s="37">
        <v>46357</v>
      </c>
      <c r="V167" s="37">
        <v>46473</v>
      </c>
      <c r="W167" s="34"/>
      <c r="X167" s="34"/>
      <c r="Y167" s="34"/>
    </row>
    <row r="168" spans="2:25" hidden="1" x14ac:dyDescent="0.25">
      <c r="B168" s="1">
        <v>161</v>
      </c>
      <c r="C168" s="12" t="s">
        <v>1509</v>
      </c>
      <c r="D168" s="12" t="s">
        <v>1510</v>
      </c>
      <c r="E168" s="12" t="s">
        <v>1511</v>
      </c>
      <c r="F168" s="12" t="s">
        <v>1512</v>
      </c>
      <c r="G168" s="12" t="s">
        <v>1043</v>
      </c>
      <c r="H168" s="12" t="s">
        <v>1080</v>
      </c>
      <c r="I168" s="12" t="s">
        <v>1135</v>
      </c>
      <c r="K168">
        <v>38</v>
      </c>
      <c r="L168">
        <f t="shared" si="12"/>
        <v>-38</v>
      </c>
      <c r="M168" t="s">
        <v>921</v>
      </c>
      <c r="N168" t="e">
        <f t="shared" si="13"/>
        <v>#VALUE!</v>
      </c>
      <c r="O168" t="e">
        <f t="shared" si="14"/>
        <v>#VALUE!</v>
      </c>
      <c r="P168" t="e">
        <f t="shared" si="15"/>
        <v>#VALUE!</v>
      </c>
      <c r="Q168">
        <f t="shared" si="16"/>
        <v>0</v>
      </c>
      <c r="R168" t="e">
        <f t="shared" si="17"/>
        <v>#VALUE!</v>
      </c>
      <c r="S168" s="32">
        <v>46335</v>
      </c>
      <c r="T168" s="32">
        <v>46387</v>
      </c>
      <c r="U168" s="32">
        <v>46419</v>
      </c>
      <c r="V168" s="32">
        <v>46472</v>
      </c>
    </row>
    <row r="169" spans="2:25" hidden="1" x14ac:dyDescent="0.25">
      <c r="B169" s="38">
        <v>162</v>
      </c>
      <c r="C169" s="36" t="s">
        <v>1478</v>
      </c>
      <c r="D169" s="36" t="s">
        <v>1479</v>
      </c>
      <c r="E169" s="36" t="s">
        <v>1059</v>
      </c>
      <c r="F169" s="36" t="s">
        <v>1480</v>
      </c>
      <c r="G169" s="36" t="s">
        <v>1043</v>
      </c>
      <c r="H169" s="36" t="s">
        <v>1044</v>
      </c>
      <c r="I169" s="36" t="s">
        <v>33</v>
      </c>
      <c r="J169" s="34">
        <v>461</v>
      </c>
      <c r="K169" s="34">
        <v>461</v>
      </c>
      <c r="L169" s="34">
        <f t="shared" si="12"/>
        <v>0</v>
      </c>
      <c r="M169" s="34" t="s">
        <v>921</v>
      </c>
      <c r="N169" s="34" t="e">
        <f t="shared" si="13"/>
        <v>#VALUE!</v>
      </c>
      <c r="O169" s="34" t="e">
        <f t="shared" si="14"/>
        <v>#VALUE!</v>
      </c>
      <c r="P169" s="34" t="e">
        <f t="shared" si="15"/>
        <v>#VALUE!</v>
      </c>
      <c r="Q169" s="34">
        <f t="shared" si="16"/>
        <v>0</v>
      </c>
      <c r="R169" s="34" t="e">
        <f t="shared" si="17"/>
        <v>#VALUE!</v>
      </c>
      <c r="S169" s="37">
        <v>46327</v>
      </c>
      <c r="T169" s="37">
        <v>46387</v>
      </c>
      <c r="U169" s="37">
        <v>46388</v>
      </c>
      <c r="V169" s="37">
        <v>46477</v>
      </c>
      <c r="W169" s="34"/>
      <c r="X169" s="34"/>
      <c r="Y169" s="34"/>
    </row>
    <row r="170" spans="2:25" hidden="1" x14ac:dyDescent="0.25">
      <c r="B170" s="1">
        <v>163</v>
      </c>
      <c r="C170" s="12" t="s">
        <v>1515</v>
      </c>
      <c r="D170" s="12" t="s">
        <v>1516</v>
      </c>
      <c r="E170" s="12" t="s">
        <v>1517</v>
      </c>
      <c r="F170" s="12" t="s">
        <v>1518</v>
      </c>
      <c r="G170" s="12" t="s">
        <v>1043</v>
      </c>
      <c r="H170" s="12" t="s">
        <v>1080</v>
      </c>
      <c r="I170" s="12" t="s">
        <v>1447</v>
      </c>
      <c r="J170">
        <v>60.5</v>
      </c>
      <c r="K170">
        <v>70.5</v>
      </c>
      <c r="L170">
        <f t="shared" si="12"/>
        <v>-10</v>
      </c>
      <c r="M170" t="s">
        <v>921</v>
      </c>
      <c r="N170" t="e">
        <f t="shared" si="13"/>
        <v>#VALUE!</v>
      </c>
      <c r="O170" t="e">
        <f t="shared" si="14"/>
        <v>#VALUE!</v>
      </c>
      <c r="P170" t="e">
        <f t="shared" si="15"/>
        <v>#VALUE!</v>
      </c>
      <c r="Q170">
        <f t="shared" si="16"/>
        <v>0</v>
      </c>
      <c r="R170" t="e">
        <f t="shared" si="17"/>
        <v>#VALUE!</v>
      </c>
      <c r="S170" s="32">
        <v>46335</v>
      </c>
      <c r="T170" s="32">
        <v>46387</v>
      </c>
      <c r="U170" s="32">
        <v>46419</v>
      </c>
      <c r="V170" s="32">
        <v>46472</v>
      </c>
    </row>
  </sheetData>
  <sheetProtection algorithmName="SHA-512" hashValue="S5EjVb1fyRFow5dyaeez1dynfF923qLOvW3/rB2qcRFeG+PB2g5cxyLbd0UiR6GRGX4rJ3hJExLo7arq3yZJEg==" saltValue="XPfHOIGNG3BgmS9fbpn0+w==" spinCount="100000" sheet="1" objects="1" scenarios="1" formatCells="0" deleteRows="0" sort="0" autoFilter="0"/>
  <autoFilter ref="B7:Y170" xr:uid="{3798D8C1-196E-43A9-908B-7C02A16F48E6}">
    <filterColumn colId="6">
      <filters>
        <filter val="Vivi.W.Yang@cn.ey.com"/>
      </filters>
    </filterColumn>
  </autoFilter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05" r:id="rId3" name="CheckBox_Row8">
              <controlPr defaultSize="0" autoFill="0" autoLine="0" autoPict="0">
                <anchor moveWithCells="1">
                  <from>
                    <xdr:col>0</xdr:col>
                    <xdr:colOff>15240</xdr:colOff>
                    <xdr:row>7</xdr:row>
                    <xdr:rowOff>15240</xdr:rowOff>
                  </from>
                  <to>
                    <xdr:col>1</xdr:col>
                    <xdr:colOff>30480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4" name="CheckBox_Row9">
              <controlPr defaultSize="0" autoFill="0" autoLine="0" autoPict="0">
                <anchor moveWithCells="1">
                  <from>
                    <xdr:col>0</xdr:col>
                    <xdr:colOff>15240</xdr:colOff>
                    <xdr:row>8</xdr:row>
                    <xdr:rowOff>15240</xdr:rowOff>
                  </from>
                  <to>
                    <xdr:col>1</xdr:col>
                    <xdr:colOff>30480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5" name="CheckBox_Row10">
              <controlPr defaultSize="0" autoFill="0" autoLine="0" autoPict="0">
                <anchor moveWithCells="1">
                  <from>
                    <xdr:col>0</xdr:col>
                    <xdr:colOff>15240</xdr:colOff>
                    <xdr:row>9</xdr:row>
                    <xdr:rowOff>30480</xdr:rowOff>
                  </from>
                  <to>
                    <xdr:col>1</xdr:col>
                    <xdr:colOff>30480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6" name="CheckBox_Row11">
              <controlPr defaultSize="0" autoFill="0" autoLine="0" autoPict="0">
                <anchor moveWithCells="1">
                  <from>
                    <xdr:col>0</xdr:col>
                    <xdr:colOff>15240</xdr:colOff>
                    <xdr:row>10</xdr:row>
                    <xdr:rowOff>30480</xdr:rowOff>
                  </from>
                  <to>
                    <xdr:col>1</xdr:col>
                    <xdr:colOff>30480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7" name="CheckBox_Row12">
              <controlPr defaultSize="0" autoFill="0" autoLine="0" autoPict="0">
                <anchor moveWithCells="1">
                  <from>
                    <xdr:col>0</xdr:col>
                    <xdr:colOff>15240</xdr:colOff>
                    <xdr:row>11</xdr:row>
                    <xdr:rowOff>38100</xdr:rowOff>
                  </from>
                  <to>
                    <xdr:col>1</xdr:col>
                    <xdr:colOff>30480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8" name="CheckBox_Row13">
              <controlPr defaultSize="0" autoFill="0" autoLine="0" autoPict="0">
                <anchor moveWithCells="1">
                  <from>
                    <xdr:col>0</xdr:col>
                    <xdr:colOff>15240</xdr:colOff>
                    <xdr:row>12</xdr:row>
                    <xdr:rowOff>30480</xdr:rowOff>
                  </from>
                  <to>
                    <xdr:col>1</xdr:col>
                    <xdr:colOff>30480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9" name="CheckBox_Row14">
              <controlPr defaultSize="0" autoFill="0" autoLine="0" autoPict="0">
                <anchor moveWithCells="1">
                  <from>
                    <xdr:col>0</xdr:col>
                    <xdr:colOff>15240</xdr:colOff>
                    <xdr:row>13</xdr:row>
                    <xdr:rowOff>38100</xdr:rowOff>
                  </from>
                  <to>
                    <xdr:col>1</xdr:col>
                    <xdr:colOff>30480</xdr:colOff>
                    <xdr:row>18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0" name="CheckBox_Row15">
              <controlPr defaultSize="0" autoFill="0" autoLine="0" autoPict="0">
                <anchor moveWithCells="1">
                  <from>
                    <xdr:col>0</xdr:col>
                    <xdr:colOff>15240</xdr:colOff>
                    <xdr:row>14</xdr:row>
                    <xdr:rowOff>38100</xdr:rowOff>
                  </from>
                  <to>
                    <xdr:col>1</xdr:col>
                    <xdr:colOff>30480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" name="CheckBox_Row16">
              <controlPr defaultSize="0" autoFill="0" autoLine="0" autoPict="0">
                <anchor moveWithCells="1">
                  <from>
                    <xdr:col>0</xdr:col>
                    <xdr:colOff>15240</xdr:colOff>
                    <xdr:row>15</xdr:row>
                    <xdr:rowOff>60960</xdr:rowOff>
                  </from>
                  <to>
                    <xdr:col>1</xdr:col>
                    <xdr:colOff>30480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2" name="CheckBox_Row17">
              <controlPr defaultSize="0" autoFill="0" autoLine="0" autoPict="0">
                <anchor moveWithCells="1">
                  <from>
                    <xdr:col>0</xdr:col>
                    <xdr:colOff>15240</xdr:colOff>
                    <xdr:row>16</xdr:row>
                    <xdr:rowOff>60960</xdr:rowOff>
                  </from>
                  <to>
                    <xdr:col>1</xdr:col>
                    <xdr:colOff>30480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3" name="CheckBox_Row18">
              <controlPr defaultSize="0" autoFill="0" autoLine="0" autoPict="0">
                <anchor moveWithCells="1">
                  <from>
                    <xdr:col>0</xdr:col>
                    <xdr:colOff>15240</xdr:colOff>
                    <xdr:row>17</xdr:row>
                    <xdr:rowOff>60960</xdr:rowOff>
                  </from>
                  <to>
                    <xdr:col>1</xdr:col>
                    <xdr:colOff>30480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4" name="CheckBox_Row19">
              <controlPr defaultSize="0" autoFill="0" autoLine="0" autoPict="0">
                <anchor moveWithCells="1">
                  <from>
                    <xdr:col>0</xdr:col>
                    <xdr:colOff>15240</xdr:colOff>
                    <xdr:row>18</xdr:row>
                    <xdr:rowOff>60960</xdr:rowOff>
                  </from>
                  <to>
                    <xdr:col>1</xdr:col>
                    <xdr:colOff>30480</xdr:colOff>
                    <xdr:row>23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5" name="CheckBox_Row20">
              <controlPr defaultSize="0" autoFill="0" autoLine="0" autoPict="0">
                <anchor moveWithCells="1">
                  <from>
                    <xdr:col>0</xdr:col>
                    <xdr:colOff>15240</xdr:colOff>
                    <xdr:row>19</xdr:row>
                    <xdr:rowOff>60960</xdr:rowOff>
                  </from>
                  <to>
                    <xdr:col>1</xdr:col>
                    <xdr:colOff>30480</xdr:colOff>
                    <xdr:row>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6" name="CheckBox_Row21">
              <controlPr defaultSize="0" autoFill="0" autoLine="0" autoPict="0">
                <anchor moveWithCells="1">
                  <from>
                    <xdr:col>0</xdr:col>
                    <xdr:colOff>15240</xdr:colOff>
                    <xdr:row>20</xdr:row>
                    <xdr:rowOff>60960</xdr:rowOff>
                  </from>
                  <to>
                    <xdr:col>1</xdr:col>
                    <xdr:colOff>30480</xdr:colOff>
                    <xdr:row>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7" name="CheckBox_Row22">
              <controlPr defaultSize="0" autoFill="0" autoLine="0" autoPict="0">
                <anchor moveWithCells="1">
                  <from>
                    <xdr:col>0</xdr:col>
                    <xdr:colOff>15240</xdr:colOff>
                    <xdr:row>21</xdr:row>
                    <xdr:rowOff>68580</xdr:rowOff>
                  </from>
                  <to>
                    <xdr:col>1</xdr:col>
                    <xdr:colOff>30480</xdr:colOff>
                    <xdr:row>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8" name="CheckBox_Row23">
              <controlPr defaultSize="0" autoFill="0" autoLine="0" autoPict="0">
                <anchor moveWithCells="1">
                  <from>
                    <xdr:col>0</xdr:col>
                    <xdr:colOff>15240</xdr:colOff>
                    <xdr:row>22</xdr:row>
                    <xdr:rowOff>68580</xdr:rowOff>
                  </from>
                  <to>
                    <xdr:col>1</xdr:col>
                    <xdr:colOff>30480</xdr:colOff>
                    <xdr:row>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9" name="CheckBox_Row24">
              <controlPr defaultSize="0" autoFill="0" autoLine="0" autoPict="0">
                <anchor moveWithCells="1">
                  <from>
                    <xdr:col>0</xdr:col>
                    <xdr:colOff>15240</xdr:colOff>
                    <xdr:row>23</xdr:row>
                    <xdr:rowOff>91440</xdr:rowOff>
                  </from>
                  <to>
                    <xdr:col>1</xdr:col>
                    <xdr:colOff>30480</xdr:colOff>
                    <xdr:row>33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20" name="CheckBox_Row25">
              <controlPr defaultSize="0" autoFill="0" autoLine="0" autoPict="0">
                <anchor moveWithCells="1">
                  <from>
                    <xdr:col>0</xdr:col>
                    <xdr:colOff>15240</xdr:colOff>
                    <xdr:row>24</xdr:row>
                    <xdr:rowOff>68580</xdr:rowOff>
                  </from>
                  <to>
                    <xdr:col>1</xdr:col>
                    <xdr:colOff>30480</xdr:colOff>
                    <xdr:row>46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21" name="CheckBox_Row26">
              <controlPr defaultSize="0" autoFill="0" autoLine="0" autoPict="0">
                <anchor moveWithCells="1">
                  <from>
                    <xdr:col>0</xdr:col>
                    <xdr:colOff>15240</xdr:colOff>
                    <xdr:row>25</xdr:row>
                    <xdr:rowOff>91440</xdr:rowOff>
                  </from>
                  <to>
                    <xdr:col>1</xdr:col>
                    <xdr:colOff>30480</xdr:colOff>
                    <xdr:row>46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22" name="CheckBox_Row27">
              <controlPr defaultSize="0" autoFill="0" autoLine="0" autoPict="0">
                <anchor moveWithCells="1">
                  <from>
                    <xdr:col>0</xdr:col>
                    <xdr:colOff>15240</xdr:colOff>
                    <xdr:row>26</xdr:row>
                    <xdr:rowOff>91440</xdr:rowOff>
                  </from>
                  <to>
                    <xdr:col>1</xdr:col>
                    <xdr:colOff>30480</xdr:colOff>
                    <xdr:row>46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23" name="CheckBox_Row28">
              <controlPr defaultSize="0" autoFill="0" autoLine="0" autoPict="0">
                <anchor moveWithCells="1">
                  <from>
                    <xdr:col>0</xdr:col>
                    <xdr:colOff>15240</xdr:colOff>
                    <xdr:row>27</xdr:row>
                    <xdr:rowOff>91440</xdr:rowOff>
                  </from>
                  <to>
                    <xdr:col>1</xdr:col>
                    <xdr:colOff>30480</xdr:colOff>
                    <xdr:row>46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24" name="CheckBox_Row29">
              <controlPr defaultSize="0" autoFill="0" autoLine="0" autoPict="0">
                <anchor moveWithCells="1">
                  <from>
                    <xdr:col>0</xdr:col>
                    <xdr:colOff>15240</xdr:colOff>
                    <xdr:row>28</xdr:row>
                    <xdr:rowOff>91440</xdr:rowOff>
                  </from>
                  <to>
                    <xdr:col>1</xdr:col>
                    <xdr:colOff>30480</xdr:colOff>
                    <xdr:row>46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25" name="CheckBox_Row30">
              <controlPr defaultSize="0" autoFill="0" autoLine="0" autoPict="0">
                <anchor moveWithCells="1">
                  <from>
                    <xdr:col>0</xdr:col>
                    <xdr:colOff>15240</xdr:colOff>
                    <xdr:row>29</xdr:row>
                    <xdr:rowOff>99060</xdr:rowOff>
                  </from>
                  <to>
                    <xdr:col>1</xdr:col>
                    <xdr:colOff>30480</xdr:colOff>
                    <xdr:row>46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26" name="CheckBox_Row31">
              <controlPr defaultSize="0" autoFill="0" autoLine="0" autoPict="0">
                <anchor moveWithCells="1">
                  <from>
                    <xdr:col>0</xdr:col>
                    <xdr:colOff>15240</xdr:colOff>
                    <xdr:row>30</xdr:row>
                    <xdr:rowOff>91440</xdr:rowOff>
                  </from>
                  <to>
                    <xdr:col>1</xdr:col>
                    <xdr:colOff>30480</xdr:colOff>
                    <xdr:row>46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27" name="CheckBox_Row32">
              <controlPr defaultSize="0" autoFill="0" autoLine="0" autoPict="0">
                <anchor moveWithCells="1">
                  <from>
                    <xdr:col>0</xdr:col>
                    <xdr:colOff>15240</xdr:colOff>
                    <xdr:row>31</xdr:row>
                    <xdr:rowOff>99060</xdr:rowOff>
                  </from>
                  <to>
                    <xdr:col>1</xdr:col>
                    <xdr:colOff>30480</xdr:colOff>
                    <xdr:row>46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28" name="CheckBox_Row33">
              <controlPr defaultSize="0" autoFill="0" autoLine="0" autoPict="0">
                <anchor moveWithCells="1">
                  <from>
                    <xdr:col>0</xdr:col>
                    <xdr:colOff>15240</xdr:colOff>
                    <xdr:row>32</xdr:row>
                    <xdr:rowOff>99060</xdr:rowOff>
                  </from>
                  <to>
                    <xdr:col>1</xdr:col>
                    <xdr:colOff>30480</xdr:colOff>
                    <xdr:row>46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29" name="CheckBox_Row34">
              <controlPr defaultSize="0" autoFill="0" autoLine="0" autoPict="0">
                <anchor moveWithCells="1">
                  <from>
                    <xdr:col>0</xdr:col>
                    <xdr:colOff>15240</xdr:colOff>
                    <xdr:row>33</xdr:row>
                    <xdr:rowOff>106680</xdr:rowOff>
                  </from>
                  <to>
                    <xdr:col>1</xdr:col>
                    <xdr:colOff>30480</xdr:colOff>
                    <xdr:row>46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30" name="CheckBox_Row35">
              <controlPr defaultSize="0" autoFill="0" autoLine="0" autoPict="0">
                <anchor moveWithCells="1">
                  <from>
                    <xdr:col>0</xdr:col>
                    <xdr:colOff>15240</xdr:colOff>
                    <xdr:row>34</xdr:row>
                    <xdr:rowOff>106680</xdr:rowOff>
                  </from>
                  <to>
                    <xdr:col>1</xdr:col>
                    <xdr:colOff>30480</xdr:colOff>
                    <xdr:row>54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" r:id="rId31" name="CheckBox_Row36">
              <controlPr defaultSize="0" autoFill="0" autoLine="0" autoPict="0">
                <anchor moveWithCells="1">
                  <from>
                    <xdr:col>0</xdr:col>
                    <xdr:colOff>15240</xdr:colOff>
                    <xdr:row>35</xdr:row>
                    <xdr:rowOff>106680</xdr:rowOff>
                  </from>
                  <to>
                    <xdr:col>1</xdr:col>
                    <xdr:colOff>30480</xdr:colOff>
                    <xdr:row>54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" r:id="rId32" name="CheckBox_Row37">
              <controlPr defaultSize="0" autoFill="0" autoLine="0" autoPict="0">
                <anchor moveWithCells="1">
                  <from>
                    <xdr:col>0</xdr:col>
                    <xdr:colOff>15240</xdr:colOff>
                    <xdr:row>36</xdr:row>
                    <xdr:rowOff>106680</xdr:rowOff>
                  </from>
                  <to>
                    <xdr:col>1</xdr:col>
                    <xdr:colOff>30480</xdr:colOff>
                    <xdr:row>54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" r:id="rId33" name="CheckBox_Row38">
              <controlPr defaultSize="0" autoFill="0" autoLine="0" autoPict="0">
                <anchor moveWithCells="1">
                  <from>
                    <xdr:col>0</xdr:col>
                    <xdr:colOff>15240</xdr:colOff>
                    <xdr:row>37</xdr:row>
                    <xdr:rowOff>106680</xdr:rowOff>
                  </from>
                  <to>
                    <xdr:col>1</xdr:col>
                    <xdr:colOff>30480</xdr:colOff>
                    <xdr:row>54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" r:id="rId34" name="CheckBox_Row39">
              <controlPr defaultSize="0" autoFill="0" autoLine="0" autoPict="0">
                <anchor moveWithCells="1">
                  <from>
                    <xdr:col>0</xdr:col>
                    <xdr:colOff>15240</xdr:colOff>
                    <xdr:row>38</xdr:row>
                    <xdr:rowOff>106680</xdr:rowOff>
                  </from>
                  <to>
                    <xdr:col>1</xdr:col>
                    <xdr:colOff>30480</xdr:colOff>
                    <xdr:row>54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" r:id="rId35" name="CheckBox_Row40">
              <controlPr defaultSize="0" autoFill="0" autoLine="0" autoPict="0">
                <anchor moveWithCells="1">
                  <from>
                    <xdr:col>0</xdr:col>
                    <xdr:colOff>15240</xdr:colOff>
                    <xdr:row>39</xdr:row>
                    <xdr:rowOff>129540</xdr:rowOff>
                  </from>
                  <to>
                    <xdr:col>1</xdr:col>
                    <xdr:colOff>30480</xdr:colOff>
                    <xdr:row>54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" r:id="rId36" name="CheckBox_Row41">
              <controlPr defaultSize="0" autoFill="0" autoLine="0" autoPict="0">
                <anchor moveWithCells="1">
                  <from>
                    <xdr:col>0</xdr:col>
                    <xdr:colOff>15240</xdr:colOff>
                    <xdr:row>40</xdr:row>
                    <xdr:rowOff>129540</xdr:rowOff>
                  </from>
                  <to>
                    <xdr:col>1</xdr:col>
                    <xdr:colOff>30480</xdr:colOff>
                    <xdr:row>54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" r:id="rId37" name="CheckBox_Row42">
              <controlPr defaultSize="0" autoFill="0" autoLine="0" autoPict="0">
                <anchor moveWithCells="1">
                  <from>
                    <xdr:col>0</xdr:col>
                    <xdr:colOff>15240</xdr:colOff>
                    <xdr:row>41</xdr:row>
                    <xdr:rowOff>137160</xdr:rowOff>
                  </from>
                  <to>
                    <xdr:col>1</xdr:col>
                    <xdr:colOff>30480</xdr:colOff>
                    <xdr:row>54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" r:id="rId38" name="CheckBox_Row43">
              <controlPr defaultSize="0" autoFill="0" autoLine="0" autoPict="0">
                <anchor moveWithCells="1">
                  <from>
                    <xdr:col>0</xdr:col>
                    <xdr:colOff>15240</xdr:colOff>
                    <xdr:row>42</xdr:row>
                    <xdr:rowOff>129540</xdr:rowOff>
                  </from>
                  <to>
                    <xdr:col>1</xdr:col>
                    <xdr:colOff>30480</xdr:colOff>
                    <xdr:row>54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" r:id="rId39" name="CheckBox_Row44">
              <controlPr defaultSize="0" autoFill="0" autoLine="0" autoPict="0">
                <anchor moveWithCells="1">
                  <from>
                    <xdr:col>0</xdr:col>
                    <xdr:colOff>15240</xdr:colOff>
                    <xdr:row>43</xdr:row>
                    <xdr:rowOff>137160</xdr:rowOff>
                  </from>
                  <to>
                    <xdr:col>1</xdr:col>
                    <xdr:colOff>30480</xdr:colOff>
                    <xdr:row>54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2" r:id="rId40" name="CheckBox_Row45">
              <controlPr defaultSize="0" autoFill="0" autoLine="0" autoPict="0">
                <anchor moveWithCells="1">
                  <from>
                    <xdr:col>0</xdr:col>
                    <xdr:colOff>15240</xdr:colOff>
                    <xdr:row>44</xdr:row>
                    <xdr:rowOff>137160</xdr:rowOff>
                  </from>
                  <to>
                    <xdr:col>1</xdr:col>
                    <xdr:colOff>30480</xdr:colOff>
                    <xdr:row>54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3" r:id="rId41" name="CheckBox_Row46">
              <controlPr defaultSize="0" autoFill="0" autoLine="0" autoPict="0">
                <anchor moveWithCells="1">
                  <from>
                    <xdr:col>0</xdr:col>
                    <xdr:colOff>15240</xdr:colOff>
                    <xdr:row>45</xdr:row>
                    <xdr:rowOff>152400</xdr:rowOff>
                  </from>
                  <to>
                    <xdr:col>1</xdr:col>
                    <xdr:colOff>30480</xdr:colOff>
                    <xdr:row>54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4" r:id="rId42" name="CheckBox_Row47">
              <controlPr defaultSize="0" autoFill="0" autoLine="0" autoPict="0">
                <anchor moveWithCells="1">
                  <from>
                    <xdr:col>0</xdr:col>
                    <xdr:colOff>15240</xdr:colOff>
                    <xdr:row>46</xdr:row>
                    <xdr:rowOff>152400</xdr:rowOff>
                  </from>
                  <to>
                    <xdr:col>1</xdr:col>
                    <xdr:colOff>30480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5" r:id="rId43" name="CheckBox_Row48">
              <controlPr defaultSize="0" autoFill="0" autoLine="0" autoPict="0">
                <anchor moveWithCells="1">
                  <from>
                    <xdr:col>0</xdr:col>
                    <xdr:colOff>15240</xdr:colOff>
                    <xdr:row>47</xdr:row>
                    <xdr:rowOff>152400</xdr:rowOff>
                  </from>
                  <to>
                    <xdr:col>1</xdr:col>
                    <xdr:colOff>30480</xdr:colOff>
                    <xdr:row>61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6" r:id="rId44" name="CheckBox_Row49">
              <controlPr defaultSize="0" autoFill="0" autoLine="0" autoPict="0">
                <anchor moveWithCells="1">
                  <from>
                    <xdr:col>0</xdr:col>
                    <xdr:colOff>15240</xdr:colOff>
                    <xdr:row>48</xdr:row>
                    <xdr:rowOff>152400</xdr:rowOff>
                  </from>
                  <to>
                    <xdr:col>1</xdr:col>
                    <xdr:colOff>30480</xdr:colOff>
                    <xdr:row>61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7" r:id="rId45" name="CheckBox_Row50">
              <controlPr defaultSize="0" autoFill="0" autoLine="0" autoPict="0">
                <anchor moveWithCells="1">
                  <from>
                    <xdr:col>0</xdr:col>
                    <xdr:colOff>15240</xdr:colOff>
                    <xdr:row>49</xdr:row>
                    <xdr:rowOff>152400</xdr:rowOff>
                  </from>
                  <to>
                    <xdr:col>1</xdr:col>
                    <xdr:colOff>30480</xdr:colOff>
                    <xdr:row>61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8" r:id="rId46" name="CheckBox_Row51">
              <controlPr defaultSize="0" autoFill="0" autoLine="0" autoPict="0">
                <anchor moveWithCells="1">
                  <from>
                    <xdr:col>0</xdr:col>
                    <xdr:colOff>15240</xdr:colOff>
                    <xdr:row>50</xdr:row>
                    <xdr:rowOff>152400</xdr:rowOff>
                  </from>
                  <to>
                    <xdr:col>1</xdr:col>
                    <xdr:colOff>30480</xdr:colOff>
                    <xdr:row>61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9" r:id="rId47" name="CheckBox_Row52">
              <controlPr defaultSize="0" autoFill="0" autoLine="0" autoPict="0">
                <anchor moveWithCells="1">
                  <from>
                    <xdr:col>0</xdr:col>
                    <xdr:colOff>15240</xdr:colOff>
                    <xdr:row>51</xdr:row>
                    <xdr:rowOff>167640</xdr:rowOff>
                  </from>
                  <to>
                    <xdr:col>1</xdr:col>
                    <xdr:colOff>30480</xdr:colOff>
                    <xdr:row>61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0" r:id="rId48" name="CheckBox_Row53">
              <controlPr defaultSize="0" autoFill="0" autoLine="0" autoPict="0">
                <anchor moveWithCells="1">
                  <from>
                    <xdr:col>0</xdr:col>
                    <xdr:colOff>15240</xdr:colOff>
                    <xdr:row>52</xdr:row>
                    <xdr:rowOff>167640</xdr:rowOff>
                  </from>
                  <to>
                    <xdr:col>1</xdr:col>
                    <xdr:colOff>30480</xdr:colOff>
                    <xdr:row>61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1" r:id="rId49" name="CheckBox_Row54">
              <controlPr defaultSize="0" autoFill="0" autoLine="0" autoPict="0">
                <anchor moveWithCells="1">
                  <from>
                    <xdr:col>0</xdr:col>
                    <xdr:colOff>15240</xdr:colOff>
                    <xdr:row>54</xdr:row>
                    <xdr:rowOff>0</xdr:rowOff>
                  </from>
                  <to>
                    <xdr:col>1</xdr:col>
                    <xdr:colOff>30480</xdr:colOff>
                    <xdr:row>61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2" r:id="rId50" name="CheckBox_Row55">
              <controlPr defaultSize="0" autoFill="0" autoLine="0" autoPict="0">
                <anchor moveWithCells="1">
                  <from>
                    <xdr:col>0</xdr:col>
                    <xdr:colOff>15240</xdr:colOff>
                    <xdr:row>54</xdr:row>
                    <xdr:rowOff>167640</xdr:rowOff>
                  </from>
                  <to>
                    <xdr:col>1</xdr:col>
                    <xdr:colOff>30480</xdr:colOff>
                    <xdr:row>87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3" r:id="rId51" name="CheckBox_Row56">
              <controlPr defaultSize="0" autoFill="0" autoLine="0" autoPict="0">
                <anchor moveWithCells="1">
                  <from>
                    <xdr:col>0</xdr:col>
                    <xdr:colOff>15240</xdr:colOff>
                    <xdr:row>56</xdr:row>
                    <xdr:rowOff>0</xdr:rowOff>
                  </from>
                  <to>
                    <xdr:col>1</xdr:col>
                    <xdr:colOff>30480</xdr:colOff>
                    <xdr:row>87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4" r:id="rId52" name="CheckBox_Row57">
              <controlPr defaultSize="0" autoFill="0" autoLine="0" autoPict="0">
                <anchor moveWithCells="1">
                  <from>
                    <xdr:col>0</xdr:col>
                    <xdr:colOff>15240</xdr:colOff>
                    <xdr:row>57</xdr:row>
                    <xdr:rowOff>0</xdr:rowOff>
                  </from>
                  <to>
                    <xdr:col>1</xdr:col>
                    <xdr:colOff>30480</xdr:colOff>
                    <xdr:row>87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5" r:id="rId53" name="CheckBox_Row58">
              <controlPr defaultSize="0" autoFill="0" autoLine="0" autoPict="0">
                <anchor moveWithCells="1">
                  <from>
                    <xdr:col>0</xdr:col>
                    <xdr:colOff>15240</xdr:colOff>
                    <xdr:row>58</xdr:row>
                    <xdr:rowOff>0</xdr:rowOff>
                  </from>
                  <to>
                    <xdr:col>1</xdr:col>
                    <xdr:colOff>30480</xdr:colOff>
                    <xdr:row>87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6" r:id="rId54" name="CheckBox_Row59">
              <controlPr defaultSize="0" autoFill="0" autoLine="0" autoPict="0">
                <anchor moveWithCells="1">
                  <from>
                    <xdr:col>0</xdr:col>
                    <xdr:colOff>15240</xdr:colOff>
                    <xdr:row>59</xdr:row>
                    <xdr:rowOff>0</xdr:rowOff>
                  </from>
                  <to>
                    <xdr:col>1</xdr:col>
                    <xdr:colOff>30480</xdr:colOff>
                    <xdr:row>87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7" r:id="rId55" name="CheckBox_Row60">
              <controlPr defaultSize="0" autoFill="0" autoLine="0" autoPict="0">
                <anchor moveWithCells="1">
                  <from>
                    <xdr:col>0</xdr:col>
                    <xdr:colOff>15240</xdr:colOff>
                    <xdr:row>60</xdr:row>
                    <xdr:rowOff>15240</xdr:rowOff>
                  </from>
                  <to>
                    <xdr:col>1</xdr:col>
                    <xdr:colOff>30480</xdr:colOff>
                    <xdr:row>87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8" r:id="rId56" name="CheckBox_Row61">
              <controlPr defaultSize="0" autoFill="0" autoLine="0" autoPict="0">
                <anchor moveWithCells="1">
                  <from>
                    <xdr:col>0</xdr:col>
                    <xdr:colOff>15240</xdr:colOff>
                    <xdr:row>61</xdr:row>
                    <xdr:rowOff>0</xdr:rowOff>
                  </from>
                  <to>
                    <xdr:col>1</xdr:col>
                    <xdr:colOff>30480</xdr:colOff>
                    <xdr:row>87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9" r:id="rId57" name="CheckBox_Row62">
              <controlPr defaultSize="0" autoFill="0" autoLine="0" autoPict="0">
                <anchor moveWithCells="1">
                  <from>
                    <xdr:col>0</xdr:col>
                    <xdr:colOff>15240</xdr:colOff>
                    <xdr:row>62</xdr:row>
                    <xdr:rowOff>15240</xdr:rowOff>
                  </from>
                  <to>
                    <xdr:col>1</xdr:col>
                    <xdr:colOff>30480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0" r:id="rId58" name="CheckBox_Row63">
              <controlPr defaultSize="0" autoFill="0" autoLine="0" autoPict="0">
                <anchor moveWithCells="1">
                  <from>
                    <xdr:col>0</xdr:col>
                    <xdr:colOff>15240</xdr:colOff>
                    <xdr:row>63</xdr:row>
                    <xdr:rowOff>15240</xdr:rowOff>
                  </from>
                  <to>
                    <xdr:col>1</xdr:col>
                    <xdr:colOff>30480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1" r:id="rId59" name="CheckBox_Row64">
              <controlPr defaultSize="0" autoFill="0" autoLine="0" autoPict="0">
                <anchor moveWithCells="1">
                  <from>
                    <xdr:col>0</xdr:col>
                    <xdr:colOff>15240</xdr:colOff>
                    <xdr:row>64</xdr:row>
                    <xdr:rowOff>15240</xdr:rowOff>
                  </from>
                  <to>
                    <xdr:col>1</xdr:col>
                    <xdr:colOff>30480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2" r:id="rId60" name="CheckBox_Row65">
              <controlPr defaultSize="0" autoFill="0" autoLine="0" autoPict="0">
                <anchor moveWithCells="1">
                  <from>
                    <xdr:col>0</xdr:col>
                    <xdr:colOff>15240</xdr:colOff>
                    <xdr:row>65</xdr:row>
                    <xdr:rowOff>15240</xdr:rowOff>
                  </from>
                  <to>
                    <xdr:col>1</xdr:col>
                    <xdr:colOff>30480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3" r:id="rId61" name="CheckBox_Row66">
              <controlPr defaultSize="0" autoFill="0" autoLine="0" autoPict="0">
                <anchor moveWithCells="1">
                  <from>
                    <xdr:col>0</xdr:col>
                    <xdr:colOff>15240</xdr:colOff>
                    <xdr:row>66</xdr:row>
                    <xdr:rowOff>30480</xdr:rowOff>
                  </from>
                  <to>
                    <xdr:col>1</xdr:col>
                    <xdr:colOff>30480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4" r:id="rId62" name="CheckBox_Row67">
              <controlPr defaultSize="0" autoFill="0" autoLine="0" autoPict="0">
                <anchor moveWithCells="1">
                  <from>
                    <xdr:col>0</xdr:col>
                    <xdr:colOff>15240</xdr:colOff>
                    <xdr:row>67</xdr:row>
                    <xdr:rowOff>15240</xdr:rowOff>
                  </from>
                  <to>
                    <xdr:col>1</xdr:col>
                    <xdr:colOff>30480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5" r:id="rId63" name="CheckBox_Row68">
              <controlPr defaultSize="0" autoFill="0" autoLine="0" autoPict="0">
                <anchor moveWithCells="1">
                  <from>
                    <xdr:col>0</xdr:col>
                    <xdr:colOff>15240</xdr:colOff>
                    <xdr:row>68</xdr:row>
                    <xdr:rowOff>30480</xdr:rowOff>
                  </from>
                  <to>
                    <xdr:col>1</xdr:col>
                    <xdr:colOff>30480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6" r:id="rId64" name="CheckBox_Row69">
              <controlPr defaultSize="0" autoFill="0" autoLine="0" autoPict="0">
                <anchor moveWithCells="1">
                  <from>
                    <xdr:col>0</xdr:col>
                    <xdr:colOff>15240</xdr:colOff>
                    <xdr:row>69</xdr:row>
                    <xdr:rowOff>30480</xdr:rowOff>
                  </from>
                  <to>
                    <xdr:col>1</xdr:col>
                    <xdr:colOff>30480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7" r:id="rId65" name="CheckBox_Row70">
              <controlPr defaultSize="0" autoFill="0" autoLine="0" autoPict="0">
                <anchor moveWithCells="1">
                  <from>
                    <xdr:col>0</xdr:col>
                    <xdr:colOff>15240</xdr:colOff>
                    <xdr:row>70</xdr:row>
                    <xdr:rowOff>38100</xdr:rowOff>
                  </from>
                  <to>
                    <xdr:col>1</xdr:col>
                    <xdr:colOff>30480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8" r:id="rId66" name="CheckBox_Row71">
              <controlPr defaultSize="0" autoFill="0" autoLine="0" autoPict="0">
                <anchor moveWithCells="1">
                  <from>
                    <xdr:col>0</xdr:col>
                    <xdr:colOff>15240</xdr:colOff>
                    <xdr:row>71</xdr:row>
                    <xdr:rowOff>38100</xdr:rowOff>
                  </from>
                  <to>
                    <xdr:col>1</xdr:col>
                    <xdr:colOff>30480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9" r:id="rId67" name="CheckBox_Row72">
              <controlPr defaultSize="0" autoFill="0" autoLine="0" autoPict="0">
                <anchor moveWithCells="1">
                  <from>
                    <xdr:col>0</xdr:col>
                    <xdr:colOff>15240</xdr:colOff>
                    <xdr:row>72</xdr:row>
                    <xdr:rowOff>60960</xdr:rowOff>
                  </from>
                  <to>
                    <xdr:col>1</xdr:col>
                    <xdr:colOff>30480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0" r:id="rId68" name="CheckBox_Row73">
              <controlPr defaultSize="0" autoFill="0" autoLine="0" autoPict="0">
                <anchor moveWithCells="1">
                  <from>
                    <xdr:col>0</xdr:col>
                    <xdr:colOff>15240</xdr:colOff>
                    <xdr:row>73</xdr:row>
                    <xdr:rowOff>38100</xdr:rowOff>
                  </from>
                  <to>
                    <xdr:col>1</xdr:col>
                    <xdr:colOff>30480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1" r:id="rId69" name="CheckBox_Row74">
              <controlPr defaultSize="0" autoFill="0" autoLine="0" autoPict="0">
                <anchor moveWithCells="1">
                  <from>
                    <xdr:col>0</xdr:col>
                    <xdr:colOff>15240</xdr:colOff>
                    <xdr:row>74</xdr:row>
                    <xdr:rowOff>60960</xdr:rowOff>
                  </from>
                  <to>
                    <xdr:col>1</xdr:col>
                    <xdr:colOff>30480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2" r:id="rId70" name="CheckBox_Row75">
              <controlPr defaultSize="0" autoFill="0" autoLine="0" autoPict="0">
                <anchor moveWithCells="1">
                  <from>
                    <xdr:col>0</xdr:col>
                    <xdr:colOff>15240</xdr:colOff>
                    <xdr:row>75</xdr:row>
                    <xdr:rowOff>60960</xdr:rowOff>
                  </from>
                  <to>
                    <xdr:col>1</xdr:col>
                    <xdr:colOff>30480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3" r:id="rId71" name="CheckBox_Row76">
              <controlPr defaultSize="0" autoFill="0" autoLine="0" autoPict="0">
                <anchor moveWithCells="1">
                  <from>
                    <xdr:col>0</xdr:col>
                    <xdr:colOff>15240</xdr:colOff>
                    <xdr:row>76</xdr:row>
                    <xdr:rowOff>60960</xdr:rowOff>
                  </from>
                  <to>
                    <xdr:col>1</xdr:col>
                    <xdr:colOff>30480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4" r:id="rId72" name="CheckBox_Row77">
              <controlPr defaultSize="0" autoFill="0" autoLine="0" autoPict="0">
                <anchor moveWithCells="1">
                  <from>
                    <xdr:col>0</xdr:col>
                    <xdr:colOff>15240</xdr:colOff>
                    <xdr:row>77</xdr:row>
                    <xdr:rowOff>60960</xdr:rowOff>
                  </from>
                  <to>
                    <xdr:col>1</xdr:col>
                    <xdr:colOff>30480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5" r:id="rId73" name="CheckBox_Row78">
              <controlPr defaultSize="0" autoFill="0" autoLine="0" autoPict="0">
                <anchor moveWithCells="1">
                  <from>
                    <xdr:col>0</xdr:col>
                    <xdr:colOff>15240</xdr:colOff>
                    <xdr:row>78</xdr:row>
                    <xdr:rowOff>68580</xdr:rowOff>
                  </from>
                  <to>
                    <xdr:col>1</xdr:col>
                    <xdr:colOff>30480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6" r:id="rId74" name="CheckBox_Row79">
              <controlPr defaultSize="0" autoFill="0" autoLine="0" autoPict="0">
                <anchor moveWithCells="1">
                  <from>
                    <xdr:col>0</xdr:col>
                    <xdr:colOff>15240</xdr:colOff>
                    <xdr:row>79</xdr:row>
                    <xdr:rowOff>60960</xdr:rowOff>
                  </from>
                  <to>
                    <xdr:col>1</xdr:col>
                    <xdr:colOff>30480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7" r:id="rId75" name="CheckBox_Row80">
              <controlPr defaultSize="0" autoFill="0" autoLine="0" autoPict="0">
                <anchor moveWithCells="1">
                  <from>
                    <xdr:col>0</xdr:col>
                    <xdr:colOff>15240</xdr:colOff>
                    <xdr:row>80</xdr:row>
                    <xdr:rowOff>68580</xdr:rowOff>
                  </from>
                  <to>
                    <xdr:col>1</xdr:col>
                    <xdr:colOff>30480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8" r:id="rId76" name="CheckBox_Row81">
              <controlPr defaultSize="0" autoFill="0" autoLine="0" autoPict="0">
                <anchor moveWithCells="1">
                  <from>
                    <xdr:col>0</xdr:col>
                    <xdr:colOff>15240</xdr:colOff>
                    <xdr:row>81</xdr:row>
                    <xdr:rowOff>68580</xdr:rowOff>
                  </from>
                  <to>
                    <xdr:col>1</xdr:col>
                    <xdr:colOff>30480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9" r:id="rId77" name="CheckBox_Row82">
              <controlPr defaultSize="0" autoFill="0" autoLine="0" autoPict="0">
                <anchor moveWithCells="1">
                  <from>
                    <xdr:col>0</xdr:col>
                    <xdr:colOff>15240</xdr:colOff>
                    <xdr:row>82</xdr:row>
                    <xdr:rowOff>91440</xdr:rowOff>
                  </from>
                  <to>
                    <xdr:col>1</xdr:col>
                    <xdr:colOff>30480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0" r:id="rId78" name="CheckBox_Row83">
              <controlPr defaultSize="0" autoFill="0" autoLine="0" autoPict="0">
                <anchor moveWithCells="1">
                  <from>
                    <xdr:col>0</xdr:col>
                    <xdr:colOff>15240</xdr:colOff>
                    <xdr:row>83</xdr:row>
                    <xdr:rowOff>91440</xdr:rowOff>
                  </from>
                  <to>
                    <xdr:col>1</xdr:col>
                    <xdr:colOff>30480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1" r:id="rId79" name="CheckBox_Row84">
              <controlPr defaultSize="0" autoFill="0" autoLine="0" autoPict="0">
                <anchor moveWithCells="1">
                  <from>
                    <xdr:col>0</xdr:col>
                    <xdr:colOff>15240</xdr:colOff>
                    <xdr:row>84</xdr:row>
                    <xdr:rowOff>91440</xdr:rowOff>
                  </from>
                  <to>
                    <xdr:col>1</xdr:col>
                    <xdr:colOff>30480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2" r:id="rId80" name="CheckBox_Row85">
              <controlPr defaultSize="0" autoFill="0" autoLine="0" autoPict="0">
                <anchor moveWithCells="1">
                  <from>
                    <xdr:col>0</xdr:col>
                    <xdr:colOff>15240</xdr:colOff>
                    <xdr:row>85</xdr:row>
                    <xdr:rowOff>91440</xdr:rowOff>
                  </from>
                  <to>
                    <xdr:col>1</xdr:col>
                    <xdr:colOff>30480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3" r:id="rId81" name="CheckBox_Row86">
              <controlPr defaultSize="0" autoFill="0" autoLine="0" autoPict="0">
                <anchor moveWithCells="1">
                  <from>
                    <xdr:col>0</xdr:col>
                    <xdr:colOff>15240</xdr:colOff>
                    <xdr:row>86</xdr:row>
                    <xdr:rowOff>91440</xdr:rowOff>
                  </from>
                  <to>
                    <xdr:col>1</xdr:col>
                    <xdr:colOff>30480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4" r:id="rId82" name="CheckBox_Row87">
              <controlPr defaultSize="0" autoFill="0" autoLine="0" autoPict="0">
                <anchor moveWithCells="1">
                  <from>
                    <xdr:col>0</xdr:col>
                    <xdr:colOff>15240</xdr:colOff>
                    <xdr:row>87</xdr:row>
                    <xdr:rowOff>91440</xdr:rowOff>
                  </from>
                  <to>
                    <xdr:col>1</xdr:col>
                    <xdr:colOff>30480</xdr:colOff>
                    <xdr:row>89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5" r:id="rId83" name="CheckBox_Row88">
              <controlPr defaultSize="0" autoFill="0" autoLine="0" autoPict="0">
                <anchor moveWithCells="1">
                  <from>
                    <xdr:col>0</xdr:col>
                    <xdr:colOff>15240</xdr:colOff>
                    <xdr:row>88</xdr:row>
                    <xdr:rowOff>99060</xdr:rowOff>
                  </from>
                  <to>
                    <xdr:col>1</xdr:col>
                    <xdr:colOff>30480</xdr:colOff>
                    <xdr:row>96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6" r:id="rId84" name="CheckBox_Row89">
              <controlPr defaultSize="0" autoFill="0" autoLine="0" autoPict="0">
                <anchor moveWithCells="1">
                  <from>
                    <xdr:col>0</xdr:col>
                    <xdr:colOff>15240</xdr:colOff>
                    <xdr:row>89</xdr:row>
                    <xdr:rowOff>99060</xdr:rowOff>
                  </from>
                  <to>
                    <xdr:col>1</xdr:col>
                    <xdr:colOff>30480</xdr:colOff>
                    <xdr:row>96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7" r:id="rId85" name="CheckBox_Row90">
              <controlPr defaultSize="0" autoFill="0" autoLine="0" autoPict="0">
                <anchor moveWithCells="1">
                  <from>
                    <xdr:col>0</xdr:col>
                    <xdr:colOff>15240</xdr:colOff>
                    <xdr:row>90</xdr:row>
                    <xdr:rowOff>106680</xdr:rowOff>
                  </from>
                  <to>
                    <xdr:col>1</xdr:col>
                    <xdr:colOff>30480</xdr:colOff>
                    <xdr:row>102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8" r:id="rId86" name="CheckBox_Row91">
              <controlPr defaultSize="0" autoFill="0" autoLine="0" autoPict="0">
                <anchor moveWithCells="1">
                  <from>
                    <xdr:col>0</xdr:col>
                    <xdr:colOff>15240</xdr:colOff>
                    <xdr:row>91</xdr:row>
                    <xdr:rowOff>99060</xdr:rowOff>
                  </from>
                  <to>
                    <xdr:col>1</xdr:col>
                    <xdr:colOff>30480</xdr:colOff>
                    <xdr:row>102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9" r:id="rId87" name="CheckBox_Row92">
              <controlPr defaultSize="0" autoFill="0" autoLine="0" autoPict="0">
                <anchor moveWithCells="1">
                  <from>
                    <xdr:col>0</xdr:col>
                    <xdr:colOff>15240</xdr:colOff>
                    <xdr:row>92</xdr:row>
                    <xdr:rowOff>106680</xdr:rowOff>
                  </from>
                  <to>
                    <xdr:col>1</xdr:col>
                    <xdr:colOff>30480</xdr:colOff>
                    <xdr:row>102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0" r:id="rId88" name="CheckBox_Row93">
              <controlPr defaultSize="0" autoFill="0" autoLine="0" autoPict="0">
                <anchor moveWithCells="1">
                  <from>
                    <xdr:col>0</xdr:col>
                    <xdr:colOff>15240</xdr:colOff>
                    <xdr:row>93</xdr:row>
                    <xdr:rowOff>106680</xdr:rowOff>
                  </from>
                  <to>
                    <xdr:col>1</xdr:col>
                    <xdr:colOff>30480</xdr:colOff>
                    <xdr:row>102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1" r:id="rId89" name="CheckBox_Row94">
              <controlPr defaultSize="0" autoFill="0" autoLine="0" autoPict="0">
                <anchor moveWithCells="1">
                  <from>
                    <xdr:col>0</xdr:col>
                    <xdr:colOff>15240</xdr:colOff>
                    <xdr:row>94</xdr:row>
                    <xdr:rowOff>106680</xdr:rowOff>
                  </from>
                  <to>
                    <xdr:col>1</xdr:col>
                    <xdr:colOff>30480</xdr:colOff>
                    <xdr:row>102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2" r:id="rId90" name="CheckBox_Row95">
              <controlPr defaultSize="0" autoFill="0" autoLine="0" autoPict="0">
                <anchor moveWithCells="1">
                  <from>
                    <xdr:col>0</xdr:col>
                    <xdr:colOff>15240</xdr:colOff>
                    <xdr:row>95</xdr:row>
                    <xdr:rowOff>106680</xdr:rowOff>
                  </from>
                  <to>
                    <xdr:col>1</xdr:col>
                    <xdr:colOff>30480</xdr:colOff>
                    <xdr:row>102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3" r:id="rId91" name="CheckBox_Row96">
              <controlPr defaultSize="0" autoFill="0" autoLine="0" autoPict="0">
                <anchor moveWithCells="1">
                  <from>
                    <xdr:col>0</xdr:col>
                    <xdr:colOff>15240</xdr:colOff>
                    <xdr:row>96</xdr:row>
                    <xdr:rowOff>129540</xdr:rowOff>
                  </from>
                  <to>
                    <xdr:col>1</xdr:col>
                    <xdr:colOff>30480</xdr:colOff>
                    <xdr:row>102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4" r:id="rId92" name="CheckBox_Row97">
              <controlPr defaultSize="0" autoFill="0" autoLine="0" autoPict="0">
                <anchor moveWithCells="1">
                  <from>
                    <xdr:col>0</xdr:col>
                    <xdr:colOff>15240</xdr:colOff>
                    <xdr:row>97</xdr:row>
                    <xdr:rowOff>106680</xdr:rowOff>
                  </from>
                  <to>
                    <xdr:col>1</xdr:col>
                    <xdr:colOff>30480</xdr:colOff>
                    <xdr:row>103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5" r:id="rId93" name="CheckBox_Row98">
              <controlPr defaultSize="0" autoFill="0" autoLine="0" autoPict="0">
                <anchor moveWithCells="1">
                  <from>
                    <xdr:col>0</xdr:col>
                    <xdr:colOff>15240</xdr:colOff>
                    <xdr:row>98</xdr:row>
                    <xdr:rowOff>129540</xdr:rowOff>
                  </from>
                  <to>
                    <xdr:col>1</xdr:col>
                    <xdr:colOff>30480</xdr:colOff>
                    <xdr:row>103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6" r:id="rId94" name="CheckBox_Row99">
              <controlPr defaultSize="0" autoFill="0" autoLine="0" autoPict="0">
                <anchor moveWithCells="1">
                  <from>
                    <xdr:col>0</xdr:col>
                    <xdr:colOff>15240</xdr:colOff>
                    <xdr:row>99</xdr:row>
                    <xdr:rowOff>129540</xdr:rowOff>
                  </from>
                  <to>
                    <xdr:col>1</xdr:col>
                    <xdr:colOff>30480</xdr:colOff>
                    <xdr:row>103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7" r:id="rId95" name="CheckBox_Row100">
              <controlPr defaultSize="0" autoFill="0" autoLine="0" autoPict="0">
                <anchor moveWithCells="1">
                  <from>
                    <xdr:col>0</xdr:col>
                    <xdr:colOff>15240</xdr:colOff>
                    <xdr:row>100</xdr:row>
                    <xdr:rowOff>137160</xdr:rowOff>
                  </from>
                  <to>
                    <xdr:col>1</xdr:col>
                    <xdr:colOff>30480</xdr:colOff>
                    <xdr:row>103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" r:id="rId96" name="CheckBox_Row101">
              <controlPr defaultSize="0" autoFill="0" autoLine="0" autoPict="0">
                <anchor moveWithCells="1">
                  <from>
                    <xdr:col>0</xdr:col>
                    <xdr:colOff>15240</xdr:colOff>
                    <xdr:row>101</xdr:row>
                    <xdr:rowOff>137160</xdr:rowOff>
                  </from>
                  <to>
                    <xdr:col>1</xdr:col>
                    <xdr:colOff>30480</xdr:colOff>
                    <xdr:row>103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9" r:id="rId97" name="CheckBox_Row102">
              <controlPr defaultSize="0" autoFill="0" autoLine="0" autoPict="0">
                <anchor moveWithCells="1">
                  <from>
                    <xdr:col>0</xdr:col>
                    <xdr:colOff>15240</xdr:colOff>
                    <xdr:row>102</xdr:row>
                    <xdr:rowOff>152400</xdr:rowOff>
                  </from>
                  <to>
                    <xdr:col>1</xdr:col>
                    <xdr:colOff>30480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0" r:id="rId98" name="CheckBox_Row103">
              <controlPr defaultSize="0" autoFill="0" autoLine="0" autoPict="0">
                <anchor moveWithCells="1">
                  <from>
                    <xdr:col>0</xdr:col>
                    <xdr:colOff>15240</xdr:colOff>
                    <xdr:row>103</xdr:row>
                    <xdr:rowOff>137160</xdr:rowOff>
                  </from>
                  <to>
                    <xdr:col>1</xdr:col>
                    <xdr:colOff>30480</xdr:colOff>
                    <xdr:row>105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1" r:id="rId99" name="CheckBox_Row104">
              <controlPr defaultSize="0" autoFill="0" autoLine="0" autoPict="0">
                <anchor moveWithCells="1">
                  <from>
                    <xdr:col>0</xdr:col>
                    <xdr:colOff>15240</xdr:colOff>
                    <xdr:row>104</xdr:row>
                    <xdr:rowOff>152400</xdr:rowOff>
                  </from>
                  <to>
                    <xdr:col>1</xdr:col>
                    <xdr:colOff>30480</xdr:colOff>
                    <xdr:row>113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2" r:id="rId100" name="CheckBox_Row105">
              <controlPr defaultSize="0" autoFill="0" autoLine="0" autoPict="0">
                <anchor moveWithCells="1">
                  <from>
                    <xdr:col>0</xdr:col>
                    <xdr:colOff>15240</xdr:colOff>
                    <xdr:row>105</xdr:row>
                    <xdr:rowOff>152400</xdr:rowOff>
                  </from>
                  <to>
                    <xdr:col>1</xdr:col>
                    <xdr:colOff>30480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3" r:id="rId101" name="CheckBox_Row106">
              <controlPr defaultSize="0" autoFill="0" autoLine="0" autoPict="0">
                <anchor moveWithCells="1">
                  <from>
                    <xdr:col>0</xdr:col>
                    <xdr:colOff>15240</xdr:colOff>
                    <xdr:row>106</xdr:row>
                    <xdr:rowOff>152400</xdr:rowOff>
                  </from>
                  <to>
                    <xdr:col>1</xdr:col>
                    <xdr:colOff>30480</xdr:colOff>
                    <xdr:row>121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4" r:id="rId102" name="CheckBox_Row107">
              <controlPr defaultSize="0" autoFill="0" autoLine="0" autoPict="0">
                <anchor moveWithCells="1">
                  <from>
                    <xdr:col>0</xdr:col>
                    <xdr:colOff>15240</xdr:colOff>
                    <xdr:row>107</xdr:row>
                    <xdr:rowOff>152400</xdr:rowOff>
                  </from>
                  <to>
                    <xdr:col>1</xdr:col>
                    <xdr:colOff>30480</xdr:colOff>
                    <xdr:row>121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5" r:id="rId103" name="CheckBox_Row108">
              <controlPr defaultSize="0" autoFill="0" autoLine="0" autoPict="0">
                <anchor moveWithCells="1">
                  <from>
                    <xdr:col>0</xdr:col>
                    <xdr:colOff>15240</xdr:colOff>
                    <xdr:row>108</xdr:row>
                    <xdr:rowOff>167640</xdr:rowOff>
                  </from>
                  <to>
                    <xdr:col>1</xdr:col>
                    <xdr:colOff>30480</xdr:colOff>
                    <xdr:row>121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6" r:id="rId104" name="CheckBox_Row109">
              <controlPr defaultSize="0" autoFill="0" autoLine="0" autoPict="0">
                <anchor moveWithCells="1">
                  <from>
                    <xdr:col>0</xdr:col>
                    <xdr:colOff>15240</xdr:colOff>
                    <xdr:row>109</xdr:row>
                    <xdr:rowOff>152400</xdr:rowOff>
                  </from>
                  <to>
                    <xdr:col>1</xdr:col>
                    <xdr:colOff>30480</xdr:colOff>
                    <xdr:row>121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7" r:id="rId105" name="CheckBox_Row110">
              <controlPr defaultSize="0" autoFill="0" autoLine="0" autoPict="0">
                <anchor moveWithCells="1">
                  <from>
                    <xdr:col>0</xdr:col>
                    <xdr:colOff>15240</xdr:colOff>
                    <xdr:row>110</xdr:row>
                    <xdr:rowOff>167640</xdr:rowOff>
                  </from>
                  <to>
                    <xdr:col>1</xdr:col>
                    <xdr:colOff>30480</xdr:colOff>
                    <xdr:row>121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8" r:id="rId106" name="CheckBox_Row111">
              <controlPr defaultSize="0" autoFill="0" autoLine="0" autoPict="0">
                <anchor moveWithCells="1">
                  <from>
                    <xdr:col>0</xdr:col>
                    <xdr:colOff>15240</xdr:colOff>
                    <xdr:row>111</xdr:row>
                    <xdr:rowOff>167640</xdr:rowOff>
                  </from>
                  <to>
                    <xdr:col>1</xdr:col>
                    <xdr:colOff>30480</xdr:colOff>
                    <xdr:row>121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9" r:id="rId107" name="CheckBox_Row112">
              <controlPr defaultSize="0" autoFill="0" autoLine="0" autoPict="0">
                <anchor moveWithCells="1">
                  <from>
                    <xdr:col>0</xdr:col>
                    <xdr:colOff>15240</xdr:colOff>
                    <xdr:row>113</xdr:row>
                    <xdr:rowOff>0</xdr:rowOff>
                  </from>
                  <to>
                    <xdr:col>1</xdr:col>
                    <xdr:colOff>30480</xdr:colOff>
                    <xdr:row>121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0" r:id="rId108" name="CheckBox_Row113">
              <controlPr defaultSize="0" autoFill="0" autoLine="0" autoPict="0">
                <anchor moveWithCells="1">
                  <from>
                    <xdr:col>0</xdr:col>
                    <xdr:colOff>15240</xdr:colOff>
                    <xdr:row>114</xdr:row>
                    <xdr:rowOff>0</xdr:rowOff>
                  </from>
                  <to>
                    <xdr:col>1</xdr:col>
                    <xdr:colOff>30480</xdr:colOff>
                    <xdr:row>134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1" r:id="rId109" name="CheckBox_Row114">
              <controlPr defaultSize="0" autoFill="0" autoLine="0" autoPict="0">
                <anchor moveWithCells="1">
                  <from>
                    <xdr:col>0</xdr:col>
                    <xdr:colOff>15240</xdr:colOff>
                    <xdr:row>115</xdr:row>
                    <xdr:rowOff>0</xdr:rowOff>
                  </from>
                  <to>
                    <xdr:col>1</xdr:col>
                    <xdr:colOff>30480</xdr:colOff>
                    <xdr:row>134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2" r:id="rId110" name="CheckBox_Row115">
              <controlPr defaultSize="0" autoFill="0" autoLine="0" autoPict="0">
                <anchor moveWithCells="1">
                  <from>
                    <xdr:col>0</xdr:col>
                    <xdr:colOff>15240</xdr:colOff>
                    <xdr:row>116</xdr:row>
                    <xdr:rowOff>0</xdr:rowOff>
                  </from>
                  <to>
                    <xdr:col>1</xdr:col>
                    <xdr:colOff>30480</xdr:colOff>
                    <xdr:row>134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3" r:id="rId111" name="CheckBox_Row116">
              <controlPr defaultSize="0" autoFill="0" autoLine="0" autoPict="0">
                <anchor moveWithCells="1">
                  <from>
                    <xdr:col>0</xdr:col>
                    <xdr:colOff>15240</xdr:colOff>
                    <xdr:row>117</xdr:row>
                    <xdr:rowOff>0</xdr:rowOff>
                  </from>
                  <to>
                    <xdr:col>1</xdr:col>
                    <xdr:colOff>30480</xdr:colOff>
                    <xdr:row>134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4" r:id="rId112" name="CheckBox_Row117">
              <controlPr defaultSize="0" autoFill="0" autoLine="0" autoPict="0">
                <anchor moveWithCells="1">
                  <from>
                    <xdr:col>0</xdr:col>
                    <xdr:colOff>15240</xdr:colOff>
                    <xdr:row>118</xdr:row>
                    <xdr:rowOff>0</xdr:rowOff>
                  </from>
                  <to>
                    <xdr:col>1</xdr:col>
                    <xdr:colOff>30480</xdr:colOff>
                    <xdr:row>134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5" r:id="rId113" name="CheckBox_Row118">
              <controlPr defaultSize="0" autoFill="0" autoLine="0" autoPict="0">
                <anchor moveWithCells="1">
                  <from>
                    <xdr:col>0</xdr:col>
                    <xdr:colOff>15240</xdr:colOff>
                    <xdr:row>119</xdr:row>
                    <xdr:rowOff>15240</xdr:rowOff>
                  </from>
                  <to>
                    <xdr:col>1</xdr:col>
                    <xdr:colOff>30480</xdr:colOff>
                    <xdr:row>134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6" r:id="rId114" name="CheckBox_Row119">
              <controlPr defaultSize="0" autoFill="0" autoLine="0" autoPict="0">
                <anchor moveWithCells="1">
                  <from>
                    <xdr:col>0</xdr:col>
                    <xdr:colOff>15240</xdr:colOff>
                    <xdr:row>120</xdr:row>
                    <xdr:rowOff>15240</xdr:rowOff>
                  </from>
                  <to>
                    <xdr:col>1</xdr:col>
                    <xdr:colOff>30480</xdr:colOff>
                    <xdr:row>134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7" r:id="rId115" name="CheckBox_Row120">
              <controlPr defaultSize="0" autoFill="0" autoLine="0" autoPict="0">
                <anchor moveWithCells="1">
                  <from>
                    <xdr:col>0</xdr:col>
                    <xdr:colOff>15240</xdr:colOff>
                    <xdr:row>121</xdr:row>
                    <xdr:rowOff>15240</xdr:rowOff>
                  </from>
                  <to>
                    <xdr:col>1</xdr:col>
                    <xdr:colOff>30480</xdr:colOff>
                    <xdr:row>134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8" r:id="rId116" name="CheckBox_Row121">
              <controlPr defaultSize="0" autoFill="0" autoLine="0" autoPict="0">
                <anchor moveWithCells="1">
                  <from>
                    <xdr:col>0</xdr:col>
                    <xdr:colOff>15240</xdr:colOff>
                    <xdr:row>122</xdr:row>
                    <xdr:rowOff>15240</xdr:rowOff>
                  </from>
                  <to>
                    <xdr:col>1</xdr:col>
                    <xdr:colOff>30480</xdr:colOff>
                    <xdr:row>155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9" r:id="rId117" name="CheckBox_Row122">
              <controlPr defaultSize="0" autoFill="0" autoLine="0" autoPict="0">
                <anchor moveWithCells="1">
                  <from>
                    <xdr:col>0</xdr:col>
                    <xdr:colOff>15240</xdr:colOff>
                    <xdr:row>123</xdr:row>
                    <xdr:rowOff>15240</xdr:rowOff>
                  </from>
                  <to>
                    <xdr:col>1</xdr:col>
                    <xdr:colOff>30480</xdr:colOff>
                    <xdr:row>155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0" r:id="rId118" name="CheckBox_Row123">
              <controlPr defaultSize="0" autoFill="0" autoLine="0" autoPict="0">
                <anchor moveWithCells="1">
                  <from>
                    <xdr:col>0</xdr:col>
                    <xdr:colOff>15240</xdr:colOff>
                    <xdr:row>124</xdr:row>
                    <xdr:rowOff>15240</xdr:rowOff>
                  </from>
                  <to>
                    <xdr:col>1</xdr:col>
                    <xdr:colOff>30480</xdr:colOff>
                    <xdr:row>155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1" r:id="rId119" name="CheckBox_Row124">
              <controlPr defaultSize="0" autoFill="0" autoLine="0" autoPict="0">
                <anchor moveWithCells="1">
                  <from>
                    <xdr:col>0</xdr:col>
                    <xdr:colOff>15240</xdr:colOff>
                    <xdr:row>125</xdr:row>
                    <xdr:rowOff>30480</xdr:rowOff>
                  </from>
                  <to>
                    <xdr:col>1</xdr:col>
                    <xdr:colOff>30480</xdr:colOff>
                    <xdr:row>155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2" r:id="rId120" name="CheckBox_Row125">
              <controlPr defaultSize="0" autoFill="0" autoLine="0" autoPict="0">
                <anchor moveWithCells="1">
                  <from>
                    <xdr:col>0</xdr:col>
                    <xdr:colOff>15240</xdr:colOff>
                    <xdr:row>126</xdr:row>
                    <xdr:rowOff>30480</xdr:rowOff>
                  </from>
                  <to>
                    <xdr:col>1</xdr:col>
                    <xdr:colOff>30480</xdr:colOff>
                    <xdr:row>155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3" r:id="rId121" name="CheckBox_Row126">
              <controlPr defaultSize="0" autoFill="0" autoLine="0" autoPict="0">
                <anchor moveWithCells="1">
                  <from>
                    <xdr:col>0</xdr:col>
                    <xdr:colOff>15240</xdr:colOff>
                    <xdr:row>127</xdr:row>
                    <xdr:rowOff>38100</xdr:rowOff>
                  </from>
                  <to>
                    <xdr:col>1</xdr:col>
                    <xdr:colOff>30480</xdr:colOff>
                    <xdr:row>155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4" r:id="rId122" name="CheckBox_Row127">
              <controlPr defaultSize="0" autoFill="0" autoLine="0" autoPict="0">
                <anchor moveWithCells="1">
                  <from>
                    <xdr:col>0</xdr:col>
                    <xdr:colOff>15240</xdr:colOff>
                    <xdr:row>128</xdr:row>
                    <xdr:rowOff>30480</xdr:rowOff>
                  </from>
                  <to>
                    <xdr:col>1</xdr:col>
                    <xdr:colOff>30480</xdr:colOff>
                    <xdr:row>155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5" r:id="rId123" name="CheckBox_Row128">
              <controlPr defaultSize="0" autoFill="0" autoLine="0" autoPict="0">
                <anchor moveWithCells="1">
                  <from>
                    <xdr:col>0</xdr:col>
                    <xdr:colOff>15240</xdr:colOff>
                    <xdr:row>129</xdr:row>
                    <xdr:rowOff>38100</xdr:rowOff>
                  </from>
                  <to>
                    <xdr:col>1</xdr:col>
                    <xdr:colOff>30480</xdr:colOff>
                    <xdr:row>155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6" r:id="rId124" name="CheckBox_Row129">
              <controlPr defaultSize="0" autoFill="0" autoLine="0" autoPict="0">
                <anchor moveWithCells="1">
                  <from>
                    <xdr:col>0</xdr:col>
                    <xdr:colOff>15240</xdr:colOff>
                    <xdr:row>130</xdr:row>
                    <xdr:rowOff>38100</xdr:rowOff>
                  </from>
                  <to>
                    <xdr:col>1</xdr:col>
                    <xdr:colOff>30480</xdr:colOff>
                    <xdr:row>155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7" r:id="rId125" name="CheckBox_Row130">
              <controlPr defaultSize="0" autoFill="0" autoLine="0" autoPict="0">
                <anchor moveWithCells="1">
                  <from>
                    <xdr:col>0</xdr:col>
                    <xdr:colOff>15240</xdr:colOff>
                    <xdr:row>131</xdr:row>
                    <xdr:rowOff>60960</xdr:rowOff>
                  </from>
                  <to>
                    <xdr:col>1</xdr:col>
                    <xdr:colOff>30480</xdr:colOff>
                    <xdr:row>155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8" r:id="rId126" name="CheckBox_Row131">
              <controlPr defaultSize="0" autoFill="0" autoLine="0" autoPict="0">
                <anchor moveWithCells="1">
                  <from>
                    <xdr:col>0</xdr:col>
                    <xdr:colOff>15240</xdr:colOff>
                    <xdr:row>132</xdr:row>
                    <xdr:rowOff>60960</xdr:rowOff>
                  </from>
                  <to>
                    <xdr:col>1</xdr:col>
                    <xdr:colOff>30480</xdr:colOff>
                    <xdr:row>155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" r:id="rId127" name="CheckBox_Row132">
              <controlPr defaultSize="0" autoFill="0" autoLine="0" autoPict="0">
                <anchor moveWithCells="1">
                  <from>
                    <xdr:col>0</xdr:col>
                    <xdr:colOff>15240</xdr:colOff>
                    <xdr:row>133</xdr:row>
                    <xdr:rowOff>60960</xdr:rowOff>
                  </from>
                  <to>
                    <xdr:col>1</xdr:col>
                    <xdr:colOff>30480</xdr:colOff>
                    <xdr:row>155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" r:id="rId128" name="CheckBox_Row133">
              <controlPr defaultSize="0" autoFill="0" autoLine="0" autoPict="0">
                <anchor moveWithCells="1">
                  <from>
                    <xdr:col>0</xdr:col>
                    <xdr:colOff>15240</xdr:colOff>
                    <xdr:row>134</xdr:row>
                    <xdr:rowOff>60960</xdr:rowOff>
                  </from>
                  <to>
                    <xdr:col>1</xdr:col>
                    <xdr:colOff>30480</xdr:colOff>
                    <xdr:row>155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" r:id="rId129" name="CheckBox_Row134">
              <controlPr defaultSize="0" autoFill="0" autoLine="0" autoPict="0">
                <anchor moveWithCells="1">
                  <from>
                    <xdr:col>0</xdr:col>
                    <xdr:colOff>15240</xdr:colOff>
                    <xdr:row>135</xdr:row>
                    <xdr:rowOff>60960</xdr:rowOff>
                  </from>
                  <to>
                    <xdr:col>1</xdr:col>
                    <xdr:colOff>30480</xdr:colOff>
                    <xdr:row>166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" r:id="rId130" name="CheckBox_Row135">
              <controlPr defaultSize="0" autoFill="0" autoLine="0" autoPict="0">
                <anchor moveWithCells="1">
                  <from>
                    <xdr:col>0</xdr:col>
                    <xdr:colOff>15240</xdr:colOff>
                    <xdr:row>136</xdr:row>
                    <xdr:rowOff>60960</xdr:rowOff>
                  </from>
                  <to>
                    <xdr:col>1</xdr:col>
                    <xdr:colOff>30480</xdr:colOff>
                    <xdr:row>166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" r:id="rId131" name="CheckBox_Row136">
              <controlPr defaultSize="0" autoFill="0" autoLine="0" autoPict="0">
                <anchor moveWithCells="1">
                  <from>
                    <xdr:col>0</xdr:col>
                    <xdr:colOff>15240</xdr:colOff>
                    <xdr:row>137</xdr:row>
                    <xdr:rowOff>68580</xdr:rowOff>
                  </from>
                  <to>
                    <xdr:col>1</xdr:col>
                    <xdr:colOff>30480</xdr:colOff>
                    <xdr:row>166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" r:id="rId132" name="CheckBox_Row137">
              <controlPr defaultSize="0" autoFill="0" autoLine="0" autoPict="0">
                <anchor moveWithCells="1">
                  <from>
                    <xdr:col>0</xdr:col>
                    <xdr:colOff>15240</xdr:colOff>
                    <xdr:row>138</xdr:row>
                    <xdr:rowOff>68580</xdr:rowOff>
                  </from>
                  <to>
                    <xdr:col>1</xdr:col>
                    <xdr:colOff>30480</xdr:colOff>
                    <xdr:row>166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" r:id="rId133" name="CheckBox_Row138">
              <controlPr defaultSize="0" autoFill="0" autoLine="0" autoPict="0">
                <anchor moveWithCells="1">
                  <from>
                    <xdr:col>0</xdr:col>
                    <xdr:colOff>15240</xdr:colOff>
                    <xdr:row>139</xdr:row>
                    <xdr:rowOff>91440</xdr:rowOff>
                  </from>
                  <to>
                    <xdr:col>1</xdr:col>
                    <xdr:colOff>30480</xdr:colOff>
                    <xdr:row>166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" r:id="rId134" name="CheckBox_Row139">
              <controlPr defaultSize="0" autoFill="0" autoLine="0" autoPict="0">
                <anchor moveWithCells="1">
                  <from>
                    <xdr:col>0</xdr:col>
                    <xdr:colOff>15240</xdr:colOff>
                    <xdr:row>140</xdr:row>
                    <xdr:rowOff>68580</xdr:rowOff>
                  </from>
                  <to>
                    <xdr:col>1</xdr:col>
                    <xdr:colOff>30480</xdr:colOff>
                    <xdr:row>166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" r:id="rId135" name="CheckBox_Row140">
              <controlPr defaultSize="0" autoFill="0" autoLine="0" autoPict="0">
                <anchor moveWithCells="1">
                  <from>
                    <xdr:col>0</xdr:col>
                    <xdr:colOff>15240</xdr:colOff>
                    <xdr:row>141</xdr:row>
                    <xdr:rowOff>91440</xdr:rowOff>
                  </from>
                  <to>
                    <xdr:col>1</xdr:col>
                    <xdr:colOff>30480</xdr:colOff>
                    <xdr:row>166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" r:id="rId136" name="CheckBox_Row141">
              <controlPr defaultSize="0" autoFill="0" autoLine="0" autoPict="0">
                <anchor moveWithCells="1">
                  <from>
                    <xdr:col>0</xdr:col>
                    <xdr:colOff>15240</xdr:colOff>
                    <xdr:row>142</xdr:row>
                    <xdr:rowOff>91440</xdr:rowOff>
                  </from>
                  <to>
                    <xdr:col>1</xdr:col>
                    <xdr:colOff>30480</xdr:colOff>
                    <xdr:row>166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" r:id="rId137" name="CheckBox_Row142">
              <controlPr defaultSize="0" autoFill="0" autoLine="0" autoPict="0">
                <anchor moveWithCells="1">
                  <from>
                    <xdr:col>0</xdr:col>
                    <xdr:colOff>15240</xdr:colOff>
                    <xdr:row>143</xdr:row>
                    <xdr:rowOff>91440</xdr:rowOff>
                  </from>
                  <to>
                    <xdr:col>1</xdr:col>
                    <xdr:colOff>30480</xdr:colOff>
                    <xdr:row>166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" r:id="rId138" name="CheckBox_Row143">
              <controlPr defaultSize="0" autoFill="0" autoLine="0" autoPict="0">
                <anchor moveWithCells="1">
                  <from>
                    <xdr:col>0</xdr:col>
                    <xdr:colOff>15240</xdr:colOff>
                    <xdr:row>144</xdr:row>
                    <xdr:rowOff>91440</xdr:rowOff>
                  </from>
                  <to>
                    <xdr:col>1</xdr:col>
                    <xdr:colOff>30480</xdr:colOff>
                    <xdr:row>166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" r:id="rId139" name="CheckBox_Row144">
              <controlPr defaultSize="0" autoFill="0" autoLine="0" autoPict="0">
                <anchor moveWithCells="1">
                  <from>
                    <xdr:col>0</xdr:col>
                    <xdr:colOff>15240</xdr:colOff>
                    <xdr:row>145</xdr:row>
                    <xdr:rowOff>99060</xdr:rowOff>
                  </from>
                  <to>
                    <xdr:col>1</xdr:col>
                    <xdr:colOff>30480</xdr:colOff>
                    <xdr:row>166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" r:id="rId140" name="CheckBox_Row145">
              <controlPr defaultSize="0" autoFill="0" autoLine="0" autoPict="0">
                <anchor moveWithCells="1">
                  <from>
                    <xdr:col>0</xdr:col>
                    <xdr:colOff>15240</xdr:colOff>
                    <xdr:row>146</xdr:row>
                    <xdr:rowOff>91440</xdr:rowOff>
                  </from>
                  <to>
                    <xdr:col>1</xdr:col>
                    <xdr:colOff>30480</xdr:colOff>
                    <xdr:row>166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" r:id="rId141" name="CheckBox_Row146">
              <controlPr defaultSize="0" autoFill="0" autoLine="0" autoPict="0">
                <anchor moveWithCells="1">
                  <from>
                    <xdr:col>0</xdr:col>
                    <xdr:colOff>15240</xdr:colOff>
                    <xdr:row>147</xdr:row>
                    <xdr:rowOff>99060</xdr:rowOff>
                  </from>
                  <to>
                    <xdr:col>1</xdr:col>
                    <xdr:colOff>30480</xdr:colOff>
                    <xdr:row>166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" r:id="rId142" name="CheckBox_Row147">
              <controlPr defaultSize="0" autoFill="0" autoLine="0" autoPict="0">
                <anchor moveWithCells="1">
                  <from>
                    <xdr:col>0</xdr:col>
                    <xdr:colOff>15240</xdr:colOff>
                    <xdr:row>148</xdr:row>
                    <xdr:rowOff>99060</xdr:rowOff>
                  </from>
                  <to>
                    <xdr:col>1</xdr:col>
                    <xdr:colOff>30480</xdr:colOff>
                    <xdr:row>166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" r:id="rId143" name="CheckBox_Row148">
              <controlPr defaultSize="0" autoFill="0" autoLine="0" autoPict="0">
                <anchor moveWithCells="1">
                  <from>
                    <xdr:col>0</xdr:col>
                    <xdr:colOff>15240</xdr:colOff>
                    <xdr:row>149</xdr:row>
                    <xdr:rowOff>106680</xdr:rowOff>
                  </from>
                  <to>
                    <xdr:col>1</xdr:col>
                    <xdr:colOff>30480</xdr:colOff>
                    <xdr:row>166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" r:id="rId144" name="CheckBox_Row149">
              <controlPr defaultSize="0" autoFill="0" autoLine="0" autoPict="0">
                <anchor moveWithCells="1">
                  <from>
                    <xdr:col>0</xdr:col>
                    <xdr:colOff>15240</xdr:colOff>
                    <xdr:row>150</xdr:row>
                    <xdr:rowOff>106680</xdr:rowOff>
                  </from>
                  <to>
                    <xdr:col>1</xdr:col>
                    <xdr:colOff>30480</xdr:colOff>
                    <xdr:row>166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" r:id="rId145" name="CheckBox_Row150">
              <controlPr defaultSize="0" autoFill="0" autoLine="0" autoPict="0">
                <anchor moveWithCells="1">
                  <from>
                    <xdr:col>0</xdr:col>
                    <xdr:colOff>15240</xdr:colOff>
                    <xdr:row>151</xdr:row>
                    <xdr:rowOff>106680</xdr:rowOff>
                  </from>
                  <to>
                    <xdr:col>1</xdr:col>
                    <xdr:colOff>30480</xdr:colOff>
                    <xdr:row>166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" r:id="rId146" name="CheckBox_Row151">
              <controlPr defaultSize="0" autoFill="0" autoLine="0" autoPict="0">
                <anchor moveWithCells="1">
                  <from>
                    <xdr:col>0</xdr:col>
                    <xdr:colOff>15240</xdr:colOff>
                    <xdr:row>152</xdr:row>
                    <xdr:rowOff>106680</xdr:rowOff>
                  </from>
                  <to>
                    <xdr:col>1</xdr:col>
                    <xdr:colOff>30480</xdr:colOff>
                    <xdr:row>166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" r:id="rId147" name="CheckBox_Row152">
              <controlPr defaultSize="0" autoFill="0" autoLine="0" autoPict="0">
                <anchor moveWithCells="1">
                  <from>
                    <xdr:col>0</xdr:col>
                    <xdr:colOff>15240</xdr:colOff>
                    <xdr:row>153</xdr:row>
                    <xdr:rowOff>106680</xdr:rowOff>
                  </from>
                  <to>
                    <xdr:col>1</xdr:col>
                    <xdr:colOff>30480</xdr:colOff>
                    <xdr:row>166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" r:id="rId148" name="CheckBox_Row153">
              <controlPr defaultSize="0" autoFill="0" autoLine="0" autoPict="0">
                <anchor moveWithCells="1">
                  <from>
                    <xdr:col>0</xdr:col>
                    <xdr:colOff>15240</xdr:colOff>
                    <xdr:row>154</xdr:row>
                    <xdr:rowOff>106680</xdr:rowOff>
                  </from>
                  <to>
                    <xdr:col>1</xdr:col>
                    <xdr:colOff>30480</xdr:colOff>
                    <xdr:row>166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1" r:id="rId149" name="CheckBox_Row154">
              <controlPr defaultSize="0" autoFill="0" autoLine="0" autoPict="0">
                <anchor moveWithCells="1">
                  <from>
                    <xdr:col>0</xdr:col>
                    <xdr:colOff>15240</xdr:colOff>
                    <xdr:row>155</xdr:row>
                    <xdr:rowOff>129540</xdr:rowOff>
                  </from>
                  <to>
                    <xdr:col>1</xdr:col>
                    <xdr:colOff>30480</xdr:colOff>
                    <xdr:row>166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2" r:id="rId150" name="CheckBox_Row155">
              <controlPr defaultSize="0" autoFill="0" autoLine="0" autoPict="0">
                <anchor moveWithCells="1">
                  <from>
                    <xdr:col>0</xdr:col>
                    <xdr:colOff>15240</xdr:colOff>
                    <xdr:row>156</xdr:row>
                    <xdr:rowOff>129540</xdr:rowOff>
                  </from>
                  <to>
                    <xdr:col>1</xdr:col>
                    <xdr:colOff>30480</xdr:colOff>
                    <xdr:row>170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3" r:id="rId151" name="CheckBox_Row156">
              <controlPr defaultSize="0" autoFill="0" autoLine="0" autoPict="0">
                <anchor moveWithCells="1">
                  <from>
                    <xdr:col>0</xdr:col>
                    <xdr:colOff>15240</xdr:colOff>
                    <xdr:row>157</xdr:row>
                    <xdr:rowOff>137160</xdr:rowOff>
                  </from>
                  <to>
                    <xdr:col>1</xdr:col>
                    <xdr:colOff>30480</xdr:colOff>
                    <xdr:row>170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4" r:id="rId152" name="CheckBox_Row157">
              <controlPr defaultSize="0" autoFill="0" autoLine="0" autoPict="0">
                <anchor moveWithCells="1">
                  <from>
                    <xdr:col>0</xdr:col>
                    <xdr:colOff>15240</xdr:colOff>
                    <xdr:row>158</xdr:row>
                    <xdr:rowOff>129540</xdr:rowOff>
                  </from>
                  <to>
                    <xdr:col>1</xdr:col>
                    <xdr:colOff>30480</xdr:colOff>
                    <xdr:row>170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5" r:id="rId153" name="CheckBox_Row158">
              <controlPr defaultSize="0" autoFill="0" autoLine="0" autoPict="0">
                <anchor moveWithCells="1">
                  <from>
                    <xdr:col>0</xdr:col>
                    <xdr:colOff>15240</xdr:colOff>
                    <xdr:row>159</xdr:row>
                    <xdr:rowOff>137160</xdr:rowOff>
                  </from>
                  <to>
                    <xdr:col>1</xdr:col>
                    <xdr:colOff>30480</xdr:colOff>
                    <xdr:row>170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6" r:id="rId154" name="CheckBox_Row159">
              <controlPr defaultSize="0" autoFill="0" autoLine="0" autoPict="0">
                <anchor moveWithCells="1">
                  <from>
                    <xdr:col>0</xdr:col>
                    <xdr:colOff>15240</xdr:colOff>
                    <xdr:row>160</xdr:row>
                    <xdr:rowOff>137160</xdr:rowOff>
                  </from>
                  <to>
                    <xdr:col>1</xdr:col>
                    <xdr:colOff>30480</xdr:colOff>
                    <xdr:row>170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7" r:id="rId155" name="CheckBox_Row160">
              <controlPr defaultSize="0" autoFill="0" autoLine="0" autoPict="0">
                <anchor moveWithCells="1">
                  <from>
                    <xdr:col>0</xdr:col>
                    <xdr:colOff>15240</xdr:colOff>
                    <xdr:row>161</xdr:row>
                    <xdr:rowOff>152400</xdr:rowOff>
                  </from>
                  <to>
                    <xdr:col>1</xdr:col>
                    <xdr:colOff>30480</xdr:colOff>
                    <xdr:row>170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8" r:id="rId156" name="CheckBox_Row161">
              <controlPr defaultSize="0" autoFill="0" autoLine="0" autoPict="0">
                <anchor moveWithCells="1">
                  <from>
                    <xdr:col>0</xdr:col>
                    <xdr:colOff>15240</xdr:colOff>
                    <xdr:row>162</xdr:row>
                    <xdr:rowOff>152400</xdr:rowOff>
                  </from>
                  <to>
                    <xdr:col>1</xdr:col>
                    <xdr:colOff>30480</xdr:colOff>
                    <xdr:row>170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9" r:id="rId157" name="CheckBox_Row162">
              <controlPr defaultSize="0" autoFill="0" autoLine="0" autoPict="0">
                <anchor moveWithCells="1">
                  <from>
                    <xdr:col>0</xdr:col>
                    <xdr:colOff>15240</xdr:colOff>
                    <xdr:row>163</xdr:row>
                    <xdr:rowOff>152400</xdr:rowOff>
                  </from>
                  <to>
                    <xdr:col>1</xdr:col>
                    <xdr:colOff>30480</xdr:colOff>
                    <xdr:row>170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0" r:id="rId158" name="CheckBox_Row163">
              <controlPr defaultSize="0" autoFill="0" autoLine="0" autoPict="0">
                <anchor moveWithCells="1">
                  <from>
                    <xdr:col>0</xdr:col>
                    <xdr:colOff>15240</xdr:colOff>
                    <xdr:row>164</xdr:row>
                    <xdr:rowOff>152400</xdr:rowOff>
                  </from>
                  <to>
                    <xdr:col>1</xdr:col>
                    <xdr:colOff>30480</xdr:colOff>
                    <xdr:row>170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1" r:id="rId159" name="CheckBox_Row164">
              <controlPr defaultSize="0" autoFill="0" autoLine="0" autoPict="0">
                <anchor moveWithCells="1">
                  <from>
                    <xdr:col>0</xdr:col>
                    <xdr:colOff>15240</xdr:colOff>
                    <xdr:row>165</xdr:row>
                    <xdr:rowOff>152400</xdr:rowOff>
                  </from>
                  <to>
                    <xdr:col>1</xdr:col>
                    <xdr:colOff>30480</xdr:colOff>
                    <xdr:row>170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2" r:id="rId160" name="CheckBox_Row165">
              <controlPr defaultSize="0" autoFill="0" autoLine="0" autoPict="0">
                <anchor moveWithCells="1">
                  <from>
                    <xdr:col>0</xdr:col>
                    <xdr:colOff>15240</xdr:colOff>
                    <xdr:row>166</xdr:row>
                    <xdr:rowOff>152400</xdr:rowOff>
                  </from>
                  <to>
                    <xdr:col>1</xdr:col>
                    <xdr:colOff>30480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3" r:id="rId161" name="CheckBox_Row166">
              <controlPr defaultSize="0" autoFill="0" autoLine="0" autoPict="0">
                <anchor moveWithCells="1">
                  <from>
                    <xdr:col>0</xdr:col>
                    <xdr:colOff>15240</xdr:colOff>
                    <xdr:row>167</xdr:row>
                    <xdr:rowOff>167640</xdr:rowOff>
                  </from>
                  <to>
                    <xdr:col>1</xdr:col>
                    <xdr:colOff>30480</xdr:colOff>
                    <xdr:row>171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4" r:id="rId162" name="CheckBox_Row167">
              <controlPr defaultSize="0" autoFill="0" autoLine="0" autoPict="0">
                <anchor moveWithCells="1">
                  <from>
                    <xdr:col>0</xdr:col>
                    <xdr:colOff>15240</xdr:colOff>
                    <xdr:row>168</xdr:row>
                    <xdr:rowOff>167640</xdr:rowOff>
                  </from>
                  <to>
                    <xdr:col>1</xdr:col>
                    <xdr:colOff>30480</xdr:colOff>
                    <xdr:row>171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5" r:id="rId163" name="CheckBox_Row168">
              <controlPr defaultSize="0" autoFill="0" autoLine="0" autoPict="0">
                <anchor moveWithCells="1">
                  <from>
                    <xdr:col>0</xdr:col>
                    <xdr:colOff>15240</xdr:colOff>
                    <xdr:row>170</xdr:row>
                    <xdr:rowOff>0</xdr:rowOff>
                  </from>
                  <to>
                    <xdr:col>1</xdr:col>
                    <xdr:colOff>30480</xdr:colOff>
                    <xdr:row>171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6" r:id="rId164" name="CheckBox_Row169">
              <controlPr defaultSize="0" autoFill="0" autoLine="0" autoPict="0">
                <anchor moveWithCells="1">
                  <from>
                    <xdr:col>0</xdr:col>
                    <xdr:colOff>15240</xdr:colOff>
                    <xdr:row>170</xdr:row>
                    <xdr:rowOff>167640</xdr:rowOff>
                  </from>
                  <to>
                    <xdr:col>1</xdr:col>
                    <xdr:colOff>30480</xdr:colOff>
                    <xdr:row>172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7" r:id="rId165" name="CheckBox_Row170">
              <controlPr defaultSize="0" autoFill="0" autoLine="0" autoPict="0">
                <anchor moveWithCells="1">
                  <from>
                    <xdr:col>0</xdr:col>
                    <xdr:colOff>15240</xdr:colOff>
                    <xdr:row>172</xdr:row>
                    <xdr:rowOff>0</xdr:rowOff>
                  </from>
                  <to>
                    <xdr:col>1</xdr:col>
                    <xdr:colOff>30480</xdr:colOff>
                    <xdr:row>173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E7F48-F78F-4317-A3C3-D812DE902280}">
  <sheetPr codeName="Sheet6" filterMode="1"/>
  <dimension ref="A1:BP327"/>
  <sheetViews>
    <sheetView tabSelected="1" zoomScale="70" zoomScaleNormal="70" workbookViewId="0">
      <pane ySplit="9" topLeftCell="A27" activePane="bottomLeft" state="frozen"/>
      <selection pane="bottomLeft" activeCell="E75" sqref="E75"/>
    </sheetView>
  </sheetViews>
  <sheetFormatPr defaultColWidth="21.44140625" defaultRowHeight="13.8" x14ac:dyDescent="0.25"/>
  <cols>
    <col min="1" max="1" width="24.77734375" customWidth="1"/>
    <col min="3" max="3" width="16.6640625" customWidth="1"/>
    <col min="4" max="4" width="23.33203125" customWidth="1"/>
    <col min="7" max="7" width="26.77734375" customWidth="1"/>
    <col min="8" max="36" width="21.6640625" customWidth="1"/>
    <col min="37" max="61" width="21.44140625" customWidth="1"/>
  </cols>
  <sheetData>
    <row r="1" spans="1:68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</row>
    <row r="2" spans="1:68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</row>
    <row r="3" spans="1:68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</row>
    <row r="4" spans="1:68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</row>
    <row r="5" spans="1:68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</row>
    <row r="6" spans="1:68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</row>
    <row r="7" spans="1:68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ht="147.6" customHeight="1" x14ac:dyDescent="0.25">
      <c r="A9" s="21" t="s">
        <v>509</v>
      </c>
      <c r="B9" s="21" t="s">
        <v>510</v>
      </c>
      <c r="C9" s="21" t="s">
        <v>2</v>
      </c>
      <c r="D9" s="21" t="s">
        <v>511</v>
      </c>
      <c r="E9" s="21" t="s">
        <v>0</v>
      </c>
      <c r="F9" s="21" t="s">
        <v>512</v>
      </c>
      <c r="G9" s="21" t="s">
        <v>513</v>
      </c>
      <c r="H9" s="33" t="s">
        <v>5712</v>
      </c>
      <c r="I9" s="33" t="s">
        <v>5713</v>
      </c>
      <c r="J9" s="33" t="s">
        <v>5714</v>
      </c>
      <c r="K9" s="33" t="s">
        <v>5715</v>
      </c>
      <c r="L9" s="33" t="s">
        <v>5716</v>
      </c>
      <c r="M9" s="33" t="s">
        <v>5717</v>
      </c>
      <c r="N9" s="33" t="s">
        <v>5718</v>
      </c>
      <c r="O9" s="33" t="s">
        <v>5719</v>
      </c>
      <c r="P9" s="33" t="s">
        <v>5720</v>
      </c>
      <c r="Q9" s="33" t="s">
        <v>5721</v>
      </c>
      <c r="R9" s="33" t="s">
        <v>5722</v>
      </c>
      <c r="S9" s="33" t="s">
        <v>5723</v>
      </c>
      <c r="T9" s="33" t="s">
        <v>5724</v>
      </c>
      <c r="U9" s="33" t="s">
        <v>5725</v>
      </c>
      <c r="V9" s="33" t="s">
        <v>5726</v>
      </c>
      <c r="W9" s="33" t="s">
        <v>5727</v>
      </c>
      <c r="X9" s="33" t="s">
        <v>5728</v>
      </c>
      <c r="Y9" s="33" t="s">
        <v>5729</v>
      </c>
      <c r="Z9" s="33" t="s">
        <v>5730</v>
      </c>
      <c r="AA9" s="33" t="s">
        <v>5731</v>
      </c>
      <c r="AB9" s="33" t="s">
        <v>5732</v>
      </c>
      <c r="AC9" s="33" t="s">
        <v>5733</v>
      </c>
      <c r="AD9" s="33" t="s">
        <v>5734</v>
      </c>
      <c r="AE9" s="33" t="s">
        <v>5735</v>
      </c>
      <c r="AF9" s="33" t="s">
        <v>5736</v>
      </c>
      <c r="AG9" s="33" t="s">
        <v>5737</v>
      </c>
      <c r="AH9" s="33" t="s">
        <v>5738</v>
      </c>
      <c r="AI9" s="33" t="s">
        <v>5739</v>
      </c>
      <c r="AJ9" s="33" t="s">
        <v>5740</v>
      </c>
    </row>
    <row r="10" spans="1:68" hidden="1" x14ac:dyDescent="0.25">
      <c r="A10" t="s">
        <v>32</v>
      </c>
      <c r="B10" t="s">
        <v>585</v>
      </c>
      <c r="C10">
        <v>22182428</v>
      </c>
      <c r="D10" t="s">
        <v>31</v>
      </c>
      <c r="E10" t="s">
        <v>31</v>
      </c>
      <c r="F10" t="s">
        <v>235</v>
      </c>
      <c r="G10" t="s">
        <v>1520</v>
      </c>
      <c r="H10">
        <v>6</v>
      </c>
    </row>
    <row r="11" spans="1:68" hidden="1" x14ac:dyDescent="0.25">
      <c r="A11" s="34" t="s">
        <v>1490</v>
      </c>
      <c r="B11" s="34" t="s">
        <v>514</v>
      </c>
      <c r="C11" s="34">
        <v>47128570</v>
      </c>
      <c r="D11" s="34" t="s">
        <v>1491</v>
      </c>
      <c r="E11" s="34"/>
      <c r="F11" s="34"/>
      <c r="G11" s="34" t="s">
        <v>1135</v>
      </c>
      <c r="H11" s="34">
        <v>0</v>
      </c>
      <c r="I11" s="34">
        <v>0</v>
      </c>
      <c r="J11" s="34">
        <v>0</v>
      </c>
      <c r="K11" s="34">
        <v>0</v>
      </c>
      <c r="L11" s="34">
        <v>0</v>
      </c>
      <c r="M11" s="34">
        <v>0</v>
      </c>
      <c r="N11" s="34">
        <v>0</v>
      </c>
      <c r="O11" s="34">
        <v>260</v>
      </c>
      <c r="P11" s="34">
        <v>20</v>
      </c>
      <c r="Q11" s="34">
        <v>40</v>
      </c>
      <c r="R11" s="34">
        <v>0</v>
      </c>
      <c r="S11" s="34">
        <v>0</v>
      </c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</row>
    <row r="12" spans="1:68" hidden="1" x14ac:dyDescent="0.25">
      <c r="A12" t="s">
        <v>32</v>
      </c>
      <c r="B12" t="s">
        <v>585</v>
      </c>
      <c r="C12">
        <v>22182428</v>
      </c>
      <c r="D12" t="s">
        <v>31</v>
      </c>
      <c r="E12" t="s">
        <v>31</v>
      </c>
      <c r="F12" t="s">
        <v>235</v>
      </c>
      <c r="G12" t="s">
        <v>1135</v>
      </c>
      <c r="H12">
        <v>6</v>
      </c>
    </row>
    <row r="13" spans="1:68" hidden="1" x14ac:dyDescent="0.25">
      <c r="A13" s="34" t="s">
        <v>1385</v>
      </c>
      <c r="B13" s="34" t="s">
        <v>514</v>
      </c>
      <c r="C13" s="34">
        <v>47147556</v>
      </c>
      <c r="D13" s="34" t="s">
        <v>1386</v>
      </c>
      <c r="E13" s="34"/>
      <c r="F13" s="34"/>
      <c r="G13" s="34" t="s">
        <v>2344</v>
      </c>
      <c r="H13" s="34">
        <v>0</v>
      </c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</row>
    <row r="14" spans="1:68" hidden="1" x14ac:dyDescent="0.25">
      <c r="A14" t="s">
        <v>32</v>
      </c>
      <c r="B14" t="s">
        <v>585</v>
      </c>
      <c r="C14">
        <v>22182428</v>
      </c>
      <c r="D14" t="s">
        <v>31</v>
      </c>
      <c r="E14" t="s">
        <v>31</v>
      </c>
      <c r="F14" t="s">
        <v>235</v>
      </c>
      <c r="G14" t="s">
        <v>2344</v>
      </c>
      <c r="H14">
        <v>6</v>
      </c>
    </row>
    <row r="15" spans="1:68" hidden="1" x14ac:dyDescent="0.25">
      <c r="A15" s="34" t="s">
        <v>32</v>
      </c>
      <c r="B15" s="34" t="s">
        <v>585</v>
      </c>
      <c r="C15" s="34">
        <v>22182428</v>
      </c>
      <c r="D15" s="34" t="s">
        <v>31</v>
      </c>
      <c r="E15" s="34" t="s">
        <v>31</v>
      </c>
      <c r="F15" s="34" t="s">
        <v>235</v>
      </c>
      <c r="G15" s="34" t="s">
        <v>2783</v>
      </c>
      <c r="H15" s="34">
        <v>6</v>
      </c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</row>
    <row r="16" spans="1:68" hidden="1" x14ac:dyDescent="0.25">
      <c r="A16" t="s">
        <v>1452</v>
      </c>
      <c r="B16" t="s">
        <v>514</v>
      </c>
      <c r="C16">
        <v>47128787</v>
      </c>
      <c r="D16" t="s">
        <v>1453</v>
      </c>
      <c r="G16" t="s">
        <v>1080</v>
      </c>
      <c r="H16">
        <v>0</v>
      </c>
      <c r="I16">
        <v>20</v>
      </c>
      <c r="J16">
        <v>23</v>
      </c>
      <c r="K16">
        <v>25</v>
      </c>
      <c r="L16">
        <v>26</v>
      </c>
      <c r="M16">
        <v>22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</row>
    <row r="17" spans="1:36" hidden="1" x14ac:dyDescent="0.25">
      <c r="A17" s="34" t="s">
        <v>1448</v>
      </c>
      <c r="B17" s="34" t="s">
        <v>514</v>
      </c>
      <c r="C17" s="34">
        <v>47128977</v>
      </c>
      <c r="D17" s="34" t="s">
        <v>1449</v>
      </c>
      <c r="E17" s="34"/>
      <c r="F17" s="34"/>
      <c r="G17" s="34" t="s">
        <v>1080</v>
      </c>
      <c r="H17" s="34">
        <v>0</v>
      </c>
      <c r="I17" s="34">
        <v>0</v>
      </c>
      <c r="J17" s="34">
        <v>0</v>
      </c>
      <c r="K17" s="34">
        <v>0</v>
      </c>
      <c r="L17" s="34">
        <v>0</v>
      </c>
      <c r="M17" s="34">
        <v>0</v>
      </c>
      <c r="N17" s="34">
        <v>22</v>
      </c>
      <c r="O17" s="34">
        <v>18</v>
      </c>
      <c r="P17" s="34">
        <v>10</v>
      </c>
      <c r="Q17" s="34">
        <v>0</v>
      </c>
      <c r="R17" s="34">
        <v>0</v>
      </c>
      <c r="S17" s="34">
        <v>5</v>
      </c>
      <c r="T17" s="34">
        <v>0</v>
      </c>
      <c r="U17" s="34">
        <v>0</v>
      </c>
      <c r="V17" s="34">
        <v>0</v>
      </c>
      <c r="W17" s="34">
        <v>0</v>
      </c>
      <c r="X17" s="34">
        <v>0</v>
      </c>
      <c r="Y17" s="34">
        <v>0</v>
      </c>
      <c r="Z17" s="34">
        <v>0</v>
      </c>
      <c r="AA17" s="34">
        <v>0</v>
      </c>
      <c r="AB17" s="34">
        <v>0</v>
      </c>
      <c r="AC17" s="34">
        <v>0</v>
      </c>
      <c r="AD17" s="34">
        <v>0</v>
      </c>
      <c r="AE17" s="34">
        <v>0</v>
      </c>
      <c r="AF17" s="34">
        <v>0</v>
      </c>
      <c r="AG17" s="34"/>
      <c r="AH17" s="34"/>
      <c r="AI17" s="34"/>
      <c r="AJ17" s="34"/>
    </row>
    <row r="18" spans="1:36" hidden="1" x14ac:dyDescent="0.25">
      <c r="A18" t="s">
        <v>3782</v>
      </c>
      <c r="B18" t="s">
        <v>514</v>
      </c>
      <c r="C18">
        <v>67676767</v>
      </c>
      <c r="D18" t="s">
        <v>1514</v>
      </c>
      <c r="G18" t="s">
        <v>912</v>
      </c>
      <c r="H18">
        <v>0</v>
      </c>
    </row>
    <row r="19" spans="1:36" hidden="1" x14ac:dyDescent="0.25">
      <c r="A19" s="34" t="s">
        <v>3784</v>
      </c>
      <c r="B19" s="34" t="s">
        <v>514</v>
      </c>
      <c r="C19" s="34">
        <v>67676767</v>
      </c>
      <c r="D19" s="34" t="s">
        <v>1514</v>
      </c>
      <c r="E19" s="34"/>
      <c r="F19" s="34"/>
      <c r="G19" s="34" t="s">
        <v>912</v>
      </c>
      <c r="H19" s="34">
        <v>0</v>
      </c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</row>
    <row r="20" spans="1:36" hidden="1" x14ac:dyDescent="0.25">
      <c r="A20" t="s">
        <v>1385</v>
      </c>
      <c r="B20" t="s">
        <v>514</v>
      </c>
      <c r="C20">
        <v>47147556</v>
      </c>
      <c r="D20" t="s">
        <v>1386</v>
      </c>
      <c r="G20" t="s">
        <v>912</v>
      </c>
      <c r="H20">
        <v>0</v>
      </c>
    </row>
    <row r="21" spans="1:36" hidden="1" x14ac:dyDescent="0.25">
      <c r="A21" s="34" t="s">
        <v>32</v>
      </c>
      <c r="B21" s="34" t="s">
        <v>585</v>
      </c>
      <c r="C21" s="34">
        <v>22182428</v>
      </c>
      <c r="D21" s="34" t="s">
        <v>31</v>
      </c>
      <c r="E21" s="34" t="s">
        <v>31</v>
      </c>
      <c r="F21" s="34" t="s">
        <v>235</v>
      </c>
      <c r="G21" s="34" t="s">
        <v>915</v>
      </c>
      <c r="H21" s="34">
        <v>6</v>
      </c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</row>
    <row r="22" spans="1:36" hidden="1" x14ac:dyDescent="0.25">
      <c r="A22" t="s">
        <v>1385</v>
      </c>
      <c r="B22" t="s">
        <v>514</v>
      </c>
      <c r="C22">
        <v>47147556</v>
      </c>
      <c r="D22" t="s">
        <v>1386</v>
      </c>
      <c r="G22" t="s">
        <v>3939</v>
      </c>
      <c r="H22">
        <v>0</v>
      </c>
    </row>
    <row r="23" spans="1:36" hidden="1" x14ac:dyDescent="0.25">
      <c r="A23" s="34" t="s">
        <v>32</v>
      </c>
      <c r="B23" s="34" t="s">
        <v>585</v>
      </c>
      <c r="C23" s="34">
        <v>22182428</v>
      </c>
      <c r="D23" s="34" t="s">
        <v>31</v>
      </c>
      <c r="E23" s="34" t="s">
        <v>31</v>
      </c>
      <c r="F23" s="34" t="s">
        <v>235</v>
      </c>
      <c r="G23" s="34" t="s">
        <v>3939</v>
      </c>
      <c r="H23" s="34">
        <v>6</v>
      </c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</row>
    <row r="24" spans="1:36" hidden="1" x14ac:dyDescent="0.25">
      <c r="A24" t="s">
        <v>1429</v>
      </c>
      <c r="B24" t="s">
        <v>514</v>
      </c>
      <c r="C24">
        <v>47129473</v>
      </c>
      <c r="D24" t="s">
        <v>1430</v>
      </c>
      <c r="G24" t="s">
        <v>1489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36" hidden="1" x14ac:dyDescent="0.25">
      <c r="A25" s="34" t="s">
        <v>32</v>
      </c>
      <c r="B25" s="34" t="s">
        <v>585</v>
      </c>
      <c r="C25" s="34">
        <v>22182428</v>
      </c>
      <c r="D25" s="34" t="s">
        <v>31</v>
      </c>
      <c r="E25" s="34" t="s">
        <v>31</v>
      </c>
      <c r="F25" s="34" t="s">
        <v>235</v>
      </c>
      <c r="G25" s="34" t="s">
        <v>1489</v>
      </c>
      <c r="H25" s="34">
        <v>0</v>
      </c>
      <c r="I25" s="34">
        <v>6</v>
      </c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</row>
    <row r="26" spans="1:36" hidden="1" x14ac:dyDescent="0.25">
      <c r="A26" t="s">
        <v>1452</v>
      </c>
      <c r="B26" t="s">
        <v>514</v>
      </c>
      <c r="C26">
        <v>47128787</v>
      </c>
      <c r="D26" t="s">
        <v>1453</v>
      </c>
      <c r="G26" t="s">
        <v>1489</v>
      </c>
      <c r="H26">
        <v>0</v>
      </c>
      <c r="I26">
        <v>8</v>
      </c>
      <c r="J26">
        <v>9</v>
      </c>
      <c r="K26">
        <v>10</v>
      </c>
      <c r="L26">
        <v>11</v>
      </c>
      <c r="M26">
        <v>9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36" ht="64.8" customHeight="1" x14ac:dyDescent="0.25">
      <c r="A27" s="34" t="s">
        <v>1448</v>
      </c>
      <c r="B27" s="34" t="s">
        <v>514</v>
      </c>
      <c r="C27" s="34">
        <v>47128977</v>
      </c>
      <c r="D27" s="34" t="s">
        <v>1449</v>
      </c>
      <c r="E27" s="34"/>
      <c r="F27" s="34"/>
      <c r="G27" s="34" t="s">
        <v>1489</v>
      </c>
      <c r="H27" s="34">
        <v>0</v>
      </c>
      <c r="I27" s="34">
        <v>0</v>
      </c>
      <c r="J27" s="34">
        <v>0</v>
      </c>
      <c r="K27" s="34">
        <v>0</v>
      </c>
      <c r="L27" s="34">
        <v>0</v>
      </c>
      <c r="M27" s="34">
        <v>0</v>
      </c>
      <c r="N27" s="34">
        <v>9</v>
      </c>
      <c r="O27" s="34">
        <v>7</v>
      </c>
      <c r="P27" s="34">
        <v>4</v>
      </c>
      <c r="Q27" s="34">
        <v>0</v>
      </c>
      <c r="R27" s="34">
        <v>0</v>
      </c>
      <c r="S27" s="34">
        <v>0</v>
      </c>
      <c r="T27" s="34">
        <v>0</v>
      </c>
      <c r="U27" s="34">
        <v>0</v>
      </c>
      <c r="V27" s="34">
        <v>0</v>
      </c>
      <c r="W27" s="34">
        <v>0</v>
      </c>
      <c r="X27" s="34">
        <v>0</v>
      </c>
      <c r="Y27" s="34">
        <v>0</v>
      </c>
      <c r="Z27" s="34">
        <v>0</v>
      </c>
      <c r="AA27" s="34">
        <v>0</v>
      </c>
      <c r="AB27" s="34">
        <v>0</v>
      </c>
      <c r="AC27" s="34">
        <v>0</v>
      </c>
      <c r="AD27" s="34">
        <v>0</v>
      </c>
      <c r="AE27" s="34">
        <v>0</v>
      </c>
      <c r="AF27" s="34">
        <v>0</v>
      </c>
      <c r="AG27" s="34"/>
      <c r="AH27" s="34"/>
      <c r="AI27" s="34"/>
      <c r="AJ27" s="34"/>
    </row>
    <row r="28" spans="1:36" x14ac:dyDescent="0.25">
      <c r="A28" t="s">
        <v>1490</v>
      </c>
      <c r="B28" t="s">
        <v>514</v>
      </c>
      <c r="C28">
        <v>47128570</v>
      </c>
      <c r="D28" t="s">
        <v>1491</v>
      </c>
      <c r="G28" t="s">
        <v>916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36" x14ac:dyDescent="0.25">
      <c r="A29" s="34" t="s">
        <v>1339</v>
      </c>
      <c r="B29" s="34" t="s">
        <v>514</v>
      </c>
      <c r="C29" s="34">
        <v>47129548</v>
      </c>
      <c r="D29" s="34" t="s">
        <v>1340</v>
      </c>
      <c r="E29" s="34"/>
      <c r="F29" s="34"/>
      <c r="G29" s="34" t="s">
        <v>916</v>
      </c>
      <c r="H29" s="34">
        <v>40</v>
      </c>
      <c r="I29" s="34">
        <v>40</v>
      </c>
      <c r="J29" s="34">
        <v>40</v>
      </c>
      <c r="K29" s="34">
        <v>40</v>
      </c>
      <c r="L29" s="34">
        <v>40</v>
      </c>
      <c r="M29" s="34">
        <v>40</v>
      </c>
      <c r="N29" s="34">
        <v>40</v>
      </c>
      <c r="O29" s="34">
        <v>40</v>
      </c>
      <c r="P29" s="34">
        <v>40</v>
      </c>
      <c r="Q29" s="34">
        <v>40</v>
      </c>
      <c r="R29" s="34">
        <v>40</v>
      </c>
      <c r="S29" s="34">
        <v>40</v>
      </c>
      <c r="T29" s="34">
        <v>0</v>
      </c>
      <c r="U29" s="34">
        <v>56</v>
      </c>
      <c r="V29" s="34">
        <v>56</v>
      </c>
      <c r="W29" s="34">
        <v>56</v>
      </c>
      <c r="X29" s="34">
        <v>56</v>
      </c>
      <c r="Y29" s="34">
        <v>0</v>
      </c>
      <c r="Z29" s="34">
        <v>0</v>
      </c>
      <c r="AA29" s="34">
        <v>0</v>
      </c>
      <c r="AB29" s="34">
        <v>0</v>
      </c>
      <c r="AC29" s="34">
        <v>0</v>
      </c>
      <c r="AD29" s="34">
        <v>0</v>
      </c>
      <c r="AE29" s="34">
        <v>0</v>
      </c>
      <c r="AF29" s="34">
        <v>0</v>
      </c>
      <c r="AG29" s="34"/>
      <c r="AH29" s="34"/>
      <c r="AI29" s="34"/>
      <c r="AJ29" s="34"/>
    </row>
    <row r="30" spans="1:36" hidden="1" x14ac:dyDescent="0.25">
      <c r="A30" t="s">
        <v>4447</v>
      </c>
      <c r="B30" t="s">
        <v>514</v>
      </c>
      <c r="C30">
        <v>47129711</v>
      </c>
      <c r="D30" t="s">
        <v>4446</v>
      </c>
      <c r="G30" t="s">
        <v>4445</v>
      </c>
      <c r="H30">
        <v>10</v>
      </c>
      <c r="I30">
        <v>40</v>
      </c>
      <c r="J30">
        <v>40</v>
      </c>
      <c r="K30">
        <v>40</v>
      </c>
      <c r="L30">
        <v>40</v>
      </c>
      <c r="M30">
        <v>0</v>
      </c>
      <c r="N30">
        <v>0</v>
      </c>
      <c r="O30">
        <v>0</v>
      </c>
      <c r="P30">
        <v>20</v>
      </c>
      <c r="Q30">
        <v>20</v>
      </c>
      <c r="R30">
        <v>20</v>
      </c>
      <c r="S30">
        <v>12</v>
      </c>
      <c r="T30">
        <v>32</v>
      </c>
      <c r="U30">
        <v>32</v>
      </c>
      <c r="V30">
        <v>32</v>
      </c>
      <c r="W30">
        <v>0</v>
      </c>
      <c r="X30">
        <v>20</v>
      </c>
      <c r="Y30">
        <v>20</v>
      </c>
      <c r="Z30">
        <v>20</v>
      </c>
      <c r="AA30">
        <v>20</v>
      </c>
      <c r="AB30">
        <v>20</v>
      </c>
      <c r="AC30">
        <v>20</v>
      </c>
      <c r="AD30">
        <v>20</v>
      </c>
      <c r="AE30">
        <v>20</v>
      </c>
      <c r="AF30">
        <v>0</v>
      </c>
    </row>
    <row r="31" spans="1:36" hidden="1" x14ac:dyDescent="0.25">
      <c r="A31" s="34" t="s">
        <v>4450</v>
      </c>
      <c r="B31" s="34" t="s">
        <v>514</v>
      </c>
      <c r="C31" s="34">
        <v>47129228</v>
      </c>
      <c r="D31" s="34" t="s">
        <v>4449</v>
      </c>
      <c r="E31" s="34"/>
      <c r="F31" s="34"/>
      <c r="G31" s="34" t="s">
        <v>4445</v>
      </c>
      <c r="H31" s="34">
        <v>30</v>
      </c>
      <c r="I31" s="34">
        <v>0</v>
      </c>
      <c r="J31" s="34">
        <v>0</v>
      </c>
      <c r="K31" s="34">
        <v>0</v>
      </c>
      <c r="L31" s="34">
        <v>0</v>
      </c>
      <c r="M31" s="34">
        <v>0</v>
      </c>
      <c r="N31" s="34">
        <v>0</v>
      </c>
      <c r="O31" s="34">
        <v>0</v>
      </c>
      <c r="P31" s="34">
        <v>20</v>
      </c>
      <c r="Q31" s="34">
        <v>20</v>
      </c>
      <c r="R31" s="34">
        <v>32</v>
      </c>
      <c r="S31" s="34">
        <v>20</v>
      </c>
      <c r="T31" s="34">
        <v>20</v>
      </c>
      <c r="U31" s="34">
        <v>20</v>
      </c>
      <c r="V31" s="34">
        <v>20</v>
      </c>
      <c r="W31" s="34">
        <v>0</v>
      </c>
      <c r="X31" s="34">
        <v>32</v>
      </c>
      <c r="Y31" s="34">
        <v>32</v>
      </c>
      <c r="Z31" s="34">
        <v>32</v>
      </c>
      <c r="AA31" s="34">
        <v>32</v>
      </c>
      <c r="AB31" s="34">
        <v>32</v>
      </c>
      <c r="AC31" s="34">
        <v>32</v>
      </c>
      <c r="AD31" s="34">
        <v>32</v>
      </c>
      <c r="AE31" s="34">
        <v>32</v>
      </c>
      <c r="AF31" s="34">
        <v>0</v>
      </c>
      <c r="AG31" s="34"/>
      <c r="AH31" s="34"/>
      <c r="AI31" s="34"/>
      <c r="AJ31" s="34"/>
    </row>
    <row r="32" spans="1:36" hidden="1" x14ac:dyDescent="0.25">
      <c r="A32" t="s">
        <v>32</v>
      </c>
      <c r="B32" t="s">
        <v>585</v>
      </c>
      <c r="C32">
        <v>22182428</v>
      </c>
      <c r="D32" t="s">
        <v>31</v>
      </c>
      <c r="E32" t="s">
        <v>31</v>
      </c>
      <c r="F32" t="s">
        <v>235</v>
      </c>
      <c r="G32" t="s">
        <v>4445</v>
      </c>
      <c r="H32">
        <v>6</v>
      </c>
    </row>
    <row r="33" spans="1:36" hidden="1" x14ac:dyDescent="0.25">
      <c r="A33" s="34" t="s">
        <v>1478</v>
      </c>
      <c r="B33" s="34" t="s">
        <v>514</v>
      </c>
      <c r="C33" s="34">
        <v>47148664</v>
      </c>
      <c r="D33" s="34" t="s">
        <v>1479</v>
      </c>
      <c r="E33" s="34"/>
      <c r="F33" s="34"/>
      <c r="G33" s="34" t="s">
        <v>1044</v>
      </c>
      <c r="H33" s="34">
        <v>0</v>
      </c>
      <c r="I33" s="34">
        <v>20</v>
      </c>
      <c r="J33" s="34">
        <v>40</v>
      </c>
      <c r="K33" s="34">
        <v>40</v>
      </c>
      <c r="L33" s="34">
        <v>40</v>
      </c>
      <c r="M33" s="34">
        <v>40</v>
      </c>
      <c r="N33" s="34">
        <v>0</v>
      </c>
      <c r="O33" s="34">
        <v>0</v>
      </c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</row>
    <row r="34" spans="1:36" hidden="1" x14ac:dyDescent="0.25">
      <c r="A34" t="s">
        <v>1057</v>
      </c>
      <c r="B34" t="s">
        <v>514</v>
      </c>
      <c r="C34">
        <v>47129020</v>
      </c>
      <c r="D34" t="s">
        <v>1058</v>
      </c>
      <c r="G34" t="s">
        <v>1044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40</v>
      </c>
      <c r="R34">
        <v>0</v>
      </c>
      <c r="S34">
        <v>0</v>
      </c>
      <c r="T34">
        <v>0</v>
      </c>
      <c r="U34">
        <v>50</v>
      </c>
      <c r="V34">
        <v>0</v>
      </c>
      <c r="W34">
        <v>0</v>
      </c>
      <c r="X34">
        <v>0</v>
      </c>
    </row>
    <row r="35" spans="1:36" hidden="1" x14ac:dyDescent="0.25">
      <c r="A35" s="34" t="s">
        <v>1429</v>
      </c>
      <c r="B35" s="34" t="s">
        <v>514</v>
      </c>
      <c r="C35" s="34">
        <v>47129473</v>
      </c>
      <c r="D35" s="34" t="s">
        <v>1430</v>
      </c>
      <c r="E35" s="34"/>
      <c r="F35" s="34"/>
      <c r="G35" s="34" t="s">
        <v>1044</v>
      </c>
      <c r="H35" s="34">
        <v>40</v>
      </c>
      <c r="I35" s="34">
        <v>0</v>
      </c>
      <c r="J35" s="34">
        <v>0</v>
      </c>
      <c r="K35" s="34">
        <v>0</v>
      </c>
      <c r="L35" s="34">
        <v>0</v>
      </c>
      <c r="M35" s="34">
        <v>0</v>
      </c>
      <c r="N35" s="34">
        <v>40</v>
      </c>
      <c r="O35" s="34">
        <v>0</v>
      </c>
      <c r="P35" s="34">
        <v>0</v>
      </c>
      <c r="Q35" s="34">
        <v>0</v>
      </c>
      <c r="R35" s="34">
        <v>0</v>
      </c>
      <c r="S35" s="34">
        <v>0</v>
      </c>
      <c r="T35" s="34">
        <v>20</v>
      </c>
      <c r="U35" s="34">
        <v>10</v>
      </c>
      <c r="V35" s="34">
        <v>0</v>
      </c>
      <c r="W35" s="34">
        <v>0</v>
      </c>
      <c r="X35" s="34">
        <v>0</v>
      </c>
      <c r="Y35" s="34">
        <v>0</v>
      </c>
      <c r="Z35" s="34">
        <v>20</v>
      </c>
      <c r="AA35" s="34">
        <v>20</v>
      </c>
      <c r="AB35" s="34">
        <v>0</v>
      </c>
      <c r="AC35" s="34">
        <v>20</v>
      </c>
      <c r="AD35" s="34">
        <v>20</v>
      </c>
      <c r="AE35" s="34">
        <v>44</v>
      </c>
      <c r="AF35" s="34">
        <v>0</v>
      </c>
      <c r="AG35" s="34"/>
      <c r="AH35" s="34"/>
      <c r="AI35" s="34"/>
      <c r="AJ35" s="34"/>
    </row>
    <row r="36" spans="1:36" hidden="1" x14ac:dyDescent="0.25">
      <c r="A36" t="s">
        <v>32</v>
      </c>
      <c r="B36" t="s">
        <v>585</v>
      </c>
      <c r="C36">
        <v>22182428</v>
      </c>
      <c r="D36" t="s">
        <v>31</v>
      </c>
      <c r="E36" t="s">
        <v>31</v>
      </c>
      <c r="F36" t="s">
        <v>231</v>
      </c>
      <c r="G36" t="s">
        <v>1044</v>
      </c>
      <c r="H36">
        <v>32</v>
      </c>
    </row>
    <row r="37" spans="1:36" hidden="1" x14ac:dyDescent="0.25">
      <c r="A37" s="34" t="s">
        <v>1216</v>
      </c>
      <c r="B37" s="34" t="s">
        <v>514</v>
      </c>
      <c r="C37" s="34">
        <v>47133720</v>
      </c>
      <c r="D37" s="34" t="s">
        <v>1217</v>
      </c>
      <c r="E37" s="34"/>
      <c r="F37" s="34"/>
      <c r="G37" s="34" t="s">
        <v>1044</v>
      </c>
      <c r="H37" s="34">
        <v>0</v>
      </c>
      <c r="I37" s="34">
        <v>0</v>
      </c>
      <c r="J37" s="34">
        <v>0</v>
      </c>
      <c r="K37" s="34">
        <v>0</v>
      </c>
      <c r="L37" s="34">
        <v>0</v>
      </c>
      <c r="M37" s="34">
        <v>0</v>
      </c>
      <c r="N37" s="34">
        <v>0</v>
      </c>
      <c r="O37" s="34">
        <v>0</v>
      </c>
      <c r="P37" s="34">
        <v>40</v>
      </c>
      <c r="Q37" s="34">
        <v>40</v>
      </c>
      <c r="R37" s="34">
        <v>40</v>
      </c>
      <c r="S37" s="34">
        <v>40</v>
      </c>
      <c r="T37" s="34">
        <v>0</v>
      </c>
      <c r="U37" s="34">
        <v>40</v>
      </c>
      <c r="V37" s="34">
        <v>0</v>
      </c>
      <c r="W37" s="34">
        <v>0</v>
      </c>
      <c r="X37" s="34">
        <v>40</v>
      </c>
      <c r="Y37" s="34"/>
      <c r="Z37" s="34"/>
      <c r="AA37" s="34"/>
      <c r="AB37" s="34">
        <v>0</v>
      </c>
      <c r="AC37" s="34">
        <v>20</v>
      </c>
      <c r="AD37" s="34">
        <v>20</v>
      </c>
      <c r="AE37" s="34">
        <v>0</v>
      </c>
      <c r="AF37" s="34">
        <v>0</v>
      </c>
      <c r="AG37" s="34">
        <v>20</v>
      </c>
      <c r="AH37" s="34">
        <v>20</v>
      </c>
      <c r="AI37" s="34">
        <v>0</v>
      </c>
      <c r="AJ37" s="34">
        <v>0</v>
      </c>
    </row>
    <row r="38" spans="1:36" hidden="1" x14ac:dyDescent="0.25">
      <c r="A38" t="s">
        <v>32</v>
      </c>
      <c r="B38" t="s">
        <v>585</v>
      </c>
      <c r="C38">
        <v>22182428</v>
      </c>
      <c r="D38" t="s">
        <v>31</v>
      </c>
      <c r="E38" t="s">
        <v>31</v>
      </c>
      <c r="F38" t="s">
        <v>235</v>
      </c>
      <c r="G38" t="s">
        <v>1044</v>
      </c>
      <c r="H38">
        <v>6</v>
      </c>
    </row>
    <row r="39" spans="1:36" hidden="1" x14ac:dyDescent="0.25">
      <c r="A39" s="34" t="s">
        <v>32</v>
      </c>
      <c r="B39" s="34" t="s">
        <v>585</v>
      </c>
      <c r="C39" s="34">
        <v>22182428</v>
      </c>
      <c r="D39" s="34" t="s">
        <v>31</v>
      </c>
      <c r="E39" s="34" t="s">
        <v>31</v>
      </c>
      <c r="F39" s="34" t="s">
        <v>231</v>
      </c>
      <c r="G39" s="34" t="s">
        <v>1090</v>
      </c>
      <c r="H39" s="34">
        <v>32</v>
      </c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</row>
    <row r="40" spans="1:36" hidden="1" x14ac:dyDescent="0.25">
      <c r="A40" t="s">
        <v>32</v>
      </c>
      <c r="B40" t="s">
        <v>585</v>
      </c>
      <c r="C40">
        <v>22182428</v>
      </c>
      <c r="D40" t="s">
        <v>31</v>
      </c>
      <c r="E40" t="s">
        <v>31</v>
      </c>
      <c r="F40" t="s">
        <v>235</v>
      </c>
      <c r="G40" t="s">
        <v>1090</v>
      </c>
      <c r="H40">
        <v>6</v>
      </c>
    </row>
    <row r="41" spans="1:36" x14ac:dyDescent="0.25">
      <c r="A41" s="34" t="s">
        <v>1339</v>
      </c>
      <c r="B41" s="34" t="s">
        <v>514</v>
      </c>
      <c r="C41" s="34">
        <v>47129548</v>
      </c>
      <c r="D41" s="34" t="s">
        <v>1340</v>
      </c>
      <c r="E41" s="34"/>
      <c r="F41" s="34"/>
      <c r="G41" s="34" t="s">
        <v>1089</v>
      </c>
      <c r="H41" s="34">
        <v>40</v>
      </c>
      <c r="I41" s="34">
        <v>40</v>
      </c>
      <c r="J41" s="34">
        <v>40</v>
      </c>
      <c r="K41" s="34">
        <v>40</v>
      </c>
      <c r="L41" s="34">
        <v>40</v>
      </c>
      <c r="M41" s="34">
        <v>40</v>
      </c>
      <c r="N41" s="34">
        <v>40</v>
      </c>
      <c r="O41" s="34">
        <v>40</v>
      </c>
      <c r="P41" s="34">
        <v>40</v>
      </c>
      <c r="Q41" s="34">
        <v>40</v>
      </c>
      <c r="R41" s="34">
        <v>40</v>
      </c>
      <c r="S41" s="34">
        <v>40</v>
      </c>
      <c r="T41" s="34">
        <v>0</v>
      </c>
      <c r="U41" s="34">
        <v>25</v>
      </c>
      <c r="V41" s="34">
        <v>25</v>
      </c>
      <c r="W41" s="34">
        <v>25</v>
      </c>
      <c r="X41" s="34">
        <v>25</v>
      </c>
      <c r="Y41" s="34">
        <v>0</v>
      </c>
      <c r="Z41" s="34">
        <v>0</v>
      </c>
      <c r="AA41" s="34">
        <v>0</v>
      </c>
      <c r="AB41" s="34">
        <v>0</v>
      </c>
      <c r="AC41" s="34">
        <v>0</v>
      </c>
      <c r="AD41" s="34">
        <v>0</v>
      </c>
      <c r="AE41" s="34">
        <v>0</v>
      </c>
      <c r="AF41" s="34">
        <v>0</v>
      </c>
      <c r="AG41" s="34"/>
      <c r="AH41" s="34"/>
      <c r="AI41" s="34"/>
      <c r="AJ41" s="34"/>
    </row>
    <row r="42" spans="1:36" x14ac:dyDescent="0.25">
      <c r="A42" t="s">
        <v>32</v>
      </c>
      <c r="B42" t="s">
        <v>585</v>
      </c>
      <c r="C42">
        <v>22182428</v>
      </c>
      <c r="D42" t="s">
        <v>31</v>
      </c>
      <c r="E42" t="s">
        <v>31</v>
      </c>
      <c r="F42" t="s">
        <v>235</v>
      </c>
      <c r="G42" t="s">
        <v>1089</v>
      </c>
      <c r="H42">
        <v>6</v>
      </c>
    </row>
    <row r="43" spans="1:36" hidden="1" x14ac:dyDescent="0.25">
      <c r="A43" s="34" t="s">
        <v>1478</v>
      </c>
      <c r="B43" s="34" t="s">
        <v>514</v>
      </c>
      <c r="C43" s="34">
        <v>47148664</v>
      </c>
      <c r="D43" s="34" t="s">
        <v>1479</v>
      </c>
      <c r="E43" s="34"/>
      <c r="F43" s="34"/>
      <c r="G43" s="34" t="s">
        <v>5437</v>
      </c>
      <c r="H43" s="34">
        <v>0</v>
      </c>
      <c r="I43" s="34">
        <v>20</v>
      </c>
      <c r="J43" s="34">
        <v>40</v>
      </c>
      <c r="K43" s="34">
        <v>40</v>
      </c>
      <c r="L43" s="34">
        <v>0</v>
      </c>
      <c r="M43" s="34">
        <v>0</v>
      </c>
      <c r="N43" s="34">
        <v>0</v>
      </c>
      <c r="O43" s="34">
        <v>0</v>
      </c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</row>
    <row r="44" spans="1:36" hidden="1" x14ac:dyDescent="0.25">
      <c r="A44" t="s">
        <v>1057</v>
      </c>
      <c r="B44" t="s">
        <v>514</v>
      </c>
      <c r="C44">
        <v>47129020</v>
      </c>
      <c r="D44" t="s">
        <v>1058</v>
      </c>
      <c r="G44" t="s">
        <v>5437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40</v>
      </c>
      <c r="S44">
        <v>40</v>
      </c>
      <c r="T44">
        <v>0</v>
      </c>
      <c r="U44">
        <v>0</v>
      </c>
      <c r="V44">
        <v>0</v>
      </c>
      <c r="W44">
        <v>0</v>
      </c>
      <c r="X44">
        <v>0</v>
      </c>
    </row>
    <row r="45" spans="1:36" hidden="1" x14ac:dyDescent="0.25">
      <c r="A45" s="34" t="s">
        <v>1429</v>
      </c>
      <c r="B45" s="34" t="s">
        <v>514</v>
      </c>
      <c r="C45" s="34">
        <v>47129473</v>
      </c>
      <c r="D45" s="34" t="s">
        <v>1430</v>
      </c>
      <c r="E45" s="34"/>
      <c r="F45" s="34"/>
      <c r="G45" s="34" t="s">
        <v>5437</v>
      </c>
      <c r="H45" s="34">
        <v>40</v>
      </c>
      <c r="I45" s="34">
        <v>0</v>
      </c>
      <c r="J45" s="34">
        <v>0</v>
      </c>
      <c r="K45" s="34">
        <v>0</v>
      </c>
      <c r="L45" s="34">
        <v>0</v>
      </c>
      <c r="M45" s="34">
        <v>0</v>
      </c>
      <c r="N45" s="34">
        <v>0</v>
      </c>
      <c r="O45" s="34">
        <v>0</v>
      </c>
      <c r="P45" s="34">
        <v>0</v>
      </c>
      <c r="Q45" s="34">
        <v>40</v>
      </c>
      <c r="R45" s="34">
        <v>0</v>
      </c>
      <c r="S45" s="34">
        <v>0</v>
      </c>
      <c r="T45" s="34">
        <v>40</v>
      </c>
      <c r="U45" s="34">
        <v>45</v>
      </c>
      <c r="V45" s="34">
        <v>0</v>
      </c>
      <c r="W45" s="34">
        <v>0</v>
      </c>
      <c r="X45" s="34">
        <v>0</v>
      </c>
      <c r="Y45" s="34">
        <v>0</v>
      </c>
      <c r="Z45" s="34">
        <v>40</v>
      </c>
      <c r="AA45" s="34">
        <v>40</v>
      </c>
      <c r="AB45" s="34">
        <v>0</v>
      </c>
      <c r="AC45" s="34">
        <v>40</v>
      </c>
      <c r="AD45" s="34">
        <v>40</v>
      </c>
      <c r="AE45" s="34">
        <v>40</v>
      </c>
      <c r="AF45" s="34">
        <v>8</v>
      </c>
      <c r="AG45" s="34"/>
      <c r="AH45" s="34"/>
      <c r="AI45" s="34"/>
      <c r="AJ45" s="34"/>
    </row>
    <row r="46" spans="1:36" hidden="1" x14ac:dyDescent="0.25">
      <c r="A46" t="s">
        <v>32</v>
      </c>
      <c r="B46" t="s">
        <v>585</v>
      </c>
      <c r="C46">
        <v>22182428</v>
      </c>
      <c r="D46" t="s">
        <v>31</v>
      </c>
      <c r="E46" t="s">
        <v>31</v>
      </c>
      <c r="F46" t="s">
        <v>235</v>
      </c>
      <c r="G46" t="s">
        <v>5437</v>
      </c>
      <c r="H46">
        <v>6</v>
      </c>
    </row>
    <row r="47" spans="1:36" hidden="1" x14ac:dyDescent="0.25">
      <c r="A47" s="34" t="s">
        <v>32</v>
      </c>
      <c r="B47" s="34" t="s">
        <v>585</v>
      </c>
      <c r="C47" s="34">
        <v>22182428</v>
      </c>
      <c r="D47" s="34" t="s">
        <v>31</v>
      </c>
      <c r="E47" s="34" t="s">
        <v>31</v>
      </c>
      <c r="F47" s="34" t="s">
        <v>232</v>
      </c>
      <c r="G47" s="34" t="s">
        <v>2444</v>
      </c>
      <c r="H47" s="34"/>
      <c r="I47" s="34">
        <v>11</v>
      </c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</row>
    <row r="48" spans="1:36" hidden="1" x14ac:dyDescent="0.25">
      <c r="A48" t="s">
        <v>32</v>
      </c>
      <c r="B48" t="s">
        <v>585</v>
      </c>
      <c r="C48">
        <v>22182428</v>
      </c>
      <c r="D48" t="s">
        <v>31</v>
      </c>
      <c r="E48" t="s">
        <v>31</v>
      </c>
      <c r="F48" t="s">
        <v>235</v>
      </c>
      <c r="G48" t="s">
        <v>2444</v>
      </c>
      <c r="I48">
        <v>6</v>
      </c>
    </row>
    <row r="49" spans="1:36" hidden="1" x14ac:dyDescent="0.25">
      <c r="A49" s="34" t="s">
        <v>32</v>
      </c>
      <c r="B49" s="34" t="s">
        <v>585</v>
      </c>
      <c r="C49" s="34">
        <v>22182428</v>
      </c>
      <c r="D49" s="34" t="s">
        <v>31</v>
      </c>
      <c r="E49" s="34" t="s">
        <v>31</v>
      </c>
      <c r="F49" s="34" t="s">
        <v>235</v>
      </c>
      <c r="G49" s="34" t="s">
        <v>1080</v>
      </c>
      <c r="H49" s="34"/>
      <c r="I49" s="34">
        <v>6</v>
      </c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</row>
    <row r="50" spans="1:36" hidden="1" x14ac:dyDescent="0.25">
      <c r="A50" t="s">
        <v>32</v>
      </c>
      <c r="B50" t="s">
        <v>585</v>
      </c>
      <c r="C50">
        <v>22182428</v>
      </c>
      <c r="D50" t="s">
        <v>31</v>
      </c>
      <c r="E50" t="s">
        <v>31</v>
      </c>
      <c r="F50" t="s">
        <v>232</v>
      </c>
      <c r="G50" t="s">
        <v>912</v>
      </c>
      <c r="I50">
        <v>11</v>
      </c>
    </row>
    <row r="51" spans="1:36" hidden="1" x14ac:dyDescent="0.25">
      <c r="A51" s="34" t="s">
        <v>32</v>
      </c>
      <c r="B51" s="34" t="s">
        <v>585</v>
      </c>
      <c r="C51" s="34">
        <v>22182428</v>
      </c>
      <c r="D51" s="34" t="s">
        <v>31</v>
      </c>
      <c r="E51" s="34" t="s">
        <v>31</v>
      </c>
      <c r="F51" s="34" t="s">
        <v>235</v>
      </c>
      <c r="G51" s="34" t="s">
        <v>912</v>
      </c>
      <c r="H51" s="34"/>
      <c r="I51" s="34">
        <v>6</v>
      </c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</row>
    <row r="52" spans="1:36" hidden="1" x14ac:dyDescent="0.25">
      <c r="A52" t="s">
        <v>32</v>
      </c>
      <c r="B52" t="s">
        <v>585</v>
      </c>
      <c r="C52">
        <v>22182428</v>
      </c>
      <c r="D52" t="s">
        <v>31</v>
      </c>
      <c r="E52" t="s">
        <v>31</v>
      </c>
      <c r="F52" t="s">
        <v>235</v>
      </c>
      <c r="G52" t="s">
        <v>1043</v>
      </c>
      <c r="I52">
        <v>6</v>
      </c>
    </row>
    <row r="53" spans="1:36" x14ac:dyDescent="0.25">
      <c r="A53" s="34" t="s">
        <v>32</v>
      </c>
      <c r="B53" s="34" t="s">
        <v>585</v>
      </c>
      <c r="C53" s="34">
        <v>22182428</v>
      </c>
      <c r="D53" s="34" t="s">
        <v>31</v>
      </c>
      <c r="E53" s="34" t="s">
        <v>31</v>
      </c>
      <c r="F53" s="34" t="s">
        <v>235</v>
      </c>
      <c r="G53" s="34" t="s">
        <v>916</v>
      </c>
      <c r="H53" s="34"/>
      <c r="I53" s="34">
        <v>6</v>
      </c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</row>
    <row r="54" spans="1:36" hidden="1" x14ac:dyDescent="0.25">
      <c r="A54" t="s">
        <v>2348</v>
      </c>
      <c r="B54" t="s">
        <v>514</v>
      </c>
      <c r="C54">
        <v>47140037</v>
      </c>
      <c r="D54" t="s">
        <v>2347</v>
      </c>
      <c r="G54" t="s">
        <v>2344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</row>
    <row r="55" spans="1:36" hidden="1" x14ac:dyDescent="0.25">
      <c r="A55" s="34" t="s">
        <v>2351</v>
      </c>
      <c r="B55" s="34" t="s">
        <v>514</v>
      </c>
      <c r="C55" s="34">
        <v>47128216</v>
      </c>
      <c r="D55" s="34" t="s">
        <v>2350</v>
      </c>
      <c r="E55" s="34"/>
      <c r="F55" s="34"/>
      <c r="G55" s="34" t="s">
        <v>2344</v>
      </c>
      <c r="H55" s="34"/>
      <c r="I55" s="34"/>
      <c r="J55" s="34"/>
      <c r="K55" s="34">
        <v>40</v>
      </c>
      <c r="L55" s="34">
        <v>20.8</v>
      </c>
      <c r="M55" s="34">
        <v>0</v>
      </c>
      <c r="N55" s="34">
        <v>0</v>
      </c>
      <c r="O55" s="34">
        <v>0</v>
      </c>
      <c r="P55" s="34">
        <v>0</v>
      </c>
      <c r="Q55" s="34">
        <v>0</v>
      </c>
      <c r="R55" s="34">
        <v>0</v>
      </c>
      <c r="S55" s="34">
        <v>0</v>
      </c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</row>
    <row r="56" spans="1:36" hidden="1" x14ac:dyDescent="0.25">
      <c r="A56" t="s">
        <v>2354</v>
      </c>
      <c r="B56" t="s">
        <v>514</v>
      </c>
      <c r="C56">
        <v>47128208</v>
      </c>
      <c r="D56" t="s">
        <v>2353</v>
      </c>
      <c r="G56" t="s">
        <v>2344</v>
      </c>
      <c r="K56">
        <v>0</v>
      </c>
      <c r="L56">
        <v>19.2</v>
      </c>
      <c r="M56">
        <v>7.8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36" hidden="1" x14ac:dyDescent="0.25">
      <c r="A57" s="34" t="s">
        <v>3790</v>
      </c>
      <c r="B57" s="34" t="s">
        <v>514</v>
      </c>
      <c r="C57" s="34">
        <v>47100498</v>
      </c>
      <c r="D57" s="34" t="s">
        <v>3789</v>
      </c>
      <c r="E57" s="34"/>
      <c r="F57" s="34"/>
      <c r="G57" s="34" t="s">
        <v>912</v>
      </c>
      <c r="H57" s="34"/>
      <c r="I57" s="34"/>
      <c r="J57" s="34"/>
      <c r="K57" s="34">
        <v>0</v>
      </c>
      <c r="L57" s="34">
        <v>0</v>
      </c>
      <c r="M57" s="34">
        <v>0</v>
      </c>
      <c r="N57" s="34">
        <v>0</v>
      </c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</row>
    <row r="58" spans="1:36" hidden="1" x14ac:dyDescent="0.25">
      <c r="A58" t="s">
        <v>2348</v>
      </c>
      <c r="B58" t="s">
        <v>514</v>
      </c>
      <c r="C58">
        <v>47140037</v>
      </c>
      <c r="D58" t="s">
        <v>2347</v>
      </c>
      <c r="G58" t="s">
        <v>912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</row>
    <row r="59" spans="1:36" hidden="1" x14ac:dyDescent="0.25">
      <c r="A59" s="34" t="s">
        <v>2351</v>
      </c>
      <c r="B59" s="34" t="s">
        <v>514</v>
      </c>
      <c r="C59" s="34">
        <v>47128216</v>
      </c>
      <c r="D59" s="34" t="s">
        <v>2350</v>
      </c>
      <c r="E59" s="34"/>
      <c r="F59" s="34"/>
      <c r="G59" s="34" t="s">
        <v>912</v>
      </c>
      <c r="H59" s="34"/>
      <c r="I59" s="34"/>
      <c r="J59" s="34"/>
      <c r="K59" s="34">
        <v>40</v>
      </c>
      <c r="L59" s="34">
        <v>40</v>
      </c>
      <c r="M59" s="34">
        <v>0</v>
      </c>
      <c r="N59" s="34">
        <v>0</v>
      </c>
      <c r="O59" s="34">
        <v>0</v>
      </c>
      <c r="P59" s="34">
        <v>0</v>
      </c>
      <c r="Q59" s="34">
        <v>0</v>
      </c>
      <c r="R59" s="34">
        <v>0</v>
      </c>
      <c r="S59" s="34">
        <v>0</v>
      </c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</row>
    <row r="60" spans="1:36" hidden="1" x14ac:dyDescent="0.25">
      <c r="A60" t="s">
        <v>2354</v>
      </c>
      <c r="B60" t="s">
        <v>514</v>
      </c>
      <c r="C60">
        <v>47128208</v>
      </c>
      <c r="D60" t="s">
        <v>2353</v>
      </c>
      <c r="G60" t="s">
        <v>912</v>
      </c>
      <c r="K60">
        <v>0</v>
      </c>
      <c r="L60">
        <v>0</v>
      </c>
      <c r="M60">
        <v>20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36" hidden="1" x14ac:dyDescent="0.25">
      <c r="A61" s="34" t="s">
        <v>2348</v>
      </c>
      <c r="B61" s="34" t="s">
        <v>514</v>
      </c>
      <c r="C61" s="34">
        <v>47140037</v>
      </c>
      <c r="D61" s="34" t="s">
        <v>2347</v>
      </c>
      <c r="E61" s="34"/>
      <c r="F61" s="34"/>
      <c r="G61" s="34" t="s">
        <v>3939</v>
      </c>
      <c r="H61" s="34"/>
      <c r="I61" s="34"/>
      <c r="J61" s="34"/>
      <c r="K61" s="34">
        <v>0</v>
      </c>
      <c r="L61" s="34">
        <v>0</v>
      </c>
      <c r="M61" s="34">
        <v>0</v>
      </c>
      <c r="N61" s="34">
        <v>0</v>
      </c>
      <c r="O61" s="34">
        <v>0</v>
      </c>
      <c r="P61" s="34">
        <v>0</v>
      </c>
      <c r="Q61" s="34">
        <v>0</v>
      </c>
      <c r="R61" s="34">
        <v>0</v>
      </c>
      <c r="S61" s="34">
        <v>0</v>
      </c>
      <c r="T61" s="34">
        <v>0</v>
      </c>
      <c r="U61" s="34">
        <v>0</v>
      </c>
      <c r="V61" s="34">
        <v>0</v>
      </c>
      <c r="W61" s="34">
        <v>0</v>
      </c>
      <c r="X61" s="34">
        <v>0</v>
      </c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</row>
    <row r="62" spans="1:36" hidden="1" x14ac:dyDescent="0.25">
      <c r="A62" t="s">
        <v>2351</v>
      </c>
      <c r="B62" t="s">
        <v>514</v>
      </c>
      <c r="C62">
        <v>47128216</v>
      </c>
      <c r="D62" t="s">
        <v>2350</v>
      </c>
      <c r="G62" t="s">
        <v>3939</v>
      </c>
      <c r="K62">
        <v>40</v>
      </c>
      <c r="L62">
        <v>40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36" hidden="1" x14ac:dyDescent="0.25">
      <c r="A63" s="34" t="s">
        <v>2354</v>
      </c>
      <c r="B63" s="34" t="s">
        <v>514</v>
      </c>
      <c r="C63" s="34">
        <v>47128208</v>
      </c>
      <c r="D63" s="34" t="s">
        <v>2353</v>
      </c>
      <c r="E63" s="34"/>
      <c r="F63" s="34"/>
      <c r="G63" s="34" t="s">
        <v>3939</v>
      </c>
      <c r="H63" s="34"/>
      <c r="I63" s="34"/>
      <c r="J63" s="34"/>
      <c r="K63" s="34">
        <v>0</v>
      </c>
      <c r="L63" s="34">
        <v>0</v>
      </c>
      <c r="M63" s="34">
        <v>20</v>
      </c>
      <c r="N63" s="34">
        <v>0</v>
      </c>
      <c r="O63" s="34">
        <v>0</v>
      </c>
      <c r="P63" s="34">
        <v>0</v>
      </c>
      <c r="Q63" s="34">
        <v>0</v>
      </c>
      <c r="R63" s="34">
        <v>0</v>
      </c>
      <c r="S63" s="34">
        <v>0</v>
      </c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</row>
    <row r="64" spans="1:36" hidden="1" x14ac:dyDescent="0.25">
      <c r="A64" t="s">
        <v>1019</v>
      </c>
      <c r="B64" t="s">
        <v>514</v>
      </c>
      <c r="C64">
        <v>47136337</v>
      </c>
      <c r="D64" t="s">
        <v>1020</v>
      </c>
      <c r="G64" t="s">
        <v>1090</v>
      </c>
      <c r="K64">
        <v>16.2</v>
      </c>
      <c r="L64">
        <v>0</v>
      </c>
    </row>
    <row r="65" spans="1:36" hidden="1" x14ac:dyDescent="0.25">
      <c r="A65" s="34" t="s">
        <v>923</v>
      </c>
      <c r="B65" s="34" t="s">
        <v>514</v>
      </c>
      <c r="C65" s="34">
        <v>47128851</v>
      </c>
      <c r="D65" s="34" t="s">
        <v>924</v>
      </c>
      <c r="E65" s="34"/>
      <c r="F65" s="34"/>
      <c r="G65" s="34" t="s">
        <v>1090</v>
      </c>
      <c r="H65" s="34"/>
      <c r="I65" s="34"/>
      <c r="J65" s="34"/>
      <c r="K65" s="34">
        <v>23.8</v>
      </c>
      <c r="L65" s="34">
        <v>40</v>
      </c>
      <c r="M65" s="34">
        <v>32.799999999999997</v>
      </c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</row>
    <row r="66" spans="1:36" hidden="1" x14ac:dyDescent="0.25">
      <c r="A66" t="s">
        <v>1295</v>
      </c>
      <c r="B66" t="s">
        <v>514</v>
      </c>
      <c r="C66">
        <v>47128824</v>
      </c>
      <c r="D66" t="s">
        <v>1296</v>
      </c>
      <c r="G66" t="s">
        <v>1090</v>
      </c>
      <c r="K66">
        <v>0</v>
      </c>
      <c r="L66">
        <v>0</v>
      </c>
      <c r="M66">
        <v>7.2</v>
      </c>
      <c r="O66">
        <v>40</v>
      </c>
      <c r="P66">
        <v>40</v>
      </c>
      <c r="Q66">
        <v>18</v>
      </c>
      <c r="R66">
        <v>0</v>
      </c>
      <c r="S66">
        <v>0</v>
      </c>
    </row>
    <row r="67" spans="1:36" hidden="1" x14ac:dyDescent="0.25">
      <c r="A67" s="34" t="s">
        <v>1259</v>
      </c>
      <c r="B67" s="34" t="s">
        <v>514</v>
      </c>
      <c r="C67" s="34">
        <v>47128115</v>
      </c>
      <c r="D67" s="34" t="s">
        <v>1260</v>
      </c>
      <c r="E67" s="34"/>
      <c r="F67" s="34"/>
      <c r="G67" s="34" t="s">
        <v>5437</v>
      </c>
      <c r="H67" s="34"/>
      <c r="I67" s="34"/>
      <c r="J67" s="34"/>
      <c r="K67" s="34">
        <v>0</v>
      </c>
      <c r="L67" s="34">
        <v>40</v>
      </c>
      <c r="M67" s="34">
        <v>40</v>
      </c>
      <c r="N67" s="34">
        <v>40</v>
      </c>
      <c r="O67" s="34">
        <v>40</v>
      </c>
      <c r="P67" s="34">
        <v>0</v>
      </c>
      <c r="Q67" s="34">
        <v>0</v>
      </c>
      <c r="R67" s="34">
        <v>0</v>
      </c>
      <c r="S67" s="34">
        <v>0</v>
      </c>
      <c r="T67" s="34">
        <v>0</v>
      </c>
      <c r="U67" s="34">
        <v>60</v>
      </c>
      <c r="V67" s="34">
        <v>60</v>
      </c>
      <c r="W67" s="34">
        <v>60</v>
      </c>
      <c r="X67" s="34">
        <v>60</v>
      </c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</row>
    <row r="68" spans="1:36" hidden="1" x14ac:dyDescent="0.25">
      <c r="A68" t="s">
        <v>2363</v>
      </c>
      <c r="B68" t="s">
        <v>514</v>
      </c>
      <c r="C68">
        <v>47128377</v>
      </c>
      <c r="D68" t="s">
        <v>2362</v>
      </c>
      <c r="G68" t="s">
        <v>2344</v>
      </c>
      <c r="M68">
        <v>32.200000000000003</v>
      </c>
      <c r="N68">
        <v>40</v>
      </c>
      <c r="O68">
        <v>40</v>
      </c>
      <c r="P68">
        <v>40</v>
      </c>
      <c r="Q68">
        <v>40</v>
      </c>
      <c r="R68">
        <v>40</v>
      </c>
      <c r="S68">
        <v>0</v>
      </c>
    </row>
    <row r="69" spans="1:36" hidden="1" x14ac:dyDescent="0.25">
      <c r="A69" s="34" t="s">
        <v>2363</v>
      </c>
      <c r="B69" s="34" t="s">
        <v>514</v>
      </c>
      <c r="C69" s="34">
        <v>47128377</v>
      </c>
      <c r="D69" s="34" t="s">
        <v>2362</v>
      </c>
      <c r="E69" s="34"/>
      <c r="F69" s="34"/>
      <c r="G69" s="34" t="s">
        <v>912</v>
      </c>
      <c r="H69" s="34"/>
      <c r="I69" s="34"/>
      <c r="J69" s="34"/>
      <c r="K69" s="34"/>
      <c r="L69" s="34"/>
      <c r="M69" s="34">
        <v>20</v>
      </c>
      <c r="N69" s="34">
        <v>40</v>
      </c>
      <c r="O69" s="34">
        <v>40</v>
      </c>
      <c r="P69" s="34">
        <v>40</v>
      </c>
      <c r="Q69" s="34">
        <v>40</v>
      </c>
      <c r="R69" s="34">
        <v>40</v>
      </c>
      <c r="S69" s="34">
        <v>2.8</v>
      </c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</row>
    <row r="70" spans="1:36" hidden="1" x14ac:dyDescent="0.25">
      <c r="A70" t="s">
        <v>2363</v>
      </c>
      <c r="B70" t="s">
        <v>514</v>
      </c>
      <c r="C70">
        <v>47128377</v>
      </c>
      <c r="D70" t="s">
        <v>2362</v>
      </c>
      <c r="G70" t="s">
        <v>3939</v>
      </c>
      <c r="M70">
        <v>20</v>
      </c>
      <c r="N70">
        <v>40</v>
      </c>
      <c r="O70">
        <v>40</v>
      </c>
      <c r="P70">
        <v>40</v>
      </c>
      <c r="Q70">
        <v>40</v>
      </c>
      <c r="R70">
        <v>40</v>
      </c>
      <c r="S70">
        <v>40</v>
      </c>
    </row>
    <row r="71" spans="1:36" hidden="1" x14ac:dyDescent="0.25">
      <c r="A71" s="34" t="s">
        <v>1028</v>
      </c>
      <c r="B71" s="34" t="s">
        <v>514</v>
      </c>
      <c r="C71" s="34">
        <v>47128477</v>
      </c>
      <c r="D71" s="34" t="s">
        <v>1029</v>
      </c>
      <c r="E71" s="34"/>
      <c r="F71" s="34"/>
      <c r="G71" s="34" t="s">
        <v>1090</v>
      </c>
      <c r="H71" s="34"/>
      <c r="I71" s="34"/>
      <c r="J71" s="34"/>
      <c r="K71" s="34"/>
      <c r="L71" s="34"/>
      <c r="M71" s="34">
        <v>0</v>
      </c>
      <c r="N71" s="34">
        <v>0</v>
      </c>
      <c r="O71" s="34">
        <v>0</v>
      </c>
      <c r="P71" s="34">
        <v>0</v>
      </c>
      <c r="Q71" s="34">
        <v>0</v>
      </c>
      <c r="R71" s="34">
        <v>0</v>
      </c>
      <c r="S71" s="34">
        <v>9.5</v>
      </c>
      <c r="T71" s="34">
        <v>0</v>
      </c>
      <c r="U71" s="34">
        <v>0</v>
      </c>
      <c r="V71" s="34">
        <v>0</v>
      </c>
      <c r="W71" s="34">
        <v>0</v>
      </c>
      <c r="X71" s="34">
        <v>0</v>
      </c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</row>
    <row r="72" spans="1:36" hidden="1" x14ac:dyDescent="0.25">
      <c r="A72" t="s">
        <v>1031</v>
      </c>
      <c r="B72" t="s">
        <v>514</v>
      </c>
      <c r="C72">
        <v>47128350</v>
      </c>
      <c r="D72" t="s">
        <v>1032</v>
      </c>
      <c r="G72" t="s">
        <v>1090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51</v>
      </c>
      <c r="W72">
        <v>0</v>
      </c>
      <c r="X72">
        <v>0</v>
      </c>
    </row>
    <row r="73" spans="1:36" hidden="1" x14ac:dyDescent="0.25">
      <c r="A73" s="34" t="s">
        <v>981</v>
      </c>
      <c r="B73" s="34" t="s">
        <v>514</v>
      </c>
      <c r="C73" s="34">
        <v>47128353</v>
      </c>
      <c r="D73" s="34" t="s">
        <v>982</v>
      </c>
      <c r="E73" s="34"/>
      <c r="F73" s="34"/>
      <c r="G73" s="34" t="s">
        <v>1090</v>
      </c>
      <c r="H73" s="34"/>
      <c r="I73" s="34"/>
      <c r="J73" s="34"/>
      <c r="K73" s="34"/>
      <c r="L73" s="34"/>
      <c r="M73" s="34">
        <v>0</v>
      </c>
      <c r="N73" s="34">
        <v>0</v>
      </c>
      <c r="O73" s="34">
        <v>0</v>
      </c>
      <c r="P73" s="34">
        <v>0</v>
      </c>
      <c r="Q73" s="34">
        <v>0</v>
      </c>
      <c r="R73" s="34">
        <v>0</v>
      </c>
      <c r="S73" s="34">
        <v>31</v>
      </c>
      <c r="T73" s="34">
        <v>100</v>
      </c>
      <c r="U73" s="34">
        <v>100</v>
      </c>
      <c r="V73" s="34">
        <v>30</v>
      </c>
      <c r="W73" s="34">
        <v>0</v>
      </c>
      <c r="X73" s="34">
        <v>0</v>
      </c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</row>
    <row r="74" spans="1:36" hidden="1" x14ac:dyDescent="0.25">
      <c r="A74" t="s">
        <v>974</v>
      </c>
      <c r="B74" t="s">
        <v>514</v>
      </c>
      <c r="C74">
        <v>47128349</v>
      </c>
      <c r="D74" t="s">
        <v>975</v>
      </c>
      <c r="G74" t="s">
        <v>1090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20</v>
      </c>
      <c r="W74">
        <v>31</v>
      </c>
      <c r="X74">
        <v>0</v>
      </c>
    </row>
    <row r="75" spans="1:36" x14ac:dyDescent="0.25">
      <c r="A75" s="34" t="s">
        <v>963</v>
      </c>
      <c r="B75" s="34" t="s">
        <v>514</v>
      </c>
      <c r="C75" s="34">
        <v>47128355</v>
      </c>
      <c r="D75" s="34" t="s">
        <v>964</v>
      </c>
      <c r="E75" s="34"/>
      <c r="F75" s="34"/>
      <c r="G75" s="34" t="s">
        <v>916</v>
      </c>
      <c r="H75" s="34"/>
      <c r="I75" s="34"/>
      <c r="J75" s="34"/>
      <c r="K75" s="34"/>
      <c r="L75" s="34"/>
      <c r="M75" s="34"/>
      <c r="N75" s="34">
        <v>0</v>
      </c>
      <c r="O75" s="34">
        <v>0</v>
      </c>
      <c r="P75" s="34">
        <v>0</v>
      </c>
      <c r="Q75" s="34">
        <v>0</v>
      </c>
      <c r="R75" s="34">
        <v>0</v>
      </c>
      <c r="S75" s="34">
        <v>8</v>
      </c>
      <c r="T75" s="34">
        <v>0</v>
      </c>
      <c r="U75" s="34">
        <v>39</v>
      </c>
      <c r="V75" s="34">
        <v>0</v>
      </c>
      <c r="W75" s="34">
        <v>0</v>
      </c>
      <c r="X75" s="34">
        <v>0</v>
      </c>
      <c r="Y75" s="34">
        <v>0</v>
      </c>
      <c r="Z75" s="34">
        <v>0</v>
      </c>
      <c r="AA75" s="34">
        <v>0</v>
      </c>
      <c r="AB75" s="34">
        <v>0</v>
      </c>
      <c r="AC75" s="34">
        <v>0</v>
      </c>
      <c r="AD75" s="34">
        <v>0</v>
      </c>
      <c r="AE75" s="34">
        <v>0</v>
      </c>
      <c r="AF75" s="34">
        <v>0</v>
      </c>
      <c r="AG75" s="34"/>
      <c r="AH75" s="34"/>
      <c r="AI75" s="34"/>
      <c r="AJ75" s="34"/>
    </row>
    <row r="76" spans="1:36" hidden="1" x14ac:dyDescent="0.25">
      <c r="A76" t="s">
        <v>1523</v>
      </c>
      <c r="B76" t="s">
        <v>514</v>
      </c>
      <c r="C76">
        <v>47128207</v>
      </c>
      <c r="D76" t="s">
        <v>1522</v>
      </c>
      <c r="G76" t="s">
        <v>1520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36" hidden="1" x14ac:dyDescent="0.25">
      <c r="A77" s="34" t="s">
        <v>1526</v>
      </c>
      <c r="B77" s="34" t="s">
        <v>514</v>
      </c>
      <c r="C77" s="34">
        <v>47128581</v>
      </c>
      <c r="D77" s="34" t="s">
        <v>1525</v>
      </c>
      <c r="E77" s="34"/>
      <c r="F77" s="34"/>
      <c r="G77" s="34" t="s">
        <v>1520</v>
      </c>
      <c r="H77" s="34"/>
      <c r="I77" s="34"/>
      <c r="J77" s="34"/>
      <c r="K77" s="34"/>
      <c r="L77" s="34"/>
      <c r="M77" s="34"/>
      <c r="N77" s="34"/>
      <c r="O77" s="34">
        <v>0</v>
      </c>
      <c r="P77" s="34">
        <v>0</v>
      </c>
      <c r="Q77" s="34">
        <v>0</v>
      </c>
      <c r="R77" s="34">
        <v>0</v>
      </c>
      <c r="S77" s="34">
        <v>0</v>
      </c>
      <c r="T77" s="34">
        <v>0</v>
      </c>
      <c r="U77" s="34">
        <v>0</v>
      </c>
      <c r="V77" s="34">
        <v>0</v>
      </c>
      <c r="W77" s="34">
        <v>0</v>
      </c>
      <c r="X77" s="34">
        <v>45</v>
      </c>
      <c r="Y77" s="34">
        <v>0</v>
      </c>
      <c r="Z77" s="34">
        <v>60</v>
      </c>
      <c r="AA77" s="34">
        <v>60</v>
      </c>
      <c r="AB77" s="34">
        <v>60</v>
      </c>
      <c r="AC77" s="34">
        <v>60</v>
      </c>
      <c r="AD77" s="34">
        <v>60</v>
      </c>
      <c r="AE77" s="34">
        <v>0</v>
      </c>
      <c r="AF77" s="34">
        <v>0</v>
      </c>
      <c r="AG77" s="34"/>
      <c r="AH77" s="34"/>
      <c r="AI77" s="34"/>
      <c r="AJ77" s="34"/>
    </row>
    <row r="78" spans="1:36" hidden="1" x14ac:dyDescent="0.25">
      <c r="A78" t="s">
        <v>1529</v>
      </c>
      <c r="B78" t="s">
        <v>514</v>
      </c>
      <c r="C78">
        <v>47127959</v>
      </c>
      <c r="D78" t="s">
        <v>1528</v>
      </c>
      <c r="G78" t="s">
        <v>1520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</row>
    <row r="79" spans="1:36" hidden="1" x14ac:dyDescent="0.25">
      <c r="A79" s="34" t="s">
        <v>1532</v>
      </c>
      <c r="B79" s="34" t="s">
        <v>514</v>
      </c>
      <c r="C79" s="34">
        <v>47128204</v>
      </c>
      <c r="D79" s="34" t="s">
        <v>1531</v>
      </c>
      <c r="E79" s="34"/>
      <c r="F79" s="34"/>
      <c r="G79" s="34" t="s">
        <v>1520</v>
      </c>
      <c r="H79" s="34"/>
      <c r="I79" s="34"/>
      <c r="J79" s="34"/>
      <c r="K79" s="34"/>
      <c r="L79" s="34"/>
      <c r="M79" s="34"/>
      <c r="N79" s="34"/>
      <c r="O79" s="34">
        <v>32</v>
      </c>
      <c r="P79" s="34">
        <v>40</v>
      </c>
      <c r="Q79" s="34">
        <v>40</v>
      </c>
      <c r="R79" s="34">
        <v>40</v>
      </c>
      <c r="S79" s="34">
        <v>40</v>
      </c>
      <c r="T79" s="34">
        <v>60</v>
      </c>
      <c r="U79" s="34">
        <v>60</v>
      </c>
      <c r="V79" s="34">
        <v>60</v>
      </c>
      <c r="W79" s="34">
        <v>60</v>
      </c>
      <c r="X79" s="34">
        <v>0</v>
      </c>
      <c r="Y79" s="34">
        <v>0</v>
      </c>
      <c r="Z79" s="34">
        <v>0</v>
      </c>
      <c r="AA79" s="34">
        <v>0</v>
      </c>
      <c r="AB79" s="34">
        <v>0</v>
      </c>
      <c r="AC79" s="34">
        <v>0</v>
      </c>
      <c r="AD79" s="34">
        <v>0</v>
      </c>
      <c r="AE79" s="34">
        <v>0</v>
      </c>
      <c r="AF79" s="34">
        <v>2</v>
      </c>
      <c r="AG79" s="34"/>
      <c r="AH79" s="34"/>
      <c r="AI79" s="34"/>
      <c r="AJ79" s="34"/>
    </row>
    <row r="80" spans="1:36" hidden="1" x14ac:dyDescent="0.25">
      <c r="A80" t="s">
        <v>1534</v>
      </c>
      <c r="B80" t="s">
        <v>514</v>
      </c>
      <c r="C80">
        <v>47128207</v>
      </c>
      <c r="D80" t="s">
        <v>1522</v>
      </c>
      <c r="G80" t="s">
        <v>1520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60</v>
      </c>
      <c r="AF80">
        <v>50</v>
      </c>
    </row>
    <row r="81" spans="1:36" hidden="1" x14ac:dyDescent="0.25">
      <c r="A81" s="34"/>
      <c r="B81" s="34" t="s">
        <v>563</v>
      </c>
      <c r="C81" s="34">
        <v>10000015</v>
      </c>
      <c r="D81" s="34" t="s">
        <v>562</v>
      </c>
      <c r="E81" s="34"/>
      <c r="F81" s="34"/>
      <c r="G81" s="34" t="s">
        <v>1520</v>
      </c>
      <c r="H81" s="34"/>
      <c r="I81" s="34"/>
      <c r="J81" s="34"/>
      <c r="K81" s="34"/>
      <c r="L81" s="34"/>
      <c r="M81" s="34"/>
      <c r="N81" s="34"/>
      <c r="O81" s="34">
        <v>0</v>
      </c>
      <c r="P81" s="34">
        <v>0</v>
      </c>
      <c r="Q81" s="34">
        <v>0</v>
      </c>
      <c r="R81" s="34">
        <v>0</v>
      </c>
      <c r="S81" s="34">
        <v>0</v>
      </c>
      <c r="T81" s="34">
        <v>0</v>
      </c>
      <c r="U81" s="34">
        <v>0</v>
      </c>
      <c r="V81" s="34">
        <v>0</v>
      </c>
      <c r="W81" s="34">
        <v>0</v>
      </c>
      <c r="X81" s="34">
        <v>0</v>
      </c>
      <c r="Y81" s="34">
        <v>0</v>
      </c>
      <c r="Z81" s="34">
        <v>0</v>
      </c>
      <c r="AA81" s="34">
        <v>0</v>
      </c>
      <c r="AB81" s="34">
        <v>0</v>
      </c>
      <c r="AC81" s="34">
        <v>0</v>
      </c>
      <c r="AD81" s="34">
        <v>0</v>
      </c>
      <c r="AE81" s="34">
        <v>0</v>
      </c>
      <c r="AF81" s="34">
        <v>0</v>
      </c>
      <c r="AG81" s="34">
        <v>0</v>
      </c>
      <c r="AH81" s="34">
        <v>0</v>
      </c>
      <c r="AI81" s="34">
        <v>0</v>
      </c>
      <c r="AJ81" s="34">
        <v>0</v>
      </c>
    </row>
    <row r="82" spans="1:36" hidden="1" x14ac:dyDescent="0.25">
      <c r="A82" t="s">
        <v>1537</v>
      </c>
      <c r="B82" t="s">
        <v>514</v>
      </c>
      <c r="C82">
        <v>47127959</v>
      </c>
      <c r="D82" t="s">
        <v>1528</v>
      </c>
      <c r="G82" t="s">
        <v>1520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</row>
    <row r="83" spans="1:36" hidden="1" x14ac:dyDescent="0.25">
      <c r="A83" s="34" t="s">
        <v>1539</v>
      </c>
      <c r="B83" s="34" t="s">
        <v>514</v>
      </c>
      <c r="C83" s="34">
        <v>47128581</v>
      </c>
      <c r="D83" s="34" t="s">
        <v>1525</v>
      </c>
      <c r="E83" s="34"/>
      <c r="F83" s="34"/>
      <c r="G83" s="34" t="s">
        <v>1520</v>
      </c>
      <c r="H83" s="34"/>
      <c r="I83" s="34"/>
      <c r="J83" s="34"/>
      <c r="K83" s="34"/>
      <c r="L83" s="34"/>
      <c r="M83" s="34"/>
      <c r="N83" s="34"/>
      <c r="O83" s="34">
        <v>0</v>
      </c>
      <c r="P83" s="34">
        <v>0</v>
      </c>
      <c r="Q83" s="34">
        <v>0</v>
      </c>
      <c r="R83" s="34">
        <v>0</v>
      </c>
      <c r="S83" s="34">
        <v>0</v>
      </c>
      <c r="T83" s="34">
        <v>0</v>
      </c>
      <c r="U83" s="34">
        <v>0</v>
      </c>
      <c r="V83" s="34">
        <v>0</v>
      </c>
      <c r="W83" s="34">
        <v>0</v>
      </c>
      <c r="X83" s="34">
        <v>0</v>
      </c>
      <c r="Y83" s="34">
        <v>0</v>
      </c>
      <c r="Z83" s="34">
        <v>0</v>
      </c>
      <c r="AA83" s="34">
        <v>0</v>
      </c>
      <c r="AB83" s="34">
        <v>0</v>
      </c>
      <c r="AC83" s="34">
        <v>0</v>
      </c>
      <c r="AD83" s="34">
        <v>0</v>
      </c>
      <c r="AE83" s="34">
        <v>0</v>
      </c>
      <c r="AF83" s="34">
        <v>0</v>
      </c>
      <c r="AG83" s="34"/>
      <c r="AH83" s="34"/>
      <c r="AI83" s="34"/>
      <c r="AJ83" s="34"/>
    </row>
    <row r="84" spans="1:36" hidden="1" x14ac:dyDescent="0.25">
      <c r="A84" t="s">
        <v>1381</v>
      </c>
      <c r="B84" t="s">
        <v>514</v>
      </c>
      <c r="C84">
        <v>47147546</v>
      </c>
      <c r="D84" t="s">
        <v>1077</v>
      </c>
      <c r="G84" t="s">
        <v>1135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</row>
    <row r="85" spans="1:36" hidden="1" x14ac:dyDescent="0.25">
      <c r="A85" s="34" t="s">
        <v>1275</v>
      </c>
      <c r="B85" s="34" t="s">
        <v>514</v>
      </c>
      <c r="C85" s="34">
        <v>47147658</v>
      </c>
      <c r="D85" s="34" t="s">
        <v>1276</v>
      </c>
      <c r="E85" s="34"/>
      <c r="F85" s="34"/>
      <c r="G85" s="34" t="s">
        <v>1135</v>
      </c>
      <c r="H85" s="34"/>
      <c r="I85" s="34"/>
      <c r="J85" s="34"/>
      <c r="K85" s="34"/>
      <c r="L85" s="34"/>
      <c r="M85" s="34"/>
      <c r="N85" s="34"/>
      <c r="O85" s="34">
        <v>0</v>
      </c>
      <c r="P85" s="34">
        <v>0</v>
      </c>
      <c r="Q85" s="34">
        <v>0</v>
      </c>
      <c r="R85" s="34">
        <v>0</v>
      </c>
      <c r="S85" s="34">
        <v>0</v>
      </c>
      <c r="T85" s="34">
        <v>0</v>
      </c>
      <c r="U85" s="34">
        <v>0</v>
      </c>
      <c r="V85" s="34">
        <v>0</v>
      </c>
      <c r="W85" s="34">
        <v>0</v>
      </c>
      <c r="X85" s="34">
        <v>0</v>
      </c>
      <c r="Y85" s="34">
        <v>0</v>
      </c>
      <c r="Z85" s="34">
        <v>0</v>
      </c>
      <c r="AA85" s="34">
        <v>0</v>
      </c>
      <c r="AB85" s="34">
        <v>0</v>
      </c>
      <c r="AC85" s="34">
        <v>0</v>
      </c>
      <c r="AD85" s="34">
        <v>0</v>
      </c>
      <c r="AE85" s="34">
        <v>0</v>
      </c>
      <c r="AF85" s="34">
        <v>0</v>
      </c>
      <c r="AG85" s="34">
        <v>0</v>
      </c>
      <c r="AH85" s="34">
        <v>0</v>
      </c>
      <c r="AI85" s="34">
        <v>0</v>
      </c>
      <c r="AJ85" s="34">
        <v>0</v>
      </c>
    </row>
    <row r="86" spans="1:36" hidden="1" x14ac:dyDescent="0.25">
      <c r="A86" t="s">
        <v>1171</v>
      </c>
      <c r="B86" t="s">
        <v>514</v>
      </c>
      <c r="C86">
        <v>47147546</v>
      </c>
      <c r="D86" t="s">
        <v>1077</v>
      </c>
      <c r="G86" t="s">
        <v>1135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</row>
    <row r="87" spans="1:36" hidden="1" x14ac:dyDescent="0.25">
      <c r="A87" s="34" t="s">
        <v>1034</v>
      </c>
      <c r="B87" s="34" t="s">
        <v>514</v>
      </c>
      <c r="C87" s="34">
        <v>47128028</v>
      </c>
      <c r="D87" s="34" t="s">
        <v>1035</v>
      </c>
      <c r="E87" s="34"/>
      <c r="F87" s="34"/>
      <c r="G87" s="34" t="s">
        <v>1135</v>
      </c>
      <c r="H87" s="34"/>
      <c r="I87" s="34"/>
      <c r="J87" s="34"/>
      <c r="K87" s="34"/>
      <c r="L87" s="34"/>
      <c r="M87" s="34"/>
      <c r="N87" s="34"/>
      <c r="O87" s="34">
        <v>0</v>
      </c>
      <c r="P87" s="34">
        <v>0</v>
      </c>
      <c r="Q87" s="34">
        <v>0</v>
      </c>
      <c r="R87" s="34">
        <v>0</v>
      </c>
      <c r="S87" s="34">
        <v>0</v>
      </c>
      <c r="T87" s="34">
        <v>0</v>
      </c>
      <c r="U87" s="34">
        <v>0</v>
      </c>
      <c r="V87" s="34">
        <v>0</v>
      </c>
      <c r="W87" s="34">
        <v>0</v>
      </c>
      <c r="X87" s="34">
        <v>0</v>
      </c>
      <c r="Y87" s="34">
        <v>0</v>
      </c>
      <c r="Z87" s="34">
        <v>0</v>
      </c>
      <c r="AA87" s="34">
        <v>0</v>
      </c>
      <c r="AB87" s="34">
        <v>0</v>
      </c>
      <c r="AC87" s="34"/>
      <c r="AD87" s="34"/>
      <c r="AE87" s="34"/>
      <c r="AF87" s="34"/>
      <c r="AG87" s="34"/>
      <c r="AH87" s="34"/>
      <c r="AI87" s="34"/>
      <c r="AJ87" s="34"/>
    </row>
    <row r="88" spans="1:36" hidden="1" x14ac:dyDescent="0.25">
      <c r="A88" t="s">
        <v>1332</v>
      </c>
      <c r="B88" t="s">
        <v>514</v>
      </c>
      <c r="C88">
        <v>47128465</v>
      </c>
      <c r="D88" t="s">
        <v>1333</v>
      </c>
      <c r="G88" t="s">
        <v>1135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</row>
    <row r="89" spans="1:36" hidden="1" x14ac:dyDescent="0.25">
      <c r="A89" s="34" t="s">
        <v>957</v>
      </c>
      <c r="B89" s="34" t="s">
        <v>514</v>
      </c>
      <c r="C89" s="34">
        <v>47128548</v>
      </c>
      <c r="D89" s="34" t="s">
        <v>958</v>
      </c>
      <c r="E89" s="34"/>
      <c r="F89" s="34"/>
      <c r="G89" s="34" t="s">
        <v>1135</v>
      </c>
      <c r="H89" s="34"/>
      <c r="I89" s="34"/>
      <c r="J89" s="34"/>
      <c r="K89" s="34"/>
      <c r="L89" s="34"/>
      <c r="M89" s="34"/>
      <c r="N89" s="34"/>
      <c r="O89" s="34">
        <v>0</v>
      </c>
      <c r="P89" s="34">
        <v>0</v>
      </c>
      <c r="Q89" s="34">
        <v>0</v>
      </c>
      <c r="R89" s="34">
        <v>0</v>
      </c>
      <c r="S89" s="34">
        <v>0</v>
      </c>
      <c r="T89" s="34">
        <v>0</v>
      </c>
      <c r="U89" s="34">
        <v>0</v>
      </c>
      <c r="V89" s="34">
        <v>0</v>
      </c>
      <c r="W89" s="34">
        <v>0</v>
      </c>
      <c r="X89" s="34">
        <v>0</v>
      </c>
      <c r="Y89" s="34">
        <v>0</v>
      </c>
      <c r="Z89" s="34">
        <v>0</v>
      </c>
      <c r="AA89" s="34">
        <v>0</v>
      </c>
      <c r="AB89" s="34">
        <v>0</v>
      </c>
      <c r="AC89" s="34"/>
      <c r="AD89" s="34"/>
      <c r="AE89" s="34"/>
      <c r="AF89" s="34"/>
      <c r="AG89" s="34"/>
      <c r="AH89" s="34"/>
      <c r="AI89" s="34"/>
      <c r="AJ89" s="34"/>
    </row>
    <row r="90" spans="1:36" hidden="1" x14ac:dyDescent="0.25">
      <c r="A90" t="s">
        <v>1437</v>
      </c>
      <c r="B90" t="s">
        <v>514</v>
      </c>
      <c r="C90">
        <v>47146464</v>
      </c>
      <c r="D90" t="s">
        <v>1438</v>
      </c>
      <c r="G90" t="s">
        <v>1135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50</v>
      </c>
      <c r="W90">
        <v>0</v>
      </c>
      <c r="X90">
        <v>0</v>
      </c>
      <c r="Y90">
        <v>0</v>
      </c>
      <c r="Z90">
        <v>0</v>
      </c>
      <c r="AA90">
        <v>106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</row>
    <row r="91" spans="1:36" hidden="1" x14ac:dyDescent="0.25">
      <c r="A91" s="34" t="s">
        <v>1440</v>
      </c>
      <c r="B91" s="34" t="s">
        <v>514</v>
      </c>
      <c r="C91" s="34">
        <v>47146463</v>
      </c>
      <c r="D91" s="34" t="s">
        <v>1441</v>
      </c>
      <c r="E91" s="34"/>
      <c r="F91" s="34"/>
      <c r="G91" s="34" t="s">
        <v>1135</v>
      </c>
      <c r="H91" s="34"/>
      <c r="I91" s="34"/>
      <c r="J91" s="34"/>
      <c r="K91" s="34"/>
      <c r="L91" s="34"/>
      <c r="M91" s="34"/>
      <c r="N91" s="34"/>
      <c r="O91" s="34">
        <v>0</v>
      </c>
      <c r="P91" s="34">
        <v>0</v>
      </c>
      <c r="Q91" s="34">
        <v>0</v>
      </c>
      <c r="R91" s="34">
        <v>0</v>
      </c>
      <c r="S91" s="34">
        <v>0</v>
      </c>
      <c r="T91" s="34">
        <v>0</v>
      </c>
      <c r="U91" s="34">
        <v>0</v>
      </c>
      <c r="V91" s="34">
        <v>0</v>
      </c>
      <c r="W91" s="34">
        <v>0</v>
      </c>
      <c r="X91" s="34">
        <v>0</v>
      </c>
      <c r="Y91" s="34">
        <v>0</v>
      </c>
      <c r="Z91" s="34">
        <v>0</v>
      </c>
      <c r="AA91" s="34">
        <v>0</v>
      </c>
      <c r="AB91" s="34">
        <v>0</v>
      </c>
      <c r="AC91" s="34"/>
      <c r="AD91" s="34"/>
      <c r="AE91" s="34"/>
      <c r="AF91" s="34"/>
      <c r="AG91" s="34"/>
      <c r="AH91" s="34"/>
      <c r="AI91" s="34"/>
      <c r="AJ91" s="34"/>
    </row>
    <row r="92" spans="1:36" hidden="1" x14ac:dyDescent="0.25">
      <c r="A92" t="s">
        <v>1148</v>
      </c>
      <c r="B92" t="s">
        <v>514</v>
      </c>
      <c r="C92">
        <v>47128729</v>
      </c>
      <c r="D92" t="s">
        <v>1149</v>
      </c>
      <c r="G92" t="s">
        <v>1135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</row>
    <row r="93" spans="1:36" hidden="1" x14ac:dyDescent="0.25">
      <c r="A93" s="34" t="s">
        <v>1396</v>
      </c>
      <c r="B93" s="34" t="s">
        <v>514</v>
      </c>
      <c r="C93" s="34">
        <v>47128413</v>
      </c>
      <c r="D93" s="34" t="s">
        <v>1397</v>
      </c>
      <c r="E93" s="34"/>
      <c r="F93" s="34"/>
      <c r="G93" s="34" t="s">
        <v>1135</v>
      </c>
      <c r="H93" s="34"/>
      <c r="I93" s="34"/>
      <c r="J93" s="34"/>
      <c r="K93" s="34"/>
      <c r="L93" s="34"/>
      <c r="M93" s="34"/>
      <c r="N93" s="34"/>
      <c r="O93" s="34">
        <v>0</v>
      </c>
      <c r="P93" s="34">
        <v>0</v>
      </c>
      <c r="Q93" s="34">
        <v>0</v>
      </c>
      <c r="R93" s="34">
        <v>0</v>
      </c>
      <c r="S93" s="34">
        <v>0</v>
      </c>
      <c r="T93" s="34">
        <v>0</v>
      </c>
      <c r="U93" s="34">
        <v>0</v>
      </c>
      <c r="V93" s="34">
        <v>0</v>
      </c>
      <c r="W93" s="34">
        <v>0</v>
      </c>
      <c r="X93" s="34">
        <v>0</v>
      </c>
      <c r="Y93" s="34">
        <v>0</v>
      </c>
      <c r="Z93" s="34">
        <v>0</v>
      </c>
      <c r="AA93" s="34">
        <v>0</v>
      </c>
      <c r="AB93" s="34">
        <v>0</v>
      </c>
      <c r="AC93" s="34">
        <v>0</v>
      </c>
      <c r="AD93" s="34">
        <v>0</v>
      </c>
      <c r="AE93" s="34">
        <v>0</v>
      </c>
      <c r="AF93" s="34">
        <v>0</v>
      </c>
      <c r="AG93" s="34">
        <v>0</v>
      </c>
      <c r="AH93" s="34">
        <v>0</v>
      </c>
      <c r="AI93" s="34">
        <v>0</v>
      </c>
      <c r="AJ93" s="34">
        <v>0</v>
      </c>
    </row>
    <row r="94" spans="1:36" hidden="1" x14ac:dyDescent="0.25">
      <c r="A94" t="s">
        <v>1279</v>
      </c>
      <c r="B94" t="s">
        <v>514</v>
      </c>
      <c r="C94">
        <v>47128783</v>
      </c>
      <c r="D94" t="s">
        <v>1280</v>
      </c>
      <c r="G94" t="s">
        <v>1135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</row>
    <row r="95" spans="1:36" hidden="1" x14ac:dyDescent="0.25">
      <c r="A95" s="34" t="s">
        <v>1136</v>
      </c>
      <c r="B95" s="34" t="s">
        <v>514</v>
      </c>
      <c r="C95" s="34">
        <v>47128944</v>
      </c>
      <c r="D95" s="34" t="s">
        <v>1137</v>
      </c>
      <c r="E95" s="34"/>
      <c r="F95" s="34"/>
      <c r="G95" s="34" t="s">
        <v>1135</v>
      </c>
      <c r="H95" s="34"/>
      <c r="I95" s="34"/>
      <c r="J95" s="34"/>
      <c r="K95" s="34"/>
      <c r="L95" s="34"/>
      <c r="M95" s="34"/>
      <c r="N95" s="34"/>
      <c r="O95" s="34">
        <v>0</v>
      </c>
      <c r="P95" s="34">
        <v>0</v>
      </c>
      <c r="Q95" s="34">
        <v>0</v>
      </c>
      <c r="R95" s="34">
        <v>0</v>
      </c>
      <c r="S95" s="34">
        <v>0</v>
      </c>
      <c r="T95" s="34">
        <v>0</v>
      </c>
      <c r="U95" s="34">
        <v>0</v>
      </c>
      <c r="V95" s="34">
        <v>0</v>
      </c>
      <c r="W95" s="34">
        <v>0</v>
      </c>
      <c r="X95" s="34">
        <v>0</v>
      </c>
      <c r="Y95" s="34">
        <v>0</v>
      </c>
      <c r="Z95" s="34">
        <v>0</v>
      </c>
      <c r="AA95" s="34">
        <v>0</v>
      </c>
      <c r="AB95" s="34">
        <v>0</v>
      </c>
      <c r="AC95" s="34">
        <v>0</v>
      </c>
      <c r="AD95" s="34">
        <v>0</v>
      </c>
      <c r="AE95" s="34">
        <v>0</v>
      </c>
      <c r="AF95" s="34">
        <v>0</v>
      </c>
      <c r="AG95" s="34">
        <v>0</v>
      </c>
      <c r="AH95" s="34">
        <v>0</v>
      </c>
      <c r="AI95" s="34">
        <v>0</v>
      </c>
      <c r="AJ95" s="34">
        <v>0</v>
      </c>
    </row>
    <row r="96" spans="1:36" hidden="1" x14ac:dyDescent="0.25">
      <c r="A96" t="s">
        <v>1352</v>
      </c>
      <c r="B96" t="s">
        <v>514</v>
      </c>
      <c r="C96">
        <v>47129547</v>
      </c>
      <c r="D96" t="s">
        <v>1128</v>
      </c>
      <c r="G96" t="s">
        <v>1135</v>
      </c>
      <c r="O96">
        <v>0</v>
      </c>
      <c r="P96">
        <v>0</v>
      </c>
      <c r="Q96">
        <v>100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129</v>
      </c>
      <c r="Z96">
        <v>0</v>
      </c>
      <c r="AA96">
        <v>0</v>
      </c>
      <c r="AB96">
        <v>0</v>
      </c>
    </row>
    <row r="97" spans="1:36" hidden="1" x14ac:dyDescent="0.25">
      <c r="A97" s="34" t="s">
        <v>1493</v>
      </c>
      <c r="B97" s="34" t="s">
        <v>514</v>
      </c>
      <c r="C97" s="34">
        <v>47128518</v>
      </c>
      <c r="D97" s="34" t="s">
        <v>1232</v>
      </c>
      <c r="E97" s="34"/>
      <c r="F97" s="34"/>
      <c r="G97" s="34" t="s">
        <v>1135</v>
      </c>
      <c r="H97" s="34"/>
      <c r="I97" s="34"/>
      <c r="J97" s="34"/>
      <c r="K97" s="34"/>
      <c r="L97" s="34"/>
      <c r="M97" s="34"/>
      <c r="N97" s="34"/>
      <c r="O97" s="34">
        <v>0</v>
      </c>
      <c r="P97" s="34">
        <v>0</v>
      </c>
      <c r="Q97" s="34">
        <v>0</v>
      </c>
      <c r="R97" s="34">
        <v>100</v>
      </c>
      <c r="S97" s="34">
        <v>0</v>
      </c>
      <c r="T97" s="34">
        <v>0</v>
      </c>
      <c r="U97" s="34">
        <v>0</v>
      </c>
      <c r="V97" s="34">
        <v>0</v>
      </c>
      <c r="W97" s="34">
        <v>0</v>
      </c>
      <c r="X97" s="34">
        <v>0</v>
      </c>
      <c r="Y97" s="34">
        <v>0</v>
      </c>
      <c r="Z97" s="34">
        <v>94</v>
      </c>
      <c r="AA97" s="34">
        <v>0</v>
      </c>
      <c r="AB97" s="34">
        <v>0</v>
      </c>
      <c r="AC97" s="34"/>
      <c r="AD97" s="34"/>
      <c r="AE97" s="34"/>
      <c r="AF97" s="34"/>
      <c r="AG97" s="34"/>
      <c r="AH97" s="34"/>
      <c r="AI97" s="34"/>
      <c r="AJ97" s="34"/>
    </row>
    <row r="98" spans="1:36" hidden="1" x14ac:dyDescent="0.25">
      <c r="A98" t="s">
        <v>1099</v>
      </c>
      <c r="B98" t="s">
        <v>514</v>
      </c>
      <c r="C98">
        <v>47128168</v>
      </c>
      <c r="D98" t="s">
        <v>1100</v>
      </c>
      <c r="G98" t="s">
        <v>1135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</row>
    <row r="99" spans="1:36" hidden="1" x14ac:dyDescent="0.25">
      <c r="A99" s="34" t="s">
        <v>1152</v>
      </c>
      <c r="B99" s="34" t="s">
        <v>514</v>
      </c>
      <c r="C99" s="34">
        <v>47128687</v>
      </c>
      <c r="D99" s="34" t="s">
        <v>1153</v>
      </c>
      <c r="E99" s="34"/>
      <c r="F99" s="34"/>
      <c r="G99" s="34" t="s">
        <v>1135</v>
      </c>
      <c r="H99" s="34"/>
      <c r="I99" s="34"/>
      <c r="J99" s="34"/>
      <c r="K99" s="34"/>
      <c r="L99" s="34"/>
      <c r="M99" s="34"/>
      <c r="N99" s="34"/>
      <c r="O99" s="34">
        <v>0</v>
      </c>
      <c r="P99" s="34">
        <v>0</v>
      </c>
      <c r="Q99" s="34">
        <v>0</v>
      </c>
      <c r="R99" s="34">
        <v>0</v>
      </c>
      <c r="S99" s="34">
        <v>0</v>
      </c>
      <c r="T99" s="34">
        <v>0</v>
      </c>
      <c r="U99" s="34">
        <v>0</v>
      </c>
      <c r="V99" s="34">
        <v>0</v>
      </c>
      <c r="W99" s="34">
        <v>0</v>
      </c>
      <c r="X99" s="34">
        <v>0</v>
      </c>
      <c r="Y99" s="34">
        <v>0</v>
      </c>
      <c r="Z99" s="34">
        <v>0</v>
      </c>
      <c r="AA99" s="34">
        <v>0</v>
      </c>
      <c r="AB99" s="34">
        <v>0</v>
      </c>
      <c r="AC99" s="34"/>
      <c r="AD99" s="34"/>
      <c r="AE99" s="34"/>
      <c r="AF99" s="34"/>
      <c r="AG99" s="34"/>
      <c r="AH99" s="34"/>
      <c r="AI99" s="34"/>
      <c r="AJ99" s="34"/>
    </row>
    <row r="100" spans="1:36" hidden="1" x14ac:dyDescent="0.25">
      <c r="A100" t="s">
        <v>1140</v>
      </c>
      <c r="B100" t="s">
        <v>514</v>
      </c>
      <c r="C100">
        <v>47128585</v>
      </c>
      <c r="D100" t="s">
        <v>1141</v>
      </c>
      <c r="G100" t="s">
        <v>1135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</row>
    <row r="101" spans="1:36" hidden="1" x14ac:dyDescent="0.25">
      <c r="A101" s="34" t="s">
        <v>1348</v>
      </c>
      <c r="B101" s="34" t="s">
        <v>514</v>
      </c>
      <c r="C101" s="34">
        <v>47128906</v>
      </c>
      <c r="D101" s="34" t="s">
        <v>1349</v>
      </c>
      <c r="E101" s="34"/>
      <c r="F101" s="34"/>
      <c r="G101" s="34" t="s">
        <v>1135</v>
      </c>
      <c r="H101" s="34"/>
      <c r="I101" s="34"/>
      <c r="J101" s="34"/>
      <c r="K101" s="34"/>
      <c r="L101" s="34"/>
      <c r="M101" s="34"/>
      <c r="N101" s="34"/>
      <c r="O101" s="34">
        <v>0</v>
      </c>
      <c r="P101" s="34">
        <v>0</v>
      </c>
      <c r="Q101" s="34">
        <v>0</v>
      </c>
      <c r="R101" s="34">
        <v>0</v>
      </c>
      <c r="S101" s="34">
        <v>0</v>
      </c>
      <c r="T101" s="34">
        <v>0</v>
      </c>
      <c r="U101" s="34">
        <v>0</v>
      </c>
      <c r="V101" s="34">
        <v>0</v>
      </c>
      <c r="W101" s="34">
        <v>0</v>
      </c>
      <c r="X101" s="34">
        <v>0</v>
      </c>
      <c r="Y101" s="34">
        <v>0</v>
      </c>
      <c r="Z101" s="34">
        <v>0</v>
      </c>
      <c r="AA101" s="34">
        <v>0</v>
      </c>
      <c r="AB101" s="34">
        <v>0</v>
      </c>
      <c r="AC101" s="34">
        <v>0</v>
      </c>
      <c r="AD101" s="34">
        <v>0</v>
      </c>
      <c r="AE101" s="34">
        <v>0</v>
      </c>
      <c r="AF101" s="34">
        <v>0</v>
      </c>
      <c r="AG101" s="34">
        <v>0</v>
      </c>
      <c r="AH101" s="34">
        <v>0</v>
      </c>
      <c r="AI101" s="34">
        <v>0</v>
      </c>
      <c r="AJ101" s="34">
        <v>0</v>
      </c>
    </row>
    <row r="102" spans="1:36" hidden="1" x14ac:dyDescent="0.25">
      <c r="A102" t="s">
        <v>1408</v>
      </c>
      <c r="B102" t="s">
        <v>514</v>
      </c>
      <c r="C102">
        <v>47128585</v>
      </c>
      <c r="D102" t="s">
        <v>1141</v>
      </c>
      <c r="G102" t="s">
        <v>1135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</row>
    <row r="103" spans="1:36" hidden="1" x14ac:dyDescent="0.25">
      <c r="A103" s="34" t="s">
        <v>1231</v>
      </c>
      <c r="B103" s="34" t="s">
        <v>514</v>
      </c>
      <c r="C103" s="34">
        <v>47128518</v>
      </c>
      <c r="D103" s="34" t="s">
        <v>1232</v>
      </c>
      <c r="E103" s="34"/>
      <c r="F103" s="34"/>
      <c r="G103" s="34" t="s">
        <v>1135</v>
      </c>
      <c r="H103" s="34"/>
      <c r="I103" s="34"/>
      <c r="J103" s="34"/>
      <c r="K103" s="34"/>
      <c r="L103" s="34"/>
      <c r="M103" s="34"/>
      <c r="N103" s="34"/>
      <c r="O103" s="34">
        <v>0</v>
      </c>
      <c r="P103" s="34">
        <v>0</v>
      </c>
      <c r="Q103" s="34">
        <v>0</v>
      </c>
      <c r="R103" s="34">
        <v>0</v>
      </c>
      <c r="S103" s="34">
        <v>0</v>
      </c>
      <c r="T103" s="34">
        <v>0</v>
      </c>
      <c r="U103" s="34">
        <v>0</v>
      </c>
      <c r="V103" s="34">
        <v>0</v>
      </c>
      <c r="W103" s="34">
        <v>0</v>
      </c>
      <c r="X103" s="34">
        <v>0</v>
      </c>
      <c r="Y103" s="34">
        <v>0</v>
      </c>
      <c r="Z103" s="34">
        <v>0</v>
      </c>
      <c r="AA103" s="34">
        <v>0</v>
      </c>
      <c r="AB103" s="34">
        <v>0</v>
      </c>
      <c r="AC103" s="34">
        <v>0</v>
      </c>
      <c r="AD103" s="34">
        <v>0</v>
      </c>
      <c r="AE103" s="34">
        <v>0</v>
      </c>
      <c r="AF103" s="34">
        <v>0</v>
      </c>
      <c r="AG103" s="34">
        <v>0</v>
      </c>
      <c r="AH103" s="34">
        <v>0</v>
      </c>
      <c r="AI103" s="34">
        <v>0</v>
      </c>
      <c r="AJ103" s="34">
        <v>0</v>
      </c>
    </row>
    <row r="104" spans="1:36" hidden="1" x14ac:dyDescent="0.25">
      <c r="A104" t="s">
        <v>1107</v>
      </c>
      <c r="B104" t="s">
        <v>514</v>
      </c>
      <c r="C104">
        <v>47128024</v>
      </c>
      <c r="D104" t="s">
        <v>1108</v>
      </c>
      <c r="G104" t="s">
        <v>1135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</row>
    <row r="105" spans="1:36" hidden="1" x14ac:dyDescent="0.25">
      <c r="A105" s="34" t="s">
        <v>1283</v>
      </c>
      <c r="B105" s="34" t="s">
        <v>514</v>
      </c>
      <c r="C105" s="34">
        <v>47128680</v>
      </c>
      <c r="D105" s="34" t="s">
        <v>1284</v>
      </c>
      <c r="E105" s="34"/>
      <c r="F105" s="34"/>
      <c r="G105" s="34" t="s">
        <v>1135</v>
      </c>
      <c r="H105" s="34"/>
      <c r="I105" s="34"/>
      <c r="J105" s="34"/>
      <c r="K105" s="34"/>
      <c r="L105" s="34"/>
      <c r="M105" s="34"/>
      <c r="N105" s="34"/>
      <c r="O105" s="34">
        <v>0</v>
      </c>
      <c r="P105" s="34">
        <v>0</v>
      </c>
      <c r="Q105" s="34">
        <v>0</v>
      </c>
      <c r="R105" s="34">
        <v>0</v>
      </c>
      <c r="S105" s="34">
        <v>0</v>
      </c>
      <c r="T105" s="34">
        <v>0</v>
      </c>
      <c r="U105" s="34">
        <v>0</v>
      </c>
      <c r="V105" s="34">
        <v>0</v>
      </c>
      <c r="W105" s="34">
        <v>0</v>
      </c>
      <c r="X105" s="34">
        <v>0</v>
      </c>
      <c r="Y105" s="34">
        <v>0</v>
      </c>
      <c r="Z105" s="34">
        <v>0</v>
      </c>
      <c r="AA105" s="34">
        <v>0</v>
      </c>
      <c r="AB105" s="34">
        <v>0</v>
      </c>
      <c r="AC105" s="34">
        <v>0</v>
      </c>
      <c r="AD105" s="34">
        <v>0</v>
      </c>
      <c r="AE105" s="34">
        <v>0</v>
      </c>
      <c r="AF105" s="34">
        <v>0</v>
      </c>
      <c r="AG105" s="34">
        <v>0</v>
      </c>
      <c r="AH105" s="34">
        <v>0</v>
      </c>
      <c r="AI105" s="34">
        <v>0</v>
      </c>
      <c r="AJ105" s="34">
        <v>0</v>
      </c>
    </row>
    <row r="106" spans="1:36" hidden="1" x14ac:dyDescent="0.25">
      <c r="A106" t="s">
        <v>1513</v>
      </c>
      <c r="B106" t="s">
        <v>514</v>
      </c>
      <c r="C106">
        <v>47128944</v>
      </c>
      <c r="D106" t="s">
        <v>1137</v>
      </c>
      <c r="G106" t="s">
        <v>1135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</row>
    <row r="107" spans="1:36" hidden="1" x14ac:dyDescent="0.25">
      <c r="A107" s="34" t="s">
        <v>1076</v>
      </c>
      <c r="B107" s="34" t="s">
        <v>514</v>
      </c>
      <c r="C107" s="34">
        <v>47147546</v>
      </c>
      <c r="D107" s="34" t="s">
        <v>1077</v>
      </c>
      <c r="E107" s="34"/>
      <c r="F107" s="34"/>
      <c r="G107" s="34" t="s">
        <v>1135</v>
      </c>
      <c r="H107" s="34"/>
      <c r="I107" s="34"/>
      <c r="J107" s="34"/>
      <c r="K107" s="34"/>
      <c r="L107" s="34"/>
      <c r="M107" s="34"/>
      <c r="N107" s="34"/>
      <c r="O107" s="34">
        <v>0</v>
      </c>
      <c r="P107" s="34">
        <v>0</v>
      </c>
      <c r="Q107" s="34">
        <v>0</v>
      </c>
      <c r="R107" s="34">
        <v>0</v>
      </c>
      <c r="S107" s="34">
        <v>0</v>
      </c>
      <c r="T107" s="34">
        <v>0</v>
      </c>
      <c r="U107" s="34">
        <v>0</v>
      </c>
      <c r="V107" s="34">
        <v>0</v>
      </c>
      <c r="W107" s="34">
        <v>0</v>
      </c>
      <c r="X107" s="34">
        <v>0</v>
      </c>
      <c r="Y107" s="34">
        <v>0</v>
      </c>
      <c r="Z107" s="34">
        <v>0</v>
      </c>
      <c r="AA107" s="34">
        <v>0</v>
      </c>
      <c r="AB107" s="34">
        <v>0</v>
      </c>
      <c r="AC107" s="34">
        <v>0</v>
      </c>
      <c r="AD107" s="34">
        <v>0</v>
      </c>
      <c r="AE107" s="34">
        <v>0</v>
      </c>
      <c r="AF107" s="34">
        <v>0</v>
      </c>
      <c r="AG107" s="34">
        <v>0</v>
      </c>
      <c r="AH107" s="34">
        <v>0</v>
      </c>
      <c r="AI107" s="34">
        <v>0</v>
      </c>
      <c r="AJ107" s="34">
        <v>0</v>
      </c>
    </row>
    <row r="108" spans="1:36" hidden="1" x14ac:dyDescent="0.25">
      <c r="A108" t="s">
        <v>1156</v>
      </c>
      <c r="B108" t="s">
        <v>514</v>
      </c>
      <c r="C108">
        <v>47128346</v>
      </c>
      <c r="D108" t="s">
        <v>1157</v>
      </c>
      <c r="G108" t="s">
        <v>1135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</row>
    <row r="109" spans="1:36" hidden="1" x14ac:dyDescent="0.25">
      <c r="A109" s="34" t="s">
        <v>1144</v>
      </c>
      <c r="B109" s="34" t="s">
        <v>514</v>
      </c>
      <c r="C109" s="34">
        <v>47128800</v>
      </c>
      <c r="D109" s="34" t="s">
        <v>1145</v>
      </c>
      <c r="E109" s="34"/>
      <c r="F109" s="34"/>
      <c r="G109" s="34" t="s">
        <v>1135</v>
      </c>
      <c r="H109" s="34"/>
      <c r="I109" s="34"/>
      <c r="J109" s="34"/>
      <c r="K109" s="34"/>
      <c r="L109" s="34"/>
      <c r="M109" s="34"/>
      <c r="N109" s="34"/>
      <c r="O109" s="34">
        <v>0</v>
      </c>
      <c r="P109" s="34">
        <v>0</v>
      </c>
      <c r="Q109" s="34">
        <v>0</v>
      </c>
      <c r="R109" s="34">
        <v>0</v>
      </c>
      <c r="S109" s="34">
        <v>0</v>
      </c>
      <c r="T109" s="34">
        <v>0</v>
      </c>
      <c r="U109" s="34">
        <v>0</v>
      </c>
      <c r="V109" s="34">
        <v>0</v>
      </c>
      <c r="W109" s="34">
        <v>0</v>
      </c>
      <c r="X109" s="34">
        <v>0</v>
      </c>
      <c r="Y109" s="34">
        <v>0</v>
      </c>
      <c r="Z109" s="34">
        <v>0</v>
      </c>
      <c r="AA109" s="34">
        <v>0</v>
      </c>
      <c r="AB109" s="34">
        <v>0</v>
      </c>
      <c r="AC109" s="34">
        <v>0</v>
      </c>
      <c r="AD109" s="34">
        <v>0</v>
      </c>
      <c r="AE109" s="34">
        <v>0</v>
      </c>
      <c r="AF109" s="34">
        <v>0</v>
      </c>
      <c r="AG109" s="34">
        <v>0</v>
      </c>
      <c r="AH109" s="34">
        <v>0</v>
      </c>
      <c r="AI109" s="34">
        <v>0</v>
      </c>
      <c r="AJ109" s="34">
        <v>0</v>
      </c>
    </row>
    <row r="110" spans="1:36" hidden="1" x14ac:dyDescent="0.25">
      <c r="A110" t="s">
        <v>1335</v>
      </c>
      <c r="B110" t="s">
        <v>514</v>
      </c>
      <c r="C110">
        <v>47128109</v>
      </c>
      <c r="D110" t="s">
        <v>1336</v>
      </c>
      <c r="G110" t="s">
        <v>1135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</row>
    <row r="111" spans="1:36" hidden="1" x14ac:dyDescent="0.25">
      <c r="A111" s="34" t="s">
        <v>1400</v>
      </c>
      <c r="B111" s="34" t="s">
        <v>514</v>
      </c>
      <c r="C111" s="34">
        <v>47128430</v>
      </c>
      <c r="D111" s="34" t="s">
        <v>1401</v>
      </c>
      <c r="E111" s="34"/>
      <c r="F111" s="34"/>
      <c r="G111" s="34" t="s">
        <v>1135</v>
      </c>
      <c r="H111" s="34"/>
      <c r="I111" s="34"/>
      <c r="J111" s="34"/>
      <c r="K111" s="34"/>
      <c r="L111" s="34"/>
      <c r="M111" s="34"/>
      <c r="N111" s="34"/>
      <c r="O111" s="34">
        <v>0</v>
      </c>
      <c r="P111" s="34">
        <v>0</v>
      </c>
      <c r="Q111" s="34">
        <v>0</v>
      </c>
      <c r="R111" s="34">
        <v>0</v>
      </c>
      <c r="S111" s="34">
        <v>0</v>
      </c>
      <c r="T111" s="34">
        <v>0</v>
      </c>
      <c r="U111" s="34">
        <v>0</v>
      </c>
      <c r="V111" s="34">
        <v>0</v>
      </c>
      <c r="W111" s="34">
        <v>0</v>
      </c>
      <c r="X111" s="34">
        <v>0</v>
      </c>
      <c r="Y111" s="34">
        <v>0</v>
      </c>
      <c r="Z111" s="34">
        <v>0</v>
      </c>
      <c r="AA111" s="34">
        <v>0</v>
      </c>
      <c r="AB111" s="34">
        <v>0</v>
      </c>
      <c r="AC111" s="34">
        <v>0</v>
      </c>
      <c r="AD111" s="34">
        <v>0</v>
      </c>
      <c r="AE111" s="34">
        <v>0</v>
      </c>
      <c r="AF111" s="34">
        <v>0</v>
      </c>
      <c r="AG111" s="34">
        <v>0</v>
      </c>
      <c r="AH111" s="34">
        <v>0</v>
      </c>
      <c r="AI111" s="34">
        <v>0</v>
      </c>
      <c r="AJ111" s="34">
        <v>0</v>
      </c>
    </row>
    <row r="112" spans="1:36" hidden="1" x14ac:dyDescent="0.25">
      <c r="A112" t="s">
        <v>1091</v>
      </c>
      <c r="B112" t="s">
        <v>514</v>
      </c>
      <c r="C112">
        <v>47128522</v>
      </c>
      <c r="D112" t="s">
        <v>1092</v>
      </c>
      <c r="G112" t="s">
        <v>1135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</row>
    <row r="113" spans="1:36" hidden="1" x14ac:dyDescent="0.25">
      <c r="A113" s="34" t="s">
        <v>2448</v>
      </c>
      <c r="B113" s="34" t="s">
        <v>514</v>
      </c>
      <c r="C113" s="34">
        <v>47128006</v>
      </c>
      <c r="D113" s="34" t="s">
        <v>2447</v>
      </c>
      <c r="E113" s="34"/>
      <c r="F113" s="34"/>
      <c r="G113" s="34" t="s">
        <v>2444</v>
      </c>
      <c r="H113" s="34"/>
      <c r="I113" s="34"/>
      <c r="J113" s="34"/>
      <c r="K113" s="34"/>
      <c r="L113" s="34"/>
      <c r="M113" s="34"/>
      <c r="N113" s="34"/>
      <c r="O113" s="34">
        <v>40</v>
      </c>
      <c r="P113" s="34">
        <v>40</v>
      </c>
      <c r="Q113" s="34">
        <v>40</v>
      </c>
      <c r="R113" s="34">
        <v>40</v>
      </c>
      <c r="S113" s="34">
        <v>32</v>
      </c>
      <c r="T113" s="34">
        <v>0</v>
      </c>
      <c r="U113" s="34">
        <v>0</v>
      </c>
      <c r="V113" s="34">
        <v>0</v>
      </c>
      <c r="W113" s="34">
        <v>0</v>
      </c>
      <c r="X113" s="34">
        <v>0</v>
      </c>
      <c r="Y113" s="34">
        <v>0</v>
      </c>
      <c r="Z113" s="34">
        <v>0</v>
      </c>
      <c r="AA113" s="34">
        <v>0</v>
      </c>
      <c r="AB113" s="34">
        <v>0</v>
      </c>
      <c r="AC113" s="34">
        <v>0</v>
      </c>
      <c r="AD113" s="34">
        <v>0</v>
      </c>
      <c r="AE113" s="34">
        <v>0</v>
      </c>
      <c r="AF113" s="34">
        <v>0</v>
      </c>
      <c r="AG113" s="34"/>
      <c r="AH113" s="34"/>
      <c r="AI113" s="34"/>
      <c r="AJ113" s="34"/>
    </row>
    <row r="114" spans="1:36" hidden="1" x14ac:dyDescent="0.25">
      <c r="A114" t="s">
        <v>2451</v>
      </c>
      <c r="B114" t="s">
        <v>514</v>
      </c>
      <c r="C114">
        <v>47128667</v>
      </c>
      <c r="D114" t="s">
        <v>2450</v>
      </c>
      <c r="G114" t="s">
        <v>2444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60</v>
      </c>
      <c r="W114">
        <v>60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</row>
    <row r="115" spans="1:36" hidden="1" x14ac:dyDescent="0.25">
      <c r="A115" s="34" t="s">
        <v>2454</v>
      </c>
      <c r="B115" s="34" t="s">
        <v>514</v>
      </c>
      <c r="C115" s="34">
        <v>47129262</v>
      </c>
      <c r="D115" s="34" t="s">
        <v>2453</v>
      </c>
      <c r="E115" s="34"/>
      <c r="F115" s="34"/>
      <c r="G115" s="34" t="s">
        <v>2444</v>
      </c>
      <c r="H115" s="34"/>
      <c r="I115" s="34"/>
      <c r="J115" s="34"/>
      <c r="K115" s="34"/>
      <c r="L115" s="34"/>
      <c r="M115" s="34"/>
      <c r="N115" s="34"/>
      <c r="O115" s="34">
        <v>0</v>
      </c>
      <c r="P115" s="34">
        <v>0</v>
      </c>
      <c r="Q115" s="34">
        <v>0</v>
      </c>
      <c r="R115" s="34">
        <v>0</v>
      </c>
      <c r="S115" s="34">
        <v>0</v>
      </c>
      <c r="T115" s="34">
        <v>0</v>
      </c>
      <c r="U115" s="34">
        <v>0</v>
      </c>
      <c r="V115" s="34">
        <v>0</v>
      </c>
      <c r="W115" s="34">
        <v>0</v>
      </c>
      <c r="X115" s="34">
        <v>0</v>
      </c>
      <c r="Y115" s="34">
        <v>0</v>
      </c>
      <c r="Z115" s="34">
        <v>0</v>
      </c>
      <c r="AA115" s="34">
        <v>0</v>
      </c>
      <c r="AB115" s="34">
        <v>0</v>
      </c>
      <c r="AC115" s="34">
        <v>45</v>
      </c>
      <c r="AD115" s="34">
        <v>60</v>
      </c>
      <c r="AE115" s="34">
        <v>60</v>
      </c>
      <c r="AF115" s="34">
        <v>60</v>
      </c>
      <c r="AG115" s="34"/>
      <c r="AH115" s="34"/>
      <c r="AI115" s="34"/>
      <c r="AJ115" s="34"/>
    </row>
    <row r="116" spans="1:36" hidden="1" x14ac:dyDescent="0.25">
      <c r="A116" t="s">
        <v>2457</v>
      </c>
      <c r="B116" t="s">
        <v>514</v>
      </c>
      <c r="C116">
        <v>47128213</v>
      </c>
      <c r="D116" t="s">
        <v>2456</v>
      </c>
      <c r="G116" t="s">
        <v>2444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60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</row>
    <row r="117" spans="1:36" hidden="1" x14ac:dyDescent="0.25">
      <c r="A117" s="34" t="s">
        <v>2460</v>
      </c>
      <c r="B117" s="34" t="s">
        <v>514</v>
      </c>
      <c r="C117" s="34">
        <v>47129222</v>
      </c>
      <c r="D117" s="34" t="s">
        <v>2459</v>
      </c>
      <c r="E117" s="34"/>
      <c r="F117" s="34"/>
      <c r="G117" s="34" t="s">
        <v>2444</v>
      </c>
      <c r="H117" s="34"/>
      <c r="I117" s="34"/>
      <c r="J117" s="34"/>
      <c r="K117" s="34"/>
      <c r="L117" s="34"/>
      <c r="M117" s="34"/>
      <c r="N117" s="34"/>
      <c r="O117" s="34">
        <v>0</v>
      </c>
      <c r="P117" s="34">
        <v>0</v>
      </c>
      <c r="Q117" s="34">
        <v>0</v>
      </c>
      <c r="R117" s="34">
        <v>0</v>
      </c>
      <c r="S117" s="34">
        <v>0</v>
      </c>
      <c r="T117" s="34">
        <v>0</v>
      </c>
      <c r="U117" s="34">
        <v>0</v>
      </c>
      <c r="V117" s="34">
        <v>0</v>
      </c>
      <c r="W117" s="34">
        <v>0</v>
      </c>
      <c r="X117" s="34">
        <v>0</v>
      </c>
      <c r="Y117" s="34">
        <v>0</v>
      </c>
      <c r="Z117" s="34">
        <v>0</v>
      </c>
      <c r="AA117" s="34">
        <v>30</v>
      </c>
      <c r="AB117" s="34">
        <v>60</v>
      </c>
      <c r="AC117" s="34">
        <v>0</v>
      </c>
      <c r="AD117" s="34">
        <v>0</v>
      </c>
      <c r="AE117" s="34">
        <v>0</v>
      </c>
      <c r="AF117" s="34">
        <v>0</v>
      </c>
      <c r="AG117" s="34"/>
      <c r="AH117" s="34"/>
      <c r="AI117" s="34"/>
      <c r="AJ117" s="34"/>
    </row>
    <row r="118" spans="1:36" hidden="1" x14ac:dyDescent="0.25">
      <c r="A118" t="s">
        <v>2463</v>
      </c>
      <c r="B118" t="s">
        <v>514</v>
      </c>
      <c r="C118">
        <v>47128561</v>
      </c>
      <c r="D118" t="s">
        <v>2462</v>
      </c>
      <c r="G118" t="s">
        <v>2444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</row>
    <row r="119" spans="1:36" hidden="1" x14ac:dyDescent="0.25">
      <c r="A119" s="34" t="s">
        <v>2466</v>
      </c>
      <c r="B119" s="34" t="s">
        <v>514</v>
      </c>
      <c r="C119" s="34">
        <v>47129727</v>
      </c>
      <c r="D119" s="34" t="s">
        <v>2465</v>
      </c>
      <c r="E119" s="34"/>
      <c r="F119" s="34"/>
      <c r="G119" s="34" t="s">
        <v>2444</v>
      </c>
      <c r="H119" s="34"/>
      <c r="I119" s="34"/>
      <c r="J119" s="34"/>
      <c r="K119" s="34"/>
      <c r="L119" s="34"/>
      <c r="M119" s="34"/>
      <c r="N119" s="34"/>
      <c r="O119" s="34">
        <v>0</v>
      </c>
      <c r="P119" s="34">
        <v>0</v>
      </c>
      <c r="Q119" s="34">
        <v>0</v>
      </c>
      <c r="R119" s="34">
        <v>0</v>
      </c>
      <c r="S119" s="34">
        <v>0</v>
      </c>
      <c r="T119" s="34">
        <v>0</v>
      </c>
      <c r="U119" s="34">
        <v>0</v>
      </c>
      <c r="V119" s="34">
        <v>0</v>
      </c>
      <c r="W119" s="34">
        <v>0</v>
      </c>
      <c r="X119" s="34">
        <v>0</v>
      </c>
      <c r="Y119" s="34">
        <v>0</v>
      </c>
      <c r="Z119" s="34">
        <v>0</v>
      </c>
      <c r="AA119" s="34">
        <v>0</v>
      </c>
      <c r="AB119" s="34">
        <v>0</v>
      </c>
      <c r="AC119" s="34">
        <v>0</v>
      </c>
      <c r="AD119" s="34">
        <v>8</v>
      </c>
      <c r="AE119" s="34">
        <v>0</v>
      </c>
      <c r="AF119" s="34">
        <v>0</v>
      </c>
      <c r="AG119" s="34"/>
      <c r="AH119" s="34"/>
      <c r="AI119" s="34"/>
      <c r="AJ119" s="34"/>
    </row>
    <row r="120" spans="1:36" hidden="1" x14ac:dyDescent="0.25">
      <c r="A120" t="s">
        <v>2469</v>
      </c>
      <c r="B120" t="s">
        <v>514</v>
      </c>
      <c r="C120">
        <v>47132096</v>
      </c>
      <c r="D120" t="s">
        <v>2468</v>
      </c>
      <c r="G120" t="s">
        <v>2444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</row>
    <row r="121" spans="1:36" hidden="1" x14ac:dyDescent="0.25">
      <c r="A121" s="34" t="s">
        <v>2472</v>
      </c>
      <c r="B121" s="34" t="s">
        <v>514</v>
      </c>
      <c r="C121" s="34">
        <v>47128300</v>
      </c>
      <c r="D121" s="34" t="s">
        <v>2471</v>
      </c>
      <c r="E121" s="34"/>
      <c r="F121" s="34"/>
      <c r="G121" s="34" t="s">
        <v>2444</v>
      </c>
      <c r="H121" s="34"/>
      <c r="I121" s="34"/>
      <c r="J121" s="34"/>
      <c r="K121" s="34"/>
      <c r="L121" s="34"/>
      <c r="M121" s="34"/>
      <c r="N121" s="34"/>
      <c r="O121" s="34">
        <v>0</v>
      </c>
      <c r="P121" s="34">
        <v>0</v>
      </c>
      <c r="Q121" s="34">
        <v>0</v>
      </c>
      <c r="R121" s="34">
        <v>0</v>
      </c>
      <c r="S121" s="34">
        <v>0</v>
      </c>
      <c r="T121" s="34">
        <v>60</v>
      </c>
      <c r="U121" s="34">
        <v>60</v>
      </c>
      <c r="V121" s="34">
        <v>0</v>
      </c>
      <c r="W121" s="34">
        <v>0</v>
      </c>
      <c r="X121" s="34">
        <v>0</v>
      </c>
      <c r="Y121" s="34">
        <v>0</v>
      </c>
      <c r="Z121" s="34">
        <v>0</v>
      </c>
      <c r="AA121" s="34">
        <v>0</v>
      </c>
      <c r="AB121" s="34">
        <v>0</v>
      </c>
      <c r="AC121" s="34">
        <v>0</v>
      </c>
      <c r="AD121" s="34">
        <v>0</v>
      </c>
      <c r="AE121" s="34">
        <v>0</v>
      </c>
      <c r="AF121" s="34">
        <v>0</v>
      </c>
      <c r="AG121" s="34"/>
      <c r="AH121" s="34"/>
      <c r="AI121" s="34"/>
      <c r="AJ121" s="34"/>
    </row>
    <row r="122" spans="1:36" hidden="1" x14ac:dyDescent="0.25">
      <c r="A122" t="s">
        <v>2475</v>
      </c>
      <c r="B122" t="s">
        <v>514</v>
      </c>
      <c r="C122">
        <v>47128655</v>
      </c>
      <c r="D122" t="s">
        <v>2474</v>
      </c>
      <c r="G122" t="s">
        <v>2444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</row>
    <row r="123" spans="1:36" hidden="1" x14ac:dyDescent="0.25">
      <c r="A123" s="34" t="s">
        <v>2478</v>
      </c>
      <c r="B123" s="34" t="s">
        <v>514</v>
      </c>
      <c r="C123" s="34">
        <v>47128179</v>
      </c>
      <c r="D123" s="34" t="s">
        <v>2477</v>
      </c>
      <c r="E123" s="34"/>
      <c r="F123" s="34"/>
      <c r="G123" s="34" t="s">
        <v>2444</v>
      </c>
      <c r="H123" s="34"/>
      <c r="I123" s="34"/>
      <c r="J123" s="34"/>
      <c r="K123" s="34"/>
      <c r="L123" s="34"/>
      <c r="M123" s="34"/>
      <c r="N123" s="34"/>
      <c r="O123" s="34">
        <v>0</v>
      </c>
      <c r="P123" s="34">
        <v>0</v>
      </c>
      <c r="Q123" s="34">
        <v>0</v>
      </c>
      <c r="R123" s="34">
        <v>0</v>
      </c>
      <c r="S123" s="34">
        <v>0</v>
      </c>
      <c r="T123" s="34">
        <v>0</v>
      </c>
      <c r="U123" s="34">
        <v>0</v>
      </c>
      <c r="V123" s="34">
        <v>0</v>
      </c>
      <c r="W123" s="34">
        <v>0</v>
      </c>
      <c r="X123" s="34">
        <v>0</v>
      </c>
      <c r="Y123" s="34">
        <v>0</v>
      </c>
      <c r="Z123" s="34">
        <v>0</v>
      </c>
      <c r="AA123" s="34">
        <v>0</v>
      </c>
      <c r="AB123" s="34">
        <v>0</v>
      </c>
      <c r="AC123" s="34">
        <v>0</v>
      </c>
      <c r="AD123" s="34">
        <v>0</v>
      </c>
      <c r="AE123" s="34">
        <v>0</v>
      </c>
      <c r="AF123" s="34">
        <v>0</v>
      </c>
      <c r="AG123" s="34"/>
      <c r="AH123" s="34"/>
      <c r="AI123" s="34"/>
      <c r="AJ123" s="34"/>
    </row>
    <row r="124" spans="1:36" hidden="1" x14ac:dyDescent="0.25">
      <c r="A124" t="s">
        <v>2481</v>
      </c>
      <c r="B124" t="s">
        <v>514</v>
      </c>
      <c r="C124">
        <v>47129558</v>
      </c>
      <c r="D124" t="s">
        <v>2480</v>
      </c>
      <c r="G124" t="s">
        <v>2444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60</v>
      </c>
      <c r="AA124">
        <v>30</v>
      </c>
      <c r="AB124">
        <v>0</v>
      </c>
      <c r="AC124">
        <v>0</v>
      </c>
      <c r="AD124">
        <v>0</v>
      </c>
      <c r="AE124">
        <v>0</v>
      </c>
      <c r="AF124">
        <v>0</v>
      </c>
    </row>
    <row r="125" spans="1:36" hidden="1" x14ac:dyDescent="0.25">
      <c r="A125" s="34" t="s">
        <v>2484</v>
      </c>
      <c r="B125" s="34" t="s">
        <v>514</v>
      </c>
      <c r="C125" s="34">
        <v>47129273</v>
      </c>
      <c r="D125" s="34" t="s">
        <v>2483</v>
      </c>
      <c r="E125" s="34"/>
      <c r="F125" s="34"/>
      <c r="G125" s="34" t="s">
        <v>2444</v>
      </c>
      <c r="H125" s="34"/>
      <c r="I125" s="34"/>
      <c r="J125" s="34"/>
      <c r="K125" s="34"/>
      <c r="L125" s="34"/>
      <c r="M125" s="34"/>
      <c r="N125" s="34"/>
      <c r="O125" s="34">
        <v>0</v>
      </c>
      <c r="P125" s="34">
        <v>0</v>
      </c>
      <c r="Q125" s="34">
        <v>0</v>
      </c>
      <c r="R125" s="34">
        <v>0</v>
      </c>
      <c r="S125" s="34">
        <v>0</v>
      </c>
      <c r="T125" s="34">
        <v>0</v>
      </c>
      <c r="U125" s="34">
        <v>0</v>
      </c>
      <c r="V125" s="34">
        <v>0</v>
      </c>
      <c r="W125" s="34">
        <v>0</v>
      </c>
      <c r="X125" s="34">
        <v>0</v>
      </c>
      <c r="Y125" s="34">
        <v>0</v>
      </c>
      <c r="Z125" s="34">
        <v>0</v>
      </c>
      <c r="AA125" s="34">
        <v>0</v>
      </c>
      <c r="AB125" s="34">
        <v>0</v>
      </c>
      <c r="AC125" s="34">
        <v>0</v>
      </c>
      <c r="AD125" s="34">
        <v>0</v>
      </c>
      <c r="AE125" s="34">
        <v>0</v>
      </c>
      <c r="AF125" s="34">
        <v>0</v>
      </c>
      <c r="AG125" s="34"/>
      <c r="AH125" s="34"/>
      <c r="AI125" s="34"/>
      <c r="AJ125" s="34"/>
    </row>
    <row r="126" spans="1:36" hidden="1" x14ac:dyDescent="0.25">
      <c r="A126" t="s">
        <v>2487</v>
      </c>
      <c r="B126" t="s">
        <v>514</v>
      </c>
      <c r="C126">
        <v>47129274</v>
      </c>
      <c r="D126" t="s">
        <v>2486</v>
      </c>
      <c r="G126" t="s">
        <v>2444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7</v>
      </c>
      <c r="AD126">
        <v>0</v>
      </c>
      <c r="AE126">
        <v>0</v>
      </c>
      <c r="AF126">
        <v>0</v>
      </c>
    </row>
    <row r="127" spans="1:36" hidden="1" x14ac:dyDescent="0.25">
      <c r="A127" s="34" t="s">
        <v>2490</v>
      </c>
      <c r="B127" s="34" t="s">
        <v>514</v>
      </c>
      <c r="C127" s="34">
        <v>47128587</v>
      </c>
      <c r="D127" s="34" t="s">
        <v>2489</v>
      </c>
      <c r="E127" s="34"/>
      <c r="F127" s="34"/>
      <c r="G127" s="34" t="s">
        <v>2444</v>
      </c>
      <c r="H127" s="34"/>
      <c r="I127" s="34"/>
      <c r="J127" s="34"/>
      <c r="K127" s="34"/>
      <c r="L127" s="34"/>
      <c r="M127" s="34"/>
      <c r="N127" s="34"/>
      <c r="O127" s="34">
        <v>0</v>
      </c>
      <c r="P127" s="34">
        <v>0</v>
      </c>
      <c r="Q127" s="34">
        <v>0</v>
      </c>
      <c r="R127" s="34">
        <v>0</v>
      </c>
      <c r="S127" s="34">
        <v>0</v>
      </c>
      <c r="T127" s="34">
        <v>0</v>
      </c>
      <c r="U127" s="34">
        <v>0</v>
      </c>
      <c r="V127" s="34">
        <v>0</v>
      </c>
      <c r="W127" s="34">
        <v>0</v>
      </c>
      <c r="X127" s="34">
        <v>0</v>
      </c>
      <c r="Y127" s="34">
        <v>0</v>
      </c>
      <c r="Z127" s="34">
        <v>0</v>
      </c>
      <c r="AA127" s="34">
        <v>0</v>
      </c>
      <c r="AB127" s="34">
        <v>0</v>
      </c>
      <c r="AC127" s="34">
        <v>0</v>
      </c>
      <c r="AD127" s="34">
        <v>0</v>
      </c>
      <c r="AE127" s="34">
        <v>0</v>
      </c>
      <c r="AF127" s="34">
        <v>0</v>
      </c>
      <c r="AG127" s="34">
        <v>40</v>
      </c>
      <c r="AH127" s="34">
        <v>40</v>
      </c>
      <c r="AI127" s="34">
        <v>40</v>
      </c>
      <c r="AJ127" s="34">
        <v>40</v>
      </c>
    </row>
    <row r="128" spans="1:36" hidden="1" x14ac:dyDescent="0.25">
      <c r="A128" t="s">
        <v>2493</v>
      </c>
      <c r="B128" t="s">
        <v>514</v>
      </c>
      <c r="C128">
        <v>47128247</v>
      </c>
      <c r="D128" t="s">
        <v>2492</v>
      </c>
      <c r="G128" t="s">
        <v>2444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</row>
    <row r="129" spans="1:36" hidden="1" x14ac:dyDescent="0.25">
      <c r="A129" s="34" t="s">
        <v>2448</v>
      </c>
      <c r="B129" s="34" t="s">
        <v>514</v>
      </c>
      <c r="C129" s="34">
        <v>47128006</v>
      </c>
      <c r="D129" s="34" t="s">
        <v>2447</v>
      </c>
      <c r="E129" s="34"/>
      <c r="F129" s="34"/>
      <c r="G129" s="34" t="s">
        <v>2783</v>
      </c>
      <c r="H129" s="34"/>
      <c r="I129" s="34"/>
      <c r="J129" s="34"/>
      <c r="K129" s="34"/>
      <c r="L129" s="34"/>
      <c r="M129" s="34"/>
      <c r="N129" s="34"/>
      <c r="O129" s="34">
        <v>40</v>
      </c>
      <c r="P129" s="34">
        <v>40</v>
      </c>
      <c r="Q129" s="34">
        <v>40</v>
      </c>
      <c r="R129" s="34">
        <v>40</v>
      </c>
      <c r="S129" s="34">
        <v>32</v>
      </c>
      <c r="T129" s="34">
        <v>0</v>
      </c>
      <c r="U129" s="34">
        <v>0</v>
      </c>
      <c r="V129" s="34">
        <v>0</v>
      </c>
      <c r="W129" s="34">
        <v>0</v>
      </c>
      <c r="X129" s="34">
        <v>0</v>
      </c>
      <c r="Y129" s="34">
        <v>0</v>
      </c>
      <c r="Z129" s="34">
        <v>0</v>
      </c>
      <c r="AA129" s="34">
        <v>0</v>
      </c>
      <c r="AB129" s="34">
        <v>0</v>
      </c>
      <c r="AC129" s="34">
        <v>0</v>
      </c>
      <c r="AD129" s="34">
        <v>0</v>
      </c>
      <c r="AE129" s="34">
        <v>0</v>
      </c>
      <c r="AF129" s="34">
        <v>0</v>
      </c>
      <c r="AG129" s="34"/>
      <c r="AH129" s="34"/>
      <c r="AI129" s="34"/>
      <c r="AJ129" s="34"/>
    </row>
    <row r="130" spans="1:36" hidden="1" x14ac:dyDescent="0.25">
      <c r="A130" t="s">
        <v>2451</v>
      </c>
      <c r="B130" t="s">
        <v>514</v>
      </c>
      <c r="C130">
        <v>47128667</v>
      </c>
      <c r="D130" t="s">
        <v>2450</v>
      </c>
      <c r="G130" t="s">
        <v>2783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60</v>
      </c>
      <c r="W130">
        <v>40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</row>
    <row r="131" spans="1:36" hidden="1" x14ac:dyDescent="0.25">
      <c r="A131" s="34" t="s">
        <v>2454</v>
      </c>
      <c r="B131" s="34" t="s">
        <v>514</v>
      </c>
      <c r="C131" s="34">
        <v>47129262</v>
      </c>
      <c r="D131" s="34" t="s">
        <v>2453</v>
      </c>
      <c r="E131" s="34"/>
      <c r="F131" s="34"/>
      <c r="G131" s="34" t="s">
        <v>2783</v>
      </c>
      <c r="H131" s="34"/>
      <c r="I131" s="34"/>
      <c r="J131" s="34"/>
      <c r="K131" s="34"/>
      <c r="L131" s="34"/>
      <c r="M131" s="34"/>
      <c r="N131" s="34"/>
      <c r="O131" s="34">
        <v>0</v>
      </c>
      <c r="P131" s="34">
        <v>0</v>
      </c>
      <c r="Q131" s="34">
        <v>0</v>
      </c>
      <c r="R131" s="34">
        <v>0</v>
      </c>
      <c r="S131" s="34">
        <v>0</v>
      </c>
      <c r="T131" s="34">
        <v>0</v>
      </c>
      <c r="U131" s="34">
        <v>0</v>
      </c>
      <c r="V131" s="34">
        <v>0</v>
      </c>
      <c r="W131" s="34">
        <v>0</v>
      </c>
      <c r="X131" s="34">
        <v>0</v>
      </c>
      <c r="Y131" s="34">
        <v>0</v>
      </c>
      <c r="Z131" s="34">
        <v>0</v>
      </c>
      <c r="AA131" s="34">
        <v>0</v>
      </c>
      <c r="AB131" s="34">
        <v>0</v>
      </c>
      <c r="AC131" s="34">
        <v>0</v>
      </c>
      <c r="AD131" s="34">
        <v>60</v>
      </c>
      <c r="AE131" s="34">
        <v>60</v>
      </c>
      <c r="AF131" s="34">
        <v>60</v>
      </c>
      <c r="AG131" s="34"/>
      <c r="AH131" s="34"/>
      <c r="AI131" s="34"/>
      <c r="AJ131" s="34"/>
    </row>
    <row r="132" spans="1:36" hidden="1" x14ac:dyDescent="0.25">
      <c r="A132" t="s">
        <v>2457</v>
      </c>
      <c r="B132" t="s">
        <v>514</v>
      </c>
      <c r="C132">
        <v>47128213</v>
      </c>
      <c r="D132" t="s">
        <v>2456</v>
      </c>
      <c r="G132" t="s">
        <v>2783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60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</row>
    <row r="133" spans="1:36" hidden="1" x14ac:dyDescent="0.25">
      <c r="A133" s="34" t="s">
        <v>2460</v>
      </c>
      <c r="B133" s="34" t="s">
        <v>514</v>
      </c>
      <c r="C133" s="34">
        <v>47129222</v>
      </c>
      <c r="D133" s="34" t="s">
        <v>2459</v>
      </c>
      <c r="E133" s="34"/>
      <c r="F133" s="34"/>
      <c r="G133" s="34" t="s">
        <v>2783</v>
      </c>
      <c r="H133" s="34"/>
      <c r="I133" s="34"/>
      <c r="J133" s="34"/>
      <c r="K133" s="34"/>
      <c r="L133" s="34"/>
      <c r="M133" s="34"/>
      <c r="N133" s="34"/>
      <c r="O133" s="34">
        <v>0</v>
      </c>
      <c r="P133" s="34">
        <v>0</v>
      </c>
      <c r="Q133" s="34">
        <v>0</v>
      </c>
      <c r="R133" s="34">
        <v>0</v>
      </c>
      <c r="S133" s="34">
        <v>0</v>
      </c>
      <c r="T133" s="34">
        <v>0</v>
      </c>
      <c r="U133" s="34">
        <v>0</v>
      </c>
      <c r="V133" s="34">
        <v>0</v>
      </c>
      <c r="W133" s="34">
        <v>0</v>
      </c>
      <c r="X133" s="34">
        <v>0</v>
      </c>
      <c r="Y133" s="34">
        <v>0</v>
      </c>
      <c r="Z133" s="34">
        <v>0</v>
      </c>
      <c r="AA133" s="34">
        <v>60</v>
      </c>
      <c r="AB133" s="34">
        <v>0</v>
      </c>
      <c r="AC133" s="34">
        <v>0</v>
      </c>
      <c r="AD133" s="34">
        <v>0</v>
      </c>
      <c r="AE133" s="34">
        <v>0</v>
      </c>
      <c r="AF133" s="34">
        <v>0</v>
      </c>
      <c r="AG133" s="34"/>
      <c r="AH133" s="34"/>
      <c r="AI133" s="34"/>
      <c r="AJ133" s="34"/>
    </row>
    <row r="134" spans="1:36" hidden="1" x14ac:dyDescent="0.25">
      <c r="A134" t="s">
        <v>2463</v>
      </c>
      <c r="B134" t="s">
        <v>514</v>
      </c>
      <c r="C134">
        <v>47128561</v>
      </c>
      <c r="D134" t="s">
        <v>2462</v>
      </c>
      <c r="G134" t="s">
        <v>2783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30</v>
      </c>
      <c r="AD134">
        <v>0</v>
      </c>
      <c r="AE134">
        <v>0</v>
      </c>
      <c r="AF134">
        <v>0</v>
      </c>
    </row>
    <row r="135" spans="1:36" hidden="1" x14ac:dyDescent="0.25">
      <c r="A135" s="34" t="s">
        <v>2466</v>
      </c>
      <c r="B135" s="34" t="s">
        <v>514</v>
      </c>
      <c r="C135" s="34">
        <v>47129727</v>
      </c>
      <c r="D135" s="34" t="s">
        <v>2465</v>
      </c>
      <c r="E135" s="34"/>
      <c r="F135" s="34"/>
      <c r="G135" s="34" t="s">
        <v>2783</v>
      </c>
      <c r="H135" s="34"/>
      <c r="I135" s="34"/>
      <c r="J135" s="34"/>
      <c r="K135" s="34"/>
      <c r="L135" s="34"/>
      <c r="M135" s="34"/>
      <c r="N135" s="34"/>
      <c r="O135" s="34">
        <v>0</v>
      </c>
      <c r="P135" s="34">
        <v>0</v>
      </c>
      <c r="Q135" s="34">
        <v>0</v>
      </c>
      <c r="R135" s="34">
        <v>0</v>
      </c>
      <c r="S135" s="34">
        <v>0</v>
      </c>
      <c r="T135" s="34">
        <v>0</v>
      </c>
      <c r="U135" s="34">
        <v>0</v>
      </c>
      <c r="V135" s="34">
        <v>0</v>
      </c>
      <c r="W135" s="34">
        <v>0</v>
      </c>
      <c r="X135" s="34">
        <v>0</v>
      </c>
      <c r="Y135" s="34">
        <v>0</v>
      </c>
      <c r="Z135" s="34">
        <v>0</v>
      </c>
      <c r="AA135" s="34">
        <v>0</v>
      </c>
      <c r="AB135" s="34">
        <v>0</v>
      </c>
      <c r="AC135" s="34">
        <v>0</v>
      </c>
      <c r="AD135" s="34">
        <v>0</v>
      </c>
      <c r="AE135" s="34">
        <v>0</v>
      </c>
      <c r="AF135" s="34">
        <v>0</v>
      </c>
      <c r="AG135" s="34"/>
      <c r="AH135" s="34"/>
      <c r="AI135" s="34"/>
      <c r="AJ135" s="34"/>
    </row>
    <row r="136" spans="1:36" hidden="1" x14ac:dyDescent="0.25">
      <c r="A136" t="s">
        <v>2469</v>
      </c>
      <c r="B136" t="s">
        <v>514</v>
      </c>
      <c r="C136">
        <v>47132096</v>
      </c>
      <c r="D136" t="s">
        <v>2468</v>
      </c>
      <c r="G136" t="s">
        <v>2783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60</v>
      </c>
      <c r="AC136">
        <v>0</v>
      </c>
      <c r="AD136">
        <v>0</v>
      </c>
      <c r="AE136">
        <v>0</v>
      </c>
      <c r="AF136">
        <v>0</v>
      </c>
    </row>
    <row r="137" spans="1:36" hidden="1" x14ac:dyDescent="0.25">
      <c r="A137" s="34" t="s">
        <v>2472</v>
      </c>
      <c r="B137" s="34" t="s">
        <v>514</v>
      </c>
      <c r="C137" s="34">
        <v>47128300</v>
      </c>
      <c r="D137" s="34" t="s">
        <v>2471</v>
      </c>
      <c r="E137" s="34"/>
      <c r="F137" s="34"/>
      <c r="G137" s="34" t="s">
        <v>2783</v>
      </c>
      <c r="H137" s="34"/>
      <c r="I137" s="34"/>
      <c r="J137" s="34"/>
      <c r="K137" s="34"/>
      <c r="L137" s="34"/>
      <c r="M137" s="34"/>
      <c r="N137" s="34"/>
      <c r="O137" s="34">
        <v>0</v>
      </c>
      <c r="P137" s="34">
        <v>0</v>
      </c>
      <c r="Q137" s="34">
        <v>0</v>
      </c>
      <c r="R137" s="34">
        <v>0</v>
      </c>
      <c r="S137" s="34">
        <v>0</v>
      </c>
      <c r="T137" s="34">
        <v>60</v>
      </c>
      <c r="U137" s="34">
        <v>60</v>
      </c>
      <c r="V137" s="34">
        <v>0</v>
      </c>
      <c r="W137" s="34">
        <v>0</v>
      </c>
      <c r="X137" s="34">
        <v>0</v>
      </c>
      <c r="Y137" s="34">
        <v>0</v>
      </c>
      <c r="Z137" s="34">
        <v>0</v>
      </c>
      <c r="AA137" s="34">
        <v>0</v>
      </c>
      <c r="AB137" s="34">
        <v>0</v>
      </c>
      <c r="AC137" s="34">
        <v>0</v>
      </c>
      <c r="AD137" s="34">
        <v>0</v>
      </c>
      <c r="AE137" s="34">
        <v>0</v>
      </c>
      <c r="AF137" s="34">
        <v>0</v>
      </c>
      <c r="AG137" s="34"/>
      <c r="AH137" s="34"/>
      <c r="AI137" s="34"/>
      <c r="AJ137" s="34"/>
    </row>
    <row r="138" spans="1:36" hidden="1" x14ac:dyDescent="0.25">
      <c r="A138" t="s">
        <v>2475</v>
      </c>
      <c r="B138" t="s">
        <v>514</v>
      </c>
      <c r="C138">
        <v>47128655</v>
      </c>
      <c r="D138" t="s">
        <v>2474</v>
      </c>
      <c r="G138" t="s">
        <v>2783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</row>
    <row r="139" spans="1:36" hidden="1" x14ac:dyDescent="0.25">
      <c r="A139" s="34" t="s">
        <v>2478</v>
      </c>
      <c r="B139" s="34" t="s">
        <v>514</v>
      </c>
      <c r="C139" s="34">
        <v>47128179</v>
      </c>
      <c r="D139" s="34" t="s">
        <v>2477</v>
      </c>
      <c r="E139" s="34"/>
      <c r="F139" s="34"/>
      <c r="G139" s="34" t="s">
        <v>2783</v>
      </c>
      <c r="H139" s="34"/>
      <c r="I139" s="34"/>
      <c r="J139" s="34"/>
      <c r="K139" s="34"/>
      <c r="L139" s="34"/>
      <c r="M139" s="34"/>
      <c r="N139" s="34"/>
      <c r="O139" s="34">
        <v>0</v>
      </c>
      <c r="P139" s="34">
        <v>0</v>
      </c>
      <c r="Q139" s="34">
        <v>0</v>
      </c>
      <c r="R139" s="34">
        <v>0</v>
      </c>
      <c r="S139" s="34">
        <v>0</v>
      </c>
      <c r="T139" s="34">
        <v>0</v>
      </c>
      <c r="U139" s="34">
        <v>0</v>
      </c>
      <c r="V139" s="34">
        <v>0</v>
      </c>
      <c r="W139" s="34">
        <v>20</v>
      </c>
      <c r="X139" s="34">
        <v>0</v>
      </c>
      <c r="Y139" s="34">
        <v>0</v>
      </c>
      <c r="Z139" s="34">
        <v>0</v>
      </c>
      <c r="AA139" s="34">
        <v>0</v>
      </c>
      <c r="AB139" s="34">
        <v>0</v>
      </c>
      <c r="AC139" s="34">
        <v>0</v>
      </c>
      <c r="AD139" s="34">
        <v>0</v>
      </c>
      <c r="AE139" s="34">
        <v>0</v>
      </c>
      <c r="AF139" s="34">
        <v>0</v>
      </c>
      <c r="AG139" s="34"/>
      <c r="AH139" s="34"/>
      <c r="AI139" s="34"/>
      <c r="AJ139" s="34"/>
    </row>
    <row r="140" spans="1:36" hidden="1" x14ac:dyDescent="0.25">
      <c r="A140" t="s">
        <v>2481</v>
      </c>
      <c r="B140" t="s">
        <v>514</v>
      </c>
      <c r="C140">
        <v>47129558</v>
      </c>
      <c r="D140" t="s">
        <v>2480</v>
      </c>
      <c r="G140" t="s">
        <v>2783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60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</row>
    <row r="141" spans="1:36" hidden="1" x14ac:dyDescent="0.25">
      <c r="A141" s="34" t="s">
        <v>2484</v>
      </c>
      <c r="B141" s="34" t="s">
        <v>514</v>
      </c>
      <c r="C141" s="34">
        <v>47129273</v>
      </c>
      <c r="D141" s="34" t="s">
        <v>2483</v>
      </c>
      <c r="E141" s="34"/>
      <c r="F141" s="34"/>
      <c r="G141" s="34" t="s">
        <v>2783</v>
      </c>
      <c r="H141" s="34"/>
      <c r="I141" s="34"/>
      <c r="J141" s="34"/>
      <c r="K141" s="34"/>
      <c r="L141" s="34"/>
      <c r="M141" s="34"/>
      <c r="N141" s="34"/>
      <c r="O141" s="34">
        <v>0</v>
      </c>
      <c r="P141" s="34">
        <v>0</v>
      </c>
      <c r="Q141" s="34">
        <v>0</v>
      </c>
      <c r="R141" s="34">
        <v>0</v>
      </c>
      <c r="S141" s="34">
        <v>0</v>
      </c>
      <c r="T141" s="34">
        <v>0</v>
      </c>
      <c r="U141" s="34">
        <v>0</v>
      </c>
      <c r="V141" s="34">
        <v>0</v>
      </c>
      <c r="W141" s="34">
        <v>0</v>
      </c>
      <c r="X141" s="34">
        <v>0</v>
      </c>
      <c r="Y141" s="34">
        <v>0</v>
      </c>
      <c r="Z141" s="34">
        <v>0</v>
      </c>
      <c r="AA141" s="34">
        <v>0</v>
      </c>
      <c r="AB141" s="34">
        <v>0</v>
      </c>
      <c r="AC141" s="34">
        <v>0</v>
      </c>
      <c r="AD141" s="34">
        <v>0</v>
      </c>
      <c r="AE141" s="34">
        <v>0</v>
      </c>
      <c r="AF141" s="34">
        <v>0</v>
      </c>
      <c r="AG141" s="34"/>
      <c r="AH141" s="34"/>
      <c r="AI141" s="34"/>
      <c r="AJ141" s="34"/>
    </row>
    <row r="142" spans="1:36" hidden="1" x14ac:dyDescent="0.25">
      <c r="A142" t="s">
        <v>2487</v>
      </c>
      <c r="B142" t="s">
        <v>514</v>
      </c>
      <c r="C142">
        <v>47129274</v>
      </c>
      <c r="D142" t="s">
        <v>2486</v>
      </c>
      <c r="G142" t="s">
        <v>2783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</row>
    <row r="143" spans="1:36" hidden="1" x14ac:dyDescent="0.25">
      <c r="A143" s="34" t="s">
        <v>2490</v>
      </c>
      <c r="B143" s="34" t="s">
        <v>514</v>
      </c>
      <c r="C143" s="34">
        <v>47128587</v>
      </c>
      <c r="D143" s="34" t="s">
        <v>2489</v>
      </c>
      <c r="E143" s="34"/>
      <c r="F143" s="34"/>
      <c r="G143" s="34" t="s">
        <v>2783</v>
      </c>
      <c r="H143" s="34"/>
      <c r="I143" s="34"/>
      <c r="J143" s="34"/>
      <c r="K143" s="34"/>
      <c r="L143" s="34"/>
      <c r="M143" s="34"/>
      <c r="N143" s="34"/>
      <c r="O143" s="34">
        <v>0</v>
      </c>
      <c r="P143" s="34">
        <v>0</v>
      </c>
      <c r="Q143" s="34">
        <v>0</v>
      </c>
      <c r="R143" s="34">
        <v>0</v>
      </c>
      <c r="S143" s="34">
        <v>0</v>
      </c>
      <c r="T143" s="34">
        <v>0</v>
      </c>
      <c r="U143" s="34">
        <v>0</v>
      </c>
      <c r="V143" s="34">
        <v>0</v>
      </c>
      <c r="W143" s="34">
        <v>0</v>
      </c>
      <c r="X143" s="34">
        <v>0</v>
      </c>
      <c r="Y143" s="34">
        <v>0</v>
      </c>
      <c r="Z143" s="34">
        <v>0</v>
      </c>
      <c r="AA143" s="34">
        <v>0</v>
      </c>
      <c r="AB143" s="34">
        <v>0</v>
      </c>
      <c r="AC143" s="34">
        <v>0</v>
      </c>
      <c r="AD143" s="34">
        <v>0</v>
      </c>
      <c r="AE143" s="34">
        <v>0</v>
      </c>
      <c r="AF143" s="34">
        <v>0</v>
      </c>
      <c r="AG143" s="34">
        <v>40</v>
      </c>
      <c r="AH143" s="34">
        <v>40</v>
      </c>
      <c r="AI143" s="34">
        <v>40</v>
      </c>
      <c r="AJ143" s="34">
        <v>40</v>
      </c>
    </row>
    <row r="144" spans="1:36" hidden="1" x14ac:dyDescent="0.25">
      <c r="A144" t="s">
        <v>2493</v>
      </c>
      <c r="B144" t="s">
        <v>514</v>
      </c>
      <c r="C144">
        <v>47128247</v>
      </c>
      <c r="D144" t="s">
        <v>2492</v>
      </c>
      <c r="G144" t="s">
        <v>2783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</row>
    <row r="145" spans="1:36" hidden="1" x14ac:dyDescent="0.25">
      <c r="A145" s="34" t="s">
        <v>1091</v>
      </c>
      <c r="B145" s="34" t="s">
        <v>514</v>
      </c>
      <c r="C145" s="34">
        <v>47128522</v>
      </c>
      <c r="D145" s="34" t="s">
        <v>1092</v>
      </c>
      <c r="E145" s="34"/>
      <c r="F145" s="34"/>
      <c r="G145" s="34" t="s">
        <v>1080</v>
      </c>
      <c r="H145" s="34"/>
      <c r="I145" s="34"/>
      <c r="J145" s="34"/>
      <c r="K145" s="34"/>
      <c r="L145" s="34"/>
      <c r="M145" s="34"/>
      <c r="N145" s="34"/>
      <c r="O145" s="34">
        <v>0</v>
      </c>
      <c r="P145" s="34">
        <v>0</v>
      </c>
      <c r="Q145" s="34">
        <v>0</v>
      </c>
      <c r="R145" s="34">
        <v>0</v>
      </c>
      <c r="S145" s="34">
        <v>0</v>
      </c>
      <c r="T145" s="34">
        <v>0</v>
      </c>
      <c r="U145" s="34">
        <v>0</v>
      </c>
      <c r="V145" s="34">
        <v>0</v>
      </c>
      <c r="W145" s="34">
        <v>0</v>
      </c>
      <c r="X145" s="34">
        <v>0</v>
      </c>
      <c r="Y145" s="34">
        <v>0</v>
      </c>
      <c r="Z145" s="34">
        <v>0</v>
      </c>
      <c r="AA145" s="34">
        <v>0</v>
      </c>
      <c r="AB145" s="34">
        <v>0</v>
      </c>
      <c r="AC145" s="34">
        <v>0</v>
      </c>
      <c r="AD145" s="34">
        <v>0</v>
      </c>
      <c r="AE145" s="34">
        <v>0</v>
      </c>
      <c r="AF145" s="34">
        <v>0</v>
      </c>
      <c r="AG145" s="34">
        <v>0</v>
      </c>
      <c r="AH145" s="34">
        <v>0</v>
      </c>
      <c r="AI145" s="34">
        <v>0</v>
      </c>
      <c r="AJ145" s="34">
        <v>0</v>
      </c>
    </row>
    <row r="146" spans="1:36" hidden="1" x14ac:dyDescent="0.25">
      <c r="A146" t="s">
        <v>1381</v>
      </c>
      <c r="B146" t="s">
        <v>514</v>
      </c>
      <c r="C146">
        <v>47147546</v>
      </c>
      <c r="D146" t="s">
        <v>1077</v>
      </c>
      <c r="G146" t="s">
        <v>1080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</row>
    <row r="147" spans="1:36" hidden="1" x14ac:dyDescent="0.25">
      <c r="A147" s="34" t="s">
        <v>1275</v>
      </c>
      <c r="B147" s="34" t="s">
        <v>514</v>
      </c>
      <c r="C147" s="34">
        <v>47147658</v>
      </c>
      <c r="D147" s="34" t="s">
        <v>1276</v>
      </c>
      <c r="E147" s="34"/>
      <c r="F147" s="34"/>
      <c r="G147" s="34" t="s">
        <v>1080</v>
      </c>
      <c r="H147" s="34"/>
      <c r="I147" s="34"/>
      <c r="J147" s="34"/>
      <c r="K147" s="34"/>
      <c r="L147" s="34"/>
      <c r="M147" s="34"/>
      <c r="N147" s="34"/>
      <c r="O147" s="34">
        <v>0</v>
      </c>
      <c r="P147" s="34">
        <v>0</v>
      </c>
      <c r="Q147" s="34">
        <v>0</v>
      </c>
      <c r="R147" s="34">
        <v>0</v>
      </c>
      <c r="S147" s="34">
        <v>0</v>
      </c>
      <c r="T147" s="34">
        <v>0</v>
      </c>
      <c r="U147" s="34">
        <v>0</v>
      </c>
      <c r="V147" s="34">
        <v>0</v>
      </c>
      <c r="W147" s="34">
        <v>0</v>
      </c>
      <c r="X147" s="34">
        <v>0</v>
      </c>
      <c r="Y147" s="34">
        <v>0</v>
      </c>
      <c r="Z147" s="34">
        <v>0</v>
      </c>
      <c r="AA147" s="34">
        <v>0</v>
      </c>
      <c r="AB147" s="34">
        <v>0</v>
      </c>
      <c r="AC147" s="34">
        <v>0</v>
      </c>
      <c r="AD147" s="34">
        <v>0</v>
      </c>
      <c r="AE147" s="34">
        <v>0</v>
      </c>
      <c r="AF147" s="34">
        <v>0</v>
      </c>
      <c r="AG147" s="34">
        <v>0</v>
      </c>
      <c r="AH147" s="34">
        <v>0</v>
      </c>
      <c r="AI147" s="34">
        <v>0</v>
      </c>
      <c r="AJ147" s="34">
        <v>0</v>
      </c>
    </row>
    <row r="148" spans="1:36" hidden="1" x14ac:dyDescent="0.25">
      <c r="A148" t="s">
        <v>1171</v>
      </c>
      <c r="B148" t="s">
        <v>514</v>
      </c>
      <c r="C148">
        <v>47147546</v>
      </c>
      <c r="D148" t="s">
        <v>1077</v>
      </c>
      <c r="G148" t="s">
        <v>1080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</row>
    <row r="149" spans="1:36" hidden="1" x14ac:dyDescent="0.25">
      <c r="A149" s="34" t="s">
        <v>1034</v>
      </c>
      <c r="B149" s="34" t="s">
        <v>514</v>
      </c>
      <c r="C149" s="34">
        <v>47128028</v>
      </c>
      <c r="D149" s="34" t="s">
        <v>1035</v>
      </c>
      <c r="E149" s="34"/>
      <c r="F149" s="34"/>
      <c r="G149" s="34" t="s">
        <v>1080</v>
      </c>
      <c r="H149" s="34"/>
      <c r="I149" s="34"/>
      <c r="J149" s="34"/>
      <c r="K149" s="34"/>
      <c r="L149" s="34"/>
      <c r="M149" s="34"/>
      <c r="N149" s="34"/>
      <c r="O149" s="34">
        <v>0</v>
      </c>
      <c r="P149" s="34">
        <v>100</v>
      </c>
      <c r="Q149" s="34">
        <v>0</v>
      </c>
      <c r="R149" s="34">
        <v>0</v>
      </c>
      <c r="S149" s="34">
        <v>0</v>
      </c>
      <c r="T149" s="34">
        <v>0</v>
      </c>
      <c r="U149" s="34">
        <v>0</v>
      </c>
      <c r="V149" s="34">
        <v>253</v>
      </c>
      <c r="W149" s="34">
        <v>0</v>
      </c>
      <c r="X149" s="34">
        <v>0</v>
      </c>
      <c r="Y149" s="34">
        <v>0</v>
      </c>
      <c r="Z149" s="34">
        <v>0</v>
      </c>
      <c r="AA149" s="34">
        <v>0</v>
      </c>
      <c r="AB149" s="34">
        <v>0</v>
      </c>
      <c r="AC149" s="34"/>
      <c r="AD149" s="34"/>
      <c r="AE149" s="34"/>
      <c r="AF149" s="34"/>
      <c r="AG149" s="34"/>
      <c r="AH149" s="34"/>
      <c r="AI149" s="34"/>
      <c r="AJ149" s="34"/>
    </row>
    <row r="150" spans="1:36" hidden="1" x14ac:dyDescent="0.25">
      <c r="A150" t="s">
        <v>1332</v>
      </c>
      <c r="B150" t="s">
        <v>514</v>
      </c>
      <c r="C150">
        <v>47128465</v>
      </c>
      <c r="D150" t="s">
        <v>1333</v>
      </c>
      <c r="G150" t="s">
        <v>1080</v>
      </c>
      <c r="O150">
        <v>0</v>
      </c>
      <c r="P150">
        <v>100</v>
      </c>
      <c r="Q150">
        <v>0</v>
      </c>
      <c r="R150">
        <v>0</v>
      </c>
      <c r="S150">
        <v>0</v>
      </c>
      <c r="T150">
        <v>0</v>
      </c>
      <c r="U150">
        <v>278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</row>
    <row r="151" spans="1:36" hidden="1" x14ac:dyDescent="0.25">
      <c r="A151" s="34" t="s">
        <v>957</v>
      </c>
      <c r="B151" s="34" t="s">
        <v>514</v>
      </c>
      <c r="C151" s="34">
        <v>47128548</v>
      </c>
      <c r="D151" s="34" t="s">
        <v>958</v>
      </c>
      <c r="E151" s="34"/>
      <c r="F151" s="34"/>
      <c r="G151" s="34" t="s">
        <v>1080</v>
      </c>
      <c r="H151" s="34"/>
      <c r="I151" s="34"/>
      <c r="J151" s="34"/>
      <c r="K151" s="34"/>
      <c r="L151" s="34"/>
      <c r="M151" s="34"/>
      <c r="N151" s="34"/>
      <c r="O151" s="34">
        <v>0</v>
      </c>
      <c r="P151" s="34">
        <v>0</v>
      </c>
      <c r="Q151" s="34">
        <v>100</v>
      </c>
      <c r="R151" s="34">
        <v>0</v>
      </c>
      <c r="S151" s="34">
        <v>0</v>
      </c>
      <c r="T151" s="34">
        <v>0</v>
      </c>
      <c r="U151" s="34">
        <v>0</v>
      </c>
      <c r="V151" s="34">
        <v>0</v>
      </c>
      <c r="W151" s="34">
        <v>0</v>
      </c>
      <c r="X151" s="34">
        <v>0</v>
      </c>
      <c r="Y151" s="34">
        <v>149</v>
      </c>
      <c r="Z151" s="34">
        <v>0</v>
      </c>
      <c r="AA151" s="34">
        <v>0</v>
      </c>
      <c r="AB151" s="34">
        <v>0</v>
      </c>
      <c r="AC151" s="34"/>
      <c r="AD151" s="34"/>
      <c r="AE151" s="34"/>
      <c r="AF151" s="34"/>
      <c r="AG151" s="34"/>
      <c r="AH151" s="34"/>
      <c r="AI151" s="34"/>
      <c r="AJ151" s="34"/>
    </row>
    <row r="152" spans="1:36" hidden="1" x14ac:dyDescent="0.25">
      <c r="A152" t="s">
        <v>1437</v>
      </c>
      <c r="B152" t="s">
        <v>514</v>
      </c>
      <c r="C152">
        <v>47146464</v>
      </c>
      <c r="D152" t="s">
        <v>1438</v>
      </c>
      <c r="G152" t="s">
        <v>1080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</row>
    <row r="153" spans="1:36" hidden="1" x14ac:dyDescent="0.25">
      <c r="A153" s="34" t="s">
        <v>1440</v>
      </c>
      <c r="B153" s="34" t="s">
        <v>514</v>
      </c>
      <c r="C153" s="34">
        <v>47146463</v>
      </c>
      <c r="D153" s="34" t="s">
        <v>1441</v>
      </c>
      <c r="E153" s="34"/>
      <c r="F153" s="34"/>
      <c r="G153" s="34" t="s">
        <v>1080</v>
      </c>
      <c r="H153" s="34"/>
      <c r="I153" s="34"/>
      <c r="J153" s="34"/>
      <c r="K153" s="34"/>
      <c r="L153" s="34"/>
      <c r="M153" s="34"/>
      <c r="N153" s="34"/>
      <c r="O153" s="34">
        <v>0</v>
      </c>
      <c r="P153" s="34">
        <v>0</v>
      </c>
      <c r="Q153" s="34">
        <v>0</v>
      </c>
      <c r="R153" s="34">
        <v>0</v>
      </c>
      <c r="S153" s="34">
        <v>0</v>
      </c>
      <c r="T153" s="34">
        <v>80</v>
      </c>
      <c r="U153" s="34">
        <v>0</v>
      </c>
      <c r="V153" s="34">
        <v>0</v>
      </c>
      <c r="W153" s="34">
        <v>0</v>
      </c>
      <c r="X153" s="34">
        <v>0</v>
      </c>
      <c r="Y153" s="34">
        <v>0</v>
      </c>
      <c r="Z153" s="34">
        <v>83</v>
      </c>
      <c r="AA153" s="34">
        <v>0</v>
      </c>
      <c r="AB153" s="34">
        <v>0</v>
      </c>
      <c r="AC153" s="34"/>
      <c r="AD153" s="34"/>
      <c r="AE153" s="34"/>
      <c r="AF153" s="34"/>
      <c r="AG153" s="34"/>
      <c r="AH153" s="34"/>
      <c r="AI153" s="34"/>
      <c r="AJ153" s="34"/>
    </row>
    <row r="154" spans="1:36" hidden="1" x14ac:dyDescent="0.25">
      <c r="A154" t="s">
        <v>1148</v>
      </c>
      <c r="B154" t="s">
        <v>514</v>
      </c>
      <c r="C154">
        <v>47128729</v>
      </c>
      <c r="D154" t="s">
        <v>1149</v>
      </c>
      <c r="G154" t="s">
        <v>1080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40</v>
      </c>
      <c r="Y154">
        <v>0</v>
      </c>
      <c r="Z154">
        <v>0</v>
      </c>
      <c r="AA154">
        <v>75.7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</row>
    <row r="155" spans="1:36" hidden="1" x14ac:dyDescent="0.25">
      <c r="A155" s="34" t="s">
        <v>1396</v>
      </c>
      <c r="B155" s="34" t="s">
        <v>514</v>
      </c>
      <c r="C155" s="34">
        <v>47128413</v>
      </c>
      <c r="D155" s="34" t="s">
        <v>1397</v>
      </c>
      <c r="E155" s="34"/>
      <c r="F155" s="34"/>
      <c r="G155" s="34" t="s">
        <v>1080</v>
      </c>
      <c r="H155" s="34"/>
      <c r="I155" s="34"/>
      <c r="J155" s="34"/>
      <c r="K155" s="34"/>
      <c r="L155" s="34"/>
      <c r="M155" s="34"/>
      <c r="N155" s="34"/>
      <c r="O155" s="34">
        <v>0</v>
      </c>
      <c r="P155" s="34">
        <v>0</v>
      </c>
      <c r="Q155" s="34">
        <v>0</v>
      </c>
      <c r="R155" s="34">
        <v>0</v>
      </c>
      <c r="S155" s="34">
        <v>0</v>
      </c>
      <c r="T155" s="34">
        <v>0</v>
      </c>
      <c r="U155" s="34">
        <v>0</v>
      </c>
      <c r="V155" s="34">
        <v>0</v>
      </c>
      <c r="W155" s="34">
        <v>0</v>
      </c>
      <c r="X155" s="34">
        <v>0</v>
      </c>
      <c r="Y155" s="34">
        <v>0</v>
      </c>
      <c r="Z155" s="34">
        <v>0</v>
      </c>
      <c r="AA155" s="34">
        <v>0</v>
      </c>
      <c r="AB155" s="34">
        <v>0</v>
      </c>
      <c r="AC155" s="34">
        <v>0</v>
      </c>
      <c r="AD155" s="34">
        <v>0</v>
      </c>
      <c r="AE155" s="34">
        <v>0</v>
      </c>
      <c r="AF155" s="34">
        <v>0</v>
      </c>
      <c r="AG155" s="34">
        <v>0</v>
      </c>
      <c r="AH155" s="34">
        <v>0</v>
      </c>
      <c r="AI155" s="34">
        <v>0</v>
      </c>
      <c r="AJ155" s="34">
        <v>0</v>
      </c>
    </row>
    <row r="156" spans="1:36" hidden="1" x14ac:dyDescent="0.25">
      <c r="A156" t="s">
        <v>1279</v>
      </c>
      <c r="B156" t="s">
        <v>514</v>
      </c>
      <c r="C156">
        <v>47128783</v>
      </c>
      <c r="D156" t="s">
        <v>1280</v>
      </c>
      <c r="G156" t="s">
        <v>1080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</row>
    <row r="157" spans="1:36" hidden="1" x14ac:dyDescent="0.25">
      <c r="A157" s="34" t="s">
        <v>1136</v>
      </c>
      <c r="B157" s="34" t="s">
        <v>514</v>
      </c>
      <c r="C157" s="34">
        <v>47128944</v>
      </c>
      <c r="D157" s="34" t="s">
        <v>1137</v>
      </c>
      <c r="E157" s="34"/>
      <c r="F157" s="34"/>
      <c r="G157" s="34" t="s">
        <v>1080</v>
      </c>
      <c r="H157" s="34"/>
      <c r="I157" s="34"/>
      <c r="J157" s="34"/>
      <c r="K157" s="34"/>
      <c r="L157" s="34"/>
      <c r="M157" s="34"/>
      <c r="N157" s="34"/>
      <c r="O157" s="34">
        <v>0</v>
      </c>
      <c r="P157" s="34">
        <v>0</v>
      </c>
      <c r="Q157" s="34">
        <v>0</v>
      </c>
      <c r="R157" s="34">
        <v>0</v>
      </c>
      <c r="S157" s="34">
        <v>0</v>
      </c>
      <c r="T157" s="34">
        <v>0</v>
      </c>
      <c r="U157" s="34">
        <v>0</v>
      </c>
      <c r="V157" s="34">
        <v>0</v>
      </c>
      <c r="W157" s="34">
        <v>0</v>
      </c>
      <c r="X157" s="34">
        <v>0</v>
      </c>
      <c r="Y157" s="34">
        <v>0</v>
      </c>
      <c r="Z157" s="34">
        <v>0</v>
      </c>
      <c r="AA157" s="34">
        <v>0</v>
      </c>
      <c r="AB157" s="34">
        <v>0</v>
      </c>
      <c r="AC157" s="34">
        <v>0</v>
      </c>
      <c r="AD157" s="34">
        <v>0</v>
      </c>
      <c r="AE157" s="34">
        <v>0</v>
      </c>
      <c r="AF157" s="34">
        <v>0</v>
      </c>
      <c r="AG157" s="34">
        <v>0</v>
      </c>
      <c r="AH157" s="34">
        <v>0</v>
      </c>
      <c r="AI157" s="34">
        <v>0</v>
      </c>
      <c r="AJ157" s="34">
        <v>0</v>
      </c>
    </row>
    <row r="158" spans="1:36" hidden="1" x14ac:dyDescent="0.25">
      <c r="A158" t="s">
        <v>1352</v>
      </c>
      <c r="B158" t="s">
        <v>514</v>
      </c>
      <c r="C158">
        <v>47129547</v>
      </c>
      <c r="D158" t="s">
        <v>1128</v>
      </c>
      <c r="G158" t="s">
        <v>1080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</row>
    <row r="159" spans="1:36" hidden="1" x14ac:dyDescent="0.25">
      <c r="A159" s="34" t="s">
        <v>1493</v>
      </c>
      <c r="B159" s="34" t="s">
        <v>514</v>
      </c>
      <c r="C159" s="34">
        <v>47128518</v>
      </c>
      <c r="D159" s="34" t="s">
        <v>1232</v>
      </c>
      <c r="E159" s="34"/>
      <c r="F159" s="34"/>
      <c r="G159" s="34" t="s">
        <v>1080</v>
      </c>
      <c r="H159" s="34"/>
      <c r="I159" s="34"/>
      <c r="J159" s="34"/>
      <c r="K159" s="34"/>
      <c r="L159" s="34"/>
      <c r="M159" s="34"/>
      <c r="N159" s="34"/>
      <c r="O159" s="34">
        <v>0</v>
      </c>
      <c r="P159" s="34">
        <v>0</v>
      </c>
      <c r="Q159" s="34">
        <v>0</v>
      </c>
      <c r="R159" s="34">
        <v>0</v>
      </c>
      <c r="S159" s="34">
        <v>0</v>
      </c>
      <c r="T159" s="34">
        <v>0</v>
      </c>
      <c r="U159" s="34">
        <v>0</v>
      </c>
      <c r="V159" s="34">
        <v>0</v>
      </c>
      <c r="W159" s="34">
        <v>0</v>
      </c>
      <c r="X159" s="34">
        <v>0</v>
      </c>
      <c r="Y159" s="34">
        <v>0</v>
      </c>
      <c r="Z159" s="34">
        <v>0</v>
      </c>
      <c r="AA159" s="34">
        <v>0</v>
      </c>
      <c r="AB159" s="34">
        <v>0</v>
      </c>
      <c r="AC159" s="34"/>
      <c r="AD159" s="34"/>
      <c r="AE159" s="34"/>
      <c r="AF159" s="34"/>
      <c r="AG159" s="34"/>
      <c r="AH159" s="34"/>
      <c r="AI159" s="34"/>
      <c r="AJ159" s="34"/>
    </row>
    <row r="160" spans="1:36" hidden="1" x14ac:dyDescent="0.25">
      <c r="A160" t="s">
        <v>1099</v>
      </c>
      <c r="B160" t="s">
        <v>514</v>
      </c>
      <c r="C160">
        <v>47128168</v>
      </c>
      <c r="D160" t="s">
        <v>1100</v>
      </c>
      <c r="G160" t="s">
        <v>1080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73</v>
      </c>
      <c r="X160">
        <v>0</v>
      </c>
      <c r="Y160">
        <v>0</v>
      </c>
      <c r="Z160">
        <v>0</v>
      </c>
      <c r="AA160">
        <v>0</v>
      </c>
      <c r="AB160">
        <v>70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</row>
    <row r="161" spans="1:36" hidden="1" x14ac:dyDescent="0.25">
      <c r="A161" s="34" t="s">
        <v>1152</v>
      </c>
      <c r="B161" s="34" t="s">
        <v>514</v>
      </c>
      <c r="C161" s="34">
        <v>47128687</v>
      </c>
      <c r="D161" s="34" t="s">
        <v>1153</v>
      </c>
      <c r="E161" s="34"/>
      <c r="F161" s="34"/>
      <c r="G161" s="34" t="s">
        <v>1080</v>
      </c>
      <c r="H161" s="34"/>
      <c r="I161" s="34"/>
      <c r="J161" s="34"/>
      <c r="K161" s="34"/>
      <c r="L161" s="34"/>
      <c r="M161" s="34"/>
      <c r="N161" s="34"/>
      <c r="O161" s="34">
        <v>0</v>
      </c>
      <c r="P161" s="34">
        <v>0</v>
      </c>
      <c r="Q161" s="34">
        <v>0</v>
      </c>
      <c r="R161" s="34">
        <v>0</v>
      </c>
      <c r="S161" s="34">
        <v>0</v>
      </c>
      <c r="T161" s="34">
        <v>0</v>
      </c>
      <c r="U161" s="34">
        <v>0</v>
      </c>
      <c r="V161" s="34">
        <v>0</v>
      </c>
      <c r="W161" s="34">
        <v>0</v>
      </c>
      <c r="X161" s="34">
        <v>142</v>
      </c>
      <c r="Y161" s="34">
        <v>0</v>
      </c>
      <c r="Z161" s="34">
        <v>0</v>
      </c>
      <c r="AA161" s="34">
        <v>0</v>
      </c>
      <c r="AB161" s="34">
        <v>0</v>
      </c>
      <c r="AC161" s="34"/>
      <c r="AD161" s="34"/>
      <c r="AE161" s="34"/>
      <c r="AF161" s="34"/>
      <c r="AG161" s="34"/>
      <c r="AH161" s="34"/>
      <c r="AI161" s="34"/>
      <c r="AJ161" s="34"/>
    </row>
    <row r="162" spans="1:36" hidden="1" x14ac:dyDescent="0.25">
      <c r="A162" t="s">
        <v>1140</v>
      </c>
      <c r="B162" t="s">
        <v>514</v>
      </c>
      <c r="C162">
        <v>47128585</v>
      </c>
      <c r="D162" t="s">
        <v>1141</v>
      </c>
      <c r="G162" t="s">
        <v>1080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100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</row>
    <row r="163" spans="1:36" hidden="1" x14ac:dyDescent="0.25">
      <c r="A163" s="34" t="s">
        <v>1348</v>
      </c>
      <c r="B163" s="34" t="s">
        <v>514</v>
      </c>
      <c r="C163" s="34">
        <v>47128906</v>
      </c>
      <c r="D163" s="34" t="s">
        <v>1349</v>
      </c>
      <c r="E163" s="34"/>
      <c r="F163" s="34"/>
      <c r="G163" s="34" t="s">
        <v>1080</v>
      </c>
      <c r="H163" s="34"/>
      <c r="I163" s="34"/>
      <c r="J163" s="34"/>
      <c r="K163" s="34"/>
      <c r="L163" s="34"/>
      <c r="M163" s="34"/>
      <c r="N163" s="34"/>
      <c r="O163" s="34">
        <v>0</v>
      </c>
      <c r="P163" s="34">
        <v>0</v>
      </c>
      <c r="Q163" s="34">
        <v>0</v>
      </c>
      <c r="R163" s="34">
        <v>0</v>
      </c>
      <c r="S163" s="34">
        <v>0</v>
      </c>
      <c r="T163" s="34">
        <v>0</v>
      </c>
      <c r="U163" s="34">
        <v>0</v>
      </c>
      <c r="V163" s="34">
        <v>0</v>
      </c>
      <c r="W163" s="34">
        <v>0</v>
      </c>
      <c r="X163" s="34">
        <v>0</v>
      </c>
      <c r="Y163" s="34">
        <v>0</v>
      </c>
      <c r="Z163" s="34">
        <v>0</v>
      </c>
      <c r="AA163" s="34">
        <v>0</v>
      </c>
      <c r="AB163" s="34">
        <v>0</v>
      </c>
      <c r="AC163" s="34">
        <v>0</v>
      </c>
      <c r="AD163" s="34">
        <v>0</v>
      </c>
      <c r="AE163" s="34">
        <v>0</v>
      </c>
      <c r="AF163" s="34">
        <v>0</v>
      </c>
      <c r="AG163" s="34">
        <v>0</v>
      </c>
      <c r="AH163" s="34">
        <v>0</v>
      </c>
      <c r="AI163" s="34">
        <v>0</v>
      </c>
      <c r="AJ163" s="34">
        <v>0</v>
      </c>
    </row>
    <row r="164" spans="1:36" hidden="1" x14ac:dyDescent="0.25">
      <c r="A164" t="s">
        <v>1408</v>
      </c>
      <c r="B164" t="s">
        <v>514</v>
      </c>
      <c r="C164">
        <v>47128585</v>
      </c>
      <c r="D164" t="s">
        <v>1141</v>
      </c>
      <c r="G164" t="s">
        <v>1080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</row>
    <row r="165" spans="1:36" hidden="1" x14ac:dyDescent="0.25">
      <c r="A165" s="34" t="s">
        <v>1231</v>
      </c>
      <c r="B165" s="34" t="s">
        <v>514</v>
      </c>
      <c r="C165" s="34">
        <v>47128518</v>
      </c>
      <c r="D165" s="34" t="s">
        <v>1232</v>
      </c>
      <c r="E165" s="34"/>
      <c r="F165" s="34"/>
      <c r="G165" s="34" t="s">
        <v>1080</v>
      </c>
      <c r="H165" s="34"/>
      <c r="I165" s="34"/>
      <c r="J165" s="34"/>
      <c r="K165" s="34"/>
      <c r="L165" s="34"/>
      <c r="M165" s="34"/>
      <c r="N165" s="34"/>
      <c r="O165" s="34">
        <v>0</v>
      </c>
      <c r="P165" s="34">
        <v>0</v>
      </c>
      <c r="Q165" s="34">
        <v>0</v>
      </c>
      <c r="R165" s="34">
        <v>0</v>
      </c>
      <c r="S165" s="34">
        <v>0</v>
      </c>
      <c r="T165" s="34">
        <v>0</v>
      </c>
      <c r="U165" s="34">
        <v>0</v>
      </c>
      <c r="V165" s="34">
        <v>0</v>
      </c>
      <c r="W165" s="34">
        <v>0</v>
      </c>
      <c r="X165" s="34">
        <v>0</v>
      </c>
      <c r="Y165" s="34">
        <v>0</v>
      </c>
      <c r="Z165" s="34">
        <v>0</v>
      </c>
      <c r="AA165" s="34">
        <v>0</v>
      </c>
      <c r="AB165" s="34">
        <v>0</v>
      </c>
      <c r="AC165" s="34">
        <v>0</v>
      </c>
      <c r="AD165" s="34">
        <v>0</v>
      </c>
      <c r="AE165" s="34">
        <v>0</v>
      </c>
      <c r="AF165" s="34">
        <v>0</v>
      </c>
      <c r="AG165" s="34">
        <v>0</v>
      </c>
      <c r="AH165" s="34">
        <v>0</v>
      </c>
      <c r="AI165" s="34">
        <v>0</v>
      </c>
      <c r="AJ165" s="34">
        <v>0</v>
      </c>
    </row>
    <row r="166" spans="1:36" hidden="1" x14ac:dyDescent="0.25">
      <c r="A166" t="s">
        <v>1283</v>
      </c>
      <c r="B166" t="s">
        <v>514</v>
      </c>
      <c r="C166">
        <v>47128680</v>
      </c>
      <c r="D166" t="s">
        <v>1284</v>
      </c>
      <c r="G166" t="s">
        <v>1080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</row>
    <row r="167" spans="1:36" hidden="1" x14ac:dyDescent="0.25">
      <c r="A167" s="34" t="s">
        <v>1107</v>
      </c>
      <c r="B167" s="34" t="s">
        <v>514</v>
      </c>
      <c r="C167" s="34">
        <v>47128024</v>
      </c>
      <c r="D167" s="34" t="s">
        <v>1108</v>
      </c>
      <c r="E167" s="34"/>
      <c r="F167" s="34"/>
      <c r="G167" s="34" t="s">
        <v>1080</v>
      </c>
      <c r="H167" s="34"/>
      <c r="I167" s="34"/>
      <c r="J167" s="34"/>
      <c r="K167" s="34"/>
      <c r="L167" s="34"/>
      <c r="M167" s="34"/>
      <c r="N167" s="34"/>
      <c r="O167" s="34">
        <v>0</v>
      </c>
      <c r="P167" s="34">
        <v>0</v>
      </c>
      <c r="Q167" s="34">
        <v>0</v>
      </c>
      <c r="R167" s="34">
        <v>0</v>
      </c>
      <c r="S167" s="34">
        <v>0</v>
      </c>
      <c r="T167" s="34">
        <v>0</v>
      </c>
      <c r="U167" s="34">
        <v>0</v>
      </c>
      <c r="V167" s="34">
        <v>0</v>
      </c>
      <c r="W167" s="34">
        <v>0</v>
      </c>
      <c r="X167" s="34">
        <v>0</v>
      </c>
      <c r="Y167" s="34">
        <v>0</v>
      </c>
      <c r="Z167" s="34">
        <v>0</v>
      </c>
      <c r="AA167" s="34">
        <v>0</v>
      </c>
      <c r="AB167" s="34">
        <v>0</v>
      </c>
      <c r="AC167" s="34">
        <v>0</v>
      </c>
      <c r="AD167" s="34">
        <v>0</v>
      </c>
      <c r="AE167" s="34">
        <v>0</v>
      </c>
      <c r="AF167" s="34">
        <v>0</v>
      </c>
      <c r="AG167" s="34">
        <v>0</v>
      </c>
      <c r="AH167" s="34">
        <v>0</v>
      </c>
      <c r="AI167" s="34">
        <v>0</v>
      </c>
      <c r="AJ167" s="34">
        <v>0</v>
      </c>
    </row>
    <row r="168" spans="1:36" hidden="1" x14ac:dyDescent="0.25">
      <c r="A168" t="s">
        <v>1513</v>
      </c>
      <c r="B168" t="s">
        <v>514</v>
      </c>
      <c r="C168">
        <v>47128944</v>
      </c>
      <c r="D168" t="s">
        <v>1137</v>
      </c>
      <c r="G168" t="s">
        <v>1080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</row>
    <row r="169" spans="1:36" hidden="1" x14ac:dyDescent="0.25">
      <c r="A169" s="34" t="s">
        <v>1076</v>
      </c>
      <c r="B169" s="34" t="s">
        <v>514</v>
      </c>
      <c r="C169" s="34">
        <v>47147546</v>
      </c>
      <c r="D169" s="34" t="s">
        <v>1077</v>
      </c>
      <c r="E169" s="34"/>
      <c r="F169" s="34"/>
      <c r="G169" s="34" t="s">
        <v>1080</v>
      </c>
      <c r="H169" s="34"/>
      <c r="I169" s="34"/>
      <c r="J169" s="34"/>
      <c r="K169" s="34"/>
      <c r="L169" s="34"/>
      <c r="M169" s="34"/>
      <c r="N169" s="34"/>
      <c r="O169" s="34">
        <v>0</v>
      </c>
      <c r="P169" s="34">
        <v>0</v>
      </c>
      <c r="Q169" s="34">
        <v>0</v>
      </c>
      <c r="R169" s="34">
        <v>0</v>
      </c>
      <c r="S169" s="34">
        <v>0</v>
      </c>
      <c r="T169" s="34">
        <v>0</v>
      </c>
      <c r="U169" s="34">
        <v>0</v>
      </c>
      <c r="V169" s="34">
        <v>0</v>
      </c>
      <c r="W169" s="34">
        <v>0</v>
      </c>
      <c r="X169" s="34">
        <v>0</v>
      </c>
      <c r="Y169" s="34">
        <v>0</v>
      </c>
      <c r="Z169" s="34">
        <v>0</v>
      </c>
      <c r="AA169" s="34">
        <v>0</v>
      </c>
      <c r="AB169" s="34">
        <v>0</v>
      </c>
      <c r="AC169" s="34">
        <v>0</v>
      </c>
      <c r="AD169" s="34">
        <v>0</v>
      </c>
      <c r="AE169" s="34">
        <v>0</v>
      </c>
      <c r="AF169" s="34">
        <v>0</v>
      </c>
      <c r="AG169" s="34">
        <v>0</v>
      </c>
      <c r="AH169" s="34">
        <v>0</v>
      </c>
      <c r="AI169" s="34">
        <v>0</v>
      </c>
      <c r="AJ169" s="34">
        <v>0</v>
      </c>
    </row>
    <row r="170" spans="1:36" hidden="1" x14ac:dyDescent="0.25">
      <c r="A170" t="s">
        <v>1156</v>
      </c>
      <c r="B170" t="s">
        <v>514</v>
      </c>
      <c r="C170">
        <v>47128346</v>
      </c>
      <c r="D170" t="s">
        <v>1157</v>
      </c>
      <c r="G170" t="s">
        <v>1080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</row>
    <row r="171" spans="1:36" hidden="1" x14ac:dyDescent="0.25">
      <c r="A171" s="34" t="s">
        <v>1144</v>
      </c>
      <c r="B171" s="34" t="s">
        <v>514</v>
      </c>
      <c r="C171" s="34">
        <v>47128800</v>
      </c>
      <c r="D171" s="34" t="s">
        <v>1145</v>
      </c>
      <c r="E171" s="34"/>
      <c r="F171" s="34"/>
      <c r="G171" s="34" t="s">
        <v>1080</v>
      </c>
      <c r="H171" s="34"/>
      <c r="I171" s="34"/>
      <c r="J171" s="34"/>
      <c r="K171" s="34"/>
      <c r="L171" s="34"/>
      <c r="M171" s="34"/>
      <c r="N171" s="34"/>
      <c r="O171" s="34">
        <v>0</v>
      </c>
      <c r="P171" s="34">
        <v>0</v>
      </c>
      <c r="Q171" s="34">
        <v>0</v>
      </c>
      <c r="R171" s="34">
        <v>0</v>
      </c>
      <c r="S171" s="34">
        <v>0</v>
      </c>
      <c r="T171" s="34">
        <v>0</v>
      </c>
      <c r="U171" s="34">
        <v>0</v>
      </c>
      <c r="V171" s="34">
        <v>0</v>
      </c>
      <c r="W171" s="34">
        <v>0</v>
      </c>
      <c r="X171" s="34">
        <v>0</v>
      </c>
      <c r="Y171" s="34">
        <v>0</v>
      </c>
      <c r="Z171" s="34">
        <v>0</v>
      </c>
      <c r="AA171" s="34">
        <v>0</v>
      </c>
      <c r="AB171" s="34">
        <v>0</v>
      </c>
      <c r="AC171" s="34">
        <v>0</v>
      </c>
      <c r="AD171" s="34">
        <v>0</v>
      </c>
      <c r="AE171" s="34">
        <v>0</v>
      </c>
      <c r="AF171" s="34">
        <v>0</v>
      </c>
      <c r="AG171" s="34">
        <v>0</v>
      </c>
      <c r="AH171" s="34">
        <v>0</v>
      </c>
      <c r="AI171" s="34">
        <v>0</v>
      </c>
      <c r="AJ171" s="34">
        <v>0</v>
      </c>
    </row>
    <row r="172" spans="1:36" hidden="1" x14ac:dyDescent="0.25">
      <c r="A172" t="s">
        <v>1335</v>
      </c>
      <c r="B172" t="s">
        <v>514</v>
      </c>
      <c r="C172">
        <v>47128109</v>
      </c>
      <c r="D172" t="s">
        <v>1336</v>
      </c>
      <c r="G172" t="s">
        <v>1080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</row>
    <row r="173" spans="1:36" hidden="1" x14ac:dyDescent="0.25">
      <c r="A173" s="34" t="s">
        <v>1400</v>
      </c>
      <c r="B173" s="34" t="s">
        <v>514</v>
      </c>
      <c r="C173" s="34">
        <v>47128430</v>
      </c>
      <c r="D173" s="34" t="s">
        <v>1401</v>
      </c>
      <c r="E173" s="34"/>
      <c r="F173" s="34"/>
      <c r="G173" s="34" t="s">
        <v>1080</v>
      </c>
      <c r="H173" s="34"/>
      <c r="I173" s="34"/>
      <c r="J173" s="34"/>
      <c r="K173" s="34"/>
      <c r="L173" s="34"/>
      <c r="M173" s="34"/>
      <c r="N173" s="34"/>
      <c r="O173" s="34">
        <v>0</v>
      </c>
      <c r="P173" s="34">
        <v>0</v>
      </c>
      <c r="Q173" s="34">
        <v>0</v>
      </c>
      <c r="R173" s="34">
        <v>0</v>
      </c>
      <c r="S173" s="34">
        <v>0</v>
      </c>
      <c r="T173" s="34">
        <v>0</v>
      </c>
      <c r="U173" s="34">
        <v>0</v>
      </c>
      <c r="V173" s="34">
        <v>0</v>
      </c>
      <c r="W173" s="34">
        <v>0</v>
      </c>
      <c r="X173" s="34">
        <v>0</v>
      </c>
      <c r="Y173" s="34">
        <v>0</v>
      </c>
      <c r="Z173" s="34">
        <v>0</v>
      </c>
      <c r="AA173" s="34">
        <v>0</v>
      </c>
      <c r="AB173" s="34">
        <v>0</v>
      </c>
      <c r="AC173" s="34">
        <v>0</v>
      </c>
      <c r="AD173" s="34">
        <v>0</v>
      </c>
      <c r="AE173" s="34">
        <v>0</v>
      </c>
      <c r="AF173" s="34">
        <v>0</v>
      </c>
      <c r="AG173" s="34">
        <v>0</v>
      </c>
      <c r="AH173" s="34">
        <v>0</v>
      </c>
      <c r="AI173" s="34">
        <v>0</v>
      </c>
      <c r="AJ173" s="34">
        <v>0</v>
      </c>
    </row>
    <row r="174" spans="1:36" hidden="1" x14ac:dyDescent="0.25">
      <c r="A174" t="s">
        <v>1085</v>
      </c>
      <c r="B174" t="s">
        <v>514</v>
      </c>
      <c r="C174">
        <v>47128421</v>
      </c>
      <c r="D174" t="s">
        <v>1086</v>
      </c>
      <c r="G174" t="s">
        <v>1043</v>
      </c>
      <c r="O174">
        <v>0</v>
      </c>
      <c r="P174">
        <v>0</v>
      </c>
      <c r="Q174">
        <v>0</v>
      </c>
      <c r="R174">
        <v>0</v>
      </c>
      <c r="S174">
        <v>20</v>
      </c>
      <c r="T174">
        <v>20</v>
      </c>
      <c r="U174">
        <v>26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</row>
    <row r="175" spans="1:36" hidden="1" x14ac:dyDescent="0.25">
      <c r="A175" s="34" t="s">
        <v>1263</v>
      </c>
      <c r="B175" s="34" t="s">
        <v>514</v>
      </c>
      <c r="C175" s="34">
        <v>47128364</v>
      </c>
      <c r="D175" s="34" t="s">
        <v>1264</v>
      </c>
      <c r="E175" s="34"/>
      <c r="F175" s="34"/>
      <c r="G175" s="34" t="s">
        <v>1043</v>
      </c>
      <c r="H175" s="34"/>
      <c r="I175" s="34"/>
      <c r="J175" s="34"/>
      <c r="K175" s="34"/>
      <c r="L175" s="34"/>
      <c r="M175" s="34"/>
      <c r="N175" s="34"/>
      <c r="O175" s="34">
        <v>0</v>
      </c>
      <c r="P175" s="34">
        <v>0</v>
      </c>
      <c r="Q175" s="34">
        <v>0</v>
      </c>
      <c r="R175" s="34">
        <v>0</v>
      </c>
      <c r="S175" s="34">
        <v>0</v>
      </c>
      <c r="T175" s="34">
        <v>0</v>
      </c>
      <c r="U175" s="34">
        <v>0</v>
      </c>
      <c r="V175" s="34">
        <v>20</v>
      </c>
      <c r="W175" s="34">
        <v>20</v>
      </c>
      <c r="X175" s="34">
        <v>0</v>
      </c>
      <c r="Y175" s="34">
        <v>0</v>
      </c>
      <c r="Z175" s="34">
        <v>20</v>
      </c>
      <c r="AA175" s="34">
        <v>20</v>
      </c>
      <c r="AB175" s="34">
        <v>0</v>
      </c>
      <c r="AC175" s="34"/>
      <c r="AD175" s="34"/>
      <c r="AE175" s="34"/>
      <c r="AF175" s="34"/>
      <c r="AG175" s="34"/>
      <c r="AH175" s="34"/>
      <c r="AI175" s="34"/>
      <c r="AJ175" s="34"/>
    </row>
    <row r="176" spans="1:36" hidden="1" x14ac:dyDescent="0.25">
      <c r="A176" t="s">
        <v>1200</v>
      </c>
      <c r="B176" t="s">
        <v>514</v>
      </c>
      <c r="C176">
        <v>47128706</v>
      </c>
      <c r="D176" t="s">
        <v>1201</v>
      </c>
      <c r="G176" t="s">
        <v>1043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16</v>
      </c>
      <c r="AD176">
        <v>16</v>
      </c>
      <c r="AE176">
        <v>0</v>
      </c>
      <c r="AF176">
        <v>0</v>
      </c>
    </row>
    <row r="177" spans="1:36" hidden="1" x14ac:dyDescent="0.25">
      <c r="A177" s="34" t="s">
        <v>1216</v>
      </c>
      <c r="B177" s="34" t="s">
        <v>514</v>
      </c>
      <c r="C177" s="34">
        <v>47133720</v>
      </c>
      <c r="D177" s="34" t="s">
        <v>1217</v>
      </c>
      <c r="E177" s="34"/>
      <c r="F177" s="34"/>
      <c r="G177" s="34" t="s">
        <v>1489</v>
      </c>
      <c r="H177" s="34"/>
      <c r="I177" s="34"/>
      <c r="J177" s="34"/>
      <c r="K177" s="34"/>
      <c r="L177" s="34"/>
      <c r="M177" s="34"/>
      <c r="N177" s="34"/>
      <c r="O177" s="34">
        <v>0</v>
      </c>
      <c r="P177" s="34">
        <v>0</v>
      </c>
      <c r="Q177" s="34">
        <v>0</v>
      </c>
      <c r="R177" s="34">
        <v>0</v>
      </c>
      <c r="S177" s="34">
        <v>0</v>
      </c>
      <c r="T177" s="34">
        <v>0</v>
      </c>
      <c r="U177" s="34">
        <v>0</v>
      </c>
      <c r="V177" s="34">
        <v>0</v>
      </c>
      <c r="W177" s="34">
        <v>0</v>
      </c>
      <c r="X177" s="34">
        <v>0</v>
      </c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</row>
    <row r="178" spans="1:36" hidden="1" x14ac:dyDescent="0.25">
      <c r="A178" t="s">
        <v>1246</v>
      </c>
      <c r="B178" t="s">
        <v>514</v>
      </c>
      <c r="C178">
        <v>47127948</v>
      </c>
      <c r="D178" t="s">
        <v>1247</v>
      </c>
      <c r="G178" t="s">
        <v>1489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60</v>
      </c>
      <c r="V178">
        <v>60</v>
      </c>
      <c r="W178">
        <v>40</v>
      </c>
      <c r="X178">
        <v>40</v>
      </c>
      <c r="Y178">
        <v>0</v>
      </c>
      <c r="Z178">
        <v>60</v>
      </c>
      <c r="AA178">
        <v>0</v>
      </c>
      <c r="AB178">
        <v>0</v>
      </c>
    </row>
    <row r="179" spans="1:36" x14ac:dyDescent="0.25">
      <c r="A179" s="34" t="s">
        <v>1085</v>
      </c>
      <c r="B179" s="34" t="s">
        <v>514</v>
      </c>
      <c r="C179" s="34">
        <v>47128421</v>
      </c>
      <c r="D179" s="34" t="s">
        <v>1086</v>
      </c>
      <c r="E179" s="34"/>
      <c r="F179" s="34"/>
      <c r="G179" s="34" t="s">
        <v>916</v>
      </c>
      <c r="H179" s="34"/>
      <c r="I179" s="34"/>
      <c r="J179" s="34"/>
      <c r="K179" s="34"/>
      <c r="L179" s="34"/>
      <c r="M179" s="34"/>
      <c r="N179" s="34"/>
      <c r="O179" s="34">
        <v>40</v>
      </c>
      <c r="P179" s="34">
        <v>40</v>
      </c>
      <c r="Q179" s="34">
        <v>40</v>
      </c>
      <c r="R179" s="34">
        <v>40</v>
      </c>
      <c r="S179" s="34">
        <v>32</v>
      </c>
      <c r="T179" s="34">
        <v>70</v>
      </c>
      <c r="U179" s="34">
        <v>70</v>
      </c>
      <c r="V179" s="34">
        <v>0</v>
      </c>
      <c r="W179" s="34">
        <v>0</v>
      </c>
      <c r="X179" s="34">
        <v>0</v>
      </c>
      <c r="Y179" s="34">
        <v>0</v>
      </c>
      <c r="Z179" s="34">
        <v>0</v>
      </c>
      <c r="AA179" s="34">
        <v>0</v>
      </c>
      <c r="AB179" s="34">
        <v>0</v>
      </c>
      <c r="AC179" s="34"/>
      <c r="AD179" s="34"/>
      <c r="AE179" s="34"/>
      <c r="AF179" s="34"/>
      <c r="AG179" s="34"/>
      <c r="AH179" s="34"/>
      <c r="AI179" s="34"/>
      <c r="AJ179" s="34"/>
    </row>
    <row r="180" spans="1:36" x14ac:dyDescent="0.25">
      <c r="A180" t="s">
        <v>1200</v>
      </c>
      <c r="B180" t="s">
        <v>514</v>
      </c>
      <c r="C180">
        <v>47128706</v>
      </c>
      <c r="D180" t="s">
        <v>1201</v>
      </c>
      <c r="G180" t="s">
        <v>916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70</v>
      </c>
      <c r="AD180">
        <v>70</v>
      </c>
      <c r="AE180">
        <v>18</v>
      </c>
      <c r="AF180">
        <v>0</v>
      </c>
    </row>
    <row r="181" spans="1:36" x14ac:dyDescent="0.25">
      <c r="A181" s="34" t="s">
        <v>1263</v>
      </c>
      <c r="B181" s="34" t="s">
        <v>514</v>
      </c>
      <c r="C181" s="34">
        <v>47128364</v>
      </c>
      <c r="D181" s="34" t="s">
        <v>1264</v>
      </c>
      <c r="E181" s="34"/>
      <c r="F181" s="34"/>
      <c r="G181" s="34" t="s">
        <v>916</v>
      </c>
      <c r="H181" s="34"/>
      <c r="I181" s="34"/>
      <c r="J181" s="34"/>
      <c r="K181" s="34"/>
      <c r="L181" s="34"/>
      <c r="M181" s="34"/>
      <c r="N181" s="34"/>
      <c r="O181" s="34">
        <v>0</v>
      </c>
      <c r="P181" s="34">
        <v>0</v>
      </c>
      <c r="Q181" s="34">
        <v>0</v>
      </c>
      <c r="R181" s="34">
        <v>0</v>
      </c>
      <c r="S181" s="34">
        <v>0</v>
      </c>
      <c r="T181" s="34">
        <v>0</v>
      </c>
      <c r="U181" s="34">
        <v>0</v>
      </c>
      <c r="V181" s="34">
        <v>70</v>
      </c>
      <c r="W181" s="34">
        <v>70</v>
      </c>
      <c r="X181" s="34">
        <v>45</v>
      </c>
      <c r="Y181" s="34">
        <v>0</v>
      </c>
      <c r="Z181" s="34">
        <v>70</v>
      </c>
      <c r="AA181" s="34">
        <v>70</v>
      </c>
      <c r="AB181" s="34">
        <v>70</v>
      </c>
      <c r="AC181" s="34">
        <v>21</v>
      </c>
      <c r="AD181" s="34">
        <v>0</v>
      </c>
      <c r="AE181" s="34">
        <v>0</v>
      </c>
      <c r="AF181" s="34">
        <v>0</v>
      </c>
      <c r="AG181" s="34"/>
      <c r="AH181" s="34"/>
      <c r="AI181" s="34"/>
      <c r="AJ181" s="34"/>
    </row>
    <row r="182" spans="1:36" x14ac:dyDescent="0.25">
      <c r="A182" t="s">
        <v>1163</v>
      </c>
      <c r="B182" t="s">
        <v>514</v>
      </c>
      <c r="C182">
        <v>47128633</v>
      </c>
      <c r="D182" t="s">
        <v>1164</v>
      </c>
      <c r="G182" t="s">
        <v>916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52</v>
      </c>
      <c r="AF182">
        <v>0</v>
      </c>
    </row>
    <row r="183" spans="1:36" x14ac:dyDescent="0.25">
      <c r="A183" s="34" t="s">
        <v>1388</v>
      </c>
      <c r="B183" s="34" t="s">
        <v>514</v>
      </c>
      <c r="C183" s="34">
        <v>47128046</v>
      </c>
      <c r="D183" s="34" t="s">
        <v>1389</v>
      </c>
      <c r="E183" s="34"/>
      <c r="F183" s="34"/>
      <c r="G183" s="34" t="s">
        <v>916</v>
      </c>
      <c r="H183" s="34"/>
      <c r="I183" s="34"/>
      <c r="J183" s="34"/>
      <c r="K183" s="34"/>
      <c r="L183" s="34"/>
      <c r="M183" s="34"/>
      <c r="N183" s="34"/>
      <c r="O183" s="34">
        <v>0</v>
      </c>
      <c r="P183" s="34">
        <v>0</v>
      </c>
      <c r="Q183" s="34">
        <v>0</v>
      </c>
      <c r="R183" s="34">
        <v>0</v>
      </c>
      <c r="S183" s="34">
        <v>0</v>
      </c>
      <c r="T183" s="34">
        <v>0</v>
      </c>
      <c r="U183" s="34">
        <v>0</v>
      </c>
      <c r="V183" s="34">
        <v>0</v>
      </c>
      <c r="W183" s="34">
        <v>0</v>
      </c>
      <c r="X183" s="34">
        <v>0</v>
      </c>
      <c r="Y183" s="34">
        <v>0</v>
      </c>
      <c r="Z183" s="34">
        <v>0</v>
      </c>
      <c r="AA183" s="34">
        <v>0</v>
      </c>
      <c r="AB183" s="34">
        <v>0</v>
      </c>
      <c r="AC183" s="34">
        <v>0</v>
      </c>
      <c r="AD183" s="34">
        <v>0</v>
      </c>
      <c r="AE183" s="34">
        <v>0</v>
      </c>
      <c r="AF183" s="34">
        <v>70</v>
      </c>
      <c r="AG183" s="34">
        <v>24</v>
      </c>
      <c r="AH183" s="34">
        <v>0</v>
      </c>
      <c r="AI183" s="34">
        <v>0</v>
      </c>
      <c r="AJ183" s="34">
        <v>0</v>
      </c>
    </row>
    <row r="184" spans="1:36" hidden="1" x14ac:dyDescent="0.25">
      <c r="A184" t="s">
        <v>1253</v>
      </c>
      <c r="B184" t="s">
        <v>514</v>
      </c>
      <c r="C184">
        <v>47128490</v>
      </c>
      <c r="D184" t="s">
        <v>1254</v>
      </c>
      <c r="G184" t="s">
        <v>1044</v>
      </c>
      <c r="O184">
        <v>40</v>
      </c>
      <c r="P184">
        <v>0</v>
      </c>
      <c r="Q184">
        <v>4</v>
      </c>
      <c r="R184">
        <v>0</v>
      </c>
      <c r="S184">
        <v>0</v>
      </c>
    </row>
    <row r="185" spans="1:36" hidden="1" x14ac:dyDescent="0.25">
      <c r="A185" s="34" t="s">
        <v>1246</v>
      </c>
      <c r="B185" s="34" t="s">
        <v>514</v>
      </c>
      <c r="C185" s="34">
        <v>47127948</v>
      </c>
      <c r="D185" s="34" t="s">
        <v>1247</v>
      </c>
      <c r="E185" s="34"/>
      <c r="F185" s="34"/>
      <c r="G185" s="34" t="s">
        <v>1044</v>
      </c>
      <c r="H185" s="34"/>
      <c r="I185" s="34"/>
      <c r="J185" s="34"/>
      <c r="K185" s="34"/>
      <c r="L185" s="34"/>
      <c r="M185" s="34"/>
      <c r="N185" s="34"/>
      <c r="O185" s="34">
        <v>0</v>
      </c>
      <c r="P185" s="34">
        <v>0</v>
      </c>
      <c r="Q185" s="34">
        <v>0</v>
      </c>
      <c r="R185" s="34">
        <v>0</v>
      </c>
      <c r="S185" s="34">
        <v>0</v>
      </c>
      <c r="T185" s="34">
        <v>0</v>
      </c>
      <c r="U185" s="34">
        <v>60</v>
      </c>
      <c r="V185" s="34">
        <v>60</v>
      </c>
      <c r="W185" s="34">
        <v>60</v>
      </c>
      <c r="X185" s="34">
        <v>44</v>
      </c>
      <c r="Y185" s="34">
        <v>0</v>
      </c>
      <c r="Z185" s="34">
        <v>60</v>
      </c>
      <c r="AA185" s="34">
        <v>20</v>
      </c>
      <c r="AB185" s="34">
        <v>0</v>
      </c>
      <c r="AC185" s="34">
        <v>30</v>
      </c>
      <c r="AD185" s="34">
        <v>20</v>
      </c>
      <c r="AE185" s="34">
        <v>20</v>
      </c>
      <c r="AF185" s="34">
        <v>0</v>
      </c>
      <c r="AG185" s="34">
        <v>0</v>
      </c>
      <c r="AH185" s="34">
        <v>0</v>
      </c>
      <c r="AI185" s="34">
        <v>0</v>
      </c>
      <c r="AJ185" s="34">
        <v>0</v>
      </c>
    </row>
    <row r="186" spans="1:36" hidden="1" x14ac:dyDescent="0.25">
      <c r="A186" t="s">
        <v>1188</v>
      </c>
      <c r="B186" t="s">
        <v>514</v>
      </c>
      <c r="C186">
        <v>47128710</v>
      </c>
      <c r="D186" t="s">
        <v>1189</v>
      </c>
      <c r="G186" t="s">
        <v>1044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12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</row>
    <row r="187" spans="1:36" hidden="1" x14ac:dyDescent="0.25">
      <c r="A187" s="34" t="s">
        <v>1192</v>
      </c>
      <c r="B187" s="34" t="s">
        <v>514</v>
      </c>
      <c r="C187" s="34">
        <v>47128833</v>
      </c>
      <c r="D187" s="34" t="s">
        <v>1193</v>
      </c>
      <c r="E187" s="34"/>
      <c r="F187" s="34"/>
      <c r="G187" s="34" t="s">
        <v>1044</v>
      </c>
      <c r="H187" s="34"/>
      <c r="I187" s="34"/>
      <c r="J187" s="34"/>
      <c r="K187" s="34"/>
      <c r="L187" s="34"/>
      <c r="M187" s="34"/>
      <c r="N187" s="34"/>
      <c r="O187" s="34">
        <v>0</v>
      </c>
      <c r="P187" s="34">
        <v>0</v>
      </c>
      <c r="Q187" s="34">
        <v>20</v>
      </c>
      <c r="R187" s="34">
        <v>40</v>
      </c>
      <c r="S187" s="34">
        <v>20</v>
      </c>
      <c r="T187" s="34">
        <v>0</v>
      </c>
      <c r="U187" s="34">
        <v>0</v>
      </c>
      <c r="V187" s="34">
        <v>0</v>
      </c>
      <c r="W187" s="34">
        <v>0</v>
      </c>
      <c r="X187" s="34">
        <v>0</v>
      </c>
      <c r="Y187" s="34">
        <v>0</v>
      </c>
      <c r="Z187" s="34">
        <v>0</v>
      </c>
      <c r="AA187" s="34">
        <v>0</v>
      </c>
      <c r="AB187" s="34">
        <v>0</v>
      </c>
      <c r="AC187" s="34"/>
      <c r="AD187" s="34"/>
      <c r="AE187" s="34"/>
      <c r="AF187" s="34"/>
      <c r="AG187" s="34"/>
      <c r="AH187" s="34"/>
      <c r="AI187" s="34"/>
      <c r="AJ187" s="34"/>
    </row>
    <row r="188" spans="1:36" hidden="1" x14ac:dyDescent="0.25">
      <c r="A188" t="s">
        <v>1425</v>
      </c>
      <c r="B188" t="s">
        <v>514</v>
      </c>
      <c r="C188">
        <v>47128784</v>
      </c>
      <c r="D188" t="s">
        <v>1426</v>
      </c>
      <c r="G188" t="s">
        <v>1044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</row>
    <row r="189" spans="1:36" hidden="1" x14ac:dyDescent="0.25">
      <c r="A189" s="34" t="s">
        <v>1000</v>
      </c>
      <c r="B189" s="34" t="s">
        <v>514</v>
      </c>
      <c r="C189" s="34">
        <v>47128525</v>
      </c>
      <c r="D189" s="34" t="s">
        <v>1001</v>
      </c>
      <c r="E189" s="34"/>
      <c r="F189" s="34"/>
      <c r="G189" s="34" t="s">
        <v>1090</v>
      </c>
      <c r="H189" s="34"/>
      <c r="I189" s="34"/>
      <c r="J189" s="34"/>
      <c r="K189" s="34"/>
      <c r="L189" s="34"/>
      <c r="M189" s="34"/>
      <c r="N189" s="34"/>
      <c r="O189" s="34">
        <v>0</v>
      </c>
      <c r="P189" s="34">
        <v>0</v>
      </c>
      <c r="Q189" s="34">
        <v>22</v>
      </c>
      <c r="R189" s="34">
        <v>25</v>
      </c>
      <c r="S189" s="34">
        <v>13</v>
      </c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</row>
    <row r="190" spans="1:36" x14ac:dyDescent="0.25">
      <c r="A190" t="s">
        <v>1085</v>
      </c>
      <c r="B190" t="s">
        <v>514</v>
      </c>
      <c r="C190">
        <v>47128421</v>
      </c>
      <c r="D190" t="s">
        <v>1086</v>
      </c>
      <c r="G190" t="s">
        <v>1089</v>
      </c>
      <c r="O190">
        <v>40</v>
      </c>
      <c r="P190">
        <v>40</v>
      </c>
      <c r="Q190">
        <v>40</v>
      </c>
      <c r="R190">
        <v>40</v>
      </c>
      <c r="S190">
        <v>32</v>
      </c>
      <c r="T190">
        <v>70</v>
      </c>
      <c r="U190">
        <v>70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</row>
    <row r="191" spans="1:36" x14ac:dyDescent="0.25">
      <c r="A191" s="34" t="s">
        <v>1200</v>
      </c>
      <c r="B191" s="34" t="s">
        <v>514</v>
      </c>
      <c r="C191" s="34">
        <v>47128706</v>
      </c>
      <c r="D191" s="34" t="s">
        <v>1201</v>
      </c>
      <c r="E191" s="34"/>
      <c r="F191" s="34"/>
      <c r="G191" s="34" t="s">
        <v>1089</v>
      </c>
      <c r="H191" s="34"/>
      <c r="I191" s="34"/>
      <c r="J191" s="34"/>
      <c r="K191" s="34"/>
      <c r="L191" s="34"/>
      <c r="M191" s="34"/>
      <c r="N191" s="34"/>
      <c r="O191" s="34">
        <v>0</v>
      </c>
      <c r="P191" s="34">
        <v>0</v>
      </c>
      <c r="Q191" s="34">
        <v>0</v>
      </c>
      <c r="R191" s="34">
        <v>0</v>
      </c>
      <c r="S191" s="34">
        <v>0</v>
      </c>
      <c r="T191" s="34">
        <v>0</v>
      </c>
      <c r="U191" s="34">
        <v>0</v>
      </c>
      <c r="V191" s="34">
        <v>0</v>
      </c>
      <c r="W191" s="34">
        <v>0</v>
      </c>
      <c r="X191" s="34">
        <v>0</v>
      </c>
      <c r="Y191" s="34">
        <v>0</v>
      </c>
      <c r="Z191" s="34">
        <v>0</v>
      </c>
      <c r="AA191" s="34">
        <v>0</v>
      </c>
      <c r="AB191" s="34">
        <v>0</v>
      </c>
      <c r="AC191" s="34">
        <v>70</v>
      </c>
      <c r="AD191" s="34">
        <v>70</v>
      </c>
      <c r="AE191" s="34">
        <v>70</v>
      </c>
      <c r="AF191" s="34">
        <v>0</v>
      </c>
      <c r="AG191" s="34"/>
      <c r="AH191" s="34"/>
      <c r="AI191" s="34"/>
      <c r="AJ191" s="34"/>
    </row>
    <row r="192" spans="1:36" x14ac:dyDescent="0.25">
      <c r="A192" t="s">
        <v>1263</v>
      </c>
      <c r="B192" t="s">
        <v>514</v>
      </c>
      <c r="C192">
        <v>47128364</v>
      </c>
      <c r="D192" t="s">
        <v>1264</v>
      </c>
      <c r="G192" t="s">
        <v>1089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70</v>
      </c>
      <c r="W192">
        <v>70</v>
      </c>
      <c r="X192">
        <v>45</v>
      </c>
      <c r="Y192">
        <v>0</v>
      </c>
      <c r="Z192">
        <v>70</v>
      </c>
      <c r="AA192">
        <v>70</v>
      </c>
      <c r="AB192">
        <v>70</v>
      </c>
      <c r="AC192">
        <v>65</v>
      </c>
      <c r="AD192">
        <v>0</v>
      </c>
      <c r="AE192">
        <v>0</v>
      </c>
      <c r="AF192">
        <v>0</v>
      </c>
    </row>
    <row r="193" spans="1:36" x14ac:dyDescent="0.25">
      <c r="A193" s="34" t="s">
        <v>1163</v>
      </c>
      <c r="B193" s="34" t="s">
        <v>514</v>
      </c>
      <c r="C193" s="34">
        <v>47128633</v>
      </c>
      <c r="D193" s="34" t="s">
        <v>1164</v>
      </c>
      <c r="E193" s="34"/>
      <c r="F193" s="34"/>
      <c r="G193" s="34" t="s">
        <v>1089</v>
      </c>
      <c r="H193" s="34"/>
      <c r="I193" s="34"/>
      <c r="J193" s="34"/>
      <c r="K193" s="34"/>
      <c r="L193" s="34"/>
      <c r="M193" s="34"/>
      <c r="N193" s="34"/>
      <c r="O193" s="34">
        <v>0</v>
      </c>
      <c r="P193" s="34">
        <v>0</v>
      </c>
      <c r="Q193" s="34">
        <v>0</v>
      </c>
      <c r="R193" s="34">
        <v>0</v>
      </c>
      <c r="S193" s="34">
        <v>0</v>
      </c>
      <c r="T193" s="34">
        <v>0</v>
      </c>
      <c r="U193" s="34">
        <v>0</v>
      </c>
      <c r="V193" s="34">
        <v>0</v>
      </c>
      <c r="W193" s="34">
        <v>0</v>
      </c>
      <c r="X193" s="34">
        <v>0</v>
      </c>
      <c r="Y193" s="34">
        <v>0</v>
      </c>
      <c r="Z193" s="34">
        <v>0</v>
      </c>
      <c r="AA193" s="34">
        <v>0</v>
      </c>
      <c r="AB193" s="34">
        <v>0</v>
      </c>
      <c r="AC193" s="34">
        <v>0</v>
      </c>
      <c r="AD193" s="34">
        <v>0</v>
      </c>
      <c r="AE193" s="34">
        <v>0</v>
      </c>
      <c r="AF193" s="34">
        <v>40</v>
      </c>
      <c r="AG193" s="34"/>
      <c r="AH193" s="34"/>
      <c r="AI193" s="34"/>
      <c r="AJ193" s="34"/>
    </row>
    <row r="194" spans="1:36" x14ac:dyDescent="0.25">
      <c r="A194" t="s">
        <v>1388</v>
      </c>
      <c r="B194" t="s">
        <v>514</v>
      </c>
      <c r="C194">
        <v>47128046</v>
      </c>
      <c r="D194" t="s">
        <v>1389</v>
      </c>
      <c r="G194" t="s">
        <v>1089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20</v>
      </c>
      <c r="AG194">
        <v>24</v>
      </c>
      <c r="AH194">
        <v>0</v>
      </c>
      <c r="AI194">
        <v>0</v>
      </c>
      <c r="AJ194">
        <v>0</v>
      </c>
    </row>
    <row r="195" spans="1:36" hidden="1" x14ac:dyDescent="0.25">
      <c r="A195" s="34" t="s">
        <v>1253</v>
      </c>
      <c r="B195" s="34" t="s">
        <v>514</v>
      </c>
      <c r="C195" s="34">
        <v>47128490</v>
      </c>
      <c r="D195" s="34" t="s">
        <v>1254</v>
      </c>
      <c r="E195" s="34"/>
      <c r="F195" s="34"/>
      <c r="G195" s="34" t="s">
        <v>5437</v>
      </c>
      <c r="H195" s="34"/>
      <c r="I195" s="34"/>
      <c r="J195" s="34"/>
      <c r="K195" s="34"/>
      <c r="L195" s="34"/>
      <c r="M195" s="34"/>
      <c r="N195" s="34"/>
      <c r="O195" s="34">
        <v>0</v>
      </c>
      <c r="P195" s="34">
        <v>40</v>
      </c>
      <c r="Q195" s="34">
        <v>20</v>
      </c>
      <c r="R195" s="34">
        <v>0</v>
      </c>
      <c r="S195" s="34">
        <v>0</v>
      </c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</row>
    <row r="196" spans="1:36" hidden="1" x14ac:dyDescent="0.25">
      <c r="A196" t="s">
        <v>1246</v>
      </c>
      <c r="B196" t="s">
        <v>514</v>
      </c>
      <c r="C196">
        <v>47127948</v>
      </c>
      <c r="D196" t="s">
        <v>1247</v>
      </c>
      <c r="G196" t="s">
        <v>5437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60</v>
      </c>
      <c r="V196">
        <v>60</v>
      </c>
      <c r="W196">
        <v>60</v>
      </c>
      <c r="X196">
        <v>40</v>
      </c>
      <c r="Y196">
        <v>0</v>
      </c>
      <c r="Z196">
        <v>60</v>
      </c>
      <c r="AA196">
        <v>40</v>
      </c>
      <c r="AB196">
        <v>0</v>
      </c>
      <c r="AC196">
        <v>60</v>
      </c>
      <c r="AD196">
        <v>60</v>
      </c>
      <c r="AE196">
        <v>60</v>
      </c>
      <c r="AF196">
        <v>0</v>
      </c>
      <c r="AG196">
        <v>0</v>
      </c>
      <c r="AH196">
        <v>0</v>
      </c>
      <c r="AI196">
        <v>0</v>
      </c>
      <c r="AJ196">
        <v>40</v>
      </c>
    </row>
    <row r="197" spans="1:36" hidden="1" x14ac:dyDescent="0.25">
      <c r="A197" s="34" t="s">
        <v>1188</v>
      </c>
      <c r="B197" s="34" t="s">
        <v>514</v>
      </c>
      <c r="C197" s="34">
        <v>47128710</v>
      </c>
      <c r="D197" s="34" t="s">
        <v>1189</v>
      </c>
      <c r="E197" s="34"/>
      <c r="F197" s="34"/>
      <c r="G197" s="34" t="s">
        <v>5437</v>
      </c>
      <c r="H197" s="34"/>
      <c r="I197" s="34"/>
      <c r="J197" s="34"/>
      <c r="K197" s="34"/>
      <c r="L197" s="34"/>
      <c r="M197" s="34"/>
      <c r="N197" s="34"/>
      <c r="O197" s="34">
        <v>0</v>
      </c>
      <c r="P197" s="34">
        <v>0</v>
      </c>
      <c r="Q197" s="34">
        <v>0</v>
      </c>
      <c r="R197" s="34">
        <v>0</v>
      </c>
      <c r="S197" s="34">
        <v>0</v>
      </c>
      <c r="T197" s="34">
        <v>0</v>
      </c>
      <c r="U197" s="34">
        <v>0</v>
      </c>
      <c r="V197" s="34">
        <v>0</v>
      </c>
      <c r="W197" s="34">
        <v>0</v>
      </c>
      <c r="X197" s="34">
        <v>0</v>
      </c>
      <c r="Y197" s="34">
        <v>0</v>
      </c>
      <c r="Z197" s="34">
        <v>0</v>
      </c>
      <c r="AA197" s="34">
        <v>0</v>
      </c>
      <c r="AB197" s="34">
        <v>0</v>
      </c>
      <c r="AC197" s="34"/>
      <c r="AD197" s="34"/>
      <c r="AE197" s="34"/>
      <c r="AF197" s="34"/>
      <c r="AG197" s="34"/>
      <c r="AH197" s="34"/>
      <c r="AI197" s="34"/>
      <c r="AJ197" s="34"/>
    </row>
    <row r="198" spans="1:36" hidden="1" x14ac:dyDescent="0.25">
      <c r="A198" t="s">
        <v>1192</v>
      </c>
      <c r="B198" t="s">
        <v>514</v>
      </c>
      <c r="C198">
        <v>47128833</v>
      </c>
      <c r="D198" t="s">
        <v>1193</v>
      </c>
      <c r="G198" t="s">
        <v>5437</v>
      </c>
      <c r="O198">
        <v>0</v>
      </c>
      <c r="P198">
        <v>0</v>
      </c>
      <c r="Q198">
        <v>0</v>
      </c>
      <c r="R198">
        <v>40</v>
      </c>
      <c r="S198">
        <v>20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</row>
    <row r="199" spans="1:36" hidden="1" x14ac:dyDescent="0.25">
      <c r="A199" s="34" t="s">
        <v>1425</v>
      </c>
      <c r="B199" s="34" t="s">
        <v>514</v>
      </c>
      <c r="C199" s="34">
        <v>47128784</v>
      </c>
      <c r="D199" s="34" t="s">
        <v>1426</v>
      </c>
      <c r="E199" s="34"/>
      <c r="F199" s="34"/>
      <c r="G199" s="34" t="s">
        <v>5437</v>
      </c>
      <c r="H199" s="34"/>
      <c r="I199" s="34"/>
      <c r="J199" s="34"/>
      <c r="K199" s="34"/>
      <c r="L199" s="34"/>
      <c r="M199" s="34"/>
      <c r="N199" s="34"/>
      <c r="O199" s="34">
        <v>0</v>
      </c>
      <c r="P199" s="34">
        <v>0</v>
      </c>
      <c r="Q199" s="34">
        <v>0</v>
      </c>
      <c r="R199" s="34">
        <v>0</v>
      </c>
      <c r="S199" s="34">
        <v>0</v>
      </c>
      <c r="T199" s="34">
        <v>2</v>
      </c>
      <c r="U199" s="34">
        <v>0</v>
      </c>
      <c r="V199" s="34">
        <v>0</v>
      </c>
      <c r="W199" s="34">
        <v>0</v>
      </c>
      <c r="X199" s="34">
        <v>0</v>
      </c>
      <c r="Y199" s="34">
        <v>0</v>
      </c>
      <c r="Z199" s="34">
        <v>16</v>
      </c>
      <c r="AA199" s="34">
        <v>0</v>
      </c>
      <c r="AB199" s="34">
        <v>0</v>
      </c>
      <c r="AC199" s="34"/>
      <c r="AD199" s="34"/>
      <c r="AE199" s="34"/>
      <c r="AF199" s="34"/>
      <c r="AG199" s="34"/>
      <c r="AH199" s="34"/>
      <c r="AI199" s="34"/>
      <c r="AJ199" s="34"/>
    </row>
    <row r="200" spans="1:36" hidden="1" x14ac:dyDescent="0.25">
      <c r="A200" t="s">
        <v>2387</v>
      </c>
      <c r="B200" t="s">
        <v>514</v>
      </c>
      <c r="C200">
        <v>47128769</v>
      </c>
      <c r="D200" t="s">
        <v>2386</v>
      </c>
      <c r="G200" t="s">
        <v>2344</v>
      </c>
      <c r="S200">
        <v>0</v>
      </c>
      <c r="T200">
        <v>0</v>
      </c>
      <c r="U200">
        <v>25.8</v>
      </c>
    </row>
    <row r="201" spans="1:36" hidden="1" x14ac:dyDescent="0.25">
      <c r="A201" s="34" t="s">
        <v>2393</v>
      </c>
      <c r="B201" s="34" t="s">
        <v>514</v>
      </c>
      <c r="C201" s="34">
        <v>47128378</v>
      </c>
      <c r="D201" s="34" t="s">
        <v>2392</v>
      </c>
      <c r="E201" s="34"/>
      <c r="F201" s="34"/>
      <c r="G201" s="34" t="s">
        <v>2344</v>
      </c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>
        <v>40</v>
      </c>
      <c r="T201" s="34">
        <v>0</v>
      </c>
      <c r="U201" s="34">
        <v>0</v>
      </c>
      <c r="V201" s="34">
        <v>0</v>
      </c>
      <c r="W201" s="34">
        <v>0</v>
      </c>
      <c r="X201" s="34">
        <v>0</v>
      </c>
      <c r="Y201" s="34">
        <v>0</v>
      </c>
      <c r="Z201" s="34">
        <v>0</v>
      </c>
      <c r="AA201" s="34">
        <v>0</v>
      </c>
      <c r="AB201" s="34"/>
      <c r="AC201" s="34"/>
      <c r="AD201" s="34"/>
      <c r="AE201" s="34"/>
      <c r="AF201" s="34"/>
      <c r="AG201" s="34"/>
      <c r="AH201" s="34"/>
      <c r="AI201" s="34"/>
      <c r="AJ201" s="34"/>
    </row>
    <row r="202" spans="1:36" hidden="1" x14ac:dyDescent="0.25">
      <c r="A202" t="s">
        <v>2396</v>
      </c>
      <c r="B202" t="s">
        <v>514</v>
      </c>
      <c r="C202">
        <v>47128020</v>
      </c>
      <c r="D202" t="s">
        <v>2395</v>
      </c>
      <c r="G202" t="s">
        <v>2344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</row>
    <row r="203" spans="1:36" hidden="1" x14ac:dyDescent="0.25">
      <c r="A203" s="34" t="s">
        <v>2399</v>
      </c>
      <c r="B203" s="34" t="s">
        <v>514</v>
      </c>
      <c r="C203" s="34">
        <v>47128459</v>
      </c>
      <c r="D203" s="34" t="s">
        <v>2398</v>
      </c>
      <c r="E203" s="34"/>
      <c r="F203" s="34"/>
      <c r="G203" s="34" t="s">
        <v>2344</v>
      </c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>
        <v>0</v>
      </c>
      <c r="T203" s="34">
        <v>56</v>
      </c>
      <c r="U203" s="34">
        <v>4</v>
      </c>
      <c r="V203" s="34">
        <v>0</v>
      </c>
      <c r="W203" s="34">
        <v>0</v>
      </c>
      <c r="X203" s="34">
        <v>0</v>
      </c>
      <c r="Y203" s="34">
        <v>0</v>
      </c>
      <c r="Z203" s="34">
        <v>0</v>
      </c>
      <c r="AA203" s="34">
        <v>0</v>
      </c>
      <c r="AB203" s="34"/>
      <c r="AC203" s="34"/>
      <c r="AD203" s="34"/>
      <c r="AE203" s="34"/>
      <c r="AF203" s="34"/>
      <c r="AG203" s="34"/>
      <c r="AH203" s="34"/>
      <c r="AI203" s="34"/>
      <c r="AJ203" s="34"/>
    </row>
    <row r="204" spans="1:36" hidden="1" x14ac:dyDescent="0.25">
      <c r="A204" t="s">
        <v>2387</v>
      </c>
      <c r="B204" t="s">
        <v>514</v>
      </c>
      <c r="C204">
        <v>47128769</v>
      </c>
      <c r="D204" t="s">
        <v>2386</v>
      </c>
      <c r="G204" t="s">
        <v>912</v>
      </c>
      <c r="S204">
        <v>0</v>
      </c>
      <c r="T204">
        <v>0</v>
      </c>
      <c r="U204">
        <v>0</v>
      </c>
    </row>
    <row r="205" spans="1:36" hidden="1" x14ac:dyDescent="0.25">
      <c r="A205" s="34" t="s">
        <v>2393</v>
      </c>
      <c r="B205" s="34" t="s">
        <v>514</v>
      </c>
      <c r="C205" s="34">
        <v>47128378</v>
      </c>
      <c r="D205" s="34" t="s">
        <v>2392</v>
      </c>
      <c r="E205" s="34"/>
      <c r="F205" s="34"/>
      <c r="G205" s="34" t="s">
        <v>912</v>
      </c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>
        <v>37.200000000000003</v>
      </c>
      <c r="T205" s="34">
        <v>0</v>
      </c>
      <c r="U205" s="34">
        <v>0</v>
      </c>
      <c r="V205" s="34">
        <v>0</v>
      </c>
      <c r="W205" s="34">
        <v>0</v>
      </c>
      <c r="X205" s="34">
        <v>0</v>
      </c>
      <c r="Y205" s="34">
        <v>0</v>
      </c>
      <c r="Z205" s="34">
        <v>0</v>
      </c>
      <c r="AA205" s="34">
        <v>0</v>
      </c>
      <c r="AB205" s="34"/>
      <c r="AC205" s="34"/>
      <c r="AD205" s="34"/>
      <c r="AE205" s="34"/>
      <c r="AF205" s="34"/>
      <c r="AG205" s="34"/>
      <c r="AH205" s="34"/>
      <c r="AI205" s="34"/>
      <c r="AJ205" s="34"/>
    </row>
    <row r="206" spans="1:36" hidden="1" x14ac:dyDescent="0.25">
      <c r="A206" t="s">
        <v>2396</v>
      </c>
      <c r="B206" t="s">
        <v>514</v>
      </c>
      <c r="C206">
        <v>47128020</v>
      </c>
      <c r="D206" t="s">
        <v>2395</v>
      </c>
      <c r="G206" t="s">
        <v>912</v>
      </c>
      <c r="S206">
        <v>0</v>
      </c>
      <c r="T206">
        <v>51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</row>
    <row r="207" spans="1:36" hidden="1" x14ac:dyDescent="0.25">
      <c r="A207" s="34" t="s">
        <v>2399</v>
      </c>
      <c r="B207" s="34" t="s">
        <v>514</v>
      </c>
      <c r="C207" s="34">
        <v>47128459</v>
      </c>
      <c r="D207" s="34" t="s">
        <v>2398</v>
      </c>
      <c r="E207" s="34"/>
      <c r="F207" s="34"/>
      <c r="G207" s="34" t="s">
        <v>912</v>
      </c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>
        <v>0</v>
      </c>
      <c r="T207" s="34">
        <v>56</v>
      </c>
      <c r="U207" s="34">
        <v>56</v>
      </c>
      <c r="V207" s="34">
        <v>0</v>
      </c>
      <c r="W207" s="34">
        <v>0</v>
      </c>
      <c r="X207" s="34">
        <v>0</v>
      </c>
      <c r="Y207" s="34">
        <v>0</v>
      </c>
      <c r="Z207" s="34">
        <v>0</v>
      </c>
      <c r="AA207" s="34">
        <v>0</v>
      </c>
      <c r="AB207" s="34"/>
      <c r="AC207" s="34"/>
      <c r="AD207" s="34"/>
      <c r="AE207" s="34"/>
      <c r="AF207" s="34"/>
      <c r="AG207" s="34"/>
      <c r="AH207" s="34"/>
      <c r="AI207" s="34"/>
      <c r="AJ207" s="34"/>
    </row>
    <row r="208" spans="1:36" hidden="1" x14ac:dyDescent="0.25">
      <c r="A208" t="s">
        <v>2387</v>
      </c>
      <c r="B208" t="s">
        <v>514</v>
      </c>
      <c r="C208">
        <v>47128769</v>
      </c>
      <c r="D208" t="s">
        <v>2386</v>
      </c>
      <c r="G208" t="s">
        <v>3939</v>
      </c>
      <c r="S208">
        <v>0</v>
      </c>
      <c r="T208">
        <v>0</v>
      </c>
      <c r="U208">
        <v>0</v>
      </c>
    </row>
    <row r="209" spans="1:36" hidden="1" x14ac:dyDescent="0.25">
      <c r="A209" s="34" t="s">
        <v>2393</v>
      </c>
      <c r="B209" s="34" t="s">
        <v>514</v>
      </c>
      <c r="C209" s="34">
        <v>47128378</v>
      </c>
      <c r="D209" s="34" t="s">
        <v>2392</v>
      </c>
      <c r="E209" s="34"/>
      <c r="F209" s="34"/>
      <c r="G209" s="34" t="s">
        <v>3939</v>
      </c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>
        <v>0</v>
      </c>
      <c r="T209" s="34">
        <v>38.5</v>
      </c>
      <c r="U209" s="34">
        <v>0</v>
      </c>
      <c r="V209" s="34">
        <v>0</v>
      </c>
      <c r="W209" s="34">
        <v>0</v>
      </c>
      <c r="X209" s="34">
        <v>0</v>
      </c>
      <c r="Y209" s="34">
        <v>0</v>
      </c>
      <c r="Z209" s="34">
        <v>0</v>
      </c>
      <c r="AA209" s="34">
        <v>0</v>
      </c>
      <c r="AB209" s="34"/>
      <c r="AC209" s="34"/>
      <c r="AD209" s="34"/>
      <c r="AE209" s="34"/>
      <c r="AF209" s="34"/>
      <c r="AG209" s="34"/>
      <c r="AH209" s="34"/>
      <c r="AI209" s="34"/>
      <c r="AJ209" s="34"/>
    </row>
    <row r="210" spans="1:36" hidden="1" x14ac:dyDescent="0.25">
      <c r="A210" t="s">
        <v>2396</v>
      </c>
      <c r="B210" t="s">
        <v>514</v>
      </c>
      <c r="C210">
        <v>47128020</v>
      </c>
      <c r="D210" t="s">
        <v>2395</v>
      </c>
      <c r="G210" t="s">
        <v>3939</v>
      </c>
      <c r="S210">
        <v>0</v>
      </c>
      <c r="T210">
        <v>17.5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</row>
    <row r="211" spans="1:36" hidden="1" x14ac:dyDescent="0.25">
      <c r="A211" s="34" t="s">
        <v>2399</v>
      </c>
      <c r="B211" s="34" t="s">
        <v>514</v>
      </c>
      <c r="C211" s="34">
        <v>47128459</v>
      </c>
      <c r="D211" s="34" t="s">
        <v>2398</v>
      </c>
      <c r="E211" s="34"/>
      <c r="F211" s="34"/>
      <c r="G211" s="34" t="s">
        <v>3939</v>
      </c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>
        <v>0</v>
      </c>
      <c r="T211" s="34">
        <v>5</v>
      </c>
      <c r="U211" s="34">
        <v>56</v>
      </c>
      <c r="V211" s="34">
        <v>0</v>
      </c>
      <c r="W211" s="34">
        <v>0</v>
      </c>
      <c r="X211" s="34">
        <v>0</v>
      </c>
      <c r="Y211" s="34">
        <v>0</v>
      </c>
      <c r="Z211" s="34">
        <v>0</v>
      </c>
      <c r="AA211" s="34">
        <v>0</v>
      </c>
      <c r="AB211" s="34"/>
      <c r="AC211" s="34"/>
      <c r="AD211" s="34"/>
      <c r="AE211" s="34"/>
      <c r="AF211" s="34"/>
      <c r="AG211" s="34"/>
      <c r="AH211" s="34"/>
      <c r="AI211" s="34"/>
      <c r="AJ211" s="34"/>
    </row>
    <row r="212" spans="1:36" hidden="1" x14ac:dyDescent="0.25">
      <c r="A212" t="s">
        <v>1061</v>
      </c>
      <c r="B212" t="s">
        <v>514</v>
      </c>
      <c r="C212">
        <v>47128967</v>
      </c>
      <c r="D212" t="s">
        <v>1062</v>
      </c>
      <c r="G212" t="s">
        <v>1489</v>
      </c>
      <c r="S212">
        <v>0</v>
      </c>
      <c r="T212">
        <v>0</v>
      </c>
      <c r="U212">
        <v>10</v>
      </c>
      <c r="V212">
        <v>0</v>
      </c>
      <c r="W212">
        <v>0</v>
      </c>
      <c r="X212">
        <v>0</v>
      </c>
    </row>
    <row r="213" spans="1:36" hidden="1" x14ac:dyDescent="0.25">
      <c r="A213" s="34" t="s">
        <v>1119</v>
      </c>
      <c r="B213" s="34" t="s">
        <v>514</v>
      </c>
      <c r="C213" s="34">
        <v>47128337</v>
      </c>
      <c r="D213" s="34" t="s">
        <v>1120</v>
      </c>
      <c r="E213" s="34"/>
      <c r="F213" s="34"/>
      <c r="G213" s="34" t="s">
        <v>1489</v>
      </c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>
        <v>0</v>
      </c>
      <c r="T213" s="34">
        <v>0</v>
      </c>
      <c r="U213" s="34">
        <v>0</v>
      </c>
      <c r="V213" s="34">
        <v>0</v>
      </c>
      <c r="W213" s="34">
        <v>0</v>
      </c>
      <c r="X213" s="34">
        <v>10</v>
      </c>
      <c r="Y213" s="34">
        <v>40</v>
      </c>
      <c r="Z213" s="34">
        <v>0</v>
      </c>
      <c r="AA213" s="34">
        <v>0</v>
      </c>
      <c r="AB213" s="34">
        <v>0</v>
      </c>
      <c r="AC213" s="34">
        <v>20</v>
      </c>
      <c r="AD213" s="34">
        <v>30</v>
      </c>
      <c r="AE213" s="34">
        <v>0</v>
      </c>
      <c r="AF213" s="34">
        <v>12</v>
      </c>
      <c r="AG213" s="34"/>
      <c r="AH213" s="34"/>
      <c r="AI213" s="34"/>
      <c r="AJ213" s="34"/>
    </row>
    <row r="214" spans="1:36" hidden="1" x14ac:dyDescent="0.25">
      <c r="A214" t="s">
        <v>4430</v>
      </c>
      <c r="B214" t="s">
        <v>514</v>
      </c>
      <c r="C214">
        <v>47128132</v>
      </c>
      <c r="D214" t="s">
        <v>4429</v>
      </c>
      <c r="G214" t="s">
        <v>4428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</row>
    <row r="215" spans="1:36" hidden="1" x14ac:dyDescent="0.25">
      <c r="A215" s="34" t="s">
        <v>1061</v>
      </c>
      <c r="B215" s="34" t="s">
        <v>514</v>
      </c>
      <c r="C215" s="34">
        <v>47128967</v>
      </c>
      <c r="D215" s="34" t="s">
        <v>1062</v>
      </c>
      <c r="E215" s="34"/>
      <c r="F215" s="34"/>
      <c r="G215" s="34" t="s">
        <v>1044</v>
      </c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>
        <v>0</v>
      </c>
      <c r="T215" s="34">
        <v>0</v>
      </c>
      <c r="U215" s="34">
        <v>40</v>
      </c>
      <c r="V215" s="34">
        <v>0</v>
      </c>
      <c r="W215" s="34">
        <v>0</v>
      </c>
      <c r="X215" s="34">
        <v>0</v>
      </c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</row>
    <row r="216" spans="1:36" hidden="1" x14ac:dyDescent="0.25">
      <c r="A216" t="s">
        <v>1196</v>
      </c>
      <c r="B216" t="s">
        <v>514</v>
      </c>
      <c r="C216">
        <v>47128572</v>
      </c>
      <c r="D216" t="s">
        <v>1197</v>
      </c>
      <c r="G216" t="s">
        <v>1044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20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</row>
    <row r="217" spans="1:36" hidden="1" x14ac:dyDescent="0.25">
      <c r="A217" s="34" t="s">
        <v>1392</v>
      </c>
      <c r="B217" s="34" t="s">
        <v>514</v>
      </c>
      <c r="C217" s="34">
        <v>47128482</v>
      </c>
      <c r="D217" s="34" t="s">
        <v>1393</v>
      </c>
      <c r="E217" s="34"/>
      <c r="F217" s="34"/>
      <c r="G217" s="34" t="s">
        <v>1044</v>
      </c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>
        <v>0</v>
      </c>
      <c r="T217" s="34">
        <v>0</v>
      </c>
      <c r="U217" s="34">
        <v>0</v>
      </c>
      <c r="V217" s="34">
        <v>0</v>
      </c>
      <c r="W217" s="34">
        <v>0</v>
      </c>
      <c r="X217" s="34">
        <v>0</v>
      </c>
      <c r="Y217" s="34">
        <v>0</v>
      </c>
      <c r="Z217" s="34">
        <v>0</v>
      </c>
      <c r="AA217" s="34">
        <v>0</v>
      </c>
      <c r="AB217" s="34">
        <v>0</v>
      </c>
      <c r="AC217" s="34">
        <v>0</v>
      </c>
      <c r="AD217" s="34">
        <v>0</v>
      </c>
      <c r="AE217" s="34">
        <v>0</v>
      </c>
      <c r="AF217" s="34">
        <v>0</v>
      </c>
      <c r="AG217" s="34"/>
      <c r="AH217" s="34"/>
      <c r="AI217" s="34"/>
      <c r="AJ217" s="34"/>
    </row>
    <row r="218" spans="1:36" hidden="1" x14ac:dyDescent="0.25">
      <c r="A218" t="s">
        <v>1119</v>
      </c>
      <c r="B218" t="s">
        <v>514</v>
      </c>
      <c r="C218">
        <v>47128337</v>
      </c>
      <c r="D218" t="s">
        <v>1120</v>
      </c>
      <c r="G218" t="s">
        <v>1044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10</v>
      </c>
      <c r="Y218">
        <v>40</v>
      </c>
      <c r="Z218">
        <v>0</v>
      </c>
      <c r="AA218">
        <v>0</v>
      </c>
      <c r="AB218">
        <v>0</v>
      </c>
      <c r="AC218">
        <v>20</v>
      </c>
      <c r="AD218">
        <v>30</v>
      </c>
      <c r="AE218">
        <v>0</v>
      </c>
      <c r="AF218">
        <v>20</v>
      </c>
    </row>
    <row r="219" spans="1:36" hidden="1" x14ac:dyDescent="0.25">
      <c r="A219" s="34" t="s">
        <v>1370</v>
      </c>
      <c r="B219" s="34" t="s">
        <v>514</v>
      </c>
      <c r="C219" s="34">
        <v>47128429</v>
      </c>
      <c r="D219" s="34" t="s">
        <v>1371</v>
      </c>
      <c r="E219" s="34"/>
      <c r="F219" s="34"/>
      <c r="G219" s="34" t="s">
        <v>1044</v>
      </c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>
        <v>0</v>
      </c>
      <c r="T219" s="34">
        <v>0</v>
      </c>
      <c r="U219" s="34">
        <v>0</v>
      </c>
      <c r="V219" s="34">
        <v>0</v>
      </c>
      <c r="W219" s="34">
        <v>0</v>
      </c>
      <c r="X219" s="34">
        <v>0</v>
      </c>
      <c r="Y219" s="34">
        <v>0</v>
      </c>
      <c r="Z219" s="34">
        <v>0</v>
      </c>
      <c r="AA219" s="34">
        <v>0</v>
      </c>
      <c r="AB219" s="34">
        <v>0</v>
      </c>
      <c r="AC219" s="34">
        <v>0</v>
      </c>
      <c r="AD219" s="34">
        <v>0</v>
      </c>
      <c r="AE219" s="34">
        <v>0</v>
      </c>
      <c r="AF219" s="34">
        <v>0</v>
      </c>
      <c r="AG219" s="34"/>
      <c r="AH219" s="34"/>
      <c r="AI219" s="34"/>
      <c r="AJ219" s="34"/>
    </row>
    <row r="220" spans="1:36" hidden="1" x14ac:dyDescent="0.25">
      <c r="A220" t="s">
        <v>1300</v>
      </c>
      <c r="B220" t="s">
        <v>514</v>
      </c>
      <c r="C220">
        <v>47128181</v>
      </c>
      <c r="D220" t="s">
        <v>1301</v>
      </c>
      <c r="G220" t="s">
        <v>1044</v>
      </c>
      <c r="S220">
        <v>25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</row>
    <row r="221" spans="1:36" hidden="1" x14ac:dyDescent="0.25">
      <c r="A221" s="34" t="s">
        <v>1223</v>
      </c>
      <c r="B221" s="34" t="s">
        <v>514</v>
      </c>
      <c r="C221" s="34">
        <v>47128939</v>
      </c>
      <c r="D221" s="34" t="s">
        <v>1224</v>
      </c>
      <c r="E221" s="34"/>
      <c r="F221" s="34"/>
      <c r="G221" s="34" t="s">
        <v>1090</v>
      </c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>
        <v>0</v>
      </c>
      <c r="T221" s="34">
        <v>34</v>
      </c>
      <c r="U221" s="34">
        <v>0</v>
      </c>
      <c r="V221" s="34">
        <v>0</v>
      </c>
      <c r="W221" s="34">
        <v>0</v>
      </c>
      <c r="X221" s="34">
        <v>0</v>
      </c>
      <c r="Y221" s="34">
        <v>0</v>
      </c>
      <c r="Z221" s="34">
        <v>0</v>
      </c>
      <c r="AA221" s="34">
        <v>0</v>
      </c>
      <c r="AB221" s="34">
        <v>0</v>
      </c>
      <c r="AC221" s="34">
        <v>0</v>
      </c>
      <c r="AD221" s="34">
        <v>0</v>
      </c>
      <c r="AE221" s="34">
        <v>0</v>
      </c>
      <c r="AF221" s="34">
        <v>0</v>
      </c>
      <c r="AG221" s="34"/>
      <c r="AH221" s="34"/>
      <c r="AI221" s="34"/>
      <c r="AJ221" s="34"/>
    </row>
    <row r="222" spans="1:36" hidden="1" x14ac:dyDescent="0.25">
      <c r="A222" t="s">
        <v>1363</v>
      </c>
      <c r="B222" t="s">
        <v>514</v>
      </c>
      <c r="C222">
        <v>47128449</v>
      </c>
      <c r="D222" t="s">
        <v>1364</v>
      </c>
      <c r="G222" t="s">
        <v>1090</v>
      </c>
      <c r="S222">
        <v>0</v>
      </c>
      <c r="T222">
        <v>2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</row>
    <row r="223" spans="1:36" hidden="1" x14ac:dyDescent="0.25">
      <c r="A223" s="34" t="s">
        <v>1242</v>
      </c>
      <c r="B223" s="34" t="s">
        <v>514</v>
      </c>
      <c r="C223" s="34">
        <v>47128902</v>
      </c>
      <c r="D223" s="34" t="s">
        <v>1243</v>
      </c>
      <c r="E223" s="34"/>
      <c r="F223" s="34"/>
      <c r="G223" s="34" t="s">
        <v>1090</v>
      </c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>
        <v>0</v>
      </c>
      <c r="T223" s="34">
        <v>0</v>
      </c>
      <c r="U223" s="34">
        <v>0</v>
      </c>
      <c r="V223" s="34">
        <v>19</v>
      </c>
      <c r="W223" s="34">
        <v>0</v>
      </c>
      <c r="X223" s="34">
        <v>0</v>
      </c>
      <c r="Y223" s="34">
        <v>0</v>
      </c>
      <c r="Z223" s="34">
        <v>0</v>
      </c>
      <c r="AA223" s="34">
        <v>0</v>
      </c>
      <c r="AB223" s="34">
        <v>0</v>
      </c>
      <c r="AC223" s="34">
        <v>0</v>
      </c>
      <c r="AD223" s="34">
        <v>0</v>
      </c>
      <c r="AE223" s="34">
        <v>0</v>
      </c>
      <c r="AF223" s="34">
        <v>0</v>
      </c>
      <c r="AG223" s="34"/>
      <c r="AH223" s="34"/>
      <c r="AI223" s="34"/>
      <c r="AJ223" s="34"/>
    </row>
    <row r="224" spans="1:36" hidden="1" x14ac:dyDescent="0.25">
      <c r="A224" t="s">
        <v>1068</v>
      </c>
      <c r="B224" t="s">
        <v>514</v>
      </c>
      <c r="C224">
        <v>47128417</v>
      </c>
      <c r="D224" t="s">
        <v>1069</v>
      </c>
      <c r="G224" t="s">
        <v>1090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20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</row>
    <row r="225" spans="1:36" hidden="1" x14ac:dyDescent="0.25">
      <c r="A225" s="34" t="s">
        <v>1072</v>
      </c>
      <c r="B225" s="34" t="s">
        <v>514</v>
      </c>
      <c r="C225" s="34">
        <v>47129017</v>
      </c>
      <c r="D225" s="34" t="s">
        <v>1073</v>
      </c>
      <c r="E225" s="34"/>
      <c r="F225" s="34"/>
      <c r="G225" s="34" t="s">
        <v>1090</v>
      </c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>
        <v>0</v>
      </c>
      <c r="T225" s="34">
        <v>0</v>
      </c>
      <c r="U225" s="34">
        <v>0</v>
      </c>
      <c r="V225" s="34">
        <v>18</v>
      </c>
      <c r="W225" s="34">
        <v>0</v>
      </c>
      <c r="X225" s="34">
        <v>0</v>
      </c>
      <c r="Y225" s="34">
        <v>0</v>
      </c>
      <c r="Z225" s="34">
        <v>0</v>
      </c>
      <c r="AA225" s="34">
        <v>0</v>
      </c>
      <c r="AB225" s="34">
        <v>0</v>
      </c>
      <c r="AC225" s="34">
        <v>0</v>
      </c>
      <c r="AD225" s="34">
        <v>0</v>
      </c>
      <c r="AE225" s="34">
        <v>0</v>
      </c>
      <c r="AF225" s="34">
        <v>0</v>
      </c>
      <c r="AG225" s="34"/>
      <c r="AH225" s="34"/>
      <c r="AI225" s="34"/>
      <c r="AJ225" s="34"/>
    </row>
    <row r="226" spans="1:36" hidden="1" x14ac:dyDescent="0.25">
      <c r="A226" t="s">
        <v>1172</v>
      </c>
      <c r="B226" t="s">
        <v>514</v>
      </c>
      <c r="C226">
        <v>47128936</v>
      </c>
      <c r="D226" t="s">
        <v>1173</v>
      </c>
      <c r="G226" t="s">
        <v>1090</v>
      </c>
      <c r="S226">
        <v>0</v>
      </c>
      <c r="T226">
        <v>0</v>
      </c>
      <c r="U226">
        <v>0</v>
      </c>
      <c r="V226">
        <v>19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</row>
    <row r="227" spans="1:36" hidden="1" x14ac:dyDescent="0.25">
      <c r="A227" s="34" t="s">
        <v>1271</v>
      </c>
      <c r="B227" s="34" t="s">
        <v>514</v>
      </c>
      <c r="C227" s="34">
        <v>47129715</v>
      </c>
      <c r="D227" s="34" t="s">
        <v>1272</v>
      </c>
      <c r="E227" s="34"/>
      <c r="F227" s="34"/>
      <c r="G227" s="34" t="s">
        <v>1090</v>
      </c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>
        <v>0</v>
      </c>
      <c r="T227" s="34">
        <v>0</v>
      </c>
      <c r="U227" s="34">
        <v>0</v>
      </c>
      <c r="V227" s="34">
        <v>13</v>
      </c>
      <c r="W227" s="34">
        <v>0</v>
      </c>
      <c r="X227" s="34">
        <v>0</v>
      </c>
      <c r="Y227" s="34">
        <v>0</v>
      </c>
      <c r="Z227" s="34">
        <v>0</v>
      </c>
      <c r="AA227" s="34">
        <v>0</v>
      </c>
      <c r="AB227" s="34">
        <v>0</v>
      </c>
      <c r="AC227" s="34">
        <v>0</v>
      </c>
      <c r="AD227" s="34">
        <v>0</v>
      </c>
      <c r="AE227" s="34">
        <v>0</v>
      </c>
      <c r="AF227" s="34">
        <v>0</v>
      </c>
      <c r="AG227" s="34"/>
      <c r="AH227" s="34"/>
      <c r="AI227" s="34"/>
      <c r="AJ227" s="34"/>
    </row>
    <row r="228" spans="1:36" hidden="1" x14ac:dyDescent="0.25">
      <c r="A228" t="s">
        <v>1308</v>
      </c>
      <c r="B228" t="s">
        <v>514</v>
      </c>
      <c r="C228">
        <v>47129702</v>
      </c>
      <c r="D228" t="s">
        <v>1309</v>
      </c>
      <c r="G228" t="s">
        <v>1090</v>
      </c>
      <c r="S228">
        <v>0</v>
      </c>
      <c r="T228">
        <v>0</v>
      </c>
      <c r="U228">
        <v>0</v>
      </c>
      <c r="V228">
        <v>0</v>
      </c>
      <c r="W228">
        <v>17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</row>
    <row r="229" spans="1:36" hidden="1" x14ac:dyDescent="0.25">
      <c r="A229" s="34" t="s">
        <v>1328</v>
      </c>
      <c r="B229" s="34" t="s">
        <v>514</v>
      </c>
      <c r="C229" s="34">
        <v>47128777</v>
      </c>
      <c r="D229" s="34" t="s">
        <v>1329</v>
      </c>
      <c r="E229" s="34"/>
      <c r="F229" s="34"/>
      <c r="G229" s="34" t="s">
        <v>1090</v>
      </c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>
        <v>0</v>
      </c>
      <c r="T229" s="34">
        <v>0</v>
      </c>
      <c r="U229" s="34">
        <v>0</v>
      </c>
      <c r="V229" s="34">
        <v>0</v>
      </c>
      <c r="W229" s="34">
        <v>0</v>
      </c>
      <c r="X229" s="34">
        <v>40</v>
      </c>
      <c r="Y229" s="34">
        <v>50</v>
      </c>
      <c r="Z229" s="34">
        <v>40</v>
      </c>
      <c r="AA229" s="34">
        <v>19</v>
      </c>
      <c r="AB229" s="34">
        <v>0</v>
      </c>
      <c r="AC229" s="34">
        <v>0</v>
      </c>
      <c r="AD229" s="34">
        <v>0</v>
      </c>
      <c r="AE229" s="34">
        <v>0</v>
      </c>
      <c r="AF229" s="34">
        <v>0</v>
      </c>
      <c r="AG229" s="34"/>
      <c r="AH229" s="34"/>
      <c r="AI229" s="34"/>
      <c r="AJ229" s="34"/>
    </row>
    <row r="230" spans="1:36" hidden="1" x14ac:dyDescent="0.25">
      <c r="A230" t="s">
        <v>1304</v>
      </c>
      <c r="B230" t="s">
        <v>514</v>
      </c>
      <c r="C230">
        <v>47148880</v>
      </c>
      <c r="D230" t="s">
        <v>1305</v>
      </c>
      <c r="G230" t="s">
        <v>1090</v>
      </c>
      <c r="S230">
        <v>0</v>
      </c>
      <c r="T230">
        <v>0</v>
      </c>
      <c r="U230">
        <v>0</v>
      </c>
      <c r="V230">
        <v>0</v>
      </c>
      <c r="W230">
        <v>9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</row>
    <row r="231" spans="1:36" hidden="1" x14ac:dyDescent="0.25">
      <c r="A231" s="34" t="s">
        <v>1291</v>
      </c>
      <c r="B231" s="34" t="s">
        <v>514</v>
      </c>
      <c r="C231" s="34">
        <v>47128467</v>
      </c>
      <c r="D231" s="34" t="s">
        <v>1292</v>
      </c>
      <c r="E231" s="34"/>
      <c r="F231" s="34"/>
      <c r="G231" s="34" t="s">
        <v>1090</v>
      </c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>
        <v>0</v>
      </c>
      <c r="T231" s="34">
        <v>0</v>
      </c>
      <c r="U231" s="34">
        <v>0</v>
      </c>
      <c r="V231" s="34">
        <v>0</v>
      </c>
      <c r="W231" s="34">
        <v>0</v>
      </c>
      <c r="X231" s="34">
        <v>40</v>
      </c>
      <c r="Y231" s="34">
        <v>34</v>
      </c>
      <c r="Z231" s="34">
        <v>0</v>
      </c>
      <c r="AA231" s="34">
        <v>0</v>
      </c>
      <c r="AB231" s="34">
        <v>0</v>
      </c>
      <c r="AC231" s="34">
        <v>0</v>
      </c>
      <c r="AD231" s="34">
        <v>0</v>
      </c>
      <c r="AE231" s="34">
        <v>0</v>
      </c>
      <c r="AF231" s="34">
        <v>0</v>
      </c>
      <c r="AG231" s="34"/>
      <c r="AH231" s="34"/>
      <c r="AI231" s="34"/>
      <c r="AJ231" s="34"/>
    </row>
    <row r="232" spans="1:36" hidden="1" x14ac:dyDescent="0.25">
      <c r="A232" t="s">
        <v>1366</v>
      </c>
      <c r="B232" t="s">
        <v>514</v>
      </c>
      <c r="C232">
        <v>47128643</v>
      </c>
      <c r="D232" t="s">
        <v>1367</v>
      </c>
      <c r="G232" t="s">
        <v>1090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50</v>
      </c>
      <c r="AB232">
        <v>53</v>
      </c>
      <c r="AC232">
        <v>0</v>
      </c>
      <c r="AD232">
        <v>0</v>
      </c>
      <c r="AE232">
        <v>0</v>
      </c>
      <c r="AF232">
        <v>0</v>
      </c>
    </row>
    <row r="233" spans="1:36" hidden="1" x14ac:dyDescent="0.25">
      <c r="A233" s="34" t="s">
        <v>1505</v>
      </c>
      <c r="B233" s="34" t="s">
        <v>514</v>
      </c>
      <c r="C233" s="34">
        <v>47151576</v>
      </c>
      <c r="D233" s="34" t="s">
        <v>1506</v>
      </c>
      <c r="E233" s="34"/>
      <c r="F233" s="34"/>
      <c r="G233" s="34" t="s">
        <v>1090</v>
      </c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>
        <v>0</v>
      </c>
      <c r="T233" s="34">
        <v>0</v>
      </c>
      <c r="U233" s="34">
        <v>0</v>
      </c>
      <c r="V233" s="34">
        <v>0</v>
      </c>
      <c r="W233" s="34">
        <v>0</v>
      </c>
      <c r="X233" s="34">
        <v>0</v>
      </c>
      <c r="Y233" s="34">
        <v>0</v>
      </c>
      <c r="Z233" s="34">
        <v>0</v>
      </c>
      <c r="AA233" s="34">
        <v>0</v>
      </c>
      <c r="AB233" s="34">
        <v>0</v>
      </c>
      <c r="AC233" s="34">
        <v>0</v>
      </c>
      <c r="AD233" s="34">
        <v>0</v>
      </c>
      <c r="AE233" s="34">
        <v>0</v>
      </c>
      <c r="AF233" s="34">
        <v>39</v>
      </c>
      <c r="AG233" s="34"/>
      <c r="AH233" s="34"/>
      <c r="AI233" s="34"/>
      <c r="AJ233" s="34"/>
    </row>
    <row r="234" spans="1:36" hidden="1" x14ac:dyDescent="0.25">
      <c r="A234" t="s">
        <v>1320</v>
      </c>
      <c r="B234" t="s">
        <v>514</v>
      </c>
      <c r="C234">
        <v>47129459</v>
      </c>
      <c r="D234" t="s">
        <v>1321</v>
      </c>
      <c r="G234" t="s">
        <v>1090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18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</row>
    <row r="235" spans="1:36" hidden="1" x14ac:dyDescent="0.25">
      <c r="A235" s="34" t="s">
        <v>1433</v>
      </c>
      <c r="B235" s="34" t="s">
        <v>514</v>
      </c>
      <c r="C235" s="34">
        <v>47129130</v>
      </c>
      <c r="D235" s="34" t="s">
        <v>1434</v>
      </c>
      <c r="E235" s="34"/>
      <c r="F235" s="34"/>
      <c r="G235" s="34" t="s">
        <v>1090</v>
      </c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>
        <v>0</v>
      </c>
      <c r="T235" s="34">
        <v>0</v>
      </c>
      <c r="U235" s="34">
        <v>0</v>
      </c>
      <c r="V235" s="34">
        <v>0</v>
      </c>
      <c r="W235" s="34">
        <v>0</v>
      </c>
      <c r="X235" s="34">
        <v>0</v>
      </c>
      <c r="Y235" s="34">
        <v>0</v>
      </c>
      <c r="Z235" s="34">
        <v>17</v>
      </c>
      <c r="AA235" s="34">
        <v>0</v>
      </c>
      <c r="AB235" s="34">
        <v>0</v>
      </c>
      <c r="AC235" s="34">
        <v>0</v>
      </c>
      <c r="AD235" s="34">
        <v>0</v>
      </c>
      <c r="AE235" s="34">
        <v>0</v>
      </c>
      <c r="AF235" s="34">
        <v>0</v>
      </c>
      <c r="AG235" s="34"/>
      <c r="AH235" s="34"/>
      <c r="AI235" s="34"/>
      <c r="AJ235" s="34"/>
    </row>
    <row r="236" spans="1:36" hidden="1" x14ac:dyDescent="0.25">
      <c r="A236" t="s">
        <v>1474</v>
      </c>
      <c r="B236" t="s">
        <v>514</v>
      </c>
      <c r="C236">
        <v>47129692</v>
      </c>
      <c r="D236" t="s">
        <v>1475</v>
      </c>
      <c r="G236" t="s">
        <v>1090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5</v>
      </c>
      <c r="AC236">
        <v>0</v>
      </c>
      <c r="AD236">
        <v>0</v>
      </c>
      <c r="AE236">
        <v>0</v>
      </c>
      <c r="AF236">
        <v>0</v>
      </c>
    </row>
    <row r="237" spans="1:36" hidden="1" x14ac:dyDescent="0.25">
      <c r="A237" s="34" t="s">
        <v>1501</v>
      </c>
      <c r="B237" s="34" t="s">
        <v>514</v>
      </c>
      <c r="C237" s="34">
        <v>47153262</v>
      </c>
      <c r="D237" s="34" t="s">
        <v>1502</v>
      </c>
      <c r="E237" s="34"/>
      <c r="F237" s="34"/>
      <c r="G237" s="34" t="s">
        <v>1090</v>
      </c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>
        <v>0</v>
      </c>
      <c r="T237" s="34">
        <v>0</v>
      </c>
      <c r="U237" s="34">
        <v>0</v>
      </c>
      <c r="V237" s="34">
        <v>0</v>
      </c>
      <c r="W237" s="34">
        <v>0</v>
      </c>
      <c r="X237" s="34">
        <v>0</v>
      </c>
      <c r="Y237" s="34">
        <v>0</v>
      </c>
      <c r="Z237" s="34">
        <v>0</v>
      </c>
      <c r="AA237" s="34">
        <v>0</v>
      </c>
      <c r="AB237" s="34">
        <v>40</v>
      </c>
      <c r="AC237" s="34">
        <v>40</v>
      </c>
      <c r="AD237" s="34">
        <v>20</v>
      </c>
      <c r="AE237" s="34">
        <v>0</v>
      </c>
      <c r="AF237" s="34">
        <v>0</v>
      </c>
      <c r="AG237" s="34"/>
      <c r="AH237" s="34"/>
      <c r="AI237" s="34"/>
      <c r="AJ237" s="34"/>
    </row>
    <row r="238" spans="1:36" hidden="1" x14ac:dyDescent="0.25">
      <c r="A238" t="s">
        <v>1374</v>
      </c>
      <c r="B238" t="s">
        <v>514</v>
      </c>
      <c r="C238">
        <v>47146895</v>
      </c>
      <c r="D238" t="s">
        <v>1375</v>
      </c>
      <c r="G238" t="s">
        <v>1090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43</v>
      </c>
      <c r="AD238">
        <v>0</v>
      </c>
      <c r="AE238">
        <v>0</v>
      </c>
      <c r="AF238">
        <v>0</v>
      </c>
    </row>
    <row r="239" spans="1:36" hidden="1" x14ac:dyDescent="0.25">
      <c r="A239" s="34" t="s">
        <v>1499</v>
      </c>
      <c r="B239" s="34" t="s">
        <v>514</v>
      </c>
      <c r="C239" s="34">
        <v>47128115</v>
      </c>
      <c r="D239" s="34" t="s">
        <v>1260</v>
      </c>
      <c r="E239" s="34"/>
      <c r="F239" s="34"/>
      <c r="G239" s="34" t="s">
        <v>1090</v>
      </c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>
        <v>0</v>
      </c>
      <c r="T239" s="34">
        <v>0</v>
      </c>
      <c r="U239" s="34">
        <v>0</v>
      </c>
      <c r="V239" s="34">
        <v>0</v>
      </c>
      <c r="W239" s="34">
        <v>0</v>
      </c>
      <c r="X239" s="34">
        <v>0</v>
      </c>
      <c r="Y239" s="34">
        <v>0</v>
      </c>
      <c r="Z239" s="34">
        <v>0</v>
      </c>
      <c r="AA239" s="34">
        <v>0</v>
      </c>
      <c r="AB239" s="34">
        <v>0</v>
      </c>
      <c r="AC239" s="34">
        <v>0</v>
      </c>
      <c r="AD239" s="34">
        <v>39</v>
      </c>
      <c r="AE239" s="34">
        <v>0</v>
      </c>
      <c r="AF239" s="34">
        <v>0</v>
      </c>
      <c r="AG239" s="34"/>
      <c r="AH239" s="34"/>
      <c r="AI239" s="34"/>
      <c r="AJ239" s="34"/>
    </row>
    <row r="240" spans="1:36" hidden="1" x14ac:dyDescent="0.25">
      <c r="A240" t="s">
        <v>1421</v>
      </c>
      <c r="B240" t="s">
        <v>514</v>
      </c>
      <c r="C240">
        <v>47129679</v>
      </c>
      <c r="D240" t="s">
        <v>1422</v>
      </c>
      <c r="G240" t="s">
        <v>1090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22</v>
      </c>
      <c r="AB240">
        <v>0</v>
      </c>
      <c r="AC240">
        <v>0</v>
      </c>
      <c r="AD240">
        <v>0</v>
      </c>
      <c r="AE240">
        <v>0</v>
      </c>
      <c r="AF240">
        <v>0</v>
      </c>
    </row>
    <row r="241" spans="1:36" hidden="1" x14ac:dyDescent="0.25">
      <c r="A241" s="34" t="s">
        <v>1467</v>
      </c>
      <c r="B241" s="34" t="s">
        <v>514</v>
      </c>
      <c r="C241" s="34">
        <v>47129432</v>
      </c>
      <c r="D241" s="34" t="s">
        <v>1468</v>
      </c>
      <c r="E241" s="34"/>
      <c r="F241" s="34"/>
      <c r="G241" s="34" t="s">
        <v>1090</v>
      </c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>
        <v>0</v>
      </c>
      <c r="T241" s="34">
        <v>0</v>
      </c>
      <c r="U241" s="34">
        <v>0</v>
      </c>
      <c r="V241" s="34">
        <v>0</v>
      </c>
      <c r="W241" s="34">
        <v>0</v>
      </c>
      <c r="X241" s="34">
        <v>0</v>
      </c>
      <c r="Y241" s="34">
        <v>0</v>
      </c>
      <c r="Z241" s="34">
        <v>0</v>
      </c>
      <c r="AA241" s="34">
        <v>0</v>
      </c>
      <c r="AB241" s="34">
        <v>0</v>
      </c>
      <c r="AC241" s="34">
        <v>17</v>
      </c>
      <c r="AD241" s="34">
        <v>0</v>
      </c>
      <c r="AE241" s="34">
        <v>0</v>
      </c>
      <c r="AF241" s="34">
        <v>0</v>
      </c>
      <c r="AG241" s="34"/>
      <c r="AH241" s="34"/>
      <c r="AI241" s="34"/>
      <c r="AJ241" s="34"/>
    </row>
    <row r="242" spans="1:36" hidden="1" x14ac:dyDescent="0.25">
      <c r="A242" t="s">
        <v>1481</v>
      </c>
      <c r="B242" t="s">
        <v>514</v>
      </c>
      <c r="C242">
        <v>47129050</v>
      </c>
      <c r="D242" t="s">
        <v>1482</v>
      </c>
      <c r="G242" t="s">
        <v>1090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35</v>
      </c>
      <c r="AF242">
        <v>0</v>
      </c>
    </row>
    <row r="243" spans="1:36" hidden="1" x14ac:dyDescent="0.25">
      <c r="A243" s="34" t="s">
        <v>1235</v>
      </c>
      <c r="B243" s="34" t="s">
        <v>514</v>
      </c>
      <c r="C243" s="34">
        <v>47148279</v>
      </c>
      <c r="D243" s="34" t="s">
        <v>1236</v>
      </c>
      <c r="E243" s="34"/>
      <c r="F243" s="34"/>
      <c r="G243" s="34" t="s">
        <v>1090</v>
      </c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>
        <v>0</v>
      </c>
      <c r="T243" s="34">
        <v>0</v>
      </c>
      <c r="U243" s="34">
        <v>0</v>
      </c>
      <c r="V243" s="34">
        <v>0</v>
      </c>
      <c r="W243" s="34">
        <v>0</v>
      </c>
      <c r="X243" s="34">
        <v>0</v>
      </c>
      <c r="Y243" s="34">
        <v>0</v>
      </c>
      <c r="Z243" s="34">
        <v>0</v>
      </c>
      <c r="AA243" s="34">
        <v>0</v>
      </c>
      <c r="AB243" s="34">
        <v>0</v>
      </c>
      <c r="AC243" s="34"/>
      <c r="AD243" s="34"/>
      <c r="AE243" s="34"/>
      <c r="AF243" s="34"/>
      <c r="AG243" s="34"/>
      <c r="AH243" s="34"/>
      <c r="AI243" s="34"/>
      <c r="AJ243" s="34"/>
    </row>
    <row r="244" spans="1:36" hidden="1" x14ac:dyDescent="0.25">
      <c r="A244" t="s">
        <v>1061</v>
      </c>
      <c r="B244" t="s">
        <v>514</v>
      </c>
      <c r="C244">
        <v>47128967</v>
      </c>
      <c r="D244" t="s">
        <v>1062</v>
      </c>
      <c r="G244" t="s">
        <v>5437</v>
      </c>
      <c r="S244">
        <v>0</v>
      </c>
      <c r="T244">
        <v>0</v>
      </c>
      <c r="U244">
        <v>40</v>
      </c>
      <c r="V244">
        <v>0</v>
      </c>
      <c r="W244">
        <v>0</v>
      </c>
      <c r="X244">
        <v>0</v>
      </c>
    </row>
    <row r="245" spans="1:36" hidden="1" x14ac:dyDescent="0.25">
      <c r="A245" s="34" t="s">
        <v>1196</v>
      </c>
      <c r="B245" s="34" t="s">
        <v>514</v>
      </c>
      <c r="C245" s="34">
        <v>47128572</v>
      </c>
      <c r="D245" s="34" t="s">
        <v>1197</v>
      </c>
      <c r="E245" s="34"/>
      <c r="F245" s="34"/>
      <c r="G245" s="34" t="s">
        <v>5437</v>
      </c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>
        <v>0</v>
      </c>
      <c r="T245" s="34">
        <v>0</v>
      </c>
      <c r="U245" s="34">
        <v>0</v>
      </c>
      <c r="V245" s="34">
        <v>0</v>
      </c>
      <c r="W245" s="34">
        <v>0</v>
      </c>
      <c r="X245" s="34">
        <v>0</v>
      </c>
      <c r="Y245" s="34">
        <v>40</v>
      </c>
      <c r="Z245" s="34">
        <v>0</v>
      </c>
      <c r="AA245" s="34">
        <v>0</v>
      </c>
      <c r="AB245" s="34">
        <v>0</v>
      </c>
      <c r="AC245" s="34">
        <v>0</v>
      </c>
      <c r="AD245" s="34">
        <v>0</v>
      </c>
      <c r="AE245" s="34">
        <v>0</v>
      </c>
      <c r="AF245" s="34">
        <v>0</v>
      </c>
      <c r="AG245" s="34"/>
      <c r="AH245" s="34"/>
      <c r="AI245" s="34"/>
      <c r="AJ245" s="34"/>
    </row>
    <row r="246" spans="1:36" hidden="1" x14ac:dyDescent="0.25">
      <c r="A246" t="s">
        <v>1392</v>
      </c>
      <c r="B246" t="s">
        <v>514</v>
      </c>
      <c r="C246">
        <v>47128482</v>
      </c>
      <c r="D246" t="s">
        <v>1393</v>
      </c>
      <c r="G246" t="s">
        <v>5437</v>
      </c>
      <c r="S246">
        <v>0</v>
      </c>
      <c r="T246">
        <v>2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</row>
    <row r="247" spans="1:36" hidden="1" x14ac:dyDescent="0.25">
      <c r="A247" s="34" t="s">
        <v>1119</v>
      </c>
      <c r="B247" s="34" t="s">
        <v>514</v>
      </c>
      <c r="C247" s="34">
        <v>47128337</v>
      </c>
      <c r="D247" s="34" t="s">
        <v>1120</v>
      </c>
      <c r="E247" s="34"/>
      <c r="F247" s="34"/>
      <c r="G247" s="34" t="s">
        <v>5437</v>
      </c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>
        <v>0</v>
      </c>
      <c r="T247" s="34">
        <v>0</v>
      </c>
      <c r="U247" s="34">
        <v>0</v>
      </c>
      <c r="V247" s="34">
        <v>0</v>
      </c>
      <c r="W247" s="34">
        <v>0</v>
      </c>
      <c r="X247" s="34">
        <v>10</v>
      </c>
      <c r="Y247" s="34">
        <v>40</v>
      </c>
      <c r="Z247" s="34">
        <v>0</v>
      </c>
      <c r="AA247" s="34">
        <v>0</v>
      </c>
      <c r="AB247" s="34">
        <v>0</v>
      </c>
      <c r="AC247" s="34">
        <v>20</v>
      </c>
      <c r="AD247" s="34">
        <v>30</v>
      </c>
      <c r="AE247" s="34">
        <v>0</v>
      </c>
      <c r="AF247" s="34">
        <v>20</v>
      </c>
      <c r="AG247" s="34"/>
      <c r="AH247" s="34"/>
      <c r="AI247" s="34"/>
      <c r="AJ247" s="34"/>
    </row>
    <row r="248" spans="1:36" hidden="1" x14ac:dyDescent="0.25">
      <c r="A248" t="s">
        <v>1370</v>
      </c>
      <c r="B248" t="s">
        <v>514</v>
      </c>
      <c r="C248">
        <v>47128429</v>
      </c>
      <c r="D248" t="s">
        <v>1371</v>
      </c>
      <c r="G248" t="s">
        <v>5437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</row>
    <row r="249" spans="1:36" hidden="1" x14ac:dyDescent="0.25">
      <c r="A249" s="34" t="s">
        <v>1300</v>
      </c>
      <c r="B249" s="34" t="s">
        <v>514</v>
      </c>
      <c r="C249" s="34">
        <v>47128181</v>
      </c>
      <c r="D249" s="34" t="s">
        <v>1301</v>
      </c>
      <c r="E249" s="34"/>
      <c r="F249" s="34"/>
      <c r="G249" s="34" t="s">
        <v>5437</v>
      </c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>
        <v>0</v>
      </c>
      <c r="T249" s="34">
        <v>0</v>
      </c>
      <c r="U249" s="34">
        <v>0</v>
      </c>
      <c r="V249" s="34">
        <v>0</v>
      </c>
      <c r="W249" s="34">
        <v>0</v>
      </c>
      <c r="X249" s="34">
        <v>0</v>
      </c>
      <c r="Y249" s="34">
        <v>0</v>
      </c>
      <c r="Z249" s="34">
        <v>0</v>
      </c>
      <c r="AA249" s="34">
        <v>0</v>
      </c>
      <c r="AB249" s="34">
        <v>0</v>
      </c>
      <c r="AC249" s="34">
        <v>0</v>
      </c>
      <c r="AD249" s="34">
        <v>0</v>
      </c>
      <c r="AE249" s="34">
        <v>0</v>
      </c>
      <c r="AF249" s="34">
        <v>0</v>
      </c>
      <c r="AG249" s="34"/>
      <c r="AH249" s="34"/>
      <c r="AI249" s="34"/>
      <c r="AJ249" s="34"/>
    </row>
    <row r="250" spans="1:36" x14ac:dyDescent="0.25">
      <c r="A250" t="s">
        <v>997</v>
      </c>
      <c r="B250" t="s">
        <v>514</v>
      </c>
      <c r="C250">
        <v>47128835</v>
      </c>
      <c r="D250" t="s">
        <v>998</v>
      </c>
      <c r="G250" t="s">
        <v>916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40</v>
      </c>
      <c r="Z250">
        <v>26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</row>
    <row r="251" spans="1:36" x14ac:dyDescent="0.25">
      <c r="A251" s="34" t="s">
        <v>4189</v>
      </c>
      <c r="B251" s="34" t="s">
        <v>514</v>
      </c>
      <c r="C251" s="34">
        <v>47128788</v>
      </c>
      <c r="D251" s="34" t="s">
        <v>4188</v>
      </c>
      <c r="E251" s="34"/>
      <c r="F251" s="34"/>
      <c r="G251" s="34" t="s">
        <v>916</v>
      </c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>
        <v>0</v>
      </c>
      <c r="U251" s="34">
        <v>0</v>
      </c>
      <c r="V251" s="34">
        <v>0</v>
      </c>
      <c r="W251" s="34">
        <v>0</v>
      </c>
      <c r="X251" s="34">
        <v>0</v>
      </c>
      <c r="Y251" s="34">
        <v>0</v>
      </c>
      <c r="Z251" s="34">
        <v>0</v>
      </c>
      <c r="AA251" s="34">
        <v>40</v>
      </c>
      <c r="AB251" s="34">
        <v>8</v>
      </c>
      <c r="AC251" s="34">
        <v>0</v>
      </c>
      <c r="AD251" s="34">
        <v>0</v>
      </c>
      <c r="AE251" s="34">
        <v>0</v>
      </c>
      <c r="AF251" s="34">
        <v>0</v>
      </c>
      <c r="AG251" s="34"/>
      <c r="AH251" s="34"/>
      <c r="AI251" s="34"/>
      <c r="AJ251" s="34"/>
    </row>
    <row r="252" spans="1:36" x14ac:dyDescent="0.25">
      <c r="A252" t="s">
        <v>1024</v>
      </c>
      <c r="B252" t="s">
        <v>514</v>
      </c>
      <c r="C252">
        <v>47136348</v>
      </c>
      <c r="D252" t="s">
        <v>1025</v>
      </c>
      <c r="G252" t="s">
        <v>916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40</v>
      </c>
      <c r="AB252">
        <v>40</v>
      </c>
      <c r="AC252">
        <v>40</v>
      </c>
      <c r="AD252">
        <v>34</v>
      </c>
      <c r="AE252">
        <v>0</v>
      </c>
      <c r="AF252">
        <v>0</v>
      </c>
    </row>
    <row r="253" spans="1:36" x14ac:dyDescent="0.25">
      <c r="A253" s="34" t="s">
        <v>4193</v>
      </c>
      <c r="B253" s="34" t="s">
        <v>514</v>
      </c>
      <c r="C253" s="34">
        <v>47135083</v>
      </c>
      <c r="D253" s="34" t="s">
        <v>4192</v>
      </c>
      <c r="E253" s="34"/>
      <c r="F253" s="34"/>
      <c r="G253" s="34" t="s">
        <v>916</v>
      </c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>
        <v>0</v>
      </c>
      <c r="U253" s="34">
        <v>0</v>
      </c>
      <c r="V253" s="34">
        <v>0</v>
      </c>
      <c r="W253" s="34">
        <v>0</v>
      </c>
      <c r="X253" s="34">
        <v>0</v>
      </c>
      <c r="Y253" s="34">
        <v>0</v>
      </c>
      <c r="Z253" s="34">
        <v>0</v>
      </c>
      <c r="AA253" s="34">
        <v>0</v>
      </c>
      <c r="AB253" s="34">
        <v>0</v>
      </c>
      <c r="AC253" s="34">
        <v>0</v>
      </c>
      <c r="AD253" s="34">
        <v>0</v>
      </c>
      <c r="AE253" s="34">
        <v>0</v>
      </c>
      <c r="AF253" s="34">
        <v>0</v>
      </c>
      <c r="AG253" s="34"/>
      <c r="AH253" s="34"/>
      <c r="AI253" s="34"/>
      <c r="AJ253" s="34"/>
    </row>
    <row r="254" spans="1:36" x14ac:dyDescent="0.25">
      <c r="A254" t="s">
        <v>1004</v>
      </c>
      <c r="B254" t="s">
        <v>514</v>
      </c>
      <c r="C254">
        <v>47128684</v>
      </c>
      <c r="D254" t="s">
        <v>1005</v>
      </c>
      <c r="G254" t="s">
        <v>916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37</v>
      </c>
      <c r="AD254">
        <v>0</v>
      </c>
      <c r="AE254">
        <v>0</v>
      </c>
      <c r="AF254">
        <v>0</v>
      </c>
    </row>
    <row r="255" spans="1:36" x14ac:dyDescent="0.25">
      <c r="A255" s="34" t="s">
        <v>927</v>
      </c>
      <c r="B255" s="34" t="s">
        <v>514</v>
      </c>
      <c r="C255" s="34">
        <v>47128469</v>
      </c>
      <c r="D255" s="34" t="s">
        <v>928</v>
      </c>
      <c r="E255" s="34"/>
      <c r="F255" s="34"/>
      <c r="G255" s="34" t="s">
        <v>916</v>
      </c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>
        <v>0</v>
      </c>
      <c r="U255" s="34">
        <v>0</v>
      </c>
      <c r="V255" s="34">
        <v>33</v>
      </c>
      <c r="W255" s="34">
        <v>0</v>
      </c>
      <c r="X255" s="34">
        <v>0</v>
      </c>
      <c r="Y255" s="34">
        <v>0</v>
      </c>
      <c r="Z255" s="34">
        <v>0</v>
      </c>
      <c r="AA255" s="34">
        <v>0</v>
      </c>
      <c r="AB255" s="34">
        <v>0</v>
      </c>
      <c r="AC255" s="34">
        <v>0</v>
      </c>
      <c r="AD255" s="34">
        <v>0</v>
      </c>
      <c r="AE255" s="34">
        <v>0</v>
      </c>
      <c r="AF255" s="34">
        <v>0</v>
      </c>
      <c r="AG255" s="34"/>
      <c r="AH255" s="34"/>
      <c r="AI255" s="34"/>
      <c r="AJ255" s="34"/>
    </row>
    <row r="256" spans="1:36" x14ac:dyDescent="0.25">
      <c r="A256" t="s">
        <v>960</v>
      </c>
      <c r="B256" t="s">
        <v>514</v>
      </c>
      <c r="C256">
        <v>47128359</v>
      </c>
      <c r="D256" t="s">
        <v>961</v>
      </c>
      <c r="G256" t="s">
        <v>916</v>
      </c>
      <c r="T256">
        <v>0</v>
      </c>
      <c r="U256">
        <v>26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</row>
    <row r="257" spans="1:36" x14ac:dyDescent="0.25">
      <c r="A257" s="34" t="s">
        <v>966</v>
      </c>
      <c r="B257" s="34" t="s">
        <v>514</v>
      </c>
      <c r="C257" s="34">
        <v>47128202</v>
      </c>
      <c r="D257" s="34" t="s">
        <v>967</v>
      </c>
      <c r="E257" s="34"/>
      <c r="F257" s="34"/>
      <c r="G257" s="34" t="s">
        <v>916</v>
      </c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>
        <v>0</v>
      </c>
      <c r="U257" s="34">
        <v>0</v>
      </c>
      <c r="V257" s="34">
        <v>40</v>
      </c>
      <c r="W257" s="34">
        <v>40</v>
      </c>
      <c r="X257" s="34">
        <v>0</v>
      </c>
      <c r="Y257" s="34">
        <v>0</v>
      </c>
      <c r="Z257" s="34">
        <v>40</v>
      </c>
      <c r="AA257" s="34">
        <v>40</v>
      </c>
      <c r="AB257" s="34">
        <v>40</v>
      </c>
      <c r="AC257" s="34">
        <v>40</v>
      </c>
      <c r="AD257" s="34">
        <v>11</v>
      </c>
      <c r="AE257" s="34">
        <v>0</v>
      </c>
      <c r="AF257" s="34">
        <v>0</v>
      </c>
      <c r="AG257" s="34"/>
      <c r="AH257" s="34"/>
      <c r="AI257" s="34"/>
      <c r="AJ257" s="34"/>
    </row>
    <row r="258" spans="1:36" x14ac:dyDescent="0.25">
      <c r="A258" t="s">
        <v>932</v>
      </c>
      <c r="B258" t="s">
        <v>514</v>
      </c>
      <c r="C258">
        <v>47128154</v>
      </c>
      <c r="D258" t="s">
        <v>933</v>
      </c>
      <c r="G258" t="s">
        <v>916</v>
      </c>
      <c r="T258">
        <v>0</v>
      </c>
      <c r="U258">
        <v>0</v>
      </c>
      <c r="V258">
        <v>40</v>
      </c>
      <c r="W258">
        <v>40</v>
      </c>
      <c r="X258">
        <v>0</v>
      </c>
      <c r="Y258">
        <v>0</v>
      </c>
      <c r="Z258">
        <v>18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</row>
    <row r="259" spans="1:36" x14ac:dyDescent="0.25">
      <c r="A259" s="34" t="s">
        <v>1010</v>
      </c>
      <c r="B259" s="34" t="s">
        <v>514</v>
      </c>
      <c r="C259" s="34">
        <v>47128108</v>
      </c>
      <c r="D259" s="34" t="s">
        <v>1011</v>
      </c>
      <c r="E259" s="34"/>
      <c r="F259" s="34"/>
      <c r="G259" s="34" t="s">
        <v>916</v>
      </c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>
        <v>0</v>
      </c>
      <c r="U259" s="34">
        <v>0</v>
      </c>
      <c r="V259" s="34">
        <v>0</v>
      </c>
      <c r="W259" s="34">
        <v>0</v>
      </c>
      <c r="X259" s="34">
        <v>0</v>
      </c>
      <c r="Y259" s="34">
        <v>0</v>
      </c>
      <c r="Z259" s="34">
        <v>40</v>
      </c>
      <c r="AA259" s="34">
        <v>40</v>
      </c>
      <c r="AB259" s="34">
        <v>26</v>
      </c>
      <c r="AC259" s="34">
        <v>0</v>
      </c>
      <c r="AD259" s="34">
        <v>0</v>
      </c>
      <c r="AE259" s="34">
        <v>0</v>
      </c>
      <c r="AF259" s="34">
        <v>0</v>
      </c>
      <c r="AG259" s="34"/>
      <c r="AH259" s="34"/>
      <c r="AI259" s="34"/>
      <c r="AJ259" s="34"/>
    </row>
    <row r="260" spans="1:36" x14ac:dyDescent="0.25">
      <c r="A260" t="s">
        <v>1324</v>
      </c>
      <c r="B260" t="s">
        <v>514</v>
      </c>
      <c r="C260">
        <v>47129069</v>
      </c>
      <c r="D260" t="s">
        <v>1325</v>
      </c>
      <c r="G260" t="s">
        <v>916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40</v>
      </c>
      <c r="AE260">
        <v>40</v>
      </c>
      <c r="AF260">
        <v>8</v>
      </c>
    </row>
    <row r="261" spans="1:36" x14ac:dyDescent="0.25">
      <c r="A261" s="34" t="s">
        <v>997</v>
      </c>
      <c r="B261" s="34" t="s">
        <v>514</v>
      </c>
      <c r="C261" s="34">
        <v>47128835</v>
      </c>
      <c r="D261" s="34" t="s">
        <v>998</v>
      </c>
      <c r="E261" s="34"/>
      <c r="F261" s="34"/>
      <c r="G261" s="34" t="s">
        <v>1089</v>
      </c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>
        <v>0</v>
      </c>
      <c r="U261" s="34">
        <v>0</v>
      </c>
      <c r="V261" s="34">
        <v>0</v>
      </c>
      <c r="W261" s="34">
        <v>0</v>
      </c>
      <c r="X261" s="34">
        <v>0</v>
      </c>
      <c r="Y261" s="34">
        <v>40</v>
      </c>
      <c r="Z261" s="34">
        <v>25</v>
      </c>
      <c r="AA261" s="34">
        <v>0</v>
      </c>
      <c r="AB261" s="34">
        <v>0</v>
      </c>
      <c r="AC261" s="34">
        <v>0</v>
      </c>
      <c r="AD261" s="34">
        <v>0</v>
      </c>
      <c r="AE261" s="34">
        <v>0</v>
      </c>
      <c r="AF261" s="34">
        <v>0</v>
      </c>
      <c r="AG261" s="34"/>
      <c r="AH261" s="34"/>
      <c r="AI261" s="34"/>
      <c r="AJ261" s="34"/>
    </row>
    <row r="262" spans="1:36" x14ac:dyDescent="0.25">
      <c r="A262" t="s">
        <v>4189</v>
      </c>
      <c r="B262" t="s">
        <v>514</v>
      </c>
      <c r="C262">
        <v>47128788</v>
      </c>
      <c r="D262" t="s">
        <v>4188</v>
      </c>
      <c r="G262" t="s">
        <v>1089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40</v>
      </c>
      <c r="AB262">
        <v>8</v>
      </c>
      <c r="AC262">
        <v>0</v>
      </c>
      <c r="AD262">
        <v>0</v>
      </c>
      <c r="AE262">
        <v>0</v>
      </c>
      <c r="AF262">
        <v>0</v>
      </c>
    </row>
    <row r="263" spans="1:36" x14ac:dyDescent="0.25">
      <c r="A263" s="34" t="s">
        <v>1024</v>
      </c>
      <c r="B263" s="34" t="s">
        <v>514</v>
      </c>
      <c r="C263" s="34">
        <v>47136348</v>
      </c>
      <c r="D263" s="34" t="s">
        <v>1025</v>
      </c>
      <c r="E263" s="34"/>
      <c r="F263" s="34"/>
      <c r="G263" s="34" t="s">
        <v>1089</v>
      </c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>
        <v>0</v>
      </c>
      <c r="U263" s="34">
        <v>0</v>
      </c>
      <c r="V263" s="34">
        <v>0</v>
      </c>
      <c r="W263" s="34">
        <v>0</v>
      </c>
      <c r="X263" s="34">
        <v>0</v>
      </c>
      <c r="Y263" s="34">
        <v>0</v>
      </c>
      <c r="Z263" s="34">
        <v>0</v>
      </c>
      <c r="AA263" s="34">
        <v>40</v>
      </c>
      <c r="AB263" s="34">
        <v>40</v>
      </c>
      <c r="AC263" s="34">
        <v>40</v>
      </c>
      <c r="AD263" s="34">
        <v>34</v>
      </c>
      <c r="AE263" s="34">
        <v>0</v>
      </c>
      <c r="AF263" s="34">
        <v>0</v>
      </c>
      <c r="AG263" s="34"/>
      <c r="AH263" s="34"/>
      <c r="AI263" s="34"/>
      <c r="AJ263" s="34"/>
    </row>
    <row r="264" spans="1:36" x14ac:dyDescent="0.25">
      <c r="A264" t="s">
        <v>4193</v>
      </c>
      <c r="B264" t="s">
        <v>514</v>
      </c>
      <c r="C264">
        <v>47135083</v>
      </c>
      <c r="D264" t="s">
        <v>4192</v>
      </c>
      <c r="G264" t="s">
        <v>1089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</row>
    <row r="265" spans="1:36" x14ac:dyDescent="0.25">
      <c r="A265" s="34" t="s">
        <v>1184</v>
      </c>
      <c r="B265" s="34" t="s">
        <v>514</v>
      </c>
      <c r="C265" s="34">
        <v>47128515</v>
      </c>
      <c r="D265" s="34" t="s">
        <v>1185</v>
      </c>
      <c r="E265" s="34"/>
      <c r="F265" s="34"/>
      <c r="G265" s="34" t="s">
        <v>1089</v>
      </c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>
        <v>0</v>
      </c>
      <c r="U265" s="34">
        <v>0</v>
      </c>
      <c r="V265" s="34">
        <v>0</v>
      </c>
      <c r="W265" s="34">
        <v>38</v>
      </c>
      <c r="X265" s="34">
        <v>0</v>
      </c>
      <c r="Y265" s="34">
        <v>0</v>
      </c>
      <c r="Z265" s="34">
        <v>0</v>
      </c>
      <c r="AA265" s="34">
        <v>0</v>
      </c>
      <c r="AB265" s="34">
        <v>0</v>
      </c>
      <c r="AC265" s="34">
        <v>0</v>
      </c>
      <c r="AD265" s="34">
        <v>0</v>
      </c>
      <c r="AE265" s="34">
        <v>0</v>
      </c>
      <c r="AF265" s="34">
        <v>0</v>
      </c>
      <c r="AG265" s="34"/>
      <c r="AH265" s="34"/>
      <c r="AI265" s="34"/>
      <c r="AJ265" s="34"/>
    </row>
    <row r="266" spans="1:36" x14ac:dyDescent="0.25">
      <c r="A266" t="s">
        <v>994</v>
      </c>
      <c r="B266" t="s">
        <v>514</v>
      </c>
      <c r="C266">
        <v>47128472</v>
      </c>
      <c r="D266" t="s">
        <v>995</v>
      </c>
      <c r="G266" t="s">
        <v>1089</v>
      </c>
      <c r="T266">
        <v>0</v>
      </c>
      <c r="U266">
        <v>0</v>
      </c>
      <c r="V266">
        <v>15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</row>
    <row r="267" spans="1:36" x14ac:dyDescent="0.25">
      <c r="A267" s="34" t="s">
        <v>966</v>
      </c>
      <c r="B267" s="34" t="s">
        <v>514</v>
      </c>
      <c r="C267" s="34">
        <v>47128202</v>
      </c>
      <c r="D267" s="34" t="s">
        <v>967</v>
      </c>
      <c r="E267" s="34"/>
      <c r="F267" s="34"/>
      <c r="G267" s="34" t="s">
        <v>1089</v>
      </c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>
        <v>0</v>
      </c>
      <c r="U267" s="34">
        <v>0</v>
      </c>
      <c r="V267" s="34">
        <v>40</v>
      </c>
      <c r="W267" s="34">
        <v>40</v>
      </c>
      <c r="X267" s="34">
        <v>0</v>
      </c>
      <c r="Y267" s="34">
        <v>0</v>
      </c>
      <c r="Z267" s="34">
        <v>40</v>
      </c>
      <c r="AA267" s="34">
        <v>40</v>
      </c>
      <c r="AB267" s="34">
        <v>40</v>
      </c>
      <c r="AC267" s="34">
        <v>40</v>
      </c>
      <c r="AD267" s="34">
        <v>0</v>
      </c>
      <c r="AE267" s="34">
        <v>0</v>
      </c>
      <c r="AF267" s="34">
        <v>0</v>
      </c>
      <c r="AG267" s="34"/>
      <c r="AH267" s="34"/>
      <c r="AI267" s="34"/>
      <c r="AJ267" s="34"/>
    </row>
    <row r="268" spans="1:36" x14ac:dyDescent="0.25">
      <c r="A268" t="s">
        <v>4430</v>
      </c>
      <c r="B268" t="s">
        <v>514</v>
      </c>
      <c r="C268">
        <v>47128132</v>
      </c>
      <c r="D268" t="s">
        <v>4429</v>
      </c>
      <c r="G268" t="s">
        <v>1089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</row>
    <row r="269" spans="1:36" x14ac:dyDescent="0.25">
      <c r="A269" s="34" t="s">
        <v>990</v>
      </c>
      <c r="B269" s="34" t="s">
        <v>514</v>
      </c>
      <c r="C269" s="34">
        <v>47127971</v>
      </c>
      <c r="D269" s="34" t="s">
        <v>991</v>
      </c>
      <c r="E269" s="34"/>
      <c r="F269" s="34"/>
      <c r="G269" s="34" t="s">
        <v>1089</v>
      </c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>
        <v>0</v>
      </c>
      <c r="U269" s="34">
        <v>0</v>
      </c>
      <c r="V269" s="34">
        <v>0</v>
      </c>
      <c r="W269" s="34">
        <v>0</v>
      </c>
      <c r="X269" s="34">
        <v>0</v>
      </c>
      <c r="Y269" s="34">
        <v>0</v>
      </c>
      <c r="Z269" s="34">
        <v>40</v>
      </c>
      <c r="AA269" s="34">
        <v>40</v>
      </c>
      <c r="AB269" s="34">
        <v>40</v>
      </c>
      <c r="AC269" s="34">
        <v>40</v>
      </c>
      <c r="AD269" s="34">
        <v>9</v>
      </c>
      <c r="AE269" s="34">
        <v>0</v>
      </c>
      <c r="AF269" s="34">
        <v>0</v>
      </c>
      <c r="AG269" s="34"/>
      <c r="AH269" s="34"/>
      <c r="AI269" s="34"/>
      <c r="AJ269" s="34"/>
    </row>
    <row r="270" spans="1:36" hidden="1" x14ac:dyDescent="0.25">
      <c r="A270" t="s">
        <v>2409</v>
      </c>
      <c r="B270" t="s">
        <v>514</v>
      </c>
      <c r="C270">
        <v>47129006</v>
      </c>
      <c r="D270" t="s">
        <v>2408</v>
      </c>
      <c r="G270" t="s">
        <v>2344</v>
      </c>
      <c r="U270">
        <v>32</v>
      </c>
    </row>
    <row r="271" spans="1:36" hidden="1" x14ac:dyDescent="0.25">
      <c r="A271" s="34" t="s">
        <v>2412</v>
      </c>
      <c r="B271" s="34" t="s">
        <v>514</v>
      </c>
      <c r="C271" s="34">
        <v>47128820</v>
      </c>
      <c r="D271" s="34" t="s">
        <v>2411</v>
      </c>
      <c r="E271" s="34"/>
      <c r="F271" s="34"/>
      <c r="G271" s="34" t="s">
        <v>2344</v>
      </c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>
        <v>0</v>
      </c>
      <c r="V271" s="34">
        <v>0</v>
      </c>
      <c r="W271" s="34">
        <v>0</v>
      </c>
      <c r="X271" s="34">
        <v>0</v>
      </c>
      <c r="Y271" s="34">
        <v>0</v>
      </c>
      <c r="Z271" s="34">
        <v>0</v>
      </c>
      <c r="AA271" s="34">
        <v>0</v>
      </c>
      <c r="AB271" s="34"/>
      <c r="AC271" s="34"/>
      <c r="AD271" s="34"/>
      <c r="AE271" s="34"/>
      <c r="AF271" s="34"/>
      <c r="AG271" s="34"/>
      <c r="AH271" s="34"/>
      <c r="AI271" s="34"/>
      <c r="AJ271" s="34"/>
    </row>
    <row r="272" spans="1:36" hidden="1" x14ac:dyDescent="0.25">
      <c r="A272" t="s">
        <v>2409</v>
      </c>
      <c r="B272" t="s">
        <v>514</v>
      </c>
      <c r="C272">
        <v>47129006</v>
      </c>
      <c r="D272" t="s">
        <v>2408</v>
      </c>
      <c r="G272" t="s">
        <v>912</v>
      </c>
      <c r="U272">
        <v>0</v>
      </c>
    </row>
    <row r="273" spans="1:36" hidden="1" x14ac:dyDescent="0.25">
      <c r="A273" s="34" t="s">
        <v>2412</v>
      </c>
      <c r="B273" s="34" t="s">
        <v>514</v>
      </c>
      <c r="C273" s="34">
        <v>47128820</v>
      </c>
      <c r="D273" s="34" t="s">
        <v>2411</v>
      </c>
      <c r="E273" s="34"/>
      <c r="F273" s="34"/>
      <c r="G273" s="34" t="s">
        <v>912</v>
      </c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>
        <v>0</v>
      </c>
      <c r="V273" s="34">
        <v>0</v>
      </c>
      <c r="W273" s="34">
        <v>0</v>
      </c>
      <c r="X273" s="34">
        <v>0</v>
      </c>
      <c r="Y273" s="34">
        <v>0</v>
      </c>
      <c r="Z273" s="34">
        <v>0</v>
      </c>
      <c r="AA273" s="34">
        <v>0</v>
      </c>
      <c r="AB273" s="34"/>
      <c r="AC273" s="34"/>
      <c r="AD273" s="34"/>
      <c r="AE273" s="34"/>
      <c r="AF273" s="34"/>
      <c r="AG273" s="34"/>
      <c r="AH273" s="34"/>
      <c r="AI273" s="34"/>
      <c r="AJ273" s="34"/>
    </row>
    <row r="274" spans="1:36" hidden="1" x14ac:dyDescent="0.25">
      <c r="A274" t="s">
        <v>2409</v>
      </c>
      <c r="B274" t="s">
        <v>514</v>
      </c>
      <c r="C274">
        <v>47129006</v>
      </c>
      <c r="D274" t="s">
        <v>2408</v>
      </c>
      <c r="G274" t="s">
        <v>3939</v>
      </c>
      <c r="U274">
        <v>0</v>
      </c>
    </row>
    <row r="275" spans="1:36" hidden="1" x14ac:dyDescent="0.25">
      <c r="A275" s="34" t="s">
        <v>2412</v>
      </c>
      <c r="B275" s="34" t="s">
        <v>514</v>
      </c>
      <c r="C275" s="34">
        <v>47128820</v>
      </c>
      <c r="D275" s="34" t="s">
        <v>2411</v>
      </c>
      <c r="E275" s="34"/>
      <c r="F275" s="34"/>
      <c r="G275" s="34" t="s">
        <v>3939</v>
      </c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>
        <v>0</v>
      </c>
      <c r="V275" s="34">
        <v>53</v>
      </c>
      <c r="W275" s="34">
        <v>0</v>
      </c>
      <c r="X275" s="34">
        <v>0</v>
      </c>
      <c r="Y275" s="34">
        <v>0</v>
      </c>
      <c r="Z275" s="34">
        <v>0</v>
      </c>
      <c r="AA275" s="34">
        <v>0</v>
      </c>
      <c r="AB275" s="34"/>
      <c r="AC275" s="34"/>
      <c r="AD275" s="34"/>
      <c r="AE275" s="34"/>
      <c r="AF275" s="34"/>
      <c r="AG275" s="34"/>
      <c r="AH275" s="34"/>
      <c r="AI275" s="34"/>
      <c r="AJ275" s="34"/>
    </row>
    <row r="276" spans="1:36" hidden="1" x14ac:dyDescent="0.25">
      <c r="A276" t="s">
        <v>984</v>
      </c>
      <c r="B276" t="s">
        <v>514</v>
      </c>
      <c r="C276">
        <v>47128317</v>
      </c>
      <c r="D276" t="s">
        <v>985</v>
      </c>
      <c r="G276" t="s">
        <v>1090</v>
      </c>
      <c r="V276">
        <v>0</v>
      </c>
      <c r="W276">
        <v>60</v>
      </c>
      <c r="X276">
        <v>0</v>
      </c>
      <c r="Y276">
        <v>0</v>
      </c>
      <c r="Z276">
        <v>0</v>
      </c>
      <c r="AA276">
        <v>0</v>
      </c>
      <c r="AB276">
        <v>0</v>
      </c>
    </row>
    <row r="277" spans="1:36" hidden="1" x14ac:dyDescent="0.25">
      <c r="A277" s="34" t="s">
        <v>1007</v>
      </c>
      <c r="B277" s="34" t="s">
        <v>514</v>
      </c>
      <c r="C277" s="34">
        <v>47128137</v>
      </c>
      <c r="D277" s="34" t="s">
        <v>1008</v>
      </c>
      <c r="E277" s="34"/>
      <c r="F277" s="34"/>
      <c r="G277" s="34" t="s">
        <v>1090</v>
      </c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>
        <v>0</v>
      </c>
      <c r="W277" s="34">
        <v>10</v>
      </c>
      <c r="X277" s="34">
        <v>100</v>
      </c>
      <c r="Y277" s="34">
        <v>57</v>
      </c>
      <c r="Z277" s="34">
        <v>0</v>
      </c>
      <c r="AA277" s="34">
        <v>0</v>
      </c>
      <c r="AB277" s="34">
        <v>0</v>
      </c>
      <c r="AC277" s="34"/>
      <c r="AD277" s="34"/>
      <c r="AE277" s="34"/>
      <c r="AF277" s="34"/>
      <c r="AG277" s="34"/>
      <c r="AH277" s="34"/>
      <c r="AI277" s="34"/>
      <c r="AJ277" s="34"/>
    </row>
    <row r="278" spans="1:36" hidden="1" x14ac:dyDescent="0.25">
      <c r="A278" t="s">
        <v>941</v>
      </c>
      <c r="B278" t="s">
        <v>514</v>
      </c>
      <c r="C278">
        <v>47128085</v>
      </c>
      <c r="D278" t="s">
        <v>942</v>
      </c>
      <c r="G278" t="s">
        <v>1090</v>
      </c>
      <c r="V278">
        <v>0</v>
      </c>
      <c r="W278">
        <v>0</v>
      </c>
      <c r="X278">
        <v>0</v>
      </c>
      <c r="Y278">
        <v>25</v>
      </c>
      <c r="Z278">
        <v>0</v>
      </c>
      <c r="AA278">
        <v>0</v>
      </c>
      <c r="AB278">
        <v>0</v>
      </c>
    </row>
    <row r="279" spans="1:36" hidden="1" x14ac:dyDescent="0.25">
      <c r="A279" s="34" t="s">
        <v>987</v>
      </c>
      <c r="B279" s="34" t="s">
        <v>514</v>
      </c>
      <c r="C279" s="34">
        <v>47128139</v>
      </c>
      <c r="D279" s="34" t="s">
        <v>988</v>
      </c>
      <c r="E279" s="34"/>
      <c r="F279" s="34"/>
      <c r="G279" s="34" t="s">
        <v>1090</v>
      </c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>
        <v>0</v>
      </c>
      <c r="W279" s="34">
        <v>0</v>
      </c>
      <c r="X279" s="34">
        <v>0</v>
      </c>
      <c r="Y279" s="34">
        <v>0</v>
      </c>
      <c r="Z279" s="34">
        <v>0</v>
      </c>
      <c r="AA279" s="34">
        <v>3</v>
      </c>
      <c r="AB279" s="34">
        <v>0</v>
      </c>
      <c r="AC279" s="34"/>
      <c r="AD279" s="34"/>
      <c r="AE279" s="34"/>
      <c r="AF279" s="34"/>
      <c r="AG279" s="34"/>
      <c r="AH279" s="34"/>
      <c r="AI279" s="34"/>
      <c r="AJ279" s="34"/>
    </row>
    <row r="280" spans="1:36" hidden="1" x14ac:dyDescent="0.25">
      <c r="A280" t="s">
        <v>1404</v>
      </c>
      <c r="B280" t="s">
        <v>514</v>
      </c>
      <c r="C280">
        <v>47128039</v>
      </c>
      <c r="D280" t="s">
        <v>1405</v>
      </c>
      <c r="G280" t="s">
        <v>1135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</row>
    <row r="281" spans="1:36" hidden="1" x14ac:dyDescent="0.25">
      <c r="A281" s="34" t="s">
        <v>1208</v>
      </c>
      <c r="B281" s="34" t="s">
        <v>514</v>
      </c>
      <c r="C281" s="34">
        <v>47128555</v>
      </c>
      <c r="D281" s="34" t="s">
        <v>1209</v>
      </c>
      <c r="E281" s="34"/>
      <c r="F281" s="34"/>
      <c r="G281" s="34" t="s">
        <v>1135</v>
      </c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>
        <v>0</v>
      </c>
      <c r="AC281" s="34">
        <v>0</v>
      </c>
      <c r="AD281" s="34">
        <v>0</v>
      </c>
      <c r="AE281" s="34">
        <v>0</v>
      </c>
      <c r="AF281" s="34">
        <v>0</v>
      </c>
      <c r="AG281" s="34">
        <v>0</v>
      </c>
      <c r="AH281" s="34">
        <v>0</v>
      </c>
      <c r="AI281" s="34">
        <v>0</v>
      </c>
      <c r="AJ281" s="34">
        <v>0</v>
      </c>
    </row>
    <row r="282" spans="1:36" hidden="1" x14ac:dyDescent="0.25">
      <c r="A282" t="s">
        <v>1509</v>
      </c>
      <c r="B282" t="s">
        <v>514</v>
      </c>
      <c r="C282">
        <v>47128597</v>
      </c>
      <c r="D282" t="s">
        <v>1510</v>
      </c>
      <c r="G282" t="s">
        <v>1135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</row>
    <row r="283" spans="1:36" hidden="1" x14ac:dyDescent="0.25">
      <c r="A283" s="34" t="s">
        <v>978</v>
      </c>
      <c r="B283" s="34" t="s">
        <v>514</v>
      </c>
      <c r="C283" s="34">
        <v>47128257</v>
      </c>
      <c r="D283" s="34" t="s">
        <v>979</v>
      </c>
      <c r="E283" s="34"/>
      <c r="F283" s="34"/>
      <c r="G283" s="34" t="s">
        <v>1135</v>
      </c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>
        <v>0</v>
      </c>
      <c r="AC283" s="34">
        <v>0</v>
      </c>
      <c r="AD283" s="34">
        <v>0</v>
      </c>
      <c r="AE283" s="34">
        <v>0</v>
      </c>
      <c r="AF283" s="34">
        <v>0</v>
      </c>
      <c r="AG283" s="34">
        <v>0</v>
      </c>
      <c r="AH283" s="34">
        <v>0</v>
      </c>
      <c r="AI283" s="34">
        <v>0</v>
      </c>
      <c r="AJ283" s="34">
        <v>0</v>
      </c>
    </row>
    <row r="284" spans="1:36" hidden="1" x14ac:dyDescent="0.25">
      <c r="A284" t="s">
        <v>1013</v>
      </c>
      <c r="B284" t="s">
        <v>514</v>
      </c>
      <c r="C284">
        <v>47128880</v>
      </c>
      <c r="D284" t="s">
        <v>1014</v>
      </c>
      <c r="G284" t="s">
        <v>1135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</row>
    <row r="285" spans="1:36" hidden="1" x14ac:dyDescent="0.25">
      <c r="A285" s="34" t="s">
        <v>1131</v>
      </c>
      <c r="B285" s="34" t="s">
        <v>514</v>
      </c>
      <c r="C285" s="34">
        <v>47128879</v>
      </c>
      <c r="D285" s="34" t="s">
        <v>1132</v>
      </c>
      <c r="E285" s="34"/>
      <c r="F285" s="34"/>
      <c r="G285" s="34" t="s">
        <v>1135</v>
      </c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>
        <v>0</v>
      </c>
      <c r="AC285" s="34">
        <v>0</v>
      </c>
      <c r="AD285" s="34">
        <v>0</v>
      </c>
      <c r="AE285" s="34">
        <v>0</v>
      </c>
      <c r="AF285" s="34">
        <v>0</v>
      </c>
      <c r="AG285" s="34">
        <v>0</v>
      </c>
      <c r="AH285" s="34">
        <v>0</v>
      </c>
      <c r="AI285" s="34">
        <v>0</v>
      </c>
      <c r="AJ285" s="34">
        <v>0</v>
      </c>
    </row>
    <row r="286" spans="1:36" hidden="1" x14ac:dyDescent="0.25">
      <c r="A286" t="s">
        <v>1081</v>
      </c>
      <c r="B286" t="s">
        <v>514</v>
      </c>
      <c r="C286">
        <v>47128418</v>
      </c>
      <c r="D286" t="s">
        <v>1082</v>
      </c>
      <c r="G286" t="s">
        <v>1135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</row>
    <row r="287" spans="1:36" hidden="1" x14ac:dyDescent="0.25">
      <c r="A287" s="34" t="s">
        <v>946</v>
      </c>
      <c r="B287" s="34" t="s">
        <v>514</v>
      </c>
      <c r="C287" s="34">
        <v>47128968</v>
      </c>
      <c r="D287" s="34" t="s">
        <v>947</v>
      </c>
      <c r="E287" s="34"/>
      <c r="F287" s="34"/>
      <c r="G287" s="34" t="s">
        <v>1135</v>
      </c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>
        <v>0</v>
      </c>
      <c r="AC287" s="34">
        <v>0</v>
      </c>
      <c r="AD287" s="34">
        <v>0</v>
      </c>
      <c r="AE287" s="34">
        <v>0</v>
      </c>
      <c r="AF287" s="34">
        <v>0</v>
      </c>
      <c r="AG287" s="34">
        <v>0</v>
      </c>
      <c r="AH287" s="34">
        <v>0</v>
      </c>
      <c r="AI287" s="34">
        <v>0</v>
      </c>
      <c r="AJ287" s="34">
        <v>0</v>
      </c>
    </row>
    <row r="288" spans="1:36" hidden="1" x14ac:dyDescent="0.25">
      <c r="A288" t="s">
        <v>1404</v>
      </c>
      <c r="B288" t="s">
        <v>514</v>
      </c>
      <c r="C288">
        <v>47128039</v>
      </c>
      <c r="D288" t="s">
        <v>1405</v>
      </c>
      <c r="G288" t="s">
        <v>1080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</row>
    <row r="289" spans="1:36" hidden="1" x14ac:dyDescent="0.25">
      <c r="A289" s="34" t="s">
        <v>1208</v>
      </c>
      <c r="B289" s="34" t="s">
        <v>514</v>
      </c>
      <c r="C289" s="34">
        <v>47128555</v>
      </c>
      <c r="D289" s="34" t="s">
        <v>1209</v>
      </c>
      <c r="E289" s="34"/>
      <c r="F289" s="34"/>
      <c r="G289" s="34" t="s">
        <v>1080</v>
      </c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>
        <v>0</v>
      </c>
      <c r="AC289" s="34">
        <v>0</v>
      </c>
      <c r="AD289" s="34">
        <v>0</v>
      </c>
      <c r="AE289" s="34">
        <v>0</v>
      </c>
      <c r="AF289" s="34">
        <v>0</v>
      </c>
      <c r="AG289" s="34">
        <v>0</v>
      </c>
      <c r="AH289" s="34">
        <v>0</v>
      </c>
      <c r="AI289" s="34">
        <v>0</v>
      </c>
      <c r="AJ289" s="34">
        <v>0</v>
      </c>
    </row>
    <row r="290" spans="1:36" hidden="1" x14ac:dyDescent="0.25">
      <c r="A290" t="s">
        <v>1509</v>
      </c>
      <c r="B290" t="s">
        <v>514</v>
      </c>
      <c r="C290">
        <v>47128597</v>
      </c>
      <c r="D290" t="s">
        <v>1510</v>
      </c>
      <c r="G290" t="s">
        <v>1080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</row>
    <row r="291" spans="1:36" hidden="1" x14ac:dyDescent="0.25">
      <c r="A291" s="34" t="s">
        <v>978</v>
      </c>
      <c r="B291" s="34" t="s">
        <v>514</v>
      </c>
      <c r="C291" s="34">
        <v>47128257</v>
      </c>
      <c r="D291" s="34" t="s">
        <v>979</v>
      </c>
      <c r="E291" s="34"/>
      <c r="F291" s="34"/>
      <c r="G291" s="34" t="s">
        <v>1080</v>
      </c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>
        <v>50</v>
      </c>
      <c r="AC291" s="34">
        <v>0</v>
      </c>
      <c r="AD291" s="34">
        <v>0</v>
      </c>
      <c r="AE291" s="34">
        <v>78.2</v>
      </c>
      <c r="AF291" s="34">
        <v>0</v>
      </c>
      <c r="AG291" s="34">
        <v>0</v>
      </c>
      <c r="AH291" s="34">
        <v>0</v>
      </c>
      <c r="AI291" s="34">
        <v>0</v>
      </c>
      <c r="AJ291" s="34">
        <v>0</v>
      </c>
    </row>
    <row r="292" spans="1:36" hidden="1" x14ac:dyDescent="0.25">
      <c r="A292" t="s">
        <v>1013</v>
      </c>
      <c r="B292" t="s">
        <v>514</v>
      </c>
      <c r="C292">
        <v>47128880</v>
      </c>
      <c r="D292" t="s">
        <v>1014</v>
      </c>
      <c r="G292" t="s">
        <v>1080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</row>
    <row r="293" spans="1:36" hidden="1" x14ac:dyDescent="0.25">
      <c r="A293" s="34" t="s">
        <v>1131</v>
      </c>
      <c r="B293" s="34" t="s">
        <v>514</v>
      </c>
      <c r="C293" s="34">
        <v>47128879</v>
      </c>
      <c r="D293" s="34" t="s">
        <v>1132</v>
      </c>
      <c r="E293" s="34"/>
      <c r="F293" s="34"/>
      <c r="G293" s="34" t="s">
        <v>1080</v>
      </c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>
        <v>0</v>
      </c>
      <c r="AC293" s="34">
        <v>0</v>
      </c>
      <c r="AD293" s="34">
        <v>0</v>
      </c>
      <c r="AE293" s="34">
        <v>0</v>
      </c>
      <c r="AF293" s="34">
        <v>0</v>
      </c>
      <c r="AG293" s="34">
        <v>0</v>
      </c>
      <c r="AH293" s="34">
        <v>0</v>
      </c>
      <c r="AI293" s="34">
        <v>0</v>
      </c>
      <c r="AJ293" s="34">
        <v>0</v>
      </c>
    </row>
    <row r="294" spans="1:36" hidden="1" x14ac:dyDescent="0.25">
      <c r="A294" t="s">
        <v>1081</v>
      </c>
      <c r="B294" t="s">
        <v>514</v>
      </c>
      <c r="C294">
        <v>47128418</v>
      </c>
      <c r="D294" t="s">
        <v>1082</v>
      </c>
      <c r="G294" t="s">
        <v>1080</v>
      </c>
      <c r="AB294">
        <v>70</v>
      </c>
      <c r="AC294">
        <v>0</v>
      </c>
      <c r="AD294">
        <v>68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</row>
    <row r="295" spans="1:36" hidden="1" x14ac:dyDescent="0.25">
      <c r="A295" s="34" t="s">
        <v>946</v>
      </c>
      <c r="B295" s="34" t="s">
        <v>514</v>
      </c>
      <c r="C295" s="34">
        <v>47128968</v>
      </c>
      <c r="D295" s="34" t="s">
        <v>947</v>
      </c>
      <c r="E295" s="34"/>
      <c r="F295" s="34"/>
      <c r="G295" s="34" t="s">
        <v>1080</v>
      </c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>
        <v>0</v>
      </c>
      <c r="AC295" s="34">
        <v>0</v>
      </c>
      <c r="AD295" s="34">
        <v>0</v>
      </c>
      <c r="AE295" s="34">
        <v>0</v>
      </c>
      <c r="AF295" s="34">
        <v>0</v>
      </c>
      <c r="AG295" s="34">
        <v>0</v>
      </c>
      <c r="AH295" s="34">
        <v>0</v>
      </c>
      <c r="AI295" s="34">
        <v>0</v>
      </c>
      <c r="AJ295" s="34">
        <v>0</v>
      </c>
    </row>
    <row r="296" spans="1:36" hidden="1" x14ac:dyDescent="0.25">
      <c r="A296" t="s">
        <v>1163</v>
      </c>
      <c r="B296" t="s">
        <v>514</v>
      </c>
      <c r="C296">
        <v>47128633</v>
      </c>
      <c r="D296" t="s">
        <v>1164</v>
      </c>
      <c r="G296" t="s">
        <v>1043</v>
      </c>
      <c r="AB296">
        <v>0</v>
      </c>
      <c r="AC296">
        <v>0</v>
      </c>
      <c r="AD296">
        <v>0</v>
      </c>
      <c r="AE296">
        <v>0</v>
      </c>
      <c r="AF296">
        <v>8</v>
      </c>
    </row>
    <row r="297" spans="1:36" hidden="1" x14ac:dyDescent="0.25">
      <c r="A297" s="34" t="s">
        <v>1388</v>
      </c>
      <c r="B297" s="34" t="s">
        <v>514</v>
      </c>
      <c r="C297" s="34">
        <v>47128046</v>
      </c>
      <c r="D297" s="34" t="s">
        <v>1389</v>
      </c>
      <c r="E297" s="34"/>
      <c r="F297" s="34"/>
      <c r="G297" s="34" t="s">
        <v>1043</v>
      </c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>
        <v>0</v>
      </c>
      <c r="AC297" s="34">
        <v>0</v>
      </c>
      <c r="AD297" s="34">
        <v>0</v>
      </c>
      <c r="AE297" s="34">
        <v>0</v>
      </c>
      <c r="AF297" s="34">
        <v>0</v>
      </c>
      <c r="AG297" s="34">
        <v>12</v>
      </c>
      <c r="AH297" s="34">
        <v>0</v>
      </c>
      <c r="AI297" s="34">
        <v>0</v>
      </c>
      <c r="AJ297" s="34">
        <v>0</v>
      </c>
    </row>
    <row r="298" spans="1:36" hidden="1" x14ac:dyDescent="0.25">
      <c r="A298" t="s">
        <v>1378</v>
      </c>
      <c r="B298" t="s">
        <v>514</v>
      </c>
      <c r="C298">
        <v>47128481</v>
      </c>
      <c r="D298" t="s">
        <v>1379</v>
      </c>
      <c r="G298" t="s">
        <v>1044</v>
      </c>
      <c r="AB298">
        <v>0</v>
      </c>
      <c r="AC298">
        <v>0</v>
      </c>
      <c r="AD298">
        <v>20</v>
      </c>
      <c r="AE298">
        <v>30</v>
      </c>
      <c r="AF298">
        <v>0</v>
      </c>
      <c r="AG298">
        <v>0</v>
      </c>
      <c r="AH298">
        <v>0</v>
      </c>
      <c r="AI298">
        <v>0</v>
      </c>
      <c r="AJ298">
        <v>0</v>
      </c>
    </row>
    <row r="299" spans="1:36" hidden="1" x14ac:dyDescent="0.25">
      <c r="A299" s="34" t="s">
        <v>1212</v>
      </c>
      <c r="B299" s="34" t="s">
        <v>514</v>
      </c>
      <c r="C299" s="34">
        <v>47136340</v>
      </c>
      <c r="D299" s="34" t="s">
        <v>1213</v>
      </c>
      <c r="E299" s="34"/>
      <c r="F299" s="34"/>
      <c r="G299" s="34" t="s">
        <v>1044</v>
      </c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>
        <v>0</v>
      </c>
      <c r="AC299" s="34">
        <v>0</v>
      </c>
      <c r="AD299" s="34">
        <v>0</v>
      </c>
      <c r="AE299" s="34">
        <v>0</v>
      </c>
      <c r="AF299" s="34">
        <v>0</v>
      </c>
      <c r="AG299" s="34">
        <v>0</v>
      </c>
      <c r="AH299" s="34">
        <v>20</v>
      </c>
      <c r="AI299" s="34">
        <v>20</v>
      </c>
      <c r="AJ299" s="34">
        <v>0</v>
      </c>
    </row>
    <row r="300" spans="1:36" hidden="1" x14ac:dyDescent="0.25">
      <c r="A300" t="s">
        <v>1204</v>
      </c>
      <c r="B300" t="s">
        <v>514</v>
      </c>
      <c r="C300">
        <v>47128169</v>
      </c>
      <c r="D300" t="s">
        <v>1205</v>
      </c>
      <c r="G300" t="s">
        <v>1044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</row>
    <row r="301" spans="1:36" hidden="1" x14ac:dyDescent="0.25">
      <c r="A301" s="34" t="s">
        <v>1103</v>
      </c>
      <c r="B301" s="34" t="s">
        <v>514</v>
      </c>
      <c r="C301" s="34">
        <v>47128022</v>
      </c>
      <c r="D301" s="34" t="s">
        <v>1104</v>
      </c>
      <c r="E301" s="34"/>
      <c r="F301" s="34"/>
      <c r="G301" s="34" t="s">
        <v>1044</v>
      </c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>
        <v>0</v>
      </c>
      <c r="AC301" s="34">
        <v>0</v>
      </c>
      <c r="AD301" s="34">
        <v>0</v>
      </c>
      <c r="AE301" s="34">
        <v>0</v>
      </c>
      <c r="AF301" s="34">
        <v>0</v>
      </c>
      <c r="AG301" s="34">
        <v>0</v>
      </c>
      <c r="AH301" s="34">
        <v>0</v>
      </c>
      <c r="AI301" s="34">
        <v>30</v>
      </c>
      <c r="AJ301" s="34">
        <v>0</v>
      </c>
    </row>
    <row r="302" spans="1:36" hidden="1" x14ac:dyDescent="0.25">
      <c r="A302" t="s">
        <v>1378</v>
      </c>
      <c r="B302" t="s">
        <v>514</v>
      </c>
      <c r="C302">
        <v>47128481</v>
      </c>
      <c r="D302" t="s">
        <v>1379</v>
      </c>
      <c r="G302" t="s">
        <v>5437</v>
      </c>
      <c r="AB302">
        <v>0</v>
      </c>
      <c r="AC302">
        <v>0</v>
      </c>
      <c r="AD302">
        <v>20</v>
      </c>
      <c r="AE302">
        <v>30</v>
      </c>
      <c r="AF302">
        <v>0</v>
      </c>
      <c r="AG302">
        <v>0</v>
      </c>
      <c r="AH302">
        <v>0</v>
      </c>
      <c r="AI302">
        <v>0</v>
      </c>
      <c r="AJ302">
        <v>0</v>
      </c>
    </row>
    <row r="303" spans="1:36" hidden="1" x14ac:dyDescent="0.25">
      <c r="A303" s="34" t="s">
        <v>1212</v>
      </c>
      <c r="B303" s="34" t="s">
        <v>514</v>
      </c>
      <c r="C303" s="34">
        <v>47136340</v>
      </c>
      <c r="D303" s="34" t="s">
        <v>1213</v>
      </c>
      <c r="E303" s="34"/>
      <c r="F303" s="34"/>
      <c r="G303" s="34" t="s">
        <v>5437</v>
      </c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>
        <v>0</v>
      </c>
      <c r="AC303" s="34">
        <v>0</v>
      </c>
      <c r="AD303" s="34">
        <v>0</v>
      </c>
      <c r="AE303" s="34">
        <v>0</v>
      </c>
      <c r="AF303" s="34">
        <v>0</v>
      </c>
      <c r="AG303" s="34">
        <v>0</v>
      </c>
      <c r="AH303" s="34">
        <v>20</v>
      </c>
      <c r="AI303" s="34">
        <v>23</v>
      </c>
      <c r="AJ303" s="34">
        <v>0</v>
      </c>
    </row>
    <row r="304" spans="1:36" hidden="1" x14ac:dyDescent="0.25">
      <c r="A304" t="s">
        <v>1204</v>
      </c>
      <c r="B304" t="s">
        <v>514</v>
      </c>
      <c r="C304">
        <v>47128169</v>
      </c>
      <c r="D304" t="s">
        <v>1205</v>
      </c>
      <c r="G304" t="s">
        <v>5437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</row>
    <row r="305" spans="1:36" hidden="1" x14ac:dyDescent="0.25">
      <c r="A305" s="34" t="s">
        <v>1103</v>
      </c>
      <c r="B305" s="34" t="s">
        <v>514</v>
      </c>
      <c r="C305" s="34">
        <v>47128022</v>
      </c>
      <c r="D305" s="34" t="s">
        <v>1104</v>
      </c>
      <c r="E305" s="34"/>
      <c r="F305" s="34"/>
      <c r="G305" s="34" t="s">
        <v>5437</v>
      </c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>
        <v>0</v>
      </c>
      <c r="AC305" s="34">
        <v>0</v>
      </c>
      <c r="AD305" s="34">
        <v>0</v>
      </c>
      <c r="AE305" s="34">
        <v>0</v>
      </c>
      <c r="AF305" s="34">
        <v>0</v>
      </c>
      <c r="AG305" s="34">
        <v>0</v>
      </c>
      <c r="AH305" s="34">
        <v>0</v>
      </c>
      <c r="AI305" s="34">
        <v>30</v>
      </c>
      <c r="AJ305" s="34">
        <v>0</v>
      </c>
    </row>
    <row r="306" spans="1:36" hidden="1" x14ac:dyDescent="0.25">
      <c r="A306" t="s">
        <v>1216</v>
      </c>
      <c r="B306" t="s">
        <v>514</v>
      </c>
      <c r="C306">
        <v>47133720</v>
      </c>
      <c r="D306" t="s">
        <v>1217</v>
      </c>
      <c r="G306" t="s">
        <v>5437</v>
      </c>
      <c r="AB306">
        <v>0</v>
      </c>
      <c r="AC306">
        <v>0</v>
      </c>
      <c r="AD306">
        <v>0</v>
      </c>
      <c r="AE306">
        <v>0</v>
      </c>
    </row>
    <row r="307" spans="1:36" hidden="1" x14ac:dyDescent="0.25">
      <c r="A307" s="34" t="s">
        <v>1250</v>
      </c>
      <c r="B307" s="34" t="s">
        <v>514</v>
      </c>
      <c r="C307" s="34">
        <v>47128781</v>
      </c>
      <c r="D307" s="34" t="s">
        <v>1251</v>
      </c>
      <c r="E307" s="34"/>
      <c r="F307" s="34"/>
      <c r="G307" s="34" t="s">
        <v>1520</v>
      </c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>
        <v>0</v>
      </c>
      <c r="AD307" s="34">
        <v>0</v>
      </c>
      <c r="AE307" s="34">
        <v>0</v>
      </c>
      <c r="AF307" s="34">
        <v>0</v>
      </c>
      <c r="AG307" s="34">
        <v>40</v>
      </c>
      <c r="AH307" s="34">
        <v>40</v>
      </c>
      <c r="AI307" s="34">
        <v>40</v>
      </c>
      <c r="AJ307" s="34">
        <v>40</v>
      </c>
    </row>
    <row r="308" spans="1:36" hidden="1" x14ac:dyDescent="0.25">
      <c r="A308" t="s">
        <v>1250</v>
      </c>
      <c r="B308" t="s">
        <v>514</v>
      </c>
      <c r="C308">
        <v>47128781</v>
      </c>
      <c r="D308" t="s">
        <v>1251</v>
      </c>
      <c r="G308" t="s">
        <v>1135</v>
      </c>
      <c r="AC308">
        <v>0</v>
      </c>
      <c r="AD308">
        <v>0</v>
      </c>
      <c r="AE308">
        <v>0</v>
      </c>
      <c r="AF308">
        <v>0</v>
      </c>
      <c r="AG308">
        <v>40</v>
      </c>
      <c r="AH308">
        <v>40</v>
      </c>
      <c r="AI308">
        <v>40</v>
      </c>
      <c r="AJ308">
        <v>40</v>
      </c>
    </row>
    <row r="309" spans="1:36" hidden="1" x14ac:dyDescent="0.25">
      <c r="A309" s="34" t="s">
        <v>1250</v>
      </c>
      <c r="B309" s="34" t="s">
        <v>514</v>
      </c>
      <c r="C309" s="34">
        <v>47128781</v>
      </c>
      <c r="D309" s="34" t="s">
        <v>1251</v>
      </c>
      <c r="E309" s="34"/>
      <c r="F309" s="34"/>
      <c r="G309" s="34" t="s">
        <v>2444</v>
      </c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>
        <v>0</v>
      </c>
      <c r="AD309" s="34">
        <v>0</v>
      </c>
      <c r="AE309" s="34">
        <v>0</v>
      </c>
      <c r="AF309" s="34">
        <v>0</v>
      </c>
      <c r="AG309" s="34">
        <v>40</v>
      </c>
      <c r="AH309" s="34">
        <v>40</v>
      </c>
      <c r="AI309" s="34">
        <v>40</v>
      </c>
      <c r="AJ309" s="34">
        <v>40</v>
      </c>
    </row>
    <row r="310" spans="1:36" hidden="1" x14ac:dyDescent="0.25">
      <c r="A310" t="s">
        <v>1250</v>
      </c>
      <c r="B310" t="s">
        <v>514</v>
      </c>
      <c r="C310">
        <v>47128781</v>
      </c>
      <c r="D310" t="s">
        <v>1251</v>
      </c>
      <c r="G310" t="s">
        <v>2783</v>
      </c>
      <c r="AC310">
        <v>0</v>
      </c>
      <c r="AD310">
        <v>0</v>
      </c>
      <c r="AE310">
        <v>0</v>
      </c>
      <c r="AF310">
        <v>0</v>
      </c>
      <c r="AG310">
        <v>40</v>
      </c>
      <c r="AH310">
        <v>40</v>
      </c>
      <c r="AI310">
        <v>40</v>
      </c>
      <c r="AJ310">
        <v>40</v>
      </c>
    </row>
    <row r="311" spans="1:36" hidden="1" x14ac:dyDescent="0.25">
      <c r="A311" s="34" t="s">
        <v>1250</v>
      </c>
      <c r="B311" s="34" t="s">
        <v>514</v>
      </c>
      <c r="C311" s="34">
        <v>47128781</v>
      </c>
      <c r="D311" s="34" t="s">
        <v>1251</v>
      </c>
      <c r="E311" s="34"/>
      <c r="F311" s="34"/>
      <c r="G311" s="34" t="s">
        <v>1080</v>
      </c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>
        <v>0</v>
      </c>
      <c r="AD311" s="34">
        <v>0</v>
      </c>
      <c r="AE311" s="34">
        <v>0</v>
      </c>
      <c r="AF311" s="34">
        <v>0</v>
      </c>
      <c r="AG311" s="34">
        <v>40</v>
      </c>
      <c r="AH311" s="34">
        <v>40</v>
      </c>
      <c r="AI311" s="34">
        <v>40</v>
      </c>
      <c r="AJ311" s="34">
        <v>40</v>
      </c>
    </row>
    <row r="312" spans="1:36" hidden="1" x14ac:dyDescent="0.25">
      <c r="A312" t="s">
        <v>1250</v>
      </c>
      <c r="B312" t="s">
        <v>514</v>
      </c>
      <c r="C312">
        <v>47128781</v>
      </c>
      <c r="D312" t="s">
        <v>1251</v>
      </c>
      <c r="G312" t="s">
        <v>1043</v>
      </c>
      <c r="AF312">
        <v>0</v>
      </c>
      <c r="AG312">
        <v>0</v>
      </c>
      <c r="AH312">
        <v>0</v>
      </c>
      <c r="AI312">
        <v>0</v>
      </c>
      <c r="AJ312">
        <v>0</v>
      </c>
    </row>
    <row r="313" spans="1:36" hidden="1" x14ac:dyDescent="0.25">
      <c r="A313" s="34" t="s">
        <v>1250</v>
      </c>
      <c r="B313" s="34" t="s">
        <v>514</v>
      </c>
      <c r="C313" s="34">
        <v>47128781</v>
      </c>
      <c r="D313" s="34" t="s">
        <v>1251</v>
      </c>
      <c r="E313" s="34"/>
      <c r="F313" s="34"/>
      <c r="G313" s="34" t="s">
        <v>1489</v>
      </c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D313" s="34"/>
      <c r="AE313" s="34"/>
      <c r="AF313" s="34">
        <v>0</v>
      </c>
      <c r="AG313" s="34">
        <v>0</v>
      </c>
      <c r="AH313" s="34">
        <v>0</v>
      </c>
      <c r="AI313" s="34">
        <v>0</v>
      </c>
      <c r="AJ313" s="34">
        <v>0</v>
      </c>
    </row>
    <row r="314" spans="1:36" hidden="1" x14ac:dyDescent="0.25">
      <c r="A314" t="s">
        <v>1160</v>
      </c>
      <c r="B314" t="s">
        <v>514</v>
      </c>
      <c r="C314">
        <v>47128336</v>
      </c>
      <c r="D314" t="s">
        <v>1161</v>
      </c>
      <c r="G314" t="s">
        <v>1489</v>
      </c>
      <c r="AF314">
        <v>0</v>
      </c>
      <c r="AG314">
        <v>0</v>
      </c>
      <c r="AH314">
        <v>0</v>
      </c>
      <c r="AI314">
        <v>20</v>
      </c>
      <c r="AJ314">
        <v>30</v>
      </c>
    </row>
    <row r="315" spans="1:36" x14ac:dyDescent="0.25">
      <c r="A315" s="34" t="s">
        <v>1250</v>
      </c>
      <c r="B315" s="34" t="s">
        <v>514</v>
      </c>
      <c r="C315" s="34">
        <v>47128781</v>
      </c>
      <c r="D315" s="34" t="s">
        <v>1251</v>
      </c>
      <c r="E315" s="34"/>
      <c r="F315" s="34"/>
      <c r="G315" s="34" t="s">
        <v>916</v>
      </c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D315" s="34"/>
      <c r="AE315" s="34"/>
      <c r="AF315" s="34">
        <v>0</v>
      </c>
      <c r="AG315" s="34">
        <v>40</v>
      </c>
      <c r="AH315" s="34">
        <v>40</v>
      </c>
      <c r="AI315" s="34">
        <v>40</v>
      </c>
      <c r="AJ315" s="34">
        <v>40</v>
      </c>
    </row>
    <row r="316" spans="1:36" x14ac:dyDescent="0.25">
      <c r="A316" t="s">
        <v>1417</v>
      </c>
      <c r="B316" t="s">
        <v>514</v>
      </c>
      <c r="C316">
        <v>47134379</v>
      </c>
      <c r="D316" t="s">
        <v>1037</v>
      </c>
      <c r="G316" t="s">
        <v>916</v>
      </c>
      <c r="AF316">
        <v>112.4</v>
      </c>
      <c r="AG316">
        <v>112.4</v>
      </c>
      <c r="AH316">
        <v>112.4</v>
      </c>
      <c r="AI316">
        <v>112.4</v>
      </c>
      <c r="AJ316">
        <v>112.4</v>
      </c>
    </row>
    <row r="317" spans="1:36" hidden="1" x14ac:dyDescent="0.25">
      <c r="A317" s="34" t="s">
        <v>1250</v>
      </c>
      <c r="B317" s="34" t="s">
        <v>514</v>
      </c>
      <c r="C317" s="34">
        <v>47128781</v>
      </c>
      <c r="D317" s="34" t="s">
        <v>1251</v>
      </c>
      <c r="E317" s="34"/>
      <c r="F317" s="34"/>
      <c r="G317" s="34" t="s">
        <v>1044</v>
      </c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D317" s="34"/>
      <c r="AE317" s="34"/>
      <c r="AF317" s="34">
        <v>0</v>
      </c>
      <c r="AG317" s="34">
        <v>0</v>
      </c>
      <c r="AH317" s="34">
        <v>0</v>
      </c>
      <c r="AI317" s="34">
        <v>0</v>
      </c>
      <c r="AJ317" s="34">
        <v>0</v>
      </c>
    </row>
    <row r="318" spans="1:36" hidden="1" x14ac:dyDescent="0.25">
      <c r="A318" t="s">
        <v>1160</v>
      </c>
      <c r="B318" t="s">
        <v>514</v>
      </c>
      <c r="C318">
        <v>47128336</v>
      </c>
      <c r="D318" t="s">
        <v>1161</v>
      </c>
      <c r="G318" t="s">
        <v>1044</v>
      </c>
      <c r="AF318">
        <v>0</v>
      </c>
      <c r="AG318">
        <v>0</v>
      </c>
      <c r="AH318">
        <v>0</v>
      </c>
      <c r="AI318">
        <v>20</v>
      </c>
      <c r="AJ318">
        <v>30</v>
      </c>
    </row>
    <row r="319" spans="1:36" hidden="1" x14ac:dyDescent="0.25">
      <c r="A319" s="34" t="s">
        <v>1111</v>
      </c>
      <c r="B319" s="34" t="s">
        <v>514</v>
      </c>
      <c r="C319" s="34">
        <v>47128427</v>
      </c>
      <c r="D319" s="34" t="s">
        <v>1112</v>
      </c>
      <c r="E319" s="34"/>
      <c r="F319" s="34"/>
      <c r="G319" s="34" t="s">
        <v>1044</v>
      </c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D319" s="34"/>
      <c r="AE319" s="34"/>
      <c r="AF319" s="34">
        <v>0</v>
      </c>
      <c r="AG319" s="34">
        <v>0</v>
      </c>
      <c r="AH319" s="34">
        <v>0</v>
      </c>
      <c r="AI319" s="34">
        <v>0</v>
      </c>
      <c r="AJ319" s="34">
        <v>0</v>
      </c>
    </row>
    <row r="320" spans="1:36" hidden="1" x14ac:dyDescent="0.25">
      <c r="A320" t="s">
        <v>1039</v>
      </c>
      <c r="B320" t="s">
        <v>514</v>
      </c>
      <c r="C320">
        <v>47128513</v>
      </c>
      <c r="D320" t="s">
        <v>1040</v>
      </c>
      <c r="G320" t="s">
        <v>1044</v>
      </c>
      <c r="AF320">
        <v>0</v>
      </c>
      <c r="AG320">
        <v>0</v>
      </c>
      <c r="AH320">
        <v>0</v>
      </c>
      <c r="AI320">
        <v>0</v>
      </c>
      <c r="AJ320">
        <v>0</v>
      </c>
    </row>
    <row r="321" spans="1:36" hidden="1" x14ac:dyDescent="0.25">
      <c r="A321" s="34" t="s">
        <v>1115</v>
      </c>
      <c r="B321" s="34" t="s">
        <v>514</v>
      </c>
      <c r="C321" s="34">
        <v>47128489</v>
      </c>
      <c r="D321" s="34" t="s">
        <v>1116</v>
      </c>
      <c r="E321" s="34"/>
      <c r="F321" s="34"/>
      <c r="G321" s="34" t="s">
        <v>1044</v>
      </c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D321" s="34"/>
      <c r="AE321" s="34"/>
      <c r="AF321" s="34">
        <v>0</v>
      </c>
      <c r="AG321" s="34">
        <v>0</v>
      </c>
      <c r="AH321" s="34">
        <v>0</v>
      </c>
      <c r="AI321" s="34">
        <v>0</v>
      </c>
      <c r="AJ321" s="34">
        <v>0</v>
      </c>
    </row>
    <row r="322" spans="1:36" x14ac:dyDescent="0.25">
      <c r="A322" t="s">
        <v>1250</v>
      </c>
      <c r="B322" t="s">
        <v>514</v>
      </c>
      <c r="C322">
        <v>47128781</v>
      </c>
      <c r="D322" t="s">
        <v>1251</v>
      </c>
      <c r="G322" t="s">
        <v>1089</v>
      </c>
      <c r="AF322">
        <v>0</v>
      </c>
      <c r="AG322">
        <v>40</v>
      </c>
      <c r="AH322">
        <v>40</v>
      </c>
      <c r="AI322">
        <v>40</v>
      </c>
      <c r="AJ322">
        <v>40</v>
      </c>
    </row>
    <row r="323" spans="1:36" hidden="1" x14ac:dyDescent="0.25">
      <c r="A323" s="34" t="s">
        <v>1250</v>
      </c>
      <c r="B323" s="34" t="s">
        <v>514</v>
      </c>
      <c r="C323" s="34">
        <v>47128781</v>
      </c>
      <c r="D323" s="34" t="s">
        <v>1251</v>
      </c>
      <c r="E323" s="34"/>
      <c r="F323" s="34"/>
      <c r="G323" s="34" t="s">
        <v>5437</v>
      </c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D323" s="34"/>
      <c r="AE323" s="34"/>
      <c r="AF323" s="34">
        <v>0</v>
      </c>
      <c r="AG323" s="34">
        <v>40</v>
      </c>
      <c r="AH323" s="34">
        <v>40</v>
      </c>
      <c r="AI323" s="34">
        <v>40</v>
      </c>
      <c r="AJ323" s="34">
        <v>0</v>
      </c>
    </row>
    <row r="324" spans="1:36" hidden="1" x14ac:dyDescent="0.25">
      <c r="A324" t="s">
        <v>1160</v>
      </c>
      <c r="B324" t="s">
        <v>514</v>
      </c>
      <c r="C324">
        <v>47128336</v>
      </c>
      <c r="D324" t="s">
        <v>1161</v>
      </c>
      <c r="G324" t="s">
        <v>5437</v>
      </c>
      <c r="AF324">
        <v>0</v>
      </c>
      <c r="AG324">
        <v>0</v>
      </c>
      <c r="AH324">
        <v>0</v>
      </c>
      <c r="AI324">
        <v>20</v>
      </c>
      <c r="AJ324">
        <v>30</v>
      </c>
    </row>
    <row r="325" spans="1:36" hidden="1" x14ac:dyDescent="0.25">
      <c r="A325" s="34" t="s">
        <v>1111</v>
      </c>
      <c r="B325" s="34" t="s">
        <v>514</v>
      </c>
      <c r="C325" s="34">
        <v>47128427</v>
      </c>
      <c r="D325" s="34" t="s">
        <v>1112</v>
      </c>
      <c r="E325" s="34"/>
      <c r="F325" s="34"/>
      <c r="G325" s="34" t="s">
        <v>5437</v>
      </c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>
        <v>0</v>
      </c>
      <c r="AG325" s="34">
        <v>0</v>
      </c>
      <c r="AH325" s="34">
        <v>0</v>
      </c>
      <c r="AI325" s="34">
        <v>0</v>
      </c>
      <c r="AJ325" s="34">
        <v>0</v>
      </c>
    </row>
    <row r="326" spans="1:36" hidden="1" x14ac:dyDescent="0.25">
      <c r="A326" t="s">
        <v>1039</v>
      </c>
      <c r="B326" t="s">
        <v>514</v>
      </c>
      <c r="C326">
        <v>47128513</v>
      </c>
      <c r="D326" t="s">
        <v>1040</v>
      </c>
      <c r="G326" t="s">
        <v>5437</v>
      </c>
      <c r="AF326">
        <v>0</v>
      </c>
      <c r="AG326">
        <v>0</v>
      </c>
      <c r="AH326">
        <v>0</v>
      </c>
      <c r="AI326">
        <v>0</v>
      </c>
      <c r="AJ326">
        <v>0</v>
      </c>
    </row>
    <row r="327" spans="1:36" hidden="1" x14ac:dyDescent="0.25">
      <c r="A327" s="34" t="s">
        <v>1115</v>
      </c>
      <c r="B327" s="34" t="s">
        <v>514</v>
      </c>
      <c r="C327" s="34">
        <v>47128489</v>
      </c>
      <c r="D327" s="34" t="s">
        <v>1116</v>
      </c>
      <c r="E327" s="34"/>
      <c r="F327" s="34"/>
      <c r="G327" s="34" t="s">
        <v>5437</v>
      </c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D327" s="34"/>
      <c r="AE327" s="34"/>
      <c r="AF327" s="34">
        <v>0</v>
      </c>
      <c r="AG327" s="34">
        <v>0</v>
      </c>
      <c r="AH327" s="34">
        <v>0</v>
      </c>
      <c r="AI327" s="34">
        <v>0</v>
      </c>
      <c r="AJ327" s="34">
        <v>0</v>
      </c>
    </row>
  </sheetData>
  <sheetProtection algorithmName="SHA-512" hashValue="55Zrg06H34niwWCd1P0nvdwyAEK7mIj82G6U6Vyka/ufUaiE8Ewj8is52JHXwN/1XQaOogSi06uz7T2hvZuGyA==" saltValue="15cmB8hrHLZiGvalqFr1hA==" spinCount="100000" sheet="1" objects="1" scenarios="1" formatCells="0" formatColumns="0" formatRows="0" deleteRows="0" sort="0" autoFilter="0"/>
  <protectedRanges>
    <protectedRange sqref="H10:XFD1048576" name="Range1"/>
  </protectedRanges>
  <autoFilter ref="A9:G327" xr:uid="{22CE7F48-F78F-4317-A3C3-D812DE902280}">
    <filterColumn colId="6">
      <filters>
        <filter val="Vivi.W.Yang@cn.ey.com"/>
        <filter val="Yuan.Yuan.YY.Chen@cn.ey.com"/>
      </filters>
    </filterColumn>
  </autoFilter>
  <mergeCells count="1">
    <mergeCell ref="A1:AJ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autoLine="0" r:id="rId5">
            <anchor moveWithCells="1">
              <from>
                <xdr:col>0</xdr:col>
                <xdr:colOff>495300</xdr:colOff>
                <xdr:row>3</xdr:row>
                <xdr:rowOff>0</xdr:rowOff>
              </from>
              <to>
                <xdr:col>0</xdr:col>
                <xdr:colOff>1440180</xdr:colOff>
                <xdr:row>4</xdr:row>
                <xdr:rowOff>99060</xdr:rowOff>
              </to>
            </anchor>
          </controlPr>
        </control>
      </mc:Choice>
      <mc:Fallback>
        <control shapeId="3074" r:id="rId4" name="ComboBox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110"/>
  <sheetViews>
    <sheetView zoomScale="70" zoomScaleNormal="70" workbookViewId="0">
      <pane ySplit="2" topLeftCell="A3" activePane="bottomLeft" state="frozen"/>
      <selection pane="bottomLeft" activeCell="O3" sqref="O3:O4110"/>
    </sheetView>
  </sheetViews>
  <sheetFormatPr defaultRowHeight="13.8" x14ac:dyDescent="0.25"/>
  <cols>
    <col min="1" max="1" width="25.33203125" bestFit="1" customWidth="1"/>
    <col min="2" max="2" width="21.77734375" bestFit="1" customWidth="1"/>
    <col min="3" max="3" width="10.109375" bestFit="1" customWidth="1"/>
    <col min="4" max="4" width="11.109375" bestFit="1" customWidth="1"/>
    <col min="5" max="5" width="18.44140625" bestFit="1" customWidth="1"/>
    <col min="6" max="6" width="14.109375" bestFit="1" customWidth="1"/>
    <col min="7" max="7" width="17.109375" customWidth="1"/>
    <col min="8" max="8" width="22.77734375" bestFit="1" customWidth="1"/>
    <col min="9" max="9" width="23.33203125" bestFit="1" customWidth="1"/>
    <col min="10" max="10" width="25.21875" bestFit="1" customWidth="1"/>
    <col min="11" max="11" width="13.77734375" bestFit="1" customWidth="1"/>
    <col min="12" max="12" width="10.109375" bestFit="1" customWidth="1"/>
    <col min="13" max="13" width="12.77734375" bestFit="1" customWidth="1"/>
    <col min="14" max="14" width="13.77734375" bestFit="1" customWidth="1"/>
    <col min="15" max="15" width="15.77734375" bestFit="1" customWidth="1"/>
    <col min="16" max="16" width="13.77734375" bestFit="1" customWidth="1"/>
  </cols>
  <sheetData>
    <row r="1" spans="1:17" ht="99.6" customHeigh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1"/>
    </row>
    <row r="2" spans="1:17" s="4" customFormat="1" ht="23.1" customHeight="1" x14ac:dyDescent="0.25">
      <c r="A2" s="3" t="s">
        <v>515</v>
      </c>
      <c r="B2" s="3" t="s">
        <v>516</v>
      </c>
      <c r="C2" s="3" t="s">
        <v>517</v>
      </c>
      <c r="D2" s="3" t="s">
        <v>518</v>
      </c>
      <c r="E2" s="3" t="s">
        <v>519</v>
      </c>
      <c r="F2" s="3" t="s">
        <v>520</v>
      </c>
      <c r="G2" s="3" t="s">
        <v>521</v>
      </c>
      <c r="H2" s="3" t="s">
        <v>2</v>
      </c>
      <c r="I2" s="3" t="s">
        <v>487</v>
      </c>
      <c r="J2" s="3" t="s">
        <v>522</v>
      </c>
      <c r="K2" s="3" t="s">
        <v>523</v>
      </c>
      <c r="L2" s="3" t="s">
        <v>0</v>
      </c>
      <c r="M2" s="3" t="s">
        <v>512</v>
      </c>
      <c r="N2" s="3" t="s">
        <v>524</v>
      </c>
      <c r="O2" s="8" t="s">
        <v>525</v>
      </c>
      <c r="P2" s="3" t="s">
        <v>526</v>
      </c>
      <c r="Q2" s="3" t="s">
        <v>527</v>
      </c>
    </row>
    <row r="3" spans="1:17" x14ac:dyDescent="0.25">
      <c r="A3" t="s">
        <v>1519</v>
      </c>
      <c r="B3" t="s">
        <v>1520</v>
      </c>
      <c r="C3">
        <v>2027</v>
      </c>
      <c r="D3" t="s">
        <v>704</v>
      </c>
      <c r="E3" t="s">
        <v>819</v>
      </c>
      <c r="F3" s="32">
        <v>46311</v>
      </c>
      <c r="G3" t="s">
        <v>585</v>
      </c>
      <c r="H3">
        <v>22182428</v>
      </c>
      <c r="I3" t="s">
        <v>31</v>
      </c>
      <c r="J3" t="s">
        <v>32</v>
      </c>
      <c r="K3" t="s">
        <v>530</v>
      </c>
      <c r="L3" t="s">
        <v>31</v>
      </c>
      <c r="M3" t="s">
        <v>235</v>
      </c>
      <c r="N3">
        <v>6</v>
      </c>
      <c r="O3">
        <v>6</v>
      </c>
      <c r="P3" t="str">
        <f t="shared" ref="P3:P66" si="0">IF(N3=O3,"N","Y")</f>
        <v>N</v>
      </c>
      <c r="Q3" t="s">
        <v>531</v>
      </c>
    </row>
    <row r="4" spans="1:17" x14ac:dyDescent="0.25">
      <c r="A4" t="s">
        <v>1684</v>
      </c>
      <c r="B4" t="s">
        <v>1135</v>
      </c>
      <c r="C4">
        <v>2027</v>
      </c>
      <c r="D4" t="s">
        <v>704</v>
      </c>
      <c r="E4" t="s">
        <v>819</v>
      </c>
      <c r="F4" s="32">
        <v>46311</v>
      </c>
      <c r="G4" t="s">
        <v>514</v>
      </c>
      <c r="H4">
        <v>47128570</v>
      </c>
      <c r="I4" t="s">
        <v>1491</v>
      </c>
      <c r="J4" t="s">
        <v>1490</v>
      </c>
      <c r="K4" t="s">
        <v>530</v>
      </c>
      <c r="N4">
        <v>0</v>
      </c>
      <c r="O4">
        <v>0</v>
      </c>
      <c r="P4" t="str">
        <f t="shared" si="0"/>
        <v>N</v>
      </c>
      <c r="Q4" t="s">
        <v>910</v>
      </c>
    </row>
    <row r="5" spans="1:17" x14ac:dyDescent="0.25">
      <c r="A5" t="s">
        <v>1685</v>
      </c>
      <c r="B5" t="s">
        <v>1135</v>
      </c>
      <c r="C5">
        <v>2027</v>
      </c>
      <c r="D5" t="s">
        <v>704</v>
      </c>
      <c r="E5" t="s">
        <v>819</v>
      </c>
      <c r="F5" s="32">
        <v>46311</v>
      </c>
      <c r="G5" t="s">
        <v>585</v>
      </c>
      <c r="H5">
        <v>22182428</v>
      </c>
      <c r="I5" t="s">
        <v>31</v>
      </c>
      <c r="J5" t="s">
        <v>32</v>
      </c>
      <c r="K5" t="s">
        <v>530</v>
      </c>
      <c r="L5" t="s">
        <v>31</v>
      </c>
      <c r="M5" t="s">
        <v>235</v>
      </c>
      <c r="N5">
        <v>6</v>
      </c>
      <c r="O5">
        <v>6</v>
      </c>
      <c r="P5" t="str">
        <f t="shared" si="0"/>
        <v>N</v>
      </c>
      <c r="Q5" t="s">
        <v>913</v>
      </c>
    </row>
    <row r="6" spans="1:17" x14ac:dyDescent="0.25">
      <c r="A6" t="s">
        <v>2343</v>
      </c>
      <c r="B6" t="s">
        <v>2344</v>
      </c>
      <c r="C6">
        <v>2027</v>
      </c>
      <c r="D6" t="s">
        <v>704</v>
      </c>
      <c r="E6" t="s">
        <v>819</v>
      </c>
      <c r="F6" s="32">
        <v>46311</v>
      </c>
      <c r="G6" t="s">
        <v>514</v>
      </c>
      <c r="H6">
        <v>47147556</v>
      </c>
      <c r="I6" t="s">
        <v>1386</v>
      </c>
      <c r="J6" t="s">
        <v>1385</v>
      </c>
      <c r="K6" t="s">
        <v>530</v>
      </c>
      <c r="N6">
        <v>0</v>
      </c>
      <c r="O6">
        <v>0</v>
      </c>
      <c r="P6" t="str">
        <f t="shared" si="0"/>
        <v>N</v>
      </c>
      <c r="Q6" t="s">
        <v>914</v>
      </c>
    </row>
    <row r="7" spans="1:17" x14ac:dyDescent="0.25">
      <c r="A7" t="s">
        <v>2345</v>
      </c>
      <c r="B7" t="s">
        <v>2344</v>
      </c>
      <c r="C7">
        <v>2027</v>
      </c>
      <c r="D7" t="s">
        <v>704</v>
      </c>
      <c r="E7" t="s">
        <v>819</v>
      </c>
      <c r="F7" s="32">
        <v>46311</v>
      </c>
      <c r="G7" t="s">
        <v>585</v>
      </c>
      <c r="H7">
        <v>22182428</v>
      </c>
      <c r="I7" t="s">
        <v>31</v>
      </c>
      <c r="J7" t="s">
        <v>32</v>
      </c>
      <c r="K7" t="s">
        <v>530</v>
      </c>
      <c r="L7" t="s">
        <v>31</v>
      </c>
      <c r="M7" t="s">
        <v>235</v>
      </c>
      <c r="N7">
        <v>6</v>
      </c>
      <c r="O7">
        <v>6</v>
      </c>
      <c r="P7" t="str">
        <f t="shared" si="0"/>
        <v>N</v>
      </c>
      <c r="Q7" t="s">
        <v>5741</v>
      </c>
    </row>
    <row r="8" spans="1:17" x14ac:dyDescent="0.25">
      <c r="A8" t="s">
        <v>2782</v>
      </c>
      <c r="B8" t="s">
        <v>2783</v>
      </c>
      <c r="C8">
        <v>2027</v>
      </c>
      <c r="D8" t="s">
        <v>704</v>
      </c>
      <c r="E8" t="s">
        <v>819</v>
      </c>
      <c r="F8" s="32">
        <v>46311</v>
      </c>
      <c r="G8" t="s">
        <v>585</v>
      </c>
      <c r="H8">
        <v>22182428</v>
      </c>
      <c r="I8" t="s">
        <v>31</v>
      </c>
      <c r="J8" t="s">
        <v>32</v>
      </c>
      <c r="K8" t="s">
        <v>530</v>
      </c>
      <c r="L8" t="s">
        <v>31</v>
      </c>
      <c r="M8" t="s">
        <v>235</v>
      </c>
      <c r="N8">
        <v>6</v>
      </c>
      <c r="O8">
        <v>6</v>
      </c>
      <c r="P8" t="str">
        <f t="shared" si="0"/>
        <v>N</v>
      </c>
      <c r="Q8" t="s">
        <v>5742</v>
      </c>
    </row>
    <row r="9" spans="1:17" x14ac:dyDescent="0.25">
      <c r="A9" t="s">
        <v>3088</v>
      </c>
      <c r="B9" t="s">
        <v>1080</v>
      </c>
      <c r="C9">
        <v>2027</v>
      </c>
      <c r="D9" t="s">
        <v>704</v>
      </c>
      <c r="E9" t="s">
        <v>819</v>
      </c>
      <c r="F9" s="32">
        <v>46311</v>
      </c>
      <c r="G9" t="s">
        <v>514</v>
      </c>
      <c r="H9">
        <v>47128787</v>
      </c>
      <c r="I9" t="s">
        <v>1453</v>
      </c>
      <c r="J9" t="s">
        <v>1452</v>
      </c>
      <c r="K9" t="s">
        <v>530</v>
      </c>
      <c r="N9">
        <v>0</v>
      </c>
      <c r="O9">
        <v>0</v>
      </c>
      <c r="P9" t="str">
        <f t="shared" si="0"/>
        <v>N</v>
      </c>
      <c r="Q9" t="s">
        <v>5743</v>
      </c>
    </row>
    <row r="10" spans="1:17" x14ac:dyDescent="0.25">
      <c r="A10" t="s">
        <v>3089</v>
      </c>
      <c r="B10" t="s">
        <v>1080</v>
      </c>
      <c r="C10">
        <v>2027</v>
      </c>
      <c r="D10" t="s">
        <v>704</v>
      </c>
      <c r="E10" t="s">
        <v>819</v>
      </c>
      <c r="F10" s="32">
        <v>46311</v>
      </c>
      <c r="G10" t="s">
        <v>514</v>
      </c>
      <c r="H10">
        <v>47128977</v>
      </c>
      <c r="I10" t="s">
        <v>1449</v>
      </c>
      <c r="J10" t="s">
        <v>1448</v>
      </c>
      <c r="K10" t="s">
        <v>530</v>
      </c>
      <c r="N10">
        <v>0</v>
      </c>
      <c r="O10">
        <v>0</v>
      </c>
      <c r="P10" t="str">
        <f t="shared" si="0"/>
        <v>N</v>
      </c>
      <c r="Q10" t="s">
        <v>5744</v>
      </c>
    </row>
    <row r="11" spans="1:17" x14ac:dyDescent="0.25">
      <c r="A11" t="s">
        <v>3781</v>
      </c>
      <c r="B11" t="s">
        <v>912</v>
      </c>
      <c r="C11">
        <v>2027</v>
      </c>
      <c r="D11" t="s">
        <v>704</v>
      </c>
      <c r="E11" t="s">
        <v>819</v>
      </c>
      <c r="F11" s="32">
        <v>46311</v>
      </c>
      <c r="G11" t="s">
        <v>514</v>
      </c>
      <c r="H11">
        <v>67676767</v>
      </c>
      <c r="I11" t="s">
        <v>1514</v>
      </c>
      <c r="J11" t="s">
        <v>3782</v>
      </c>
      <c r="K11" t="s">
        <v>530</v>
      </c>
      <c r="N11">
        <v>0</v>
      </c>
      <c r="O11">
        <v>0</v>
      </c>
      <c r="P11" t="str">
        <f t="shared" si="0"/>
        <v>N</v>
      </c>
      <c r="Q11" t="s">
        <v>5745</v>
      </c>
    </row>
    <row r="12" spans="1:17" x14ac:dyDescent="0.25">
      <c r="A12" t="s">
        <v>3783</v>
      </c>
      <c r="B12" t="s">
        <v>912</v>
      </c>
      <c r="C12">
        <v>2027</v>
      </c>
      <c r="D12" t="s">
        <v>704</v>
      </c>
      <c r="E12" t="s">
        <v>819</v>
      </c>
      <c r="F12" s="32">
        <v>46311</v>
      </c>
      <c r="G12" t="s">
        <v>514</v>
      </c>
      <c r="H12">
        <v>67676767</v>
      </c>
      <c r="I12" t="s">
        <v>1514</v>
      </c>
      <c r="J12" t="s">
        <v>3784</v>
      </c>
      <c r="K12" t="s">
        <v>530</v>
      </c>
      <c r="N12">
        <v>0</v>
      </c>
      <c r="O12">
        <v>0</v>
      </c>
      <c r="P12" t="str">
        <f t="shared" si="0"/>
        <v>N</v>
      </c>
      <c r="Q12" t="s">
        <v>5746</v>
      </c>
    </row>
    <row r="13" spans="1:17" x14ac:dyDescent="0.25">
      <c r="A13" t="s">
        <v>3785</v>
      </c>
      <c r="B13" t="s">
        <v>912</v>
      </c>
      <c r="C13">
        <v>2027</v>
      </c>
      <c r="D13" t="s">
        <v>704</v>
      </c>
      <c r="E13" t="s">
        <v>819</v>
      </c>
      <c r="F13" s="32">
        <v>46311</v>
      </c>
      <c r="G13" t="s">
        <v>514</v>
      </c>
      <c r="H13">
        <v>47147556</v>
      </c>
      <c r="I13" t="s">
        <v>1386</v>
      </c>
      <c r="J13" t="s">
        <v>1385</v>
      </c>
      <c r="K13" t="s">
        <v>530</v>
      </c>
      <c r="N13">
        <v>0</v>
      </c>
      <c r="O13">
        <v>0</v>
      </c>
      <c r="P13" t="str">
        <f t="shared" si="0"/>
        <v>N</v>
      </c>
      <c r="Q13" t="s">
        <v>5747</v>
      </c>
    </row>
    <row r="14" spans="1:17" x14ac:dyDescent="0.25">
      <c r="A14" t="s">
        <v>3937</v>
      </c>
      <c r="B14" t="s">
        <v>915</v>
      </c>
      <c r="C14">
        <v>2027</v>
      </c>
      <c r="D14" t="s">
        <v>704</v>
      </c>
      <c r="E14" t="s">
        <v>819</v>
      </c>
      <c r="F14" s="32">
        <v>46311</v>
      </c>
      <c r="G14" t="s">
        <v>585</v>
      </c>
      <c r="H14">
        <v>22182428</v>
      </c>
      <c r="I14" t="s">
        <v>31</v>
      </c>
      <c r="J14" t="s">
        <v>32</v>
      </c>
      <c r="K14" t="s">
        <v>530</v>
      </c>
      <c r="L14" t="s">
        <v>31</v>
      </c>
      <c r="M14" t="s">
        <v>235</v>
      </c>
      <c r="N14">
        <v>6</v>
      </c>
      <c r="O14">
        <v>6</v>
      </c>
      <c r="P14" t="str">
        <f t="shared" si="0"/>
        <v>N</v>
      </c>
      <c r="Q14" t="s">
        <v>5748</v>
      </c>
    </row>
    <row r="15" spans="1:17" x14ac:dyDescent="0.25">
      <c r="A15" t="s">
        <v>3938</v>
      </c>
      <c r="B15" t="s">
        <v>3939</v>
      </c>
      <c r="C15">
        <v>2027</v>
      </c>
      <c r="D15" t="s">
        <v>704</v>
      </c>
      <c r="E15" t="s">
        <v>819</v>
      </c>
      <c r="F15" s="32">
        <v>46311</v>
      </c>
      <c r="G15" t="s">
        <v>514</v>
      </c>
      <c r="H15">
        <v>47147556</v>
      </c>
      <c r="I15" t="s">
        <v>1386</v>
      </c>
      <c r="J15" t="s">
        <v>1385</v>
      </c>
      <c r="K15" t="s">
        <v>530</v>
      </c>
      <c r="N15">
        <v>0</v>
      </c>
      <c r="O15">
        <v>0</v>
      </c>
      <c r="P15" t="str">
        <f t="shared" si="0"/>
        <v>N</v>
      </c>
      <c r="Q15" t="s">
        <v>5749</v>
      </c>
    </row>
    <row r="16" spans="1:17" x14ac:dyDescent="0.25">
      <c r="A16" t="s">
        <v>3940</v>
      </c>
      <c r="B16" t="s">
        <v>3939</v>
      </c>
      <c r="C16">
        <v>2027</v>
      </c>
      <c r="D16" t="s">
        <v>704</v>
      </c>
      <c r="E16" t="s">
        <v>819</v>
      </c>
      <c r="F16" s="32">
        <v>46311</v>
      </c>
      <c r="G16" t="s">
        <v>585</v>
      </c>
      <c r="H16">
        <v>22182428</v>
      </c>
      <c r="I16" t="s">
        <v>31</v>
      </c>
      <c r="J16" t="s">
        <v>32</v>
      </c>
      <c r="K16" t="s">
        <v>530</v>
      </c>
      <c r="L16" t="s">
        <v>31</v>
      </c>
      <c r="M16" t="s">
        <v>235</v>
      </c>
      <c r="N16">
        <v>6</v>
      </c>
      <c r="O16">
        <v>6</v>
      </c>
      <c r="P16" t="str">
        <f t="shared" si="0"/>
        <v>N</v>
      </c>
      <c r="Q16" t="s">
        <v>5750</v>
      </c>
    </row>
    <row r="17" spans="1:17" x14ac:dyDescent="0.25">
      <c r="A17" t="s">
        <v>4018</v>
      </c>
      <c r="B17" t="s">
        <v>1489</v>
      </c>
      <c r="C17">
        <v>2027</v>
      </c>
      <c r="D17" t="s">
        <v>704</v>
      </c>
      <c r="E17" t="s">
        <v>819</v>
      </c>
      <c r="F17" s="32">
        <v>46311</v>
      </c>
      <c r="G17" t="s">
        <v>514</v>
      </c>
      <c r="H17">
        <v>47129473</v>
      </c>
      <c r="I17" t="s">
        <v>1430</v>
      </c>
      <c r="J17" t="s">
        <v>1429</v>
      </c>
      <c r="K17" t="s">
        <v>530</v>
      </c>
      <c r="N17">
        <v>0</v>
      </c>
      <c r="O17">
        <v>0</v>
      </c>
      <c r="P17" t="str">
        <f t="shared" si="0"/>
        <v>N</v>
      </c>
      <c r="Q17" t="s">
        <v>5751</v>
      </c>
    </row>
    <row r="18" spans="1:17" x14ac:dyDescent="0.25">
      <c r="A18" t="s">
        <v>4019</v>
      </c>
      <c r="B18" t="s">
        <v>1489</v>
      </c>
      <c r="C18">
        <v>2027</v>
      </c>
      <c r="D18" t="s">
        <v>704</v>
      </c>
      <c r="E18" t="s">
        <v>819</v>
      </c>
      <c r="F18" s="32">
        <v>46311</v>
      </c>
      <c r="G18" t="s">
        <v>585</v>
      </c>
      <c r="H18">
        <v>22182428</v>
      </c>
      <c r="I18" t="s">
        <v>31</v>
      </c>
      <c r="J18" t="s">
        <v>32</v>
      </c>
      <c r="K18" t="s">
        <v>530</v>
      </c>
      <c r="L18" t="s">
        <v>31</v>
      </c>
      <c r="M18" t="s">
        <v>235</v>
      </c>
      <c r="N18">
        <v>0</v>
      </c>
      <c r="O18">
        <v>0</v>
      </c>
      <c r="P18" t="str">
        <f t="shared" si="0"/>
        <v>N</v>
      </c>
      <c r="Q18" t="s">
        <v>5752</v>
      </c>
    </row>
    <row r="19" spans="1:17" x14ac:dyDescent="0.25">
      <c r="A19" t="s">
        <v>4020</v>
      </c>
      <c r="B19" t="s">
        <v>1489</v>
      </c>
      <c r="C19">
        <v>2027</v>
      </c>
      <c r="D19" t="s">
        <v>704</v>
      </c>
      <c r="E19" t="s">
        <v>819</v>
      </c>
      <c r="F19" s="32">
        <v>46311</v>
      </c>
      <c r="G19" t="s">
        <v>514</v>
      </c>
      <c r="H19">
        <v>47128787</v>
      </c>
      <c r="I19" t="s">
        <v>1453</v>
      </c>
      <c r="J19" t="s">
        <v>1452</v>
      </c>
      <c r="K19" t="s">
        <v>530</v>
      </c>
      <c r="N19">
        <v>0</v>
      </c>
      <c r="O19">
        <v>0</v>
      </c>
      <c r="P19" t="str">
        <f t="shared" si="0"/>
        <v>N</v>
      </c>
      <c r="Q19" t="s">
        <v>5753</v>
      </c>
    </row>
    <row r="20" spans="1:17" x14ac:dyDescent="0.25">
      <c r="A20" t="s">
        <v>4021</v>
      </c>
      <c r="B20" t="s">
        <v>1489</v>
      </c>
      <c r="C20">
        <v>2027</v>
      </c>
      <c r="D20" t="s">
        <v>704</v>
      </c>
      <c r="E20" t="s">
        <v>819</v>
      </c>
      <c r="F20" s="32">
        <v>46311</v>
      </c>
      <c r="G20" t="s">
        <v>514</v>
      </c>
      <c r="H20">
        <v>47128977</v>
      </c>
      <c r="I20" t="s">
        <v>1449</v>
      </c>
      <c r="J20" t="s">
        <v>1448</v>
      </c>
      <c r="K20" t="s">
        <v>530</v>
      </c>
      <c r="N20">
        <v>0</v>
      </c>
      <c r="O20">
        <v>0</v>
      </c>
      <c r="P20" t="str">
        <f t="shared" si="0"/>
        <v>N</v>
      </c>
      <c r="Q20" t="s">
        <v>5754</v>
      </c>
    </row>
    <row r="21" spans="1:17" x14ac:dyDescent="0.25">
      <c r="A21" t="s">
        <v>4123</v>
      </c>
      <c r="B21" t="s">
        <v>916</v>
      </c>
      <c r="C21">
        <v>2027</v>
      </c>
      <c r="D21" t="s">
        <v>704</v>
      </c>
      <c r="E21" t="s">
        <v>819</v>
      </c>
      <c r="F21" s="32">
        <v>46311</v>
      </c>
      <c r="G21" t="s">
        <v>514</v>
      </c>
      <c r="H21">
        <v>47128570</v>
      </c>
      <c r="I21" t="s">
        <v>1491</v>
      </c>
      <c r="J21" t="s">
        <v>1490</v>
      </c>
      <c r="K21" t="s">
        <v>530</v>
      </c>
      <c r="N21">
        <v>0</v>
      </c>
      <c r="O21">
        <v>0</v>
      </c>
      <c r="P21" t="str">
        <f t="shared" si="0"/>
        <v>N</v>
      </c>
      <c r="Q21" t="s">
        <v>5755</v>
      </c>
    </row>
    <row r="22" spans="1:17" x14ac:dyDescent="0.25">
      <c r="A22" t="s">
        <v>4124</v>
      </c>
      <c r="B22" t="s">
        <v>916</v>
      </c>
      <c r="C22">
        <v>2027</v>
      </c>
      <c r="D22" t="s">
        <v>704</v>
      </c>
      <c r="E22" t="s">
        <v>819</v>
      </c>
      <c r="F22" s="32">
        <v>46311</v>
      </c>
      <c r="G22" t="s">
        <v>514</v>
      </c>
      <c r="H22">
        <v>47129548</v>
      </c>
      <c r="I22" t="s">
        <v>1340</v>
      </c>
      <c r="J22" t="s">
        <v>1339</v>
      </c>
      <c r="K22" t="s">
        <v>530</v>
      </c>
      <c r="N22">
        <v>40</v>
      </c>
      <c r="O22">
        <v>40</v>
      </c>
      <c r="P22" t="str">
        <f t="shared" si="0"/>
        <v>N</v>
      </c>
      <c r="Q22" t="s">
        <v>5756</v>
      </c>
    </row>
    <row r="23" spans="1:17" x14ac:dyDescent="0.25">
      <c r="A23" t="s">
        <v>4444</v>
      </c>
      <c r="B23" t="s">
        <v>4445</v>
      </c>
      <c r="C23">
        <v>2027</v>
      </c>
      <c r="D23" t="s">
        <v>704</v>
      </c>
      <c r="E23" t="s">
        <v>819</v>
      </c>
      <c r="F23" s="32">
        <v>46311</v>
      </c>
      <c r="G23" t="s">
        <v>514</v>
      </c>
      <c r="H23">
        <v>47129711</v>
      </c>
      <c r="I23" t="s">
        <v>4446</v>
      </c>
      <c r="J23" t="s">
        <v>4447</v>
      </c>
      <c r="K23" t="s">
        <v>530</v>
      </c>
      <c r="N23">
        <v>10</v>
      </c>
      <c r="O23">
        <v>10</v>
      </c>
      <c r="P23" t="str">
        <f t="shared" si="0"/>
        <v>N</v>
      </c>
      <c r="Q23" t="s">
        <v>5757</v>
      </c>
    </row>
    <row r="24" spans="1:17" x14ac:dyDescent="0.25">
      <c r="A24" t="s">
        <v>4448</v>
      </c>
      <c r="B24" t="s">
        <v>4445</v>
      </c>
      <c r="C24">
        <v>2027</v>
      </c>
      <c r="D24" t="s">
        <v>704</v>
      </c>
      <c r="E24" t="s">
        <v>819</v>
      </c>
      <c r="F24" s="32">
        <v>46311</v>
      </c>
      <c r="G24" t="s">
        <v>514</v>
      </c>
      <c r="H24">
        <v>47129228</v>
      </c>
      <c r="I24" t="s">
        <v>4449</v>
      </c>
      <c r="J24" t="s">
        <v>4450</v>
      </c>
      <c r="K24" t="s">
        <v>530</v>
      </c>
      <c r="N24">
        <v>30</v>
      </c>
      <c r="O24">
        <v>30</v>
      </c>
      <c r="P24" t="str">
        <f t="shared" si="0"/>
        <v>N</v>
      </c>
      <c r="Q24" t="s">
        <v>5758</v>
      </c>
    </row>
    <row r="25" spans="1:17" x14ac:dyDescent="0.25">
      <c r="A25" t="s">
        <v>4451</v>
      </c>
      <c r="B25" t="s">
        <v>4445</v>
      </c>
      <c r="C25">
        <v>2027</v>
      </c>
      <c r="D25" t="s">
        <v>704</v>
      </c>
      <c r="E25" t="s">
        <v>819</v>
      </c>
      <c r="F25" s="32">
        <v>46311</v>
      </c>
      <c r="G25" t="s">
        <v>585</v>
      </c>
      <c r="H25">
        <v>22182428</v>
      </c>
      <c r="I25" t="s">
        <v>31</v>
      </c>
      <c r="J25" t="s">
        <v>32</v>
      </c>
      <c r="K25" t="s">
        <v>530</v>
      </c>
      <c r="L25" t="s">
        <v>31</v>
      </c>
      <c r="M25" t="s">
        <v>235</v>
      </c>
      <c r="N25">
        <v>6</v>
      </c>
      <c r="O25">
        <v>6</v>
      </c>
      <c r="P25" t="str">
        <f t="shared" si="0"/>
        <v>N</v>
      </c>
      <c r="Q25" t="s">
        <v>5759</v>
      </c>
    </row>
    <row r="26" spans="1:17" x14ac:dyDescent="0.25">
      <c r="A26" t="s">
        <v>4500</v>
      </c>
      <c r="B26" t="s">
        <v>1044</v>
      </c>
      <c r="C26">
        <v>2027</v>
      </c>
      <c r="D26" t="s">
        <v>704</v>
      </c>
      <c r="E26" t="s">
        <v>819</v>
      </c>
      <c r="F26" s="32">
        <v>46311</v>
      </c>
      <c r="G26" t="s">
        <v>514</v>
      </c>
      <c r="H26">
        <v>47148664</v>
      </c>
      <c r="I26" t="s">
        <v>1479</v>
      </c>
      <c r="J26" t="s">
        <v>1478</v>
      </c>
      <c r="K26" t="s">
        <v>530</v>
      </c>
      <c r="N26">
        <v>0</v>
      </c>
      <c r="O26">
        <v>0</v>
      </c>
      <c r="P26" t="str">
        <f t="shared" si="0"/>
        <v>N</v>
      </c>
      <c r="Q26" t="s">
        <v>5760</v>
      </c>
    </row>
    <row r="27" spans="1:17" x14ac:dyDescent="0.25">
      <c r="A27" t="s">
        <v>4501</v>
      </c>
      <c r="B27" t="s">
        <v>1044</v>
      </c>
      <c r="C27">
        <v>2027</v>
      </c>
      <c r="D27" t="s">
        <v>704</v>
      </c>
      <c r="E27" t="s">
        <v>819</v>
      </c>
      <c r="F27" s="32">
        <v>46311</v>
      </c>
      <c r="G27" t="s">
        <v>514</v>
      </c>
      <c r="H27">
        <v>47129020</v>
      </c>
      <c r="I27" t="s">
        <v>1058</v>
      </c>
      <c r="J27" t="s">
        <v>1057</v>
      </c>
      <c r="K27" t="s">
        <v>530</v>
      </c>
      <c r="N27">
        <v>0</v>
      </c>
      <c r="O27">
        <v>0</v>
      </c>
      <c r="P27" t="str">
        <f t="shared" si="0"/>
        <v>N</v>
      </c>
      <c r="Q27" t="s">
        <v>5761</v>
      </c>
    </row>
    <row r="28" spans="1:17" x14ac:dyDescent="0.25">
      <c r="A28" t="s">
        <v>4502</v>
      </c>
      <c r="B28" t="s">
        <v>1044</v>
      </c>
      <c r="C28">
        <v>2027</v>
      </c>
      <c r="D28" t="s">
        <v>704</v>
      </c>
      <c r="E28" t="s">
        <v>819</v>
      </c>
      <c r="F28" s="32">
        <v>46311</v>
      </c>
      <c r="G28" t="s">
        <v>514</v>
      </c>
      <c r="H28">
        <v>47129473</v>
      </c>
      <c r="I28" t="s">
        <v>1430</v>
      </c>
      <c r="J28" t="s">
        <v>1429</v>
      </c>
      <c r="K28" t="s">
        <v>530</v>
      </c>
      <c r="N28">
        <v>40</v>
      </c>
      <c r="O28">
        <v>40</v>
      </c>
      <c r="P28" t="str">
        <f t="shared" si="0"/>
        <v>N</v>
      </c>
      <c r="Q28" t="s">
        <v>5762</v>
      </c>
    </row>
    <row r="29" spans="1:17" x14ac:dyDescent="0.25">
      <c r="A29" t="s">
        <v>4503</v>
      </c>
      <c r="B29" t="s">
        <v>1044</v>
      </c>
      <c r="C29">
        <v>2027</v>
      </c>
      <c r="D29" t="s">
        <v>704</v>
      </c>
      <c r="E29" t="s">
        <v>819</v>
      </c>
      <c r="F29" s="32">
        <v>46311</v>
      </c>
      <c r="G29" t="s">
        <v>585</v>
      </c>
      <c r="H29">
        <v>22182428</v>
      </c>
      <c r="I29" t="s">
        <v>31</v>
      </c>
      <c r="J29" t="s">
        <v>32</v>
      </c>
      <c r="K29" t="s">
        <v>530</v>
      </c>
      <c r="L29" t="s">
        <v>31</v>
      </c>
      <c r="M29" t="s">
        <v>231</v>
      </c>
      <c r="N29">
        <v>32</v>
      </c>
      <c r="O29">
        <v>32</v>
      </c>
      <c r="P29" t="str">
        <f t="shared" si="0"/>
        <v>N</v>
      </c>
      <c r="Q29" t="s">
        <v>5763</v>
      </c>
    </row>
    <row r="30" spans="1:17" x14ac:dyDescent="0.25">
      <c r="A30" t="s">
        <v>4504</v>
      </c>
      <c r="B30" t="s">
        <v>1044</v>
      </c>
      <c r="C30">
        <v>2027</v>
      </c>
      <c r="D30" t="s">
        <v>704</v>
      </c>
      <c r="E30" t="s">
        <v>819</v>
      </c>
      <c r="F30" s="32">
        <v>46311</v>
      </c>
      <c r="G30" t="s">
        <v>514</v>
      </c>
      <c r="H30">
        <v>47133720</v>
      </c>
      <c r="I30" t="s">
        <v>1217</v>
      </c>
      <c r="J30" t="s">
        <v>1216</v>
      </c>
      <c r="K30" t="s">
        <v>530</v>
      </c>
      <c r="N30">
        <v>0</v>
      </c>
      <c r="O30">
        <v>0</v>
      </c>
      <c r="P30" t="str">
        <f t="shared" si="0"/>
        <v>N</v>
      </c>
      <c r="Q30" t="s">
        <v>5764</v>
      </c>
    </row>
    <row r="31" spans="1:17" x14ac:dyDescent="0.25">
      <c r="A31" t="s">
        <v>4505</v>
      </c>
      <c r="B31" t="s">
        <v>1044</v>
      </c>
      <c r="C31">
        <v>2027</v>
      </c>
      <c r="D31" t="s">
        <v>704</v>
      </c>
      <c r="E31" t="s">
        <v>819</v>
      </c>
      <c r="F31" s="32">
        <v>46311</v>
      </c>
      <c r="G31" t="s">
        <v>585</v>
      </c>
      <c r="H31">
        <v>22182428</v>
      </c>
      <c r="I31" t="s">
        <v>31</v>
      </c>
      <c r="J31" t="s">
        <v>32</v>
      </c>
      <c r="K31" t="s">
        <v>530</v>
      </c>
      <c r="L31" t="s">
        <v>31</v>
      </c>
      <c r="M31" t="s">
        <v>235</v>
      </c>
      <c r="N31">
        <v>6</v>
      </c>
      <c r="O31">
        <v>6</v>
      </c>
      <c r="P31" t="str">
        <f t="shared" si="0"/>
        <v>N</v>
      </c>
      <c r="Q31" t="s">
        <v>5765</v>
      </c>
    </row>
    <row r="32" spans="1:17" x14ac:dyDescent="0.25">
      <c r="A32" t="s">
        <v>4784</v>
      </c>
      <c r="B32" t="s">
        <v>1090</v>
      </c>
      <c r="C32">
        <v>2027</v>
      </c>
      <c r="D32" t="s">
        <v>704</v>
      </c>
      <c r="E32" t="s">
        <v>819</v>
      </c>
      <c r="F32" s="32">
        <v>46311</v>
      </c>
      <c r="G32" t="s">
        <v>585</v>
      </c>
      <c r="H32">
        <v>22182428</v>
      </c>
      <c r="I32" t="s">
        <v>31</v>
      </c>
      <c r="J32" t="s">
        <v>32</v>
      </c>
      <c r="K32" t="s">
        <v>530</v>
      </c>
      <c r="L32" t="s">
        <v>31</v>
      </c>
      <c r="M32" t="s">
        <v>231</v>
      </c>
      <c r="N32">
        <v>32</v>
      </c>
      <c r="O32">
        <v>32</v>
      </c>
      <c r="P32" t="str">
        <f t="shared" si="0"/>
        <v>N</v>
      </c>
      <c r="Q32" t="s">
        <v>5766</v>
      </c>
    </row>
    <row r="33" spans="1:17" x14ac:dyDescent="0.25">
      <c r="A33" t="s">
        <v>4785</v>
      </c>
      <c r="B33" t="s">
        <v>1090</v>
      </c>
      <c r="C33">
        <v>2027</v>
      </c>
      <c r="D33" t="s">
        <v>704</v>
      </c>
      <c r="E33" t="s">
        <v>819</v>
      </c>
      <c r="F33" s="32">
        <v>46311</v>
      </c>
      <c r="G33" t="s">
        <v>585</v>
      </c>
      <c r="H33">
        <v>22182428</v>
      </c>
      <c r="I33" t="s">
        <v>31</v>
      </c>
      <c r="J33" t="s">
        <v>32</v>
      </c>
      <c r="K33" t="s">
        <v>530</v>
      </c>
      <c r="L33" t="s">
        <v>31</v>
      </c>
      <c r="M33" t="s">
        <v>235</v>
      </c>
      <c r="N33">
        <v>6</v>
      </c>
      <c r="O33">
        <v>6</v>
      </c>
      <c r="P33" t="str">
        <f t="shared" si="0"/>
        <v>N</v>
      </c>
      <c r="Q33" t="s">
        <v>5767</v>
      </c>
    </row>
    <row r="34" spans="1:17" x14ac:dyDescent="0.25">
      <c r="A34" t="s">
        <v>5198</v>
      </c>
      <c r="B34" t="s">
        <v>1089</v>
      </c>
      <c r="C34">
        <v>2027</v>
      </c>
      <c r="D34" t="s">
        <v>704</v>
      </c>
      <c r="E34" t="s">
        <v>819</v>
      </c>
      <c r="F34" s="32">
        <v>46311</v>
      </c>
      <c r="G34" t="s">
        <v>514</v>
      </c>
      <c r="H34">
        <v>47129548</v>
      </c>
      <c r="I34" t="s">
        <v>1340</v>
      </c>
      <c r="J34" t="s">
        <v>1339</v>
      </c>
      <c r="K34" t="s">
        <v>530</v>
      </c>
      <c r="N34">
        <v>40</v>
      </c>
      <c r="O34">
        <v>40</v>
      </c>
      <c r="P34" t="str">
        <f t="shared" si="0"/>
        <v>N</v>
      </c>
      <c r="Q34" t="s">
        <v>5768</v>
      </c>
    </row>
    <row r="35" spans="1:17" x14ac:dyDescent="0.25">
      <c r="A35" t="s">
        <v>5199</v>
      </c>
      <c r="B35" t="s">
        <v>1089</v>
      </c>
      <c r="C35">
        <v>2027</v>
      </c>
      <c r="D35" t="s">
        <v>704</v>
      </c>
      <c r="E35" t="s">
        <v>819</v>
      </c>
      <c r="F35" s="32">
        <v>46311</v>
      </c>
      <c r="G35" t="s">
        <v>585</v>
      </c>
      <c r="H35">
        <v>22182428</v>
      </c>
      <c r="I35" t="s">
        <v>31</v>
      </c>
      <c r="J35" t="s">
        <v>32</v>
      </c>
      <c r="K35" t="s">
        <v>530</v>
      </c>
      <c r="L35" t="s">
        <v>31</v>
      </c>
      <c r="M35" t="s">
        <v>235</v>
      </c>
      <c r="N35">
        <v>6</v>
      </c>
      <c r="O35">
        <v>6</v>
      </c>
      <c r="P35" t="str">
        <f t="shared" si="0"/>
        <v>N</v>
      </c>
      <c r="Q35" t="s">
        <v>5769</v>
      </c>
    </row>
    <row r="36" spans="1:17" x14ac:dyDescent="0.25">
      <c r="A36" t="s">
        <v>5436</v>
      </c>
      <c r="B36" t="s">
        <v>5437</v>
      </c>
      <c r="C36">
        <v>2027</v>
      </c>
      <c r="D36" t="s">
        <v>704</v>
      </c>
      <c r="E36" t="s">
        <v>819</v>
      </c>
      <c r="F36" s="32">
        <v>46311</v>
      </c>
      <c r="G36" t="s">
        <v>514</v>
      </c>
      <c r="H36">
        <v>47148664</v>
      </c>
      <c r="I36" t="s">
        <v>1479</v>
      </c>
      <c r="J36" t="s">
        <v>1478</v>
      </c>
      <c r="K36" t="s">
        <v>530</v>
      </c>
      <c r="N36">
        <v>0</v>
      </c>
      <c r="O36">
        <v>0</v>
      </c>
      <c r="P36" t="str">
        <f t="shared" si="0"/>
        <v>N</v>
      </c>
      <c r="Q36" t="s">
        <v>5770</v>
      </c>
    </row>
    <row r="37" spans="1:17" x14ac:dyDescent="0.25">
      <c r="A37" t="s">
        <v>5438</v>
      </c>
      <c r="B37" t="s">
        <v>5437</v>
      </c>
      <c r="C37">
        <v>2027</v>
      </c>
      <c r="D37" t="s">
        <v>704</v>
      </c>
      <c r="E37" t="s">
        <v>819</v>
      </c>
      <c r="F37" s="32">
        <v>46311</v>
      </c>
      <c r="G37" t="s">
        <v>514</v>
      </c>
      <c r="H37">
        <v>47129020</v>
      </c>
      <c r="I37" t="s">
        <v>1058</v>
      </c>
      <c r="J37" t="s">
        <v>1057</v>
      </c>
      <c r="K37" t="s">
        <v>530</v>
      </c>
      <c r="N37">
        <v>0</v>
      </c>
      <c r="O37">
        <v>0</v>
      </c>
      <c r="P37" t="str">
        <f t="shared" si="0"/>
        <v>N</v>
      </c>
      <c r="Q37" t="s">
        <v>5771</v>
      </c>
    </row>
    <row r="38" spans="1:17" x14ac:dyDescent="0.25">
      <c r="A38" t="s">
        <v>5439</v>
      </c>
      <c r="B38" t="s">
        <v>5437</v>
      </c>
      <c r="C38">
        <v>2027</v>
      </c>
      <c r="D38" t="s">
        <v>704</v>
      </c>
      <c r="E38" t="s">
        <v>819</v>
      </c>
      <c r="F38" s="32">
        <v>46311</v>
      </c>
      <c r="G38" t="s">
        <v>514</v>
      </c>
      <c r="H38">
        <v>47129473</v>
      </c>
      <c r="I38" t="s">
        <v>1430</v>
      </c>
      <c r="J38" t="s">
        <v>1429</v>
      </c>
      <c r="K38" t="s">
        <v>530</v>
      </c>
      <c r="N38">
        <v>40</v>
      </c>
      <c r="O38">
        <v>40</v>
      </c>
      <c r="P38" t="str">
        <f t="shared" si="0"/>
        <v>N</v>
      </c>
      <c r="Q38" t="s">
        <v>5772</v>
      </c>
    </row>
    <row r="39" spans="1:17" x14ac:dyDescent="0.25">
      <c r="A39" t="s">
        <v>5440</v>
      </c>
      <c r="B39" t="s">
        <v>5437</v>
      </c>
      <c r="C39">
        <v>2027</v>
      </c>
      <c r="D39" t="s">
        <v>704</v>
      </c>
      <c r="E39" t="s">
        <v>819</v>
      </c>
      <c r="F39" s="32">
        <v>46311</v>
      </c>
      <c r="G39" t="s">
        <v>585</v>
      </c>
      <c r="H39">
        <v>22182428</v>
      </c>
      <c r="I39" t="s">
        <v>31</v>
      </c>
      <c r="J39" t="s">
        <v>32</v>
      </c>
      <c r="K39" t="s">
        <v>530</v>
      </c>
      <c r="L39" t="s">
        <v>31</v>
      </c>
      <c r="M39" t="s">
        <v>235</v>
      </c>
      <c r="N39">
        <v>6</v>
      </c>
      <c r="O39">
        <v>6</v>
      </c>
      <c r="P39" t="str">
        <f t="shared" si="0"/>
        <v>N</v>
      </c>
      <c r="Q39" t="s">
        <v>5773</v>
      </c>
    </row>
    <row r="40" spans="1:17" x14ac:dyDescent="0.25">
      <c r="A40" t="s">
        <v>1686</v>
      </c>
      <c r="B40" t="s">
        <v>1135</v>
      </c>
      <c r="C40">
        <v>2027</v>
      </c>
      <c r="D40" t="s">
        <v>706</v>
      </c>
      <c r="E40" t="s">
        <v>820</v>
      </c>
      <c r="F40" s="32">
        <v>46318</v>
      </c>
      <c r="G40" t="s">
        <v>514</v>
      </c>
      <c r="H40">
        <v>47128570</v>
      </c>
      <c r="I40" t="s">
        <v>1491</v>
      </c>
      <c r="J40" t="s">
        <v>1490</v>
      </c>
      <c r="K40" t="s">
        <v>530</v>
      </c>
      <c r="N40">
        <v>0</v>
      </c>
      <c r="O40">
        <v>0</v>
      </c>
      <c r="P40" t="str">
        <f t="shared" si="0"/>
        <v>N</v>
      </c>
      <c r="Q40" t="s">
        <v>917</v>
      </c>
    </row>
    <row r="41" spans="1:17" x14ac:dyDescent="0.25">
      <c r="A41" t="s">
        <v>2443</v>
      </c>
      <c r="B41" t="s">
        <v>2444</v>
      </c>
      <c r="C41">
        <v>2027</v>
      </c>
      <c r="D41" t="s">
        <v>706</v>
      </c>
      <c r="E41" t="s">
        <v>820</v>
      </c>
      <c r="F41" s="32">
        <v>46318</v>
      </c>
      <c r="G41" t="s">
        <v>585</v>
      </c>
      <c r="H41">
        <v>22182428</v>
      </c>
      <c r="I41" t="s">
        <v>31</v>
      </c>
      <c r="J41" t="s">
        <v>32</v>
      </c>
      <c r="K41" t="s">
        <v>530</v>
      </c>
      <c r="L41" t="s">
        <v>31</v>
      </c>
      <c r="M41" t="s">
        <v>232</v>
      </c>
      <c r="N41">
        <v>11</v>
      </c>
      <c r="O41">
        <v>11</v>
      </c>
      <c r="P41" t="str">
        <f t="shared" si="0"/>
        <v>N</v>
      </c>
      <c r="Q41" t="s">
        <v>5774</v>
      </c>
    </row>
    <row r="42" spans="1:17" x14ac:dyDescent="0.25">
      <c r="A42" t="s">
        <v>2445</v>
      </c>
      <c r="B42" t="s">
        <v>2444</v>
      </c>
      <c r="C42">
        <v>2027</v>
      </c>
      <c r="D42" t="s">
        <v>706</v>
      </c>
      <c r="E42" t="s">
        <v>820</v>
      </c>
      <c r="F42" s="32">
        <v>46318</v>
      </c>
      <c r="G42" t="s">
        <v>585</v>
      </c>
      <c r="H42">
        <v>22182428</v>
      </c>
      <c r="I42" t="s">
        <v>31</v>
      </c>
      <c r="J42" t="s">
        <v>32</v>
      </c>
      <c r="K42" t="s">
        <v>530</v>
      </c>
      <c r="L42" t="s">
        <v>31</v>
      </c>
      <c r="M42" t="s">
        <v>235</v>
      </c>
      <c r="N42">
        <v>6</v>
      </c>
      <c r="O42">
        <v>6</v>
      </c>
      <c r="P42" t="str">
        <f t="shared" si="0"/>
        <v>N</v>
      </c>
      <c r="Q42" t="s">
        <v>5775</v>
      </c>
    </row>
    <row r="43" spans="1:17" x14ac:dyDescent="0.25">
      <c r="A43" t="s">
        <v>3090</v>
      </c>
      <c r="B43" t="s">
        <v>1080</v>
      </c>
      <c r="C43">
        <v>2027</v>
      </c>
      <c r="D43" t="s">
        <v>706</v>
      </c>
      <c r="E43" t="s">
        <v>820</v>
      </c>
      <c r="F43" s="32">
        <v>46318</v>
      </c>
      <c r="G43" t="s">
        <v>585</v>
      </c>
      <c r="H43">
        <v>22182428</v>
      </c>
      <c r="I43" t="s">
        <v>31</v>
      </c>
      <c r="J43" t="s">
        <v>32</v>
      </c>
      <c r="K43" t="s">
        <v>530</v>
      </c>
      <c r="L43" t="s">
        <v>31</v>
      </c>
      <c r="M43" t="s">
        <v>235</v>
      </c>
      <c r="N43">
        <v>6</v>
      </c>
      <c r="O43">
        <v>6</v>
      </c>
      <c r="P43" t="str">
        <f t="shared" si="0"/>
        <v>N</v>
      </c>
      <c r="Q43" t="s">
        <v>5776</v>
      </c>
    </row>
    <row r="44" spans="1:17" x14ac:dyDescent="0.25">
      <c r="A44" t="s">
        <v>3091</v>
      </c>
      <c r="B44" t="s">
        <v>1080</v>
      </c>
      <c r="C44">
        <v>2027</v>
      </c>
      <c r="D44" t="s">
        <v>706</v>
      </c>
      <c r="E44" t="s">
        <v>820</v>
      </c>
      <c r="F44" s="32">
        <v>46318</v>
      </c>
      <c r="G44" t="s">
        <v>514</v>
      </c>
      <c r="H44">
        <v>47128787</v>
      </c>
      <c r="I44" t="s">
        <v>1453</v>
      </c>
      <c r="J44" t="s">
        <v>1452</v>
      </c>
      <c r="K44" t="s">
        <v>530</v>
      </c>
      <c r="N44">
        <v>20</v>
      </c>
      <c r="O44">
        <v>20</v>
      </c>
      <c r="P44" t="str">
        <f t="shared" si="0"/>
        <v>N</v>
      </c>
      <c r="Q44" t="s">
        <v>5777</v>
      </c>
    </row>
    <row r="45" spans="1:17" x14ac:dyDescent="0.25">
      <c r="A45" t="s">
        <v>3092</v>
      </c>
      <c r="B45" t="s">
        <v>1080</v>
      </c>
      <c r="C45">
        <v>2027</v>
      </c>
      <c r="D45" t="s">
        <v>706</v>
      </c>
      <c r="E45" t="s">
        <v>820</v>
      </c>
      <c r="F45" s="32">
        <v>46318</v>
      </c>
      <c r="G45" t="s">
        <v>514</v>
      </c>
      <c r="H45">
        <v>47128977</v>
      </c>
      <c r="I45" t="s">
        <v>1449</v>
      </c>
      <c r="J45" t="s">
        <v>1448</v>
      </c>
      <c r="K45" t="s">
        <v>530</v>
      </c>
      <c r="N45">
        <v>0</v>
      </c>
      <c r="O45">
        <v>0</v>
      </c>
      <c r="P45" t="str">
        <f t="shared" si="0"/>
        <v>N</v>
      </c>
      <c r="Q45" t="s">
        <v>5778</v>
      </c>
    </row>
    <row r="46" spans="1:17" x14ac:dyDescent="0.25">
      <c r="A46" t="s">
        <v>3786</v>
      </c>
      <c r="B46" t="s">
        <v>912</v>
      </c>
      <c r="C46">
        <v>2027</v>
      </c>
      <c r="D46" t="s">
        <v>706</v>
      </c>
      <c r="E46" t="s">
        <v>820</v>
      </c>
      <c r="F46" s="32">
        <v>46318</v>
      </c>
      <c r="G46" t="s">
        <v>585</v>
      </c>
      <c r="H46">
        <v>22182428</v>
      </c>
      <c r="I46" t="s">
        <v>31</v>
      </c>
      <c r="J46" t="s">
        <v>32</v>
      </c>
      <c r="K46" t="s">
        <v>530</v>
      </c>
      <c r="L46" t="s">
        <v>31</v>
      </c>
      <c r="M46" t="s">
        <v>232</v>
      </c>
      <c r="N46">
        <v>11</v>
      </c>
      <c r="O46">
        <v>11</v>
      </c>
      <c r="P46" t="str">
        <f t="shared" si="0"/>
        <v>N</v>
      </c>
      <c r="Q46" t="s">
        <v>5779</v>
      </c>
    </row>
    <row r="47" spans="1:17" x14ac:dyDescent="0.25">
      <c r="A47" t="s">
        <v>3787</v>
      </c>
      <c r="B47" t="s">
        <v>912</v>
      </c>
      <c r="C47">
        <v>2027</v>
      </c>
      <c r="D47" t="s">
        <v>706</v>
      </c>
      <c r="E47" t="s">
        <v>820</v>
      </c>
      <c r="F47" s="32">
        <v>46318</v>
      </c>
      <c r="G47" t="s">
        <v>585</v>
      </c>
      <c r="H47">
        <v>22182428</v>
      </c>
      <c r="I47" t="s">
        <v>31</v>
      </c>
      <c r="J47" t="s">
        <v>32</v>
      </c>
      <c r="K47" t="s">
        <v>530</v>
      </c>
      <c r="L47" t="s">
        <v>31</v>
      </c>
      <c r="M47" t="s">
        <v>235</v>
      </c>
      <c r="N47">
        <v>6</v>
      </c>
      <c r="O47">
        <v>6</v>
      </c>
      <c r="P47" t="str">
        <f t="shared" si="0"/>
        <v>N</v>
      </c>
      <c r="Q47" t="s">
        <v>5780</v>
      </c>
    </row>
    <row r="48" spans="1:17" x14ac:dyDescent="0.25">
      <c r="A48" t="s">
        <v>3871</v>
      </c>
      <c r="B48" t="s">
        <v>1043</v>
      </c>
      <c r="C48">
        <v>2027</v>
      </c>
      <c r="D48" t="s">
        <v>706</v>
      </c>
      <c r="E48" t="s">
        <v>820</v>
      </c>
      <c r="F48" s="32">
        <v>46318</v>
      </c>
      <c r="G48" t="s">
        <v>585</v>
      </c>
      <c r="H48">
        <v>22182428</v>
      </c>
      <c r="I48" t="s">
        <v>31</v>
      </c>
      <c r="J48" t="s">
        <v>32</v>
      </c>
      <c r="K48" t="s">
        <v>530</v>
      </c>
      <c r="L48" t="s">
        <v>31</v>
      </c>
      <c r="M48" t="s">
        <v>235</v>
      </c>
      <c r="N48">
        <v>6</v>
      </c>
      <c r="O48">
        <v>6</v>
      </c>
      <c r="P48" t="str">
        <f t="shared" si="0"/>
        <v>N</v>
      </c>
      <c r="Q48" t="s">
        <v>5781</v>
      </c>
    </row>
    <row r="49" spans="1:17" x14ac:dyDescent="0.25">
      <c r="A49" t="s">
        <v>4022</v>
      </c>
      <c r="B49" t="s">
        <v>1489</v>
      </c>
      <c r="C49">
        <v>2027</v>
      </c>
      <c r="D49" t="s">
        <v>706</v>
      </c>
      <c r="E49" t="s">
        <v>820</v>
      </c>
      <c r="F49" s="32">
        <v>46318</v>
      </c>
      <c r="G49" t="s">
        <v>514</v>
      </c>
      <c r="H49">
        <v>47129473</v>
      </c>
      <c r="I49" t="s">
        <v>1430</v>
      </c>
      <c r="J49" t="s">
        <v>1429</v>
      </c>
      <c r="K49" t="s">
        <v>530</v>
      </c>
      <c r="N49">
        <v>0</v>
      </c>
      <c r="O49">
        <v>0</v>
      </c>
      <c r="P49" t="str">
        <f t="shared" si="0"/>
        <v>N</v>
      </c>
      <c r="Q49" t="s">
        <v>5782</v>
      </c>
    </row>
    <row r="50" spans="1:17" x14ac:dyDescent="0.25">
      <c r="A50" t="s">
        <v>4023</v>
      </c>
      <c r="B50" t="s">
        <v>1489</v>
      </c>
      <c r="C50">
        <v>2027</v>
      </c>
      <c r="D50" t="s">
        <v>706</v>
      </c>
      <c r="E50" t="s">
        <v>820</v>
      </c>
      <c r="F50" s="32">
        <v>46318</v>
      </c>
      <c r="G50" t="s">
        <v>585</v>
      </c>
      <c r="H50">
        <v>22182428</v>
      </c>
      <c r="I50" t="s">
        <v>31</v>
      </c>
      <c r="J50" t="s">
        <v>32</v>
      </c>
      <c r="K50" t="s">
        <v>530</v>
      </c>
      <c r="L50" t="s">
        <v>31</v>
      </c>
      <c r="M50" t="s">
        <v>235</v>
      </c>
      <c r="N50">
        <v>6</v>
      </c>
      <c r="O50">
        <v>6</v>
      </c>
      <c r="P50" t="str">
        <f t="shared" si="0"/>
        <v>N</v>
      </c>
      <c r="Q50" t="s">
        <v>5783</v>
      </c>
    </row>
    <row r="51" spans="1:17" x14ac:dyDescent="0.25">
      <c r="A51" t="s">
        <v>4024</v>
      </c>
      <c r="B51" t="s">
        <v>1489</v>
      </c>
      <c r="C51">
        <v>2027</v>
      </c>
      <c r="D51" t="s">
        <v>706</v>
      </c>
      <c r="E51" t="s">
        <v>820</v>
      </c>
      <c r="F51" s="32">
        <v>46318</v>
      </c>
      <c r="G51" t="s">
        <v>514</v>
      </c>
      <c r="H51">
        <v>47128787</v>
      </c>
      <c r="I51" t="s">
        <v>1453</v>
      </c>
      <c r="J51" t="s">
        <v>1452</v>
      </c>
      <c r="K51" t="s">
        <v>530</v>
      </c>
      <c r="N51">
        <v>8</v>
      </c>
      <c r="O51">
        <v>8</v>
      </c>
      <c r="P51" t="str">
        <f t="shared" si="0"/>
        <v>N</v>
      </c>
      <c r="Q51" t="s">
        <v>5784</v>
      </c>
    </row>
    <row r="52" spans="1:17" x14ac:dyDescent="0.25">
      <c r="A52" t="s">
        <v>4025</v>
      </c>
      <c r="B52" t="s">
        <v>1489</v>
      </c>
      <c r="C52">
        <v>2027</v>
      </c>
      <c r="D52" t="s">
        <v>706</v>
      </c>
      <c r="E52" t="s">
        <v>820</v>
      </c>
      <c r="F52" s="32">
        <v>46318</v>
      </c>
      <c r="G52" t="s">
        <v>514</v>
      </c>
      <c r="H52">
        <v>47128977</v>
      </c>
      <c r="I52" t="s">
        <v>1449</v>
      </c>
      <c r="J52" t="s">
        <v>1448</v>
      </c>
      <c r="K52" t="s">
        <v>530</v>
      </c>
      <c r="N52">
        <v>0</v>
      </c>
      <c r="O52">
        <v>0</v>
      </c>
      <c r="P52" t="str">
        <f t="shared" si="0"/>
        <v>N</v>
      </c>
      <c r="Q52" t="s">
        <v>5785</v>
      </c>
    </row>
    <row r="53" spans="1:17" x14ac:dyDescent="0.25">
      <c r="A53" t="s">
        <v>4125</v>
      </c>
      <c r="B53" t="s">
        <v>916</v>
      </c>
      <c r="C53">
        <v>2027</v>
      </c>
      <c r="D53" t="s">
        <v>706</v>
      </c>
      <c r="E53" t="s">
        <v>820</v>
      </c>
      <c r="F53" s="32">
        <v>46318</v>
      </c>
      <c r="G53" t="s">
        <v>514</v>
      </c>
      <c r="H53">
        <v>47128570</v>
      </c>
      <c r="I53" t="s">
        <v>1491</v>
      </c>
      <c r="J53" t="s">
        <v>1490</v>
      </c>
      <c r="K53" t="s">
        <v>530</v>
      </c>
      <c r="N53">
        <v>0</v>
      </c>
      <c r="O53">
        <v>0</v>
      </c>
      <c r="P53" t="str">
        <f t="shared" si="0"/>
        <v>N</v>
      </c>
      <c r="Q53" t="s">
        <v>5786</v>
      </c>
    </row>
    <row r="54" spans="1:17" x14ac:dyDescent="0.25">
      <c r="A54" t="s">
        <v>4126</v>
      </c>
      <c r="B54" t="s">
        <v>916</v>
      </c>
      <c r="C54">
        <v>2027</v>
      </c>
      <c r="D54" t="s">
        <v>706</v>
      </c>
      <c r="E54" t="s">
        <v>820</v>
      </c>
      <c r="F54" s="32">
        <v>46318</v>
      </c>
      <c r="G54" t="s">
        <v>514</v>
      </c>
      <c r="H54">
        <v>47129548</v>
      </c>
      <c r="I54" t="s">
        <v>1340</v>
      </c>
      <c r="J54" t="s">
        <v>1339</v>
      </c>
      <c r="K54" t="s">
        <v>530</v>
      </c>
      <c r="N54">
        <v>40</v>
      </c>
      <c r="O54">
        <v>40</v>
      </c>
      <c r="P54" t="str">
        <f t="shared" si="0"/>
        <v>N</v>
      </c>
      <c r="Q54" t="s">
        <v>5787</v>
      </c>
    </row>
    <row r="55" spans="1:17" x14ac:dyDescent="0.25">
      <c r="A55" t="s">
        <v>4127</v>
      </c>
      <c r="B55" t="s">
        <v>916</v>
      </c>
      <c r="C55">
        <v>2027</v>
      </c>
      <c r="D55" t="s">
        <v>706</v>
      </c>
      <c r="E55" t="s">
        <v>820</v>
      </c>
      <c r="F55" s="32">
        <v>46318</v>
      </c>
      <c r="G55" t="s">
        <v>585</v>
      </c>
      <c r="H55">
        <v>22182428</v>
      </c>
      <c r="I55" t="s">
        <v>31</v>
      </c>
      <c r="J55" t="s">
        <v>32</v>
      </c>
      <c r="K55" t="s">
        <v>530</v>
      </c>
      <c r="L55" t="s">
        <v>31</v>
      </c>
      <c r="M55" t="s">
        <v>235</v>
      </c>
      <c r="N55">
        <v>6</v>
      </c>
      <c r="O55">
        <v>6</v>
      </c>
      <c r="P55" t="str">
        <f t="shared" si="0"/>
        <v>N</v>
      </c>
      <c r="Q55" t="s">
        <v>5788</v>
      </c>
    </row>
    <row r="56" spans="1:17" x14ac:dyDescent="0.25">
      <c r="A56" t="s">
        <v>4452</v>
      </c>
      <c r="B56" t="s">
        <v>4445</v>
      </c>
      <c r="C56">
        <v>2027</v>
      </c>
      <c r="D56" t="s">
        <v>706</v>
      </c>
      <c r="E56" t="s">
        <v>820</v>
      </c>
      <c r="F56" s="32">
        <v>46318</v>
      </c>
      <c r="G56" t="s">
        <v>514</v>
      </c>
      <c r="H56">
        <v>47129711</v>
      </c>
      <c r="I56" t="s">
        <v>4446</v>
      </c>
      <c r="J56" t="s">
        <v>4447</v>
      </c>
      <c r="K56" t="s">
        <v>530</v>
      </c>
      <c r="N56">
        <v>40</v>
      </c>
      <c r="O56">
        <v>40</v>
      </c>
      <c r="P56" t="str">
        <f t="shared" si="0"/>
        <v>N</v>
      </c>
      <c r="Q56" t="s">
        <v>5789</v>
      </c>
    </row>
    <row r="57" spans="1:17" x14ac:dyDescent="0.25">
      <c r="A57" t="s">
        <v>4453</v>
      </c>
      <c r="B57" t="s">
        <v>4445</v>
      </c>
      <c r="C57">
        <v>2027</v>
      </c>
      <c r="D57" t="s">
        <v>706</v>
      </c>
      <c r="E57" t="s">
        <v>820</v>
      </c>
      <c r="F57" s="32">
        <v>46318</v>
      </c>
      <c r="G57" t="s">
        <v>514</v>
      </c>
      <c r="H57">
        <v>47129228</v>
      </c>
      <c r="I57" t="s">
        <v>4449</v>
      </c>
      <c r="J57" t="s">
        <v>4450</v>
      </c>
      <c r="K57" t="s">
        <v>530</v>
      </c>
      <c r="N57">
        <v>0</v>
      </c>
      <c r="O57">
        <v>0</v>
      </c>
      <c r="P57" t="str">
        <f t="shared" si="0"/>
        <v>N</v>
      </c>
      <c r="Q57" t="s">
        <v>5790</v>
      </c>
    </row>
    <row r="58" spans="1:17" x14ac:dyDescent="0.25">
      <c r="A58" t="s">
        <v>4506</v>
      </c>
      <c r="B58" t="s">
        <v>1044</v>
      </c>
      <c r="C58">
        <v>2027</v>
      </c>
      <c r="D58" t="s">
        <v>706</v>
      </c>
      <c r="E58" t="s">
        <v>820</v>
      </c>
      <c r="F58" s="32">
        <v>46318</v>
      </c>
      <c r="G58" t="s">
        <v>514</v>
      </c>
      <c r="H58">
        <v>47148664</v>
      </c>
      <c r="I58" t="s">
        <v>1479</v>
      </c>
      <c r="J58" t="s">
        <v>1478</v>
      </c>
      <c r="K58" t="s">
        <v>530</v>
      </c>
      <c r="N58">
        <v>20</v>
      </c>
      <c r="O58">
        <v>20</v>
      </c>
      <c r="P58" t="str">
        <f t="shared" si="0"/>
        <v>N</v>
      </c>
      <c r="Q58" t="s">
        <v>5791</v>
      </c>
    </row>
    <row r="59" spans="1:17" x14ac:dyDescent="0.25">
      <c r="A59" t="s">
        <v>4507</v>
      </c>
      <c r="B59" t="s">
        <v>1044</v>
      </c>
      <c r="C59">
        <v>2027</v>
      </c>
      <c r="D59" t="s">
        <v>706</v>
      </c>
      <c r="E59" t="s">
        <v>820</v>
      </c>
      <c r="F59" s="32">
        <v>46318</v>
      </c>
      <c r="G59" t="s">
        <v>514</v>
      </c>
      <c r="H59">
        <v>47129020</v>
      </c>
      <c r="I59" t="s">
        <v>1058</v>
      </c>
      <c r="J59" t="s">
        <v>1057</v>
      </c>
      <c r="K59" t="s">
        <v>530</v>
      </c>
      <c r="N59">
        <v>0</v>
      </c>
      <c r="O59">
        <v>0</v>
      </c>
      <c r="P59" t="str">
        <f t="shared" si="0"/>
        <v>N</v>
      </c>
      <c r="Q59" t="s">
        <v>5792</v>
      </c>
    </row>
    <row r="60" spans="1:17" x14ac:dyDescent="0.25">
      <c r="A60" t="s">
        <v>4508</v>
      </c>
      <c r="B60" t="s">
        <v>1044</v>
      </c>
      <c r="C60">
        <v>2027</v>
      </c>
      <c r="D60" t="s">
        <v>706</v>
      </c>
      <c r="E60" t="s">
        <v>820</v>
      </c>
      <c r="F60" s="32">
        <v>46318</v>
      </c>
      <c r="G60" t="s">
        <v>514</v>
      </c>
      <c r="H60">
        <v>47129473</v>
      </c>
      <c r="I60" t="s">
        <v>1430</v>
      </c>
      <c r="J60" t="s">
        <v>1429</v>
      </c>
      <c r="K60" t="s">
        <v>530</v>
      </c>
      <c r="N60">
        <v>0</v>
      </c>
      <c r="O60">
        <v>0</v>
      </c>
      <c r="P60" t="str">
        <f t="shared" si="0"/>
        <v>N</v>
      </c>
      <c r="Q60" t="s">
        <v>5793</v>
      </c>
    </row>
    <row r="61" spans="1:17" x14ac:dyDescent="0.25">
      <c r="A61" t="s">
        <v>4509</v>
      </c>
      <c r="B61" t="s">
        <v>1044</v>
      </c>
      <c r="C61">
        <v>2027</v>
      </c>
      <c r="D61" t="s">
        <v>706</v>
      </c>
      <c r="E61" t="s">
        <v>820</v>
      </c>
      <c r="F61" s="32">
        <v>46318</v>
      </c>
      <c r="G61" t="s">
        <v>514</v>
      </c>
      <c r="H61">
        <v>47133720</v>
      </c>
      <c r="I61" t="s">
        <v>1217</v>
      </c>
      <c r="J61" t="s">
        <v>1216</v>
      </c>
      <c r="K61" t="s">
        <v>530</v>
      </c>
      <c r="N61">
        <v>0</v>
      </c>
      <c r="O61">
        <v>0</v>
      </c>
      <c r="P61" t="str">
        <f t="shared" si="0"/>
        <v>N</v>
      </c>
      <c r="Q61" t="s">
        <v>5794</v>
      </c>
    </row>
    <row r="62" spans="1:17" x14ac:dyDescent="0.25">
      <c r="A62" t="s">
        <v>5200</v>
      </c>
      <c r="B62" t="s">
        <v>1089</v>
      </c>
      <c r="C62">
        <v>2027</v>
      </c>
      <c r="D62" t="s">
        <v>706</v>
      </c>
      <c r="E62" t="s">
        <v>820</v>
      </c>
      <c r="F62" s="32">
        <v>46318</v>
      </c>
      <c r="G62" t="s">
        <v>514</v>
      </c>
      <c r="H62">
        <v>47129548</v>
      </c>
      <c r="I62" t="s">
        <v>1340</v>
      </c>
      <c r="J62" t="s">
        <v>1339</v>
      </c>
      <c r="K62" t="s">
        <v>530</v>
      </c>
      <c r="N62">
        <v>40</v>
      </c>
      <c r="O62">
        <v>40</v>
      </c>
      <c r="P62" t="str">
        <f t="shared" si="0"/>
        <v>N</v>
      </c>
      <c r="Q62" t="s">
        <v>5795</v>
      </c>
    </row>
    <row r="63" spans="1:17" x14ac:dyDescent="0.25">
      <c r="A63" t="s">
        <v>5441</v>
      </c>
      <c r="B63" t="s">
        <v>5437</v>
      </c>
      <c r="C63">
        <v>2027</v>
      </c>
      <c r="D63" t="s">
        <v>706</v>
      </c>
      <c r="E63" t="s">
        <v>820</v>
      </c>
      <c r="F63" s="32">
        <v>46318</v>
      </c>
      <c r="G63" t="s">
        <v>514</v>
      </c>
      <c r="H63">
        <v>47148664</v>
      </c>
      <c r="I63" t="s">
        <v>1479</v>
      </c>
      <c r="J63" t="s">
        <v>1478</v>
      </c>
      <c r="K63" t="s">
        <v>530</v>
      </c>
      <c r="N63">
        <v>20</v>
      </c>
      <c r="O63">
        <v>20</v>
      </c>
      <c r="P63" t="str">
        <f t="shared" si="0"/>
        <v>N</v>
      </c>
      <c r="Q63" t="s">
        <v>5796</v>
      </c>
    </row>
    <row r="64" spans="1:17" x14ac:dyDescent="0.25">
      <c r="A64" t="s">
        <v>5442</v>
      </c>
      <c r="B64" t="s">
        <v>5437</v>
      </c>
      <c r="C64">
        <v>2027</v>
      </c>
      <c r="D64" t="s">
        <v>706</v>
      </c>
      <c r="E64" t="s">
        <v>820</v>
      </c>
      <c r="F64" s="32">
        <v>46318</v>
      </c>
      <c r="G64" t="s">
        <v>514</v>
      </c>
      <c r="H64">
        <v>47129020</v>
      </c>
      <c r="I64" t="s">
        <v>1058</v>
      </c>
      <c r="J64" t="s">
        <v>1057</v>
      </c>
      <c r="K64" t="s">
        <v>530</v>
      </c>
      <c r="N64">
        <v>0</v>
      </c>
      <c r="O64">
        <v>0</v>
      </c>
      <c r="P64" t="str">
        <f t="shared" si="0"/>
        <v>N</v>
      </c>
      <c r="Q64" t="s">
        <v>5797</v>
      </c>
    </row>
    <row r="65" spans="1:17" x14ac:dyDescent="0.25">
      <c r="A65" t="s">
        <v>5443</v>
      </c>
      <c r="B65" t="s">
        <v>5437</v>
      </c>
      <c r="C65">
        <v>2027</v>
      </c>
      <c r="D65" t="s">
        <v>706</v>
      </c>
      <c r="E65" t="s">
        <v>820</v>
      </c>
      <c r="F65" s="32">
        <v>46318</v>
      </c>
      <c r="G65" t="s">
        <v>514</v>
      </c>
      <c r="H65">
        <v>47129473</v>
      </c>
      <c r="I65" t="s">
        <v>1430</v>
      </c>
      <c r="J65" t="s">
        <v>1429</v>
      </c>
      <c r="K65" t="s">
        <v>530</v>
      </c>
      <c r="N65">
        <v>0</v>
      </c>
      <c r="O65">
        <v>0</v>
      </c>
      <c r="P65" t="str">
        <f t="shared" si="0"/>
        <v>N</v>
      </c>
      <c r="Q65" t="s">
        <v>5798</v>
      </c>
    </row>
    <row r="66" spans="1:17" x14ac:dyDescent="0.25">
      <c r="A66" t="s">
        <v>1687</v>
      </c>
      <c r="B66" t="s">
        <v>1135</v>
      </c>
      <c r="C66">
        <v>2027</v>
      </c>
      <c r="D66" t="s">
        <v>708</v>
      </c>
      <c r="E66" t="s">
        <v>821</v>
      </c>
      <c r="F66" s="32">
        <v>46325</v>
      </c>
      <c r="G66" t="s">
        <v>514</v>
      </c>
      <c r="H66">
        <v>47128570</v>
      </c>
      <c r="I66" t="s">
        <v>1491</v>
      </c>
      <c r="J66" t="s">
        <v>1490</v>
      </c>
      <c r="K66" t="s">
        <v>530</v>
      </c>
      <c r="N66">
        <v>0</v>
      </c>
      <c r="O66">
        <v>0</v>
      </c>
      <c r="P66" t="str">
        <f t="shared" si="0"/>
        <v>N</v>
      </c>
      <c r="Q66" t="s">
        <v>918</v>
      </c>
    </row>
    <row r="67" spans="1:17" x14ac:dyDescent="0.25">
      <c r="A67" t="s">
        <v>3093</v>
      </c>
      <c r="B67" t="s">
        <v>1080</v>
      </c>
      <c r="C67">
        <v>2027</v>
      </c>
      <c r="D67" t="s">
        <v>708</v>
      </c>
      <c r="E67" t="s">
        <v>821</v>
      </c>
      <c r="F67" s="32">
        <v>46325</v>
      </c>
      <c r="G67" t="s">
        <v>514</v>
      </c>
      <c r="H67">
        <v>47128787</v>
      </c>
      <c r="I67" t="s">
        <v>1453</v>
      </c>
      <c r="J67" t="s">
        <v>1452</v>
      </c>
      <c r="K67" t="s">
        <v>530</v>
      </c>
      <c r="N67">
        <v>23</v>
      </c>
      <c r="O67">
        <v>23</v>
      </c>
      <c r="P67" t="str">
        <f t="shared" ref="P67:P130" si="1">IF(N67=O67,"N","Y")</f>
        <v>N</v>
      </c>
      <c r="Q67" t="s">
        <v>5799</v>
      </c>
    </row>
    <row r="68" spans="1:17" x14ac:dyDescent="0.25">
      <c r="A68" t="s">
        <v>3094</v>
      </c>
      <c r="B68" t="s">
        <v>1080</v>
      </c>
      <c r="C68">
        <v>2027</v>
      </c>
      <c r="D68" t="s">
        <v>708</v>
      </c>
      <c r="E68" t="s">
        <v>821</v>
      </c>
      <c r="F68" s="32">
        <v>46325</v>
      </c>
      <c r="G68" t="s">
        <v>514</v>
      </c>
      <c r="H68">
        <v>47128977</v>
      </c>
      <c r="I68" t="s">
        <v>1449</v>
      </c>
      <c r="J68" t="s">
        <v>1448</v>
      </c>
      <c r="K68" t="s">
        <v>530</v>
      </c>
      <c r="N68">
        <v>0</v>
      </c>
      <c r="O68">
        <v>0</v>
      </c>
      <c r="P68" t="str">
        <f t="shared" si="1"/>
        <v>N</v>
      </c>
      <c r="Q68" t="s">
        <v>5800</v>
      </c>
    </row>
    <row r="69" spans="1:17" x14ac:dyDescent="0.25">
      <c r="A69" t="s">
        <v>4026</v>
      </c>
      <c r="B69" t="s">
        <v>1489</v>
      </c>
      <c r="C69">
        <v>2027</v>
      </c>
      <c r="D69" t="s">
        <v>708</v>
      </c>
      <c r="E69" t="s">
        <v>821</v>
      </c>
      <c r="F69" s="32">
        <v>46325</v>
      </c>
      <c r="G69" t="s">
        <v>514</v>
      </c>
      <c r="H69">
        <v>47129473</v>
      </c>
      <c r="I69" t="s">
        <v>1430</v>
      </c>
      <c r="J69" t="s">
        <v>1429</v>
      </c>
      <c r="K69" t="s">
        <v>530</v>
      </c>
      <c r="N69">
        <v>0</v>
      </c>
      <c r="O69">
        <v>0</v>
      </c>
      <c r="P69" t="str">
        <f t="shared" si="1"/>
        <v>N</v>
      </c>
      <c r="Q69" t="s">
        <v>5801</v>
      </c>
    </row>
    <row r="70" spans="1:17" x14ac:dyDescent="0.25">
      <c r="A70" t="s">
        <v>4027</v>
      </c>
      <c r="B70" t="s">
        <v>1489</v>
      </c>
      <c r="C70">
        <v>2027</v>
      </c>
      <c r="D70" t="s">
        <v>708</v>
      </c>
      <c r="E70" t="s">
        <v>821</v>
      </c>
      <c r="F70" s="32">
        <v>46325</v>
      </c>
      <c r="G70" t="s">
        <v>514</v>
      </c>
      <c r="H70">
        <v>47128787</v>
      </c>
      <c r="I70" t="s">
        <v>1453</v>
      </c>
      <c r="J70" t="s">
        <v>1452</v>
      </c>
      <c r="K70" t="s">
        <v>530</v>
      </c>
      <c r="N70">
        <v>9</v>
      </c>
      <c r="O70">
        <v>9</v>
      </c>
      <c r="P70" t="str">
        <f t="shared" si="1"/>
        <v>N</v>
      </c>
      <c r="Q70" t="s">
        <v>5802</v>
      </c>
    </row>
    <row r="71" spans="1:17" x14ac:dyDescent="0.25">
      <c r="A71" t="s">
        <v>4028</v>
      </c>
      <c r="B71" t="s">
        <v>1489</v>
      </c>
      <c r="C71">
        <v>2027</v>
      </c>
      <c r="D71" t="s">
        <v>708</v>
      </c>
      <c r="E71" t="s">
        <v>821</v>
      </c>
      <c r="F71" s="32">
        <v>46325</v>
      </c>
      <c r="G71" t="s">
        <v>514</v>
      </c>
      <c r="H71">
        <v>47128977</v>
      </c>
      <c r="I71" t="s">
        <v>1449</v>
      </c>
      <c r="J71" t="s">
        <v>1448</v>
      </c>
      <c r="K71" t="s">
        <v>530</v>
      </c>
      <c r="N71">
        <v>0</v>
      </c>
      <c r="O71">
        <v>0</v>
      </c>
      <c r="P71" t="str">
        <f t="shared" si="1"/>
        <v>N</v>
      </c>
      <c r="Q71" t="s">
        <v>5803</v>
      </c>
    </row>
    <row r="72" spans="1:17" x14ac:dyDescent="0.25">
      <c r="A72" t="s">
        <v>4128</v>
      </c>
      <c r="B72" t="s">
        <v>916</v>
      </c>
      <c r="C72">
        <v>2027</v>
      </c>
      <c r="D72" t="s">
        <v>708</v>
      </c>
      <c r="E72" t="s">
        <v>821</v>
      </c>
      <c r="F72" s="32">
        <v>46325</v>
      </c>
      <c r="G72" t="s">
        <v>514</v>
      </c>
      <c r="H72">
        <v>47128570</v>
      </c>
      <c r="I72" t="s">
        <v>1491</v>
      </c>
      <c r="J72" t="s">
        <v>1490</v>
      </c>
      <c r="K72" t="s">
        <v>530</v>
      </c>
      <c r="N72">
        <v>0</v>
      </c>
      <c r="O72">
        <v>0</v>
      </c>
      <c r="P72" t="str">
        <f t="shared" si="1"/>
        <v>N</v>
      </c>
      <c r="Q72" t="s">
        <v>5804</v>
      </c>
    </row>
    <row r="73" spans="1:17" x14ac:dyDescent="0.25">
      <c r="A73" t="s">
        <v>4129</v>
      </c>
      <c r="B73" t="s">
        <v>916</v>
      </c>
      <c r="C73">
        <v>2027</v>
      </c>
      <c r="D73" t="s">
        <v>708</v>
      </c>
      <c r="E73" t="s">
        <v>821</v>
      </c>
      <c r="F73" s="32">
        <v>46325</v>
      </c>
      <c r="G73" t="s">
        <v>514</v>
      </c>
      <c r="H73">
        <v>47129548</v>
      </c>
      <c r="I73" t="s">
        <v>1340</v>
      </c>
      <c r="J73" t="s">
        <v>1339</v>
      </c>
      <c r="K73" t="s">
        <v>530</v>
      </c>
      <c r="N73">
        <v>40</v>
      </c>
      <c r="O73">
        <v>40</v>
      </c>
      <c r="P73" t="str">
        <f t="shared" si="1"/>
        <v>N</v>
      </c>
      <c r="Q73" t="s">
        <v>5805</v>
      </c>
    </row>
    <row r="74" spans="1:17" x14ac:dyDescent="0.25">
      <c r="A74" t="s">
        <v>4454</v>
      </c>
      <c r="B74" t="s">
        <v>4445</v>
      </c>
      <c r="C74">
        <v>2027</v>
      </c>
      <c r="D74" t="s">
        <v>708</v>
      </c>
      <c r="E74" t="s">
        <v>821</v>
      </c>
      <c r="F74" s="32">
        <v>46325</v>
      </c>
      <c r="G74" t="s">
        <v>514</v>
      </c>
      <c r="H74">
        <v>47129711</v>
      </c>
      <c r="I74" t="s">
        <v>4446</v>
      </c>
      <c r="J74" t="s">
        <v>4447</v>
      </c>
      <c r="K74" t="s">
        <v>530</v>
      </c>
      <c r="N74">
        <v>40</v>
      </c>
      <c r="O74">
        <v>40</v>
      </c>
      <c r="P74" t="str">
        <f t="shared" si="1"/>
        <v>N</v>
      </c>
      <c r="Q74" t="s">
        <v>5806</v>
      </c>
    </row>
    <row r="75" spans="1:17" x14ac:dyDescent="0.25">
      <c r="A75" t="s">
        <v>4455</v>
      </c>
      <c r="B75" t="s">
        <v>4445</v>
      </c>
      <c r="C75">
        <v>2027</v>
      </c>
      <c r="D75" t="s">
        <v>708</v>
      </c>
      <c r="E75" t="s">
        <v>821</v>
      </c>
      <c r="F75" s="32">
        <v>46325</v>
      </c>
      <c r="G75" t="s">
        <v>514</v>
      </c>
      <c r="H75">
        <v>47129228</v>
      </c>
      <c r="I75" t="s">
        <v>4449</v>
      </c>
      <c r="J75" t="s">
        <v>4450</v>
      </c>
      <c r="K75" t="s">
        <v>530</v>
      </c>
      <c r="N75">
        <v>0</v>
      </c>
      <c r="O75">
        <v>0</v>
      </c>
      <c r="P75" t="str">
        <f t="shared" si="1"/>
        <v>N</v>
      </c>
      <c r="Q75" t="s">
        <v>5807</v>
      </c>
    </row>
    <row r="76" spans="1:17" x14ac:dyDescent="0.25">
      <c r="A76" t="s">
        <v>4510</v>
      </c>
      <c r="B76" t="s">
        <v>1044</v>
      </c>
      <c r="C76">
        <v>2027</v>
      </c>
      <c r="D76" t="s">
        <v>708</v>
      </c>
      <c r="E76" t="s">
        <v>821</v>
      </c>
      <c r="F76" s="32">
        <v>46325</v>
      </c>
      <c r="G76" t="s">
        <v>514</v>
      </c>
      <c r="H76">
        <v>47148664</v>
      </c>
      <c r="I76" t="s">
        <v>1479</v>
      </c>
      <c r="J76" t="s">
        <v>1478</v>
      </c>
      <c r="K76" t="s">
        <v>530</v>
      </c>
      <c r="N76">
        <v>40</v>
      </c>
      <c r="O76">
        <v>40</v>
      </c>
      <c r="P76" t="str">
        <f t="shared" si="1"/>
        <v>N</v>
      </c>
      <c r="Q76" t="s">
        <v>5808</v>
      </c>
    </row>
    <row r="77" spans="1:17" x14ac:dyDescent="0.25">
      <c r="A77" t="s">
        <v>4511</v>
      </c>
      <c r="B77" t="s">
        <v>1044</v>
      </c>
      <c r="C77">
        <v>2027</v>
      </c>
      <c r="D77" t="s">
        <v>708</v>
      </c>
      <c r="E77" t="s">
        <v>821</v>
      </c>
      <c r="F77" s="32">
        <v>46325</v>
      </c>
      <c r="G77" t="s">
        <v>514</v>
      </c>
      <c r="H77">
        <v>47129020</v>
      </c>
      <c r="I77" t="s">
        <v>1058</v>
      </c>
      <c r="J77" t="s">
        <v>1057</v>
      </c>
      <c r="K77" t="s">
        <v>530</v>
      </c>
      <c r="N77">
        <v>0</v>
      </c>
      <c r="O77">
        <v>0</v>
      </c>
      <c r="P77" t="str">
        <f t="shared" si="1"/>
        <v>N</v>
      </c>
      <c r="Q77" t="s">
        <v>5809</v>
      </c>
    </row>
    <row r="78" spans="1:17" x14ac:dyDescent="0.25">
      <c r="A78" t="s">
        <v>4512</v>
      </c>
      <c r="B78" t="s">
        <v>1044</v>
      </c>
      <c r="C78">
        <v>2027</v>
      </c>
      <c r="D78" t="s">
        <v>708</v>
      </c>
      <c r="E78" t="s">
        <v>821</v>
      </c>
      <c r="F78" s="32">
        <v>46325</v>
      </c>
      <c r="G78" t="s">
        <v>514</v>
      </c>
      <c r="H78">
        <v>47129473</v>
      </c>
      <c r="I78" t="s">
        <v>1430</v>
      </c>
      <c r="J78" t="s">
        <v>1429</v>
      </c>
      <c r="K78" t="s">
        <v>530</v>
      </c>
      <c r="N78">
        <v>0</v>
      </c>
      <c r="O78">
        <v>0</v>
      </c>
      <c r="P78" t="str">
        <f t="shared" si="1"/>
        <v>N</v>
      </c>
      <c r="Q78" t="s">
        <v>5810</v>
      </c>
    </row>
    <row r="79" spans="1:17" x14ac:dyDescent="0.25">
      <c r="A79" t="s">
        <v>4513</v>
      </c>
      <c r="B79" t="s">
        <v>1044</v>
      </c>
      <c r="C79">
        <v>2027</v>
      </c>
      <c r="D79" t="s">
        <v>708</v>
      </c>
      <c r="E79" t="s">
        <v>821</v>
      </c>
      <c r="F79" s="32">
        <v>46325</v>
      </c>
      <c r="G79" t="s">
        <v>514</v>
      </c>
      <c r="H79">
        <v>47133720</v>
      </c>
      <c r="I79" t="s">
        <v>1217</v>
      </c>
      <c r="J79" t="s">
        <v>1216</v>
      </c>
      <c r="K79" t="s">
        <v>530</v>
      </c>
      <c r="N79">
        <v>0</v>
      </c>
      <c r="O79">
        <v>0</v>
      </c>
      <c r="P79" t="str">
        <f t="shared" si="1"/>
        <v>N</v>
      </c>
      <c r="Q79" t="s">
        <v>5811</v>
      </c>
    </row>
    <row r="80" spans="1:17" x14ac:dyDescent="0.25">
      <c r="A80" t="s">
        <v>5201</v>
      </c>
      <c r="B80" t="s">
        <v>1089</v>
      </c>
      <c r="C80">
        <v>2027</v>
      </c>
      <c r="D80" t="s">
        <v>708</v>
      </c>
      <c r="E80" t="s">
        <v>821</v>
      </c>
      <c r="F80" s="32">
        <v>46325</v>
      </c>
      <c r="G80" t="s">
        <v>514</v>
      </c>
      <c r="H80">
        <v>47129548</v>
      </c>
      <c r="I80" t="s">
        <v>1340</v>
      </c>
      <c r="J80" t="s">
        <v>1339</v>
      </c>
      <c r="K80" t="s">
        <v>530</v>
      </c>
      <c r="N80">
        <v>40</v>
      </c>
      <c r="O80">
        <v>40</v>
      </c>
      <c r="P80" t="str">
        <f t="shared" si="1"/>
        <v>N</v>
      </c>
      <c r="Q80" t="s">
        <v>5812</v>
      </c>
    </row>
    <row r="81" spans="1:17" x14ac:dyDescent="0.25">
      <c r="A81" t="s">
        <v>5444</v>
      </c>
      <c r="B81" t="s">
        <v>5437</v>
      </c>
      <c r="C81">
        <v>2027</v>
      </c>
      <c r="D81" t="s">
        <v>708</v>
      </c>
      <c r="E81" t="s">
        <v>821</v>
      </c>
      <c r="F81" s="32">
        <v>46325</v>
      </c>
      <c r="G81" t="s">
        <v>514</v>
      </c>
      <c r="H81">
        <v>47148664</v>
      </c>
      <c r="I81" t="s">
        <v>1479</v>
      </c>
      <c r="J81" t="s">
        <v>1478</v>
      </c>
      <c r="K81" t="s">
        <v>530</v>
      </c>
      <c r="N81">
        <v>40</v>
      </c>
      <c r="O81">
        <v>40</v>
      </c>
      <c r="P81" t="str">
        <f t="shared" si="1"/>
        <v>N</v>
      </c>
      <c r="Q81" t="s">
        <v>5813</v>
      </c>
    </row>
    <row r="82" spans="1:17" x14ac:dyDescent="0.25">
      <c r="A82" t="s">
        <v>5445</v>
      </c>
      <c r="B82" t="s">
        <v>5437</v>
      </c>
      <c r="C82">
        <v>2027</v>
      </c>
      <c r="D82" t="s">
        <v>708</v>
      </c>
      <c r="E82" t="s">
        <v>821</v>
      </c>
      <c r="F82" s="32">
        <v>46325</v>
      </c>
      <c r="G82" t="s">
        <v>514</v>
      </c>
      <c r="H82">
        <v>47129020</v>
      </c>
      <c r="I82" t="s">
        <v>1058</v>
      </c>
      <c r="J82" t="s">
        <v>1057</v>
      </c>
      <c r="K82" t="s">
        <v>530</v>
      </c>
      <c r="N82">
        <v>0</v>
      </c>
      <c r="O82">
        <v>0</v>
      </c>
      <c r="P82" t="str">
        <f t="shared" si="1"/>
        <v>N</v>
      </c>
      <c r="Q82" t="s">
        <v>5814</v>
      </c>
    </row>
    <row r="83" spans="1:17" x14ac:dyDescent="0.25">
      <c r="A83" t="s">
        <v>5446</v>
      </c>
      <c r="B83" t="s">
        <v>5437</v>
      </c>
      <c r="C83">
        <v>2027</v>
      </c>
      <c r="D83" t="s">
        <v>708</v>
      </c>
      <c r="E83" t="s">
        <v>821</v>
      </c>
      <c r="F83" s="32">
        <v>46325</v>
      </c>
      <c r="G83" t="s">
        <v>514</v>
      </c>
      <c r="H83">
        <v>47129473</v>
      </c>
      <c r="I83" t="s">
        <v>1430</v>
      </c>
      <c r="J83" t="s">
        <v>1429</v>
      </c>
      <c r="K83" t="s">
        <v>530</v>
      </c>
      <c r="N83">
        <v>0</v>
      </c>
      <c r="O83">
        <v>0</v>
      </c>
      <c r="P83" t="str">
        <f t="shared" si="1"/>
        <v>N</v>
      </c>
      <c r="Q83" t="s">
        <v>5815</v>
      </c>
    </row>
    <row r="84" spans="1:17" x14ac:dyDescent="0.25">
      <c r="A84" t="s">
        <v>1688</v>
      </c>
      <c r="B84" t="s">
        <v>1135</v>
      </c>
      <c r="C84">
        <v>2027</v>
      </c>
      <c r="D84" t="s">
        <v>710</v>
      </c>
      <c r="E84" t="s">
        <v>822</v>
      </c>
      <c r="F84" s="32">
        <v>46332</v>
      </c>
      <c r="G84" t="s">
        <v>514</v>
      </c>
      <c r="H84">
        <v>47128570</v>
      </c>
      <c r="I84" t="s">
        <v>1491</v>
      </c>
      <c r="J84" t="s">
        <v>1490</v>
      </c>
      <c r="K84" t="s">
        <v>530</v>
      </c>
      <c r="N84">
        <v>0</v>
      </c>
      <c r="O84">
        <v>0</v>
      </c>
      <c r="P84" t="str">
        <f t="shared" si="1"/>
        <v>N</v>
      </c>
      <c r="Q84" t="s">
        <v>919</v>
      </c>
    </row>
    <row r="85" spans="1:17" x14ac:dyDescent="0.25">
      <c r="A85" t="s">
        <v>2346</v>
      </c>
      <c r="B85" t="s">
        <v>2344</v>
      </c>
      <c r="C85">
        <v>2027</v>
      </c>
      <c r="D85" t="s">
        <v>710</v>
      </c>
      <c r="E85" t="s">
        <v>822</v>
      </c>
      <c r="F85" s="32">
        <v>46332</v>
      </c>
      <c r="G85" t="s">
        <v>514</v>
      </c>
      <c r="H85">
        <v>47140037</v>
      </c>
      <c r="I85" t="s">
        <v>2347</v>
      </c>
      <c r="J85" t="s">
        <v>2348</v>
      </c>
      <c r="K85" t="s">
        <v>530</v>
      </c>
      <c r="N85">
        <v>0</v>
      </c>
      <c r="O85">
        <v>0</v>
      </c>
      <c r="P85" t="str">
        <f t="shared" si="1"/>
        <v>N</v>
      </c>
      <c r="Q85" t="s">
        <v>5816</v>
      </c>
    </row>
    <row r="86" spans="1:17" x14ac:dyDescent="0.25">
      <c r="A86" t="s">
        <v>2349</v>
      </c>
      <c r="B86" t="s">
        <v>2344</v>
      </c>
      <c r="C86">
        <v>2027</v>
      </c>
      <c r="D86" t="s">
        <v>710</v>
      </c>
      <c r="E86" t="s">
        <v>822</v>
      </c>
      <c r="F86" s="32">
        <v>46332</v>
      </c>
      <c r="G86" t="s">
        <v>514</v>
      </c>
      <c r="H86">
        <v>47128216</v>
      </c>
      <c r="I86" t="s">
        <v>2350</v>
      </c>
      <c r="J86" t="s">
        <v>2351</v>
      </c>
      <c r="K86" t="s">
        <v>530</v>
      </c>
      <c r="N86">
        <v>40</v>
      </c>
      <c r="O86">
        <v>40</v>
      </c>
      <c r="P86" t="str">
        <f t="shared" si="1"/>
        <v>N</v>
      </c>
      <c r="Q86" t="s">
        <v>5817</v>
      </c>
    </row>
    <row r="87" spans="1:17" x14ac:dyDescent="0.25">
      <c r="A87" t="s">
        <v>2352</v>
      </c>
      <c r="B87" t="s">
        <v>2344</v>
      </c>
      <c r="C87">
        <v>2027</v>
      </c>
      <c r="D87" t="s">
        <v>710</v>
      </c>
      <c r="E87" t="s">
        <v>822</v>
      </c>
      <c r="F87" s="32">
        <v>46332</v>
      </c>
      <c r="G87" t="s">
        <v>514</v>
      </c>
      <c r="H87">
        <v>47128208</v>
      </c>
      <c r="I87" t="s">
        <v>2353</v>
      </c>
      <c r="J87" t="s">
        <v>2354</v>
      </c>
      <c r="K87" t="s">
        <v>530</v>
      </c>
      <c r="N87">
        <v>0</v>
      </c>
      <c r="O87">
        <v>0</v>
      </c>
      <c r="P87" t="str">
        <f t="shared" si="1"/>
        <v>N</v>
      </c>
      <c r="Q87" t="s">
        <v>5818</v>
      </c>
    </row>
    <row r="88" spans="1:17" x14ac:dyDescent="0.25">
      <c r="A88" t="s">
        <v>3095</v>
      </c>
      <c r="B88" t="s">
        <v>1080</v>
      </c>
      <c r="C88">
        <v>2027</v>
      </c>
      <c r="D88" t="s">
        <v>710</v>
      </c>
      <c r="E88" t="s">
        <v>822</v>
      </c>
      <c r="F88" s="32">
        <v>46332</v>
      </c>
      <c r="G88" t="s">
        <v>514</v>
      </c>
      <c r="H88">
        <v>47128787</v>
      </c>
      <c r="I88" t="s">
        <v>1453</v>
      </c>
      <c r="J88" t="s">
        <v>1452</v>
      </c>
      <c r="K88" t="s">
        <v>530</v>
      </c>
      <c r="N88">
        <v>25</v>
      </c>
      <c r="O88">
        <v>25</v>
      </c>
      <c r="P88" t="str">
        <f t="shared" si="1"/>
        <v>N</v>
      </c>
      <c r="Q88" t="s">
        <v>5819</v>
      </c>
    </row>
    <row r="89" spans="1:17" x14ac:dyDescent="0.25">
      <c r="A89" t="s">
        <v>3096</v>
      </c>
      <c r="B89" t="s">
        <v>1080</v>
      </c>
      <c r="C89">
        <v>2027</v>
      </c>
      <c r="D89" t="s">
        <v>710</v>
      </c>
      <c r="E89" t="s">
        <v>822</v>
      </c>
      <c r="F89" s="32">
        <v>46332</v>
      </c>
      <c r="G89" t="s">
        <v>514</v>
      </c>
      <c r="H89">
        <v>47128977</v>
      </c>
      <c r="I89" t="s">
        <v>1449</v>
      </c>
      <c r="J89" t="s">
        <v>1448</v>
      </c>
      <c r="K89" t="s">
        <v>530</v>
      </c>
      <c r="N89">
        <v>0</v>
      </c>
      <c r="O89">
        <v>0</v>
      </c>
      <c r="P89" t="str">
        <f t="shared" si="1"/>
        <v>N</v>
      </c>
      <c r="Q89" t="s">
        <v>5820</v>
      </c>
    </row>
    <row r="90" spans="1:17" x14ac:dyDescent="0.25">
      <c r="A90" t="s">
        <v>3788</v>
      </c>
      <c r="B90" t="s">
        <v>912</v>
      </c>
      <c r="C90">
        <v>2027</v>
      </c>
      <c r="D90" t="s">
        <v>710</v>
      </c>
      <c r="E90" t="s">
        <v>822</v>
      </c>
      <c r="F90" s="32">
        <v>46332</v>
      </c>
      <c r="G90" t="s">
        <v>514</v>
      </c>
      <c r="H90">
        <v>47100498</v>
      </c>
      <c r="I90" t="s">
        <v>3789</v>
      </c>
      <c r="J90" t="s">
        <v>3790</v>
      </c>
      <c r="K90" t="s">
        <v>530</v>
      </c>
      <c r="N90">
        <v>0</v>
      </c>
      <c r="O90">
        <v>0</v>
      </c>
      <c r="P90" t="str">
        <f t="shared" si="1"/>
        <v>N</v>
      </c>
      <c r="Q90" t="s">
        <v>5821</v>
      </c>
    </row>
    <row r="91" spans="1:17" x14ac:dyDescent="0.25">
      <c r="A91" t="s">
        <v>3791</v>
      </c>
      <c r="B91" t="s">
        <v>912</v>
      </c>
      <c r="C91">
        <v>2027</v>
      </c>
      <c r="D91" t="s">
        <v>710</v>
      </c>
      <c r="E91" t="s">
        <v>822</v>
      </c>
      <c r="F91" s="32">
        <v>46332</v>
      </c>
      <c r="G91" t="s">
        <v>514</v>
      </c>
      <c r="H91">
        <v>47140037</v>
      </c>
      <c r="I91" t="s">
        <v>2347</v>
      </c>
      <c r="J91" t="s">
        <v>2348</v>
      </c>
      <c r="K91" t="s">
        <v>530</v>
      </c>
      <c r="N91">
        <v>0</v>
      </c>
      <c r="O91">
        <v>0</v>
      </c>
      <c r="P91" t="str">
        <f t="shared" si="1"/>
        <v>N</v>
      </c>
      <c r="Q91" t="s">
        <v>5822</v>
      </c>
    </row>
    <row r="92" spans="1:17" x14ac:dyDescent="0.25">
      <c r="A92" t="s">
        <v>3792</v>
      </c>
      <c r="B92" t="s">
        <v>912</v>
      </c>
      <c r="C92">
        <v>2027</v>
      </c>
      <c r="D92" t="s">
        <v>710</v>
      </c>
      <c r="E92" t="s">
        <v>822</v>
      </c>
      <c r="F92" s="32">
        <v>46332</v>
      </c>
      <c r="G92" t="s">
        <v>514</v>
      </c>
      <c r="H92">
        <v>47128216</v>
      </c>
      <c r="I92" t="s">
        <v>2350</v>
      </c>
      <c r="J92" t="s">
        <v>2351</v>
      </c>
      <c r="K92" t="s">
        <v>530</v>
      </c>
      <c r="N92">
        <v>40</v>
      </c>
      <c r="O92">
        <v>40</v>
      </c>
      <c r="P92" t="str">
        <f t="shared" si="1"/>
        <v>N</v>
      </c>
      <c r="Q92" t="s">
        <v>5823</v>
      </c>
    </row>
    <row r="93" spans="1:17" x14ac:dyDescent="0.25">
      <c r="A93" t="s">
        <v>3793</v>
      </c>
      <c r="B93" t="s">
        <v>912</v>
      </c>
      <c r="C93">
        <v>2027</v>
      </c>
      <c r="D93" t="s">
        <v>710</v>
      </c>
      <c r="E93" t="s">
        <v>822</v>
      </c>
      <c r="F93" s="32">
        <v>46332</v>
      </c>
      <c r="G93" t="s">
        <v>514</v>
      </c>
      <c r="H93">
        <v>47128208</v>
      </c>
      <c r="I93" t="s">
        <v>2353</v>
      </c>
      <c r="J93" t="s">
        <v>2354</v>
      </c>
      <c r="K93" t="s">
        <v>530</v>
      </c>
      <c r="N93">
        <v>0</v>
      </c>
      <c r="O93">
        <v>0</v>
      </c>
      <c r="P93" t="str">
        <f t="shared" si="1"/>
        <v>N</v>
      </c>
      <c r="Q93" t="s">
        <v>5824</v>
      </c>
    </row>
    <row r="94" spans="1:17" x14ac:dyDescent="0.25">
      <c r="A94" t="s">
        <v>3941</v>
      </c>
      <c r="B94" t="s">
        <v>3939</v>
      </c>
      <c r="C94">
        <v>2027</v>
      </c>
      <c r="D94" t="s">
        <v>710</v>
      </c>
      <c r="E94" t="s">
        <v>822</v>
      </c>
      <c r="F94" s="32">
        <v>46332</v>
      </c>
      <c r="G94" t="s">
        <v>514</v>
      </c>
      <c r="H94">
        <v>47140037</v>
      </c>
      <c r="I94" t="s">
        <v>2347</v>
      </c>
      <c r="J94" t="s">
        <v>2348</v>
      </c>
      <c r="K94" t="s">
        <v>530</v>
      </c>
      <c r="N94">
        <v>0</v>
      </c>
      <c r="O94">
        <v>0</v>
      </c>
      <c r="P94" t="str">
        <f t="shared" si="1"/>
        <v>N</v>
      </c>
      <c r="Q94" t="s">
        <v>5825</v>
      </c>
    </row>
    <row r="95" spans="1:17" x14ac:dyDescent="0.25">
      <c r="A95" t="s">
        <v>3942</v>
      </c>
      <c r="B95" t="s">
        <v>3939</v>
      </c>
      <c r="C95">
        <v>2027</v>
      </c>
      <c r="D95" t="s">
        <v>710</v>
      </c>
      <c r="E95" t="s">
        <v>822</v>
      </c>
      <c r="F95" s="32">
        <v>46332</v>
      </c>
      <c r="G95" t="s">
        <v>514</v>
      </c>
      <c r="H95">
        <v>47128216</v>
      </c>
      <c r="I95" t="s">
        <v>2350</v>
      </c>
      <c r="J95" t="s">
        <v>2351</v>
      </c>
      <c r="K95" t="s">
        <v>530</v>
      </c>
      <c r="N95">
        <v>40</v>
      </c>
      <c r="O95">
        <v>40</v>
      </c>
      <c r="P95" t="str">
        <f t="shared" si="1"/>
        <v>N</v>
      </c>
      <c r="Q95" t="s">
        <v>5826</v>
      </c>
    </row>
    <row r="96" spans="1:17" x14ac:dyDescent="0.25">
      <c r="A96" t="s">
        <v>3943</v>
      </c>
      <c r="B96" t="s">
        <v>3939</v>
      </c>
      <c r="C96">
        <v>2027</v>
      </c>
      <c r="D96" t="s">
        <v>710</v>
      </c>
      <c r="E96" t="s">
        <v>822</v>
      </c>
      <c r="F96" s="32">
        <v>46332</v>
      </c>
      <c r="G96" t="s">
        <v>514</v>
      </c>
      <c r="H96">
        <v>47128208</v>
      </c>
      <c r="I96" t="s">
        <v>2353</v>
      </c>
      <c r="J96" t="s">
        <v>2354</v>
      </c>
      <c r="K96" t="s">
        <v>530</v>
      </c>
      <c r="N96">
        <v>0</v>
      </c>
      <c r="O96">
        <v>0</v>
      </c>
      <c r="P96" t="str">
        <f t="shared" si="1"/>
        <v>N</v>
      </c>
      <c r="Q96" t="s">
        <v>5827</v>
      </c>
    </row>
    <row r="97" spans="1:17" x14ac:dyDescent="0.25">
      <c r="A97" t="s">
        <v>4029</v>
      </c>
      <c r="B97" t="s">
        <v>1489</v>
      </c>
      <c r="C97">
        <v>2027</v>
      </c>
      <c r="D97" t="s">
        <v>710</v>
      </c>
      <c r="E97" t="s">
        <v>822</v>
      </c>
      <c r="F97" s="32">
        <v>46332</v>
      </c>
      <c r="G97" t="s">
        <v>514</v>
      </c>
      <c r="H97">
        <v>47129473</v>
      </c>
      <c r="I97" t="s">
        <v>1430</v>
      </c>
      <c r="J97" t="s">
        <v>1429</v>
      </c>
      <c r="K97" t="s">
        <v>530</v>
      </c>
      <c r="N97">
        <v>0</v>
      </c>
      <c r="O97">
        <v>0</v>
      </c>
      <c r="P97" t="str">
        <f t="shared" si="1"/>
        <v>N</v>
      </c>
      <c r="Q97" t="s">
        <v>5828</v>
      </c>
    </row>
    <row r="98" spans="1:17" x14ac:dyDescent="0.25">
      <c r="A98" t="s">
        <v>4030</v>
      </c>
      <c r="B98" t="s">
        <v>1489</v>
      </c>
      <c r="C98">
        <v>2027</v>
      </c>
      <c r="D98" t="s">
        <v>710</v>
      </c>
      <c r="E98" t="s">
        <v>822</v>
      </c>
      <c r="F98" s="32">
        <v>46332</v>
      </c>
      <c r="G98" t="s">
        <v>514</v>
      </c>
      <c r="H98">
        <v>47128787</v>
      </c>
      <c r="I98" t="s">
        <v>1453</v>
      </c>
      <c r="J98" t="s">
        <v>1452</v>
      </c>
      <c r="K98" t="s">
        <v>530</v>
      </c>
      <c r="N98">
        <v>10</v>
      </c>
      <c r="O98">
        <v>10</v>
      </c>
      <c r="P98" t="str">
        <f t="shared" si="1"/>
        <v>N</v>
      </c>
      <c r="Q98" t="s">
        <v>5829</v>
      </c>
    </row>
    <row r="99" spans="1:17" x14ac:dyDescent="0.25">
      <c r="A99" t="s">
        <v>4031</v>
      </c>
      <c r="B99" t="s">
        <v>1489</v>
      </c>
      <c r="C99">
        <v>2027</v>
      </c>
      <c r="D99" t="s">
        <v>710</v>
      </c>
      <c r="E99" t="s">
        <v>822</v>
      </c>
      <c r="F99" s="32">
        <v>46332</v>
      </c>
      <c r="G99" t="s">
        <v>514</v>
      </c>
      <c r="H99">
        <v>47128977</v>
      </c>
      <c r="I99" t="s">
        <v>1449</v>
      </c>
      <c r="J99" t="s">
        <v>1448</v>
      </c>
      <c r="K99" t="s">
        <v>530</v>
      </c>
      <c r="N99">
        <v>0</v>
      </c>
      <c r="O99">
        <v>0</v>
      </c>
      <c r="P99" t="str">
        <f t="shared" si="1"/>
        <v>N</v>
      </c>
      <c r="Q99" t="s">
        <v>5830</v>
      </c>
    </row>
    <row r="100" spans="1:17" x14ac:dyDescent="0.25">
      <c r="A100" t="s">
        <v>4130</v>
      </c>
      <c r="B100" t="s">
        <v>916</v>
      </c>
      <c r="C100">
        <v>2027</v>
      </c>
      <c r="D100" t="s">
        <v>710</v>
      </c>
      <c r="E100" t="s">
        <v>822</v>
      </c>
      <c r="F100" s="32">
        <v>46332</v>
      </c>
      <c r="G100" t="s">
        <v>514</v>
      </c>
      <c r="H100">
        <v>47128570</v>
      </c>
      <c r="I100" t="s">
        <v>1491</v>
      </c>
      <c r="J100" t="s">
        <v>1490</v>
      </c>
      <c r="K100" t="s">
        <v>530</v>
      </c>
      <c r="N100">
        <v>0</v>
      </c>
      <c r="O100">
        <v>0</v>
      </c>
      <c r="P100" t="str">
        <f t="shared" si="1"/>
        <v>N</v>
      </c>
      <c r="Q100" t="s">
        <v>5831</v>
      </c>
    </row>
    <row r="101" spans="1:17" x14ac:dyDescent="0.25">
      <c r="A101" t="s">
        <v>4131</v>
      </c>
      <c r="B101" t="s">
        <v>916</v>
      </c>
      <c r="C101">
        <v>2027</v>
      </c>
      <c r="D101" t="s">
        <v>710</v>
      </c>
      <c r="E101" t="s">
        <v>822</v>
      </c>
      <c r="F101" s="32">
        <v>46332</v>
      </c>
      <c r="G101" t="s">
        <v>514</v>
      </c>
      <c r="H101">
        <v>47129548</v>
      </c>
      <c r="I101" t="s">
        <v>1340</v>
      </c>
      <c r="J101" t="s">
        <v>1339</v>
      </c>
      <c r="K101" t="s">
        <v>530</v>
      </c>
      <c r="N101">
        <v>40</v>
      </c>
      <c r="O101">
        <v>40</v>
      </c>
      <c r="P101" t="str">
        <f t="shared" si="1"/>
        <v>N</v>
      </c>
      <c r="Q101" t="s">
        <v>5832</v>
      </c>
    </row>
    <row r="102" spans="1:17" x14ac:dyDescent="0.25">
      <c r="A102" t="s">
        <v>4456</v>
      </c>
      <c r="B102" t="s">
        <v>4445</v>
      </c>
      <c r="C102">
        <v>2027</v>
      </c>
      <c r="D102" t="s">
        <v>710</v>
      </c>
      <c r="E102" t="s">
        <v>822</v>
      </c>
      <c r="F102" s="32">
        <v>46332</v>
      </c>
      <c r="G102" t="s">
        <v>514</v>
      </c>
      <c r="H102">
        <v>47129711</v>
      </c>
      <c r="I102" t="s">
        <v>4446</v>
      </c>
      <c r="J102" t="s">
        <v>4447</v>
      </c>
      <c r="K102" t="s">
        <v>530</v>
      </c>
      <c r="N102">
        <v>40</v>
      </c>
      <c r="O102">
        <v>40</v>
      </c>
      <c r="P102" t="str">
        <f t="shared" si="1"/>
        <v>N</v>
      </c>
      <c r="Q102" t="s">
        <v>5833</v>
      </c>
    </row>
    <row r="103" spans="1:17" x14ac:dyDescent="0.25">
      <c r="A103" t="s">
        <v>4457</v>
      </c>
      <c r="B103" t="s">
        <v>4445</v>
      </c>
      <c r="C103">
        <v>2027</v>
      </c>
      <c r="D103" t="s">
        <v>710</v>
      </c>
      <c r="E103" t="s">
        <v>822</v>
      </c>
      <c r="F103" s="32">
        <v>46332</v>
      </c>
      <c r="G103" t="s">
        <v>514</v>
      </c>
      <c r="H103">
        <v>47129228</v>
      </c>
      <c r="I103" t="s">
        <v>4449</v>
      </c>
      <c r="J103" t="s">
        <v>4450</v>
      </c>
      <c r="K103" t="s">
        <v>530</v>
      </c>
      <c r="N103">
        <v>0</v>
      </c>
      <c r="O103">
        <v>0</v>
      </c>
      <c r="P103" t="str">
        <f t="shared" si="1"/>
        <v>N</v>
      </c>
      <c r="Q103" t="s">
        <v>5834</v>
      </c>
    </row>
    <row r="104" spans="1:17" x14ac:dyDescent="0.25">
      <c r="A104" t="s">
        <v>4514</v>
      </c>
      <c r="B104" t="s">
        <v>1044</v>
      </c>
      <c r="C104">
        <v>2027</v>
      </c>
      <c r="D104" t="s">
        <v>710</v>
      </c>
      <c r="E104" t="s">
        <v>822</v>
      </c>
      <c r="F104" s="32">
        <v>46332</v>
      </c>
      <c r="G104" t="s">
        <v>514</v>
      </c>
      <c r="H104">
        <v>47148664</v>
      </c>
      <c r="I104" t="s">
        <v>1479</v>
      </c>
      <c r="J104" t="s">
        <v>1478</v>
      </c>
      <c r="K104" t="s">
        <v>530</v>
      </c>
      <c r="N104">
        <v>40</v>
      </c>
      <c r="O104">
        <v>40</v>
      </c>
      <c r="P104" t="str">
        <f t="shared" si="1"/>
        <v>N</v>
      </c>
      <c r="Q104" t="s">
        <v>5835</v>
      </c>
    </row>
    <row r="105" spans="1:17" x14ac:dyDescent="0.25">
      <c r="A105" t="s">
        <v>4515</v>
      </c>
      <c r="B105" t="s">
        <v>1044</v>
      </c>
      <c r="C105">
        <v>2027</v>
      </c>
      <c r="D105" t="s">
        <v>710</v>
      </c>
      <c r="E105" t="s">
        <v>822</v>
      </c>
      <c r="F105" s="32">
        <v>46332</v>
      </c>
      <c r="G105" t="s">
        <v>514</v>
      </c>
      <c r="H105">
        <v>47129020</v>
      </c>
      <c r="I105" t="s">
        <v>1058</v>
      </c>
      <c r="J105" t="s">
        <v>1057</v>
      </c>
      <c r="K105" t="s">
        <v>530</v>
      </c>
      <c r="N105">
        <v>0</v>
      </c>
      <c r="O105">
        <v>0</v>
      </c>
      <c r="P105" t="str">
        <f t="shared" si="1"/>
        <v>N</v>
      </c>
      <c r="Q105" t="s">
        <v>5836</v>
      </c>
    </row>
    <row r="106" spans="1:17" x14ac:dyDescent="0.25">
      <c r="A106" t="s">
        <v>4516</v>
      </c>
      <c r="B106" t="s">
        <v>1044</v>
      </c>
      <c r="C106">
        <v>2027</v>
      </c>
      <c r="D106" t="s">
        <v>710</v>
      </c>
      <c r="E106" t="s">
        <v>822</v>
      </c>
      <c r="F106" s="32">
        <v>46332</v>
      </c>
      <c r="G106" t="s">
        <v>514</v>
      </c>
      <c r="H106">
        <v>47129473</v>
      </c>
      <c r="I106" t="s">
        <v>1430</v>
      </c>
      <c r="J106" t="s">
        <v>1429</v>
      </c>
      <c r="K106" t="s">
        <v>530</v>
      </c>
      <c r="N106">
        <v>0</v>
      </c>
      <c r="O106">
        <v>0</v>
      </c>
      <c r="P106" t="str">
        <f t="shared" si="1"/>
        <v>N</v>
      </c>
      <c r="Q106" t="s">
        <v>5837</v>
      </c>
    </row>
    <row r="107" spans="1:17" x14ac:dyDescent="0.25">
      <c r="A107" t="s">
        <v>4517</v>
      </c>
      <c r="B107" t="s">
        <v>1044</v>
      </c>
      <c r="C107">
        <v>2027</v>
      </c>
      <c r="D107" t="s">
        <v>710</v>
      </c>
      <c r="E107" t="s">
        <v>822</v>
      </c>
      <c r="F107" s="32">
        <v>46332</v>
      </c>
      <c r="G107" t="s">
        <v>514</v>
      </c>
      <c r="H107">
        <v>47133720</v>
      </c>
      <c r="I107" t="s">
        <v>1217</v>
      </c>
      <c r="J107" t="s">
        <v>1216</v>
      </c>
      <c r="K107" t="s">
        <v>530</v>
      </c>
      <c r="N107">
        <v>0</v>
      </c>
      <c r="O107">
        <v>0</v>
      </c>
      <c r="P107" t="str">
        <f t="shared" si="1"/>
        <v>N</v>
      </c>
      <c r="Q107" t="s">
        <v>5838</v>
      </c>
    </row>
    <row r="108" spans="1:17" x14ac:dyDescent="0.25">
      <c r="A108" t="s">
        <v>4786</v>
      </c>
      <c r="B108" t="s">
        <v>1090</v>
      </c>
      <c r="C108">
        <v>2027</v>
      </c>
      <c r="D108" t="s">
        <v>710</v>
      </c>
      <c r="E108" t="s">
        <v>822</v>
      </c>
      <c r="F108" s="32">
        <v>46332</v>
      </c>
      <c r="G108" t="s">
        <v>514</v>
      </c>
      <c r="H108">
        <v>47136337</v>
      </c>
      <c r="I108" t="s">
        <v>1020</v>
      </c>
      <c r="J108" t="s">
        <v>1019</v>
      </c>
      <c r="K108" t="s">
        <v>530</v>
      </c>
      <c r="N108">
        <v>16.2</v>
      </c>
      <c r="O108">
        <v>16.2</v>
      </c>
      <c r="P108" t="str">
        <f t="shared" si="1"/>
        <v>N</v>
      </c>
      <c r="Q108" t="s">
        <v>5839</v>
      </c>
    </row>
    <row r="109" spans="1:17" x14ac:dyDescent="0.25">
      <c r="A109" t="s">
        <v>4787</v>
      </c>
      <c r="B109" t="s">
        <v>1090</v>
      </c>
      <c r="C109">
        <v>2027</v>
      </c>
      <c r="D109" t="s">
        <v>710</v>
      </c>
      <c r="E109" t="s">
        <v>822</v>
      </c>
      <c r="F109" s="32">
        <v>46332</v>
      </c>
      <c r="G109" t="s">
        <v>514</v>
      </c>
      <c r="H109">
        <v>47128851</v>
      </c>
      <c r="I109" t="s">
        <v>924</v>
      </c>
      <c r="J109" t="s">
        <v>923</v>
      </c>
      <c r="K109" t="s">
        <v>530</v>
      </c>
      <c r="N109">
        <v>23.8</v>
      </c>
      <c r="O109">
        <v>23.8</v>
      </c>
      <c r="P109" t="str">
        <f t="shared" si="1"/>
        <v>N</v>
      </c>
      <c r="Q109" t="s">
        <v>5840</v>
      </c>
    </row>
    <row r="110" spans="1:17" x14ac:dyDescent="0.25">
      <c r="A110" t="s">
        <v>4788</v>
      </c>
      <c r="B110" t="s">
        <v>1090</v>
      </c>
      <c r="C110">
        <v>2027</v>
      </c>
      <c r="D110" t="s">
        <v>710</v>
      </c>
      <c r="E110" t="s">
        <v>822</v>
      </c>
      <c r="F110" s="32">
        <v>46332</v>
      </c>
      <c r="G110" t="s">
        <v>514</v>
      </c>
      <c r="H110">
        <v>47128824</v>
      </c>
      <c r="I110" t="s">
        <v>1296</v>
      </c>
      <c r="J110" t="s">
        <v>1295</v>
      </c>
      <c r="K110" t="s">
        <v>530</v>
      </c>
      <c r="N110">
        <v>0</v>
      </c>
      <c r="O110">
        <v>0</v>
      </c>
      <c r="P110" t="str">
        <f t="shared" si="1"/>
        <v>N</v>
      </c>
      <c r="Q110" t="s">
        <v>5841</v>
      </c>
    </row>
    <row r="111" spans="1:17" x14ac:dyDescent="0.25">
      <c r="A111" t="s">
        <v>5202</v>
      </c>
      <c r="B111" t="s">
        <v>1089</v>
      </c>
      <c r="C111">
        <v>2027</v>
      </c>
      <c r="D111" t="s">
        <v>710</v>
      </c>
      <c r="E111" t="s">
        <v>822</v>
      </c>
      <c r="F111" s="32">
        <v>46332</v>
      </c>
      <c r="G111" t="s">
        <v>514</v>
      </c>
      <c r="H111">
        <v>47129548</v>
      </c>
      <c r="I111" t="s">
        <v>1340</v>
      </c>
      <c r="J111" t="s">
        <v>1339</v>
      </c>
      <c r="K111" t="s">
        <v>530</v>
      </c>
      <c r="N111">
        <v>40</v>
      </c>
      <c r="O111">
        <v>40</v>
      </c>
      <c r="P111" t="str">
        <f t="shared" si="1"/>
        <v>N</v>
      </c>
      <c r="Q111" t="s">
        <v>5842</v>
      </c>
    </row>
    <row r="112" spans="1:17" x14ac:dyDescent="0.25">
      <c r="A112" t="s">
        <v>5447</v>
      </c>
      <c r="B112" t="s">
        <v>5437</v>
      </c>
      <c r="C112">
        <v>2027</v>
      </c>
      <c r="D112" t="s">
        <v>710</v>
      </c>
      <c r="E112" t="s">
        <v>822</v>
      </c>
      <c r="F112" s="32">
        <v>46332</v>
      </c>
      <c r="G112" t="s">
        <v>514</v>
      </c>
      <c r="H112">
        <v>47148664</v>
      </c>
      <c r="I112" t="s">
        <v>1479</v>
      </c>
      <c r="J112" t="s">
        <v>1478</v>
      </c>
      <c r="K112" t="s">
        <v>530</v>
      </c>
      <c r="N112">
        <v>40</v>
      </c>
      <c r="O112">
        <v>40</v>
      </c>
      <c r="P112" t="str">
        <f t="shared" si="1"/>
        <v>N</v>
      </c>
      <c r="Q112" t="s">
        <v>5843</v>
      </c>
    </row>
    <row r="113" spans="1:17" x14ac:dyDescent="0.25">
      <c r="A113" t="s">
        <v>5448</v>
      </c>
      <c r="B113" t="s">
        <v>5437</v>
      </c>
      <c r="C113">
        <v>2027</v>
      </c>
      <c r="D113" t="s">
        <v>710</v>
      </c>
      <c r="E113" t="s">
        <v>822</v>
      </c>
      <c r="F113" s="32">
        <v>46332</v>
      </c>
      <c r="G113" t="s">
        <v>514</v>
      </c>
      <c r="H113">
        <v>47129020</v>
      </c>
      <c r="I113" t="s">
        <v>1058</v>
      </c>
      <c r="J113" t="s">
        <v>1057</v>
      </c>
      <c r="K113" t="s">
        <v>530</v>
      </c>
      <c r="N113">
        <v>0</v>
      </c>
      <c r="O113">
        <v>0</v>
      </c>
      <c r="P113" t="str">
        <f t="shared" si="1"/>
        <v>N</v>
      </c>
      <c r="Q113" t="s">
        <v>5844</v>
      </c>
    </row>
    <row r="114" spans="1:17" x14ac:dyDescent="0.25">
      <c r="A114" t="s">
        <v>5449</v>
      </c>
      <c r="B114" t="s">
        <v>5437</v>
      </c>
      <c r="C114">
        <v>2027</v>
      </c>
      <c r="D114" t="s">
        <v>710</v>
      </c>
      <c r="E114" t="s">
        <v>822</v>
      </c>
      <c r="F114" s="32">
        <v>46332</v>
      </c>
      <c r="G114" t="s">
        <v>514</v>
      </c>
      <c r="H114">
        <v>47129473</v>
      </c>
      <c r="I114" t="s">
        <v>1430</v>
      </c>
      <c r="J114" t="s">
        <v>1429</v>
      </c>
      <c r="K114" t="s">
        <v>530</v>
      </c>
      <c r="N114">
        <v>0</v>
      </c>
      <c r="O114">
        <v>0</v>
      </c>
      <c r="P114" t="str">
        <f t="shared" si="1"/>
        <v>N</v>
      </c>
      <c r="Q114" t="s">
        <v>5845</v>
      </c>
    </row>
    <row r="115" spans="1:17" x14ac:dyDescent="0.25">
      <c r="A115" t="s">
        <v>5450</v>
      </c>
      <c r="B115" t="s">
        <v>5437</v>
      </c>
      <c r="C115">
        <v>2027</v>
      </c>
      <c r="D115" t="s">
        <v>710</v>
      </c>
      <c r="E115" t="s">
        <v>822</v>
      </c>
      <c r="F115" s="32">
        <v>46332</v>
      </c>
      <c r="G115" t="s">
        <v>514</v>
      </c>
      <c r="H115">
        <v>47128115</v>
      </c>
      <c r="I115" t="s">
        <v>1260</v>
      </c>
      <c r="J115" t="s">
        <v>1259</v>
      </c>
      <c r="K115" t="s">
        <v>530</v>
      </c>
      <c r="N115">
        <v>0</v>
      </c>
      <c r="O115">
        <v>0</v>
      </c>
      <c r="P115" t="str">
        <f t="shared" si="1"/>
        <v>N</v>
      </c>
      <c r="Q115" t="s">
        <v>5846</v>
      </c>
    </row>
    <row r="116" spans="1:17" x14ac:dyDescent="0.25">
      <c r="A116" t="s">
        <v>1689</v>
      </c>
      <c r="B116" t="s">
        <v>1135</v>
      </c>
      <c r="C116">
        <v>2027</v>
      </c>
      <c r="D116" t="s">
        <v>712</v>
      </c>
      <c r="E116" t="s">
        <v>823</v>
      </c>
      <c r="F116" s="32">
        <v>46339</v>
      </c>
      <c r="G116" t="s">
        <v>514</v>
      </c>
      <c r="H116">
        <v>47128570</v>
      </c>
      <c r="I116" t="s">
        <v>1491</v>
      </c>
      <c r="J116" t="s">
        <v>1490</v>
      </c>
      <c r="K116" t="s">
        <v>530</v>
      </c>
      <c r="N116">
        <v>0</v>
      </c>
      <c r="O116">
        <v>0</v>
      </c>
      <c r="P116" t="str">
        <f t="shared" si="1"/>
        <v>N</v>
      </c>
      <c r="Q116" t="s">
        <v>920</v>
      </c>
    </row>
    <row r="117" spans="1:17" x14ac:dyDescent="0.25">
      <c r="A117" t="s">
        <v>2355</v>
      </c>
      <c r="B117" t="s">
        <v>2344</v>
      </c>
      <c r="C117">
        <v>2027</v>
      </c>
      <c r="D117" t="s">
        <v>712</v>
      </c>
      <c r="E117" t="s">
        <v>823</v>
      </c>
      <c r="F117" s="32">
        <v>46339</v>
      </c>
      <c r="G117" t="s">
        <v>514</v>
      </c>
      <c r="H117">
        <v>47140037</v>
      </c>
      <c r="I117" t="s">
        <v>2347</v>
      </c>
      <c r="J117" t="s">
        <v>2348</v>
      </c>
      <c r="K117" t="s">
        <v>530</v>
      </c>
      <c r="N117">
        <v>0</v>
      </c>
      <c r="O117">
        <v>0</v>
      </c>
      <c r="P117" t="str">
        <f t="shared" si="1"/>
        <v>N</v>
      </c>
      <c r="Q117" t="s">
        <v>5847</v>
      </c>
    </row>
    <row r="118" spans="1:17" x14ac:dyDescent="0.25">
      <c r="A118" t="s">
        <v>2356</v>
      </c>
      <c r="B118" t="s">
        <v>2344</v>
      </c>
      <c r="C118">
        <v>2027</v>
      </c>
      <c r="D118" t="s">
        <v>712</v>
      </c>
      <c r="E118" t="s">
        <v>823</v>
      </c>
      <c r="F118" s="32">
        <v>46339</v>
      </c>
      <c r="G118" t="s">
        <v>514</v>
      </c>
      <c r="H118">
        <v>47128216</v>
      </c>
      <c r="I118" t="s">
        <v>2350</v>
      </c>
      <c r="J118" t="s">
        <v>2351</v>
      </c>
      <c r="K118" t="s">
        <v>530</v>
      </c>
      <c r="N118">
        <v>20.8</v>
      </c>
      <c r="O118">
        <v>20.8</v>
      </c>
      <c r="P118" t="str">
        <f t="shared" si="1"/>
        <v>N</v>
      </c>
      <c r="Q118" t="s">
        <v>5848</v>
      </c>
    </row>
    <row r="119" spans="1:17" x14ac:dyDescent="0.25">
      <c r="A119" t="s">
        <v>2357</v>
      </c>
      <c r="B119" t="s">
        <v>2344</v>
      </c>
      <c r="C119">
        <v>2027</v>
      </c>
      <c r="D119" t="s">
        <v>712</v>
      </c>
      <c r="E119" t="s">
        <v>823</v>
      </c>
      <c r="F119" s="32">
        <v>46339</v>
      </c>
      <c r="G119" t="s">
        <v>514</v>
      </c>
      <c r="H119">
        <v>47128208</v>
      </c>
      <c r="I119" t="s">
        <v>2353</v>
      </c>
      <c r="J119" t="s">
        <v>2354</v>
      </c>
      <c r="K119" t="s">
        <v>530</v>
      </c>
      <c r="N119">
        <v>19.2</v>
      </c>
      <c r="O119">
        <v>19.2</v>
      </c>
      <c r="P119" t="str">
        <f t="shared" si="1"/>
        <v>N</v>
      </c>
      <c r="Q119" t="s">
        <v>5849</v>
      </c>
    </row>
    <row r="120" spans="1:17" x14ac:dyDescent="0.25">
      <c r="A120" t="s">
        <v>3097</v>
      </c>
      <c r="B120" t="s">
        <v>1080</v>
      </c>
      <c r="C120">
        <v>2027</v>
      </c>
      <c r="D120" t="s">
        <v>712</v>
      </c>
      <c r="E120" t="s">
        <v>823</v>
      </c>
      <c r="F120" s="32">
        <v>46339</v>
      </c>
      <c r="G120" t="s">
        <v>514</v>
      </c>
      <c r="H120">
        <v>47128787</v>
      </c>
      <c r="I120" t="s">
        <v>1453</v>
      </c>
      <c r="J120" t="s">
        <v>1452</v>
      </c>
      <c r="K120" t="s">
        <v>530</v>
      </c>
      <c r="N120">
        <v>26</v>
      </c>
      <c r="O120">
        <v>26</v>
      </c>
      <c r="P120" t="str">
        <f t="shared" si="1"/>
        <v>N</v>
      </c>
      <c r="Q120" t="s">
        <v>5850</v>
      </c>
    </row>
    <row r="121" spans="1:17" x14ac:dyDescent="0.25">
      <c r="A121" t="s">
        <v>3098</v>
      </c>
      <c r="B121" t="s">
        <v>1080</v>
      </c>
      <c r="C121">
        <v>2027</v>
      </c>
      <c r="D121" t="s">
        <v>712</v>
      </c>
      <c r="E121" t="s">
        <v>823</v>
      </c>
      <c r="F121" s="32">
        <v>46339</v>
      </c>
      <c r="G121" t="s">
        <v>514</v>
      </c>
      <c r="H121">
        <v>47128977</v>
      </c>
      <c r="I121" t="s">
        <v>1449</v>
      </c>
      <c r="J121" t="s">
        <v>1448</v>
      </c>
      <c r="K121" t="s">
        <v>530</v>
      </c>
      <c r="N121">
        <v>0</v>
      </c>
      <c r="O121">
        <v>0</v>
      </c>
      <c r="P121" t="str">
        <f t="shared" si="1"/>
        <v>N</v>
      </c>
      <c r="Q121" t="s">
        <v>5851</v>
      </c>
    </row>
    <row r="122" spans="1:17" x14ac:dyDescent="0.25">
      <c r="A122" t="s">
        <v>3794</v>
      </c>
      <c r="B122" t="s">
        <v>912</v>
      </c>
      <c r="C122">
        <v>2027</v>
      </c>
      <c r="D122" t="s">
        <v>712</v>
      </c>
      <c r="E122" t="s">
        <v>823</v>
      </c>
      <c r="F122" s="32">
        <v>46339</v>
      </c>
      <c r="G122" t="s">
        <v>514</v>
      </c>
      <c r="H122">
        <v>47100498</v>
      </c>
      <c r="I122" t="s">
        <v>3789</v>
      </c>
      <c r="J122" t="s">
        <v>3790</v>
      </c>
      <c r="K122" t="s">
        <v>530</v>
      </c>
      <c r="N122">
        <v>0</v>
      </c>
      <c r="O122">
        <v>0</v>
      </c>
      <c r="P122" t="str">
        <f t="shared" si="1"/>
        <v>N</v>
      </c>
      <c r="Q122" t="s">
        <v>5852</v>
      </c>
    </row>
    <row r="123" spans="1:17" x14ac:dyDescent="0.25">
      <c r="A123" t="s">
        <v>3795</v>
      </c>
      <c r="B123" t="s">
        <v>912</v>
      </c>
      <c r="C123">
        <v>2027</v>
      </c>
      <c r="D123" t="s">
        <v>712</v>
      </c>
      <c r="E123" t="s">
        <v>823</v>
      </c>
      <c r="F123" s="32">
        <v>46339</v>
      </c>
      <c r="G123" t="s">
        <v>514</v>
      </c>
      <c r="H123">
        <v>47140037</v>
      </c>
      <c r="I123" t="s">
        <v>2347</v>
      </c>
      <c r="J123" t="s">
        <v>2348</v>
      </c>
      <c r="K123" t="s">
        <v>530</v>
      </c>
      <c r="N123">
        <v>0</v>
      </c>
      <c r="O123">
        <v>0</v>
      </c>
      <c r="P123" t="str">
        <f t="shared" si="1"/>
        <v>N</v>
      </c>
      <c r="Q123" t="s">
        <v>5853</v>
      </c>
    </row>
    <row r="124" spans="1:17" x14ac:dyDescent="0.25">
      <c r="A124" t="s">
        <v>3796</v>
      </c>
      <c r="B124" t="s">
        <v>912</v>
      </c>
      <c r="C124">
        <v>2027</v>
      </c>
      <c r="D124" t="s">
        <v>712</v>
      </c>
      <c r="E124" t="s">
        <v>823</v>
      </c>
      <c r="F124" s="32">
        <v>46339</v>
      </c>
      <c r="G124" t="s">
        <v>514</v>
      </c>
      <c r="H124">
        <v>47128216</v>
      </c>
      <c r="I124" t="s">
        <v>2350</v>
      </c>
      <c r="J124" t="s">
        <v>2351</v>
      </c>
      <c r="K124" t="s">
        <v>530</v>
      </c>
      <c r="N124">
        <v>40</v>
      </c>
      <c r="O124">
        <v>40</v>
      </c>
      <c r="P124" t="str">
        <f t="shared" si="1"/>
        <v>N</v>
      </c>
      <c r="Q124" t="s">
        <v>5854</v>
      </c>
    </row>
    <row r="125" spans="1:17" x14ac:dyDescent="0.25">
      <c r="A125" t="s">
        <v>3797</v>
      </c>
      <c r="B125" t="s">
        <v>912</v>
      </c>
      <c r="C125">
        <v>2027</v>
      </c>
      <c r="D125" t="s">
        <v>712</v>
      </c>
      <c r="E125" t="s">
        <v>823</v>
      </c>
      <c r="F125" s="32">
        <v>46339</v>
      </c>
      <c r="G125" t="s">
        <v>514</v>
      </c>
      <c r="H125">
        <v>47128208</v>
      </c>
      <c r="I125" t="s">
        <v>2353</v>
      </c>
      <c r="J125" t="s">
        <v>2354</v>
      </c>
      <c r="K125" t="s">
        <v>530</v>
      </c>
      <c r="N125">
        <v>0</v>
      </c>
      <c r="O125">
        <v>0</v>
      </c>
      <c r="P125" t="str">
        <f t="shared" si="1"/>
        <v>N</v>
      </c>
      <c r="Q125" t="s">
        <v>5855</v>
      </c>
    </row>
    <row r="126" spans="1:17" x14ac:dyDescent="0.25">
      <c r="A126" t="s">
        <v>3944</v>
      </c>
      <c r="B126" t="s">
        <v>3939</v>
      </c>
      <c r="C126">
        <v>2027</v>
      </c>
      <c r="D126" t="s">
        <v>712</v>
      </c>
      <c r="E126" t="s">
        <v>823</v>
      </c>
      <c r="F126" s="32">
        <v>46339</v>
      </c>
      <c r="G126" t="s">
        <v>514</v>
      </c>
      <c r="H126">
        <v>47140037</v>
      </c>
      <c r="I126" t="s">
        <v>2347</v>
      </c>
      <c r="J126" t="s">
        <v>2348</v>
      </c>
      <c r="K126" t="s">
        <v>530</v>
      </c>
      <c r="N126">
        <v>0</v>
      </c>
      <c r="O126">
        <v>0</v>
      </c>
      <c r="P126" t="str">
        <f t="shared" si="1"/>
        <v>N</v>
      </c>
      <c r="Q126" t="s">
        <v>5856</v>
      </c>
    </row>
    <row r="127" spans="1:17" x14ac:dyDescent="0.25">
      <c r="A127" t="s">
        <v>3945</v>
      </c>
      <c r="B127" t="s">
        <v>3939</v>
      </c>
      <c r="C127">
        <v>2027</v>
      </c>
      <c r="D127" t="s">
        <v>712</v>
      </c>
      <c r="E127" t="s">
        <v>823</v>
      </c>
      <c r="F127" s="32">
        <v>46339</v>
      </c>
      <c r="G127" t="s">
        <v>514</v>
      </c>
      <c r="H127">
        <v>47128216</v>
      </c>
      <c r="I127" t="s">
        <v>2350</v>
      </c>
      <c r="J127" t="s">
        <v>2351</v>
      </c>
      <c r="K127" t="s">
        <v>530</v>
      </c>
      <c r="N127">
        <v>40</v>
      </c>
      <c r="O127">
        <v>40</v>
      </c>
      <c r="P127" t="str">
        <f t="shared" si="1"/>
        <v>N</v>
      </c>
      <c r="Q127" t="s">
        <v>5857</v>
      </c>
    </row>
    <row r="128" spans="1:17" x14ac:dyDescent="0.25">
      <c r="A128" t="s">
        <v>3946</v>
      </c>
      <c r="B128" t="s">
        <v>3939</v>
      </c>
      <c r="C128">
        <v>2027</v>
      </c>
      <c r="D128" t="s">
        <v>712</v>
      </c>
      <c r="E128" t="s">
        <v>823</v>
      </c>
      <c r="F128" s="32">
        <v>46339</v>
      </c>
      <c r="G128" t="s">
        <v>514</v>
      </c>
      <c r="H128">
        <v>47128208</v>
      </c>
      <c r="I128" t="s">
        <v>2353</v>
      </c>
      <c r="J128" t="s">
        <v>2354</v>
      </c>
      <c r="K128" t="s">
        <v>530</v>
      </c>
      <c r="N128">
        <v>0</v>
      </c>
      <c r="O128">
        <v>0</v>
      </c>
      <c r="P128" t="str">
        <f t="shared" si="1"/>
        <v>N</v>
      </c>
      <c r="Q128" t="s">
        <v>5858</v>
      </c>
    </row>
    <row r="129" spans="1:17" x14ac:dyDescent="0.25">
      <c r="A129" t="s">
        <v>4032</v>
      </c>
      <c r="B129" t="s">
        <v>1489</v>
      </c>
      <c r="C129">
        <v>2027</v>
      </c>
      <c r="D129" t="s">
        <v>712</v>
      </c>
      <c r="E129" t="s">
        <v>823</v>
      </c>
      <c r="F129" s="32">
        <v>46339</v>
      </c>
      <c r="G129" t="s">
        <v>514</v>
      </c>
      <c r="H129">
        <v>47129473</v>
      </c>
      <c r="I129" t="s">
        <v>1430</v>
      </c>
      <c r="J129" t="s">
        <v>1429</v>
      </c>
      <c r="K129" t="s">
        <v>530</v>
      </c>
      <c r="N129">
        <v>0</v>
      </c>
      <c r="O129">
        <v>0</v>
      </c>
      <c r="P129" t="str">
        <f t="shared" si="1"/>
        <v>N</v>
      </c>
      <c r="Q129" t="s">
        <v>5859</v>
      </c>
    </row>
    <row r="130" spans="1:17" x14ac:dyDescent="0.25">
      <c r="A130" t="s">
        <v>4033</v>
      </c>
      <c r="B130" t="s">
        <v>1489</v>
      </c>
      <c r="C130">
        <v>2027</v>
      </c>
      <c r="D130" t="s">
        <v>712</v>
      </c>
      <c r="E130" t="s">
        <v>823</v>
      </c>
      <c r="F130" s="32">
        <v>46339</v>
      </c>
      <c r="G130" t="s">
        <v>514</v>
      </c>
      <c r="H130">
        <v>47128787</v>
      </c>
      <c r="I130" t="s">
        <v>1453</v>
      </c>
      <c r="J130" t="s">
        <v>1452</v>
      </c>
      <c r="K130" t="s">
        <v>530</v>
      </c>
      <c r="N130">
        <v>11</v>
      </c>
      <c r="O130">
        <v>11</v>
      </c>
      <c r="P130" t="str">
        <f t="shared" si="1"/>
        <v>N</v>
      </c>
      <c r="Q130" t="s">
        <v>5860</v>
      </c>
    </row>
    <row r="131" spans="1:17" x14ac:dyDescent="0.25">
      <c r="A131" t="s">
        <v>4034</v>
      </c>
      <c r="B131" t="s">
        <v>1489</v>
      </c>
      <c r="C131">
        <v>2027</v>
      </c>
      <c r="D131" t="s">
        <v>712</v>
      </c>
      <c r="E131" t="s">
        <v>823</v>
      </c>
      <c r="F131" s="32">
        <v>46339</v>
      </c>
      <c r="G131" t="s">
        <v>514</v>
      </c>
      <c r="H131">
        <v>47128977</v>
      </c>
      <c r="I131" t="s">
        <v>1449</v>
      </c>
      <c r="J131" t="s">
        <v>1448</v>
      </c>
      <c r="K131" t="s">
        <v>530</v>
      </c>
      <c r="N131">
        <v>0</v>
      </c>
      <c r="O131">
        <v>0</v>
      </c>
      <c r="P131" t="str">
        <f t="shared" ref="P131:P194" si="2">IF(N131=O131,"N","Y")</f>
        <v>N</v>
      </c>
      <c r="Q131" t="s">
        <v>5861</v>
      </c>
    </row>
    <row r="132" spans="1:17" x14ac:dyDescent="0.25">
      <c r="A132" t="s">
        <v>4132</v>
      </c>
      <c r="B132" t="s">
        <v>916</v>
      </c>
      <c r="C132">
        <v>2027</v>
      </c>
      <c r="D132" t="s">
        <v>712</v>
      </c>
      <c r="E132" t="s">
        <v>823</v>
      </c>
      <c r="F132" s="32">
        <v>46339</v>
      </c>
      <c r="G132" t="s">
        <v>514</v>
      </c>
      <c r="H132">
        <v>47128570</v>
      </c>
      <c r="I132" t="s">
        <v>1491</v>
      </c>
      <c r="J132" t="s">
        <v>1490</v>
      </c>
      <c r="K132" t="s">
        <v>530</v>
      </c>
      <c r="N132">
        <v>0</v>
      </c>
      <c r="O132">
        <v>0</v>
      </c>
      <c r="P132" t="str">
        <f t="shared" si="2"/>
        <v>N</v>
      </c>
      <c r="Q132" t="s">
        <v>5862</v>
      </c>
    </row>
    <row r="133" spans="1:17" x14ac:dyDescent="0.25">
      <c r="A133" t="s">
        <v>4133</v>
      </c>
      <c r="B133" t="s">
        <v>916</v>
      </c>
      <c r="C133">
        <v>2027</v>
      </c>
      <c r="D133" t="s">
        <v>712</v>
      </c>
      <c r="E133" t="s">
        <v>823</v>
      </c>
      <c r="F133" s="32">
        <v>46339</v>
      </c>
      <c r="G133" t="s">
        <v>514</v>
      </c>
      <c r="H133">
        <v>47129548</v>
      </c>
      <c r="I133" t="s">
        <v>1340</v>
      </c>
      <c r="J133" t="s">
        <v>1339</v>
      </c>
      <c r="K133" t="s">
        <v>530</v>
      </c>
      <c r="N133">
        <v>40</v>
      </c>
      <c r="O133">
        <v>40</v>
      </c>
      <c r="P133" t="str">
        <f t="shared" si="2"/>
        <v>N</v>
      </c>
      <c r="Q133" t="s">
        <v>5863</v>
      </c>
    </row>
    <row r="134" spans="1:17" x14ac:dyDescent="0.25">
      <c r="A134" t="s">
        <v>4458</v>
      </c>
      <c r="B134" t="s">
        <v>4445</v>
      </c>
      <c r="C134">
        <v>2027</v>
      </c>
      <c r="D134" t="s">
        <v>712</v>
      </c>
      <c r="E134" t="s">
        <v>823</v>
      </c>
      <c r="F134" s="32">
        <v>46339</v>
      </c>
      <c r="G134" t="s">
        <v>514</v>
      </c>
      <c r="H134">
        <v>47129711</v>
      </c>
      <c r="I134" t="s">
        <v>4446</v>
      </c>
      <c r="J134" t="s">
        <v>4447</v>
      </c>
      <c r="K134" t="s">
        <v>530</v>
      </c>
      <c r="N134">
        <v>40</v>
      </c>
      <c r="O134">
        <v>40</v>
      </c>
      <c r="P134" t="str">
        <f t="shared" si="2"/>
        <v>N</v>
      </c>
      <c r="Q134" t="s">
        <v>5864</v>
      </c>
    </row>
    <row r="135" spans="1:17" x14ac:dyDescent="0.25">
      <c r="A135" t="s">
        <v>4459</v>
      </c>
      <c r="B135" t="s">
        <v>4445</v>
      </c>
      <c r="C135">
        <v>2027</v>
      </c>
      <c r="D135" t="s">
        <v>712</v>
      </c>
      <c r="E135" t="s">
        <v>823</v>
      </c>
      <c r="F135" s="32">
        <v>46339</v>
      </c>
      <c r="G135" t="s">
        <v>514</v>
      </c>
      <c r="H135">
        <v>47129228</v>
      </c>
      <c r="I135" t="s">
        <v>4449</v>
      </c>
      <c r="J135" t="s">
        <v>4450</v>
      </c>
      <c r="K135" t="s">
        <v>530</v>
      </c>
      <c r="N135">
        <v>0</v>
      </c>
      <c r="O135">
        <v>0</v>
      </c>
      <c r="P135" t="str">
        <f t="shared" si="2"/>
        <v>N</v>
      </c>
      <c r="Q135" t="s">
        <v>5865</v>
      </c>
    </row>
    <row r="136" spans="1:17" x14ac:dyDescent="0.25">
      <c r="A136" t="s">
        <v>4518</v>
      </c>
      <c r="B136" t="s">
        <v>1044</v>
      </c>
      <c r="C136">
        <v>2027</v>
      </c>
      <c r="D136" t="s">
        <v>712</v>
      </c>
      <c r="E136" t="s">
        <v>823</v>
      </c>
      <c r="F136" s="32">
        <v>46339</v>
      </c>
      <c r="G136" t="s">
        <v>514</v>
      </c>
      <c r="H136">
        <v>47148664</v>
      </c>
      <c r="I136" t="s">
        <v>1479</v>
      </c>
      <c r="J136" t="s">
        <v>1478</v>
      </c>
      <c r="K136" t="s">
        <v>530</v>
      </c>
      <c r="N136">
        <v>40</v>
      </c>
      <c r="O136">
        <v>40</v>
      </c>
      <c r="P136" t="str">
        <f t="shared" si="2"/>
        <v>N</v>
      </c>
      <c r="Q136" t="s">
        <v>5866</v>
      </c>
    </row>
    <row r="137" spans="1:17" x14ac:dyDescent="0.25">
      <c r="A137" t="s">
        <v>4519</v>
      </c>
      <c r="B137" t="s">
        <v>1044</v>
      </c>
      <c r="C137">
        <v>2027</v>
      </c>
      <c r="D137" t="s">
        <v>712</v>
      </c>
      <c r="E137" t="s">
        <v>823</v>
      </c>
      <c r="F137" s="32">
        <v>46339</v>
      </c>
      <c r="G137" t="s">
        <v>514</v>
      </c>
      <c r="H137">
        <v>47129020</v>
      </c>
      <c r="I137" t="s">
        <v>1058</v>
      </c>
      <c r="J137" t="s">
        <v>1057</v>
      </c>
      <c r="K137" t="s">
        <v>530</v>
      </c>
      <c r="N137">
        <v>0</v>
      </c>
      <c r="O137">
        <v>0</v>
      </c>
      <c r="P137" t="str">
        <f t="shared" si="2"/>
        <v>N</v>
      </c>
      <c r="Q137" t="s">
        <v>5867</v>
      </c>
    </row>
    <row r="138" spans="1:17" x14ac:dyDescent="0.25">
      <c r="A138" t="s">
        <v>4520</v>
      </c>
      <c r="B138" t="s">
        <v>1044</v>
      </c>
      <c r="C138">
        <v>2027</v>
      </c>
      <c r="D138" t="s">
        <v>712</v>
      </c>
      <c r="E138" t="s">
        <v>823</v>
      </c>
      <c r="F138" s="32">
        <v>46339</v>
      </c>
      <c r="G138" t="s">
        <v>514</v>
      </c>
      <c r="H138">
        <v>47129473</v>
      </c>
      <c r="I138" t="s">
        <v>1430</v>
      </c>
      <c r="J138" t="s">
        <v>1429</v>
      </c>
      <c r="K138" t="s">
        <v>530</v>
      </c>
      <c r="N138">
        <v>0</v>
      </c>
      <c r="O138">
        <v>0</v>
      </c>
      <c r="P138" t="str">
        <f t="shared" si="2"/>
        <v>N</v>
      </c>
      <c r="Q138" t="s">
        <v>5868</v>
      </c>
    </row>
    <row r="139" spans="1:17" x14ac:dyDescent="0.25">
      <c r="A139" t="s">
        <v>4521</v>
      </c>
      <c r="B139" t="s">
        <v>1044</v>
      </c>
      <c r="C139">
        <v>2027</v>
      </c>
      <c r="D139" t="s">
        <v>712</v>
      </c>
      <c r="E139" t="s">
        <v>823</v>
      </c>
      <c r="F139" s="32">
        <v>46339</v>
      </c>
      <c r="G139" t="s">
        <v>514</v>
      </c>
      <c r="H139">
        <v>47133720</v>
      </c>
      <c r="I139" t="s">
        <v>1217</v>
      </c>
      <c r="J139" t="s">
        <v>1216</v>
      </c>
      <c r="K139" t="s">
        <v>530</v>
      </c>
      <c r="N139">
        <v>0</v>
      </c>
      <c r="O139">
        <v>0</v>
      </c>
      <c r="P139" t="str">
        <f t="shared" si="2"/>
        <v>N</v>
      </c>
      <c r="Q139" t="s">
        <v>5869</v>
      </c>
    </row>
    <row r="140" spans="1:17" x14ac:dyDescent="0.25">
      <c r="A140" t="s">
        <v>4789</v>
      </c>
      <c r="B140" t="s">
        <v>1090</v>
      </c>
      <c r="C140">
        <v>2027</v>
      </c>
      <c r="D140" t="s">
        <v>712</v>
      </c>
      <c r="E140" t="s">
        <v>823</v>
      </c>
      <c r="F140" s="32">
        <v>46339</v>
      </c>
      <c r="G140" t="s">
        <v>514</v>
      </c>
      <c r="H140">
        <v>47136337</v>
      </c>
      <c r="I140" t="s">
        <v>1020</v>
      </c>
      <c r="J140" t="s">
        <v>1019</v>
      </c>
      <c r="K140" t="s">
        <v>530</v>
      </c>
      <c r="N140">
        <v>0</v>
      </c>
      <c r="O140">
        <v>0</v>
      </c>
      <c r="P140" t="str">
        <f t="shared" si="2"/>
        <v>N</v>
      </c>
      <c r="Q140" t="s">
        <v>5870</v>
      </c>
    </row>
    <row r="141" spans="1:17" x14ac:dyDescent="0.25">
      <c r="A141" t="s">
        <v>4790</v>
      </c>
      <c r="B141" t="s">
        <v>1090</v>
      </c>
      <c r="C141">
        <v>2027</v>
      </c>
      <c r="D141" t="s">
        <v>712</v>
      </c>
      <c r="E141" t="s">
        <v>823</v>
      </c>
      <c r="F141" s="32">
        <v>46339</v>
      </c>
      <c r="G141" t="s">
        <v>514</v>
      </c>
      <c r="H141">
        <v>47128851</v>
      </c>
      <c r="I141" t="s">
        <v>924</v>
      </c>
      <c r="J141" t="s">
        <v>923</v>
      </c>
      <c r="K141" t="s">
        <v>530</v>
      </c>
      <c r="N141">
        <v>40</v>
      </c>
      <c r="O141">
        <v>40</v>
      </c>
      <c r="P141" t="str">
        <f t="shared" si="2"/>
        <v>N</v>
      </c>
      <c r="Q141" t="s">
        <v>5871</v>
      </c>
    </row>
    <row r="142" spans="1:17" x14ac:dyDescent="0.25">
      <c r="A142" t="s">
        <v>4791</v>
      </c>
      <c r="B142" t="s">
        <v>1090</v>
      </c>
      <c r="C142">
        <v>2027</v>
      </c>
      <c r="D142" t="s">
        <v>712</v>
      </c>
      <c r="E142" t="s">
        <v>823</v>
      </c>
      <c r="F142" s="32">
        <v>46339</v>
      </c>
      <c r="G142" t="s">
        <v>514</v>
      </c>
      <c r="H142">
        <v>47128824</v>
      </c>
      <c r="I142" t="s">
        <v>1296</v>
      </c>
      <c r="J142" t="s">
        <v>1295</v>
      </c>
      <c r="K142" t="s">
        <v>530</v>
      </c>
      <c r="N142">
        <v>0</v>
      </c>
      <c r="O142">
        <v>0</v>
      </c>
      <c r="P142" t="str">
        <f t="shared" si="2"/>
        <v>N</v>
      </c>
      <c r="Q142" t="s">
        <v>5872</v>
      </c>
    </row>
    <row r="143" spans="1:17" x14ac:dyDescent="0.25">
      <c r="A143" t="s">
        <v>5203</v>
      </c>
      <c r="B143" t="s">
        <v>1089</v>
      </c>
      <c r="C143">
        <v>2027</v>
      </c>
      <c r="D143" t="s">
        <v>712</v>
      </c>
      <c r="E143" t="s">
        <v>823</v>
      </c>
      <c r="F143" s="32">
        <v>46339</v>
      </c>
      <c r="G143" t="s">
        <v>514</v>
      </c>
      <c r="H143">
        <v>47129548</v>
      </c>
      <c r="I143" t="s">
        <v>1340</v>
      </c>
      <c r="J143" t="s">
        <v>1339</v>
      </c>
      <c r="K143" t="s">
        <v>530</v>
      </c>
      <c r="N143">
        <v>40</v>
      </c>
      <c r="O143">
        <v>40</v>
      </c>
      <c r="P143" t="str">
        <f t="shared" si="2"/>
        <v>N</v>
      </c>
      <c r="Q143" t="s">
        <v>5873</v>
      </c>
    </row>
    <row r="144" spans="1:17" x14ac:dyDescent="0.25">
      <c r="A144" t="s">
        <v>5451</v>
      </c>
      <c r="B144" t="s">
        <v>5437</v>
      </c>
      <c r="C144">
        <v>2027</v>
      </c>
      <c r="D144" t="s">
        <v>712</v>
      </c>
      <c r="E144" t="s">
        <v>823</v>
      </c>
      <c r="F144" s="32">
        <v>46339</v>
      </c>
      <c r="G144" t="s">
        <v>514</v>
      </c>
      <c r="H144">
        <v>47129020</v>
      </c>
      <c r="I144" t="s">
        <v>1058</v>
      </c>
      <c r="J144" t="s">
        <v>1057</v>
      </c>
      <c r="K144" t="s">
        <v>530</v>
      </c>
      <c r="N144">
        <v>0</v>
      </c>
      <c r="O144">
        <v>0</v>
      </c>
      <c r="P144" t="str">
        <f t="shared" si="2"/>
        <v>N</v>
      </c>
      <c r="Q144" t="s">
        <v>5874</v>
      </c>
    </row>
    <row r="145" spans="1:17" x14ac:dyDescent="0.25">
      <c r="A145" t="s">
        <v>5452</v>
      </c>
      <c r="B145" t="s">
        <v>5437</v>
      </c>
      <c r="C145">
        <v>2027</v>
      </c>
      <c r="D145" t="s">
        <v>712</v>
      </c>
      <c r="E145" t="s">
        <v>823</v>
      </c>
      <c r="F145" s="32">
        <v>46339</v>
      </c>
      <c r="G145" t="s">
        <v>514</v>
      </c>
      <c r="H145">
        <v>47129473</v>
      </c>
      <c r="I145" t="s">
        <v>1430</v>
      </c>
      <c r="J145" t="s">
        <v>1429</v>
      </c>
      <c r="K145" t="s">
        <v>530</v>
      </c>
      <c r="N145">
        <v>0</v>
      </c>
      <c r="O145">
        <v>0</v>
      </c>
      <c r="P145" t="str">
        <f t="shared" si="2"/>
        <v>N</v>
      </c>
      <c r="Q145" t="s">
        <v>5875</v>
      </c>
    </row>
    <row r="146" spans="1:17" x14ac:dyDescent="0.25">
      <c r="A146" t="s">
        <v>5453</v>
      </c>
      <c r="B146" t="s">
        <v>5437</v>
      </c>
      <c r="C146">
        <v>2027</v>
      </c>
      <c r="D146" t="s">
        <v>712</v>
      </c>
      <c r="E146" t="s">
        <v>823</v>
      </c>
      <c r="F146" s="32">
        <v>46339</v>
      </c>
      <c r="G146" t="s">
        <v>514</v>
      </c>
      <c r="H146">
        <v>47128115</v>
      </c>
      <c r="I146" t="s">
        <v>1260</v>
      </c>
      <c r="J146" t="s">
        <v>1259</v>
      </c>
      <c r="K146" t="s">
        <v>530</v>
      </c>
      <c r="N146">
        <v>40</v>
      </c>
      <c r="O146">
        <v>40</v>
      </c>
      <c r="P146" t="str">
        <f t="shared" si="2"/>
        <v>N</v>
      </c>
      <c r="Q146" t="s">
        <v>5876</v>
      </c>
    </row>
    <row r="147" spans="1:17" x14ac:dyDescent="0.25">
      <c r="A147" t="s">
        <v>5454</v>
      </c>
      <c r="B147" t="s">
        <v>5437</v>
      </c>
      <c r="C147">
        <v>2027</v>
      </c>
      <c r="D147" t="s">
        <v>712</v>
      </c>
      <c r="E147" t="s">
        <v>823</v>
      </c>
      <c r="F147" s="32">
        <v>46339</v>
      </c>
      <c r="G147" t="s">
        <v>514</v>
      </c>
      <c r="H147">
        <v>47148664</v>
      </c>
      <c r="I147" t="s">
        <v>1479</v>
      </c>
      <c r="J147" t="s">
        <v>1478</v>
      </c>
      <c r="K147" t="s">
        <v>530</v>
      </c>
      <c r="N147">
        <v>0</v>
      </c>
      <c r="O147">
        <v>0</v>
      </c>
      <c r="P147" t="str">
        <f t="shared" si="2"/>
        <v>N</v>
      </c>
      <c r="Q147" t="s">
        <v>5877</v>
      </c>
    </row>
    <row r="148" spans="1:17" x14ac:dyDescent="0.25">
      <c r="A148" t="s">
        <v>1690</v>
      </c>
      <c r="B148" t="s">
        <v>1135</v>
      </c>
      <c r="C148">
        <v>2027</v>
      </c>
      <c r="D148" t="s">
        <v>714</v>
      </c>
      <c r="E148" t="s">
        <v>824</v>
      </c>
      <c r="F148" s="32">
        <v>46346</v>
      </c>
      <c r="G148" t="s">
        <v>514</v>
      </c>
      <c r="H148">
        <v>47128570</v>
      </c>
      <c r="I148" t="s">
        <v>1491</v>
      </c>
      <c r="J148" t="s">
        <v>1490</v>
      </c>
      <c r="K148" t="s">
        <v>530</v>
      </c>
      <c r="N148">
        <v>0</v>
      </c>
      <c r="O148">
        <v>0</v>
      </c>
      <c r="P148" t="str">
        <f t="shared" si="2"/>
        <v>N</v>
      </c>
      <c r="Q148" t="s">
        <v>5878</v>
      </c>
    </row>
    <row r="149" spans="1:17" x14ac:dyDescent="0.25">
      <c r="A149" t="s">
        <v>2358</v>
      </c>
      <c r="B149" t="s">
        <v>2344</v>
      </c>
      <c r="C149">
        <v>2027</v>
      </c>
      <c r="D149" t="s">
        <v>714</v>
      </c>
      <c r="E149" t="s">
        <v>824</v>
      </c>
      <c r="F149" s="32">
        <v>46346</v>
      </c>
      <c r="G149" t="s">
        <v>514</v>
      </c>
      <c r="H149">
        <v>47140037</v>
      </c>
      <c r="I149" t="s">
        <v>2347</v>
      </c>
      <c r="J149" t="s">
        <v>2348</v>
      </c>
      <c r="K149" t="s">
        <v>530</v>
      </c>
      <c r="N149">
        <v>0</v>
      </c>
      <c r="O149">
        <v>0</v>
      </c>
      <c r="P149" t="str">
        <f t="shared" si="2"/>
        <v>N</v>
      </c>
      <c r="Q149" t="s">
        <v>5879</v>
      </c>
    </row>
    <row r="150" spans="1:17" x14ac:dyDescent="0.25">
      <c r="A150" t="s">
        <v>2359</v>
      </c>
      <c r="B150" t="s">
        <v>2344</v>
      </c>
      <c r="C150">
        <v>2027</v>
      </c>
      <c r="D150" t="s">
        <v>714</v>
      </c>
      <c r="E150" t="s">
        <v>824</v>
      </c>
      <c r="F150" s="32">
        <v>46346</v>
      </c>
      <c r="G150" t="s">
        <v>514</v>
      </c>
      <c r="H150">
        <v>47128216</v>
      </c>
      <c r="I150" t="s">
        <v>2350</v>
      </c>
      <c r="J150" t="s">
        <v>2351</v>
      </c>
      <c r="K150" t="s">
        <v>530</v>
      </c>
      <c r="N150">
        <v>0</v>
      </c>
      <c r="O150">
        <v>0</v>
      </c>
      <c r="P150" t="str">
        <f t="shared" si="2"/>
        <v>N</v>
      </c>
      <c r="Q150" t="s">
        <v>5880</v>
      </c>
    </row>
    <row r="151" spans="1:17" x14ac:dyDescent="0.25">
      <c r="A151" t="s">
        <v>2360</v>
      </c>
      <c r="B151" t="s">
        <v>2344</v>
      </c>
      <c r="C151">
        <v>2027</v>
      </c>
      <c r="D151" t="s">
        <v>714</v>
      </c>
      <c r="E151" t="s">
        <v>824</v>
      </c>
      <c r="F151" s="32">
        <v>46346</v>
      </c>
      <c r="G151" t="s">
        <v>514</v>
      </c>
      <c r="H151">
        <v>47128208</v>
      </c>
      <c r="I151" t="s">
        <v>2353</v>
      </c>
      <c r="J151" t="s">
        <v>2354</v>
      </c>
      <c r="K151" t="s">
        <v>530</v>
      </c>
      <c r="N151">
        <v>7.8</v>
      </c>
      <c r="O151">
        <v>7.8</v>
      </c>
      <c r="P151" t="str">
        <f t="shared" si="2"/>
        <v>N</v>
      </c>
      <c r="Q151" t="s">
        <v>5881</v>
      </c>
    </row>
    <row r="152" spans="1:17" x14ac:dyDescent="0.25">
      <c r="A152" t="s">
        <v>2361</v>
      </c>
      <c r="B152" t="s">
        <v>2344</v>
      </c>
      <c r="C152">
        <v>2027</v>
      </c>
      <c r="D152" t="s">
        <v>714</v>
      </c>
      <c r="E152" t="s">
        <v>824</v>
      </c>
      <c r="F152" s="32">
        <v>46346</v>
      </c>
      <c r="G152" t="s">
        <v>514</v>
      </c>
      <c r="H152">
        <v>47128377</v>
      </c>
      <c r="I152" t="s">
        <v>2362</v>
      </c>
      <c r="J152" t="s">
        <v>2363</v>
      </c>
      <c r="K152" t="s">
        <v>530</v>
      </c>
      <c r="N152">
        <v>32.200000000000003</v>
      </c>
      <c r="O152">
        <v>32.200000000000003</v>
      </c>
      <c r="P152" t="str">
        <f t="shared" si="2"/>
        <v>N</v>
      </c>
      <c r="Q152" t="s">
        <v>5882</v>
      </c>
    </row>
    <row r="153" spans="1:17" x14ac:dyDescent="0.25">
      <c r="A153" t="s">
        <v>3099</v>
      </c>
      <c r="B153" t="s">
        <v>1080</v>
      </c>
      <c r="C153">
        <v>2027</v>
      </c>
      <c r="D153" t="s">
        <v>714</v>
      </c>
      <c r="E153" t="s">
        <v>824</v>
      </c>
      <c r="F153" s="32">
        <v>46346</v>
      </c>
      <c r="G153" t="s">
        <v>514</v>
      </c>
      <c r="H153">
        <v>47128787</v>
      </c>
      <c r="I153" t="s">
        <v>1453</v>
      </c>
      <c r="J153" t="s">
        <v>1452</v>
      </c>
      <c r="K153" t="s">
        <v>530</v>
      </c>
      <c r="N153">
        <v>22</v>
      </c>
      <c r="O153">
        <v>22</v>
      </c>
      <c r="P153" t="str">
        <f t="shared" si="2"/>
        <v>N</v>
      </c>
      <c r="Q153" t="s">
        <v>5883</v>
      </c>
    </row>
    <row r="154" spans="1:17" x14ac:dyDescent="0.25">
      <c r="A154" t="s">
        <v>3100</v>
      </c>
      <c r="B154" t="s">
        <v>1080</v>
      </c>
      <c r="C154">
        <v>2027</v>
      </c>
      <c r="D154" t="s">
        <v>714</v>
      </c>
      <c r="E154" t="s">
        <v>824</v>
      </c>
      <c r="F154" s="32">
        <v>46346</v>
      </c>
      <c r="G154" t="s">
        <v>514</v>
      </c>
      <c r="H154">
        <v>47128977</v>
      </c>
      <c r="I154" t="s">
        <v>1449</v>
      </c>
      <c r="J154" t="s">
        <v>1448</v>
      </c>
      <c r="K154" t="s">
        <v>530</v>
      </c>
      <c r="N154">
        <v>0</v>
      </c>
      <c r="O154">
        <v>0</v>
      </c>
      <c r="P154" t="str">
        <f t="shared" si="2"/>
        <v>N</v>
      </c>
      <c r="Q154" t="s">
        <v>5884</v>
      </c>
    </row>
    <row r="155" spans="1:17" x14ac:dyDescent="0.25">
      <c r="A155" t="s">
        <v>3798</v>
      </c>
      <c r="B155" t="s">
        <v>912</v>
      </c>
      <c r="C155">
        <v>2027</v>
      </c>
      <c r="D155" t="s">
        <v>714</v>
      </c>
      <c r="E155" t="s">
        <v>824</v>
      </c>
      <c r="F155" s="32">
        <v>46346</v>
      </c>
      <c r="G155" t="s">
        <v>514</v>
      </c>
      <c r="H155">
        <v>47100498</v>
      </c>
      <c r="I155" t="s">
        <v>3789</v>
      </c>
      <c r="J155" t="s">
        <v>3790</v>
      </c>
      <c r="K155" t="s">
        <v>530</v>
      </c>
      <c r="N155">
        <v>0</v>
      </c>
      <c r="O155">
        <v>0</v>
      </c>
      <c r="P155" t="str">
        <f t="shared" si="2"/>
        <v>N</v>
      </c>
      <c r="Q155" t="s">
        <v>5885</v>
      </c>
    </row>
    <row r="156" spans="1:17" x14ac:dyDescent="0.25">
      <c r="A156" t="s">
        <v>3799</v>
      </c>
      <c r="B156" t="s">
        <v>912</v>
      </c>
      <c r="C156">
        <v>2027</v>
      </c>
      <c r="D156" t="s">
        <v>714</v>
      </c>
      <c r="E156" t="s">
        <v>824</v>
      </c>
      <c r="F156" s="32">
        <v>46346</v>
      </c>
      <c r="G156" t="s">
        <v>514</v>
      </c>
      <c r="H156">
        <v>47140037</v>
      </c>
      <c r="I156" t="s">
        <v>2347</v>
      </c>
      <c r="J156" t="s">
        <v>2348</v>
      </c>
      <c r="K156" t="s">
        <v>530</v>
      </c>
      <c r="N156">
        <v>0</v>
      </c>
      <c r="O156">
        <v>0</v>
      </c>
      <c r="P156" t="str">
        <f t="shared" si="2"/>
        <v>N</v>
      </c>
      <c r="Q156" t="s">
        <v>5886</v>
      </c>
    </row>
    <row r="157" spans="1:17" x14ac:dyDescent="0.25">
      <c r="A157" t="s">
        <v>3800</v>
      </c>
      <c r="B157" t="s">
        <v>912</v>
      </c>
      <c r="C157">
        <v>2027</v>
      </c>
      <c r="D157" t="s">
        <v>714</v>
      </c>
      <c r="E157" t="s">
        <v>824</v>
      </c>
      <c r="F157" s="32">
        <v>46346</v>
      </c>
      <c r="G157" t="s">
        <v>514</v>
      </c>
      <c r="H157">
        <v>47128216</v>
      </c>
      <c r="I157" t="s">
        <v>2350</v>
      </c>
      <c r="J157" t="s">
        <v>2351</v>
      </c>
      <c r="K157" t="s">
        <v>530</v>
      </c>
      <c r="N157">
        <v>0</v>
      </c>
      <c r="O157">
        <v>0</v>
      </c>
      <c r="P157" t="str">
        <f t="shared" si="2"/>
        <v>N</v>
      </c>
      <c r="Q157" t="s">
        <v>5887</v>
      </c>
    </row>
    <row r="158" spans="1:17" x14ac:dyDescent="0.25">
      <c r="A158" t="s">
        <v>3801</v>
      </c>
      <c r="B158" t="s">
        <v>912</v>
      </c>
      <c r="C158">
        <v>2027</v>
      </c>
      <c r="D158" t="s">
        <v>714</v>
      </c>
      <c r="E158" t="s">
        <v>824</v>
      </c>
      <c r="F158" s="32">
        <v>46346</v>
      </c>
      <c r="G158" t="s">
        <v>514</v>
      </c>
      <c r="H158">
        <v>47128208</v>
      </c>
      <c r="I158" t="s">
        <v>2353</v>
      </c>
      <c r="J158" t="s">
        <v>2354</v>
      </c>
      <c r="K158" t="s">
        <v>530</v>
      </c>
      <c r="N158">
        <v>20</v>
      </c>
      <c r="O158">
        <v>20</v>
      </c>
      <c r="P158" t="str">
        <f t="shared" si="2"/>
        <v>N</v>
      </c>
      <c r="Q158" t="s">
        <v>5888</v>
      </c>
    </row>
    <row r="159" spans="1:17" x14ac:dyDescent="0.25">
      <c r="A159" t="s">
        <v>3802</v>
      </c>
      <c r="B159" t="s">
        <v>912</v>
      </c>
      <c r="C159">
        <v>2027</v>
      </c>
      <c r="D159" t="s">
        <v>714</v>
      </c>
      <c r="E159" t="s">
        <v>824</v>
      </c>
      <c r="F159" s="32">
        <v>46346</v>
      </c>
      <c r="G159" t="s">
        <v>514</v>
      </c>
      <c r="H159">
        <v>47128377</v>
      </c>
      <c r="I159" t="s">
        <v>2362</v>
      </c>
      <c r="J159" t="s">
        <v>2363</v>
      </c>
      <c r="K159" t="s">
        <v>530</v>
      </c>
      <c r="N159">
        <v>20</v>
      </c>
      <c r="O159">
        <v>20</v>
      </c>
      <c r="P159" t="str">
        <f t="shared" si="2"/>
        <v>N</v>
      </c>
      <c r="Q159" t="s">
        <v>5889</v>
      </c>
    </row>
    <row r="160" spans="1:17" x14ac:dyDescent="0.25">
      <c r="A160" t="s">
        <v>3947</v>
      </c>
      <c r="B160" t="s">
        <v>3939</v>
      </c>
      <c r="C160">
        <v>2027</v>
      </c>
      <c r="D160" t="s">
        <v>714</v>
      </c>
      <c r="E160" t="s">
        <v>824</v>
      </c>
      <c r="F160" s="32">
        <v>46346</v>
      </c>
      <c r="G160" t="s">
        <v>514</v>
      </c>
      <c r="H160">
        <v>47140037</v>
      </c>
      <c r="I160" t="s">
        <v>2347</v>
      </c>
      <c r="J160" t="s">
        <v>2348</v>
      </c>
      <c r="K160" t="s">
        <v>530</v>
      </c>
      <c r="N160">
        <v>0</v>
      </c>
      <c r="O160">
        <v>0</v>
      </c>
      <c r="P160" t="str">
        <f t="shared" si="2"/>
        <v>N</v>
      </c>
      <c r="Q160" t="s">
        <v>5890</v>
      </c>
    </row>
    <row r="161" spans="1:17" x14ac:dyDescent="0.25">
      <c r="A161" t="s">
        <v>3948</v>
      </c>
      <c r="B161" t="s">
        <v>3939</v>
      </c>
      <c r="C161">
        <v>2027</v>
      </c>
      <c r="D161" t="s">
        <v>714</v>
      </c>
      <c r="E161" t="s">
        <v>824</v>
      </c>
      <c r="F161" s="32">
        <v>46346</v>
      </c>
      <c r="G161" t="s">
        <v>514</v>
      </c>
      <c r="H161">
        <v>47128216</v>
      </c>
      <c r="I161" t="s">
        <v>2350</v>
      </c>
      <c r="J161" t="s">
        <v>2351</v>
      </c>
      <c r="K161" t="s">
        <v>530</v>
      </c>
      <c r="N161">
        <v>0</v>
      </c>
      <c r="O161">
        <v>0</v>
      </c>
      <c r="P161" t="str">
        <f t="shared" si="2"/>
        <v>N</v>
      </c>
      <c r="Q161" t="s">
        <v>5891</v>
      </c>
    </row>
    <row r="162" spans="1:17" x14ac:dyDescent="0.25">
      <c r="A162" t="s">
        <v>3949</v>
      </c>
      <c r="B162" t="s">
        <v>3939</v>
      </c>
      <c r="C162">
        <v>2027</v>
      </c>
      <c r="D162" t="s">
        <v>714</v>
      </c>
      <c r="E162" t="s">
        <v>824</v>
      </c>
      <c r="F162" s="32">
        <v>46346</v>
      </c>
      <c r="G162" t="s">
        <v>514</v>
      </c>
      <c r="H162">
        <v>47128208</v>
      </c>
      <c r="I162" t="s">
        <v>2353</v>
      </c>
      <c r="J162" t="s">
        <v>2354</v>
      </c>
      <c r="K162" t="s">
        <v>530</v>
      </c>
      <c r="N162">
        <v>20</v>
      </c>
      <c r="O162">
        <v>20</v>
      </c>
      <c r="P162" t="str">
        <f t="shared" si="2"/>
        <v>N</v>
      </c>
      <c r="Q162" t="s">
        <v>5892</v>
      </c>
    </row>
    <row r="163" spans="1:17" x14ac:dyDescent="0.25">
      <c r="A163" t="s">
        <v>3950</v>
      </c>
      <c r="B163" t="s">
        <v>3939</v>
      </c>
      <c r="C163">
        <v>2027</v>
      </c>
      <c r="D163" t="s">
        <v>714</v>
      </c>
      <c r="E163" t="s">
        <v>824</v>
      </c>
      <c r="F163" s="32">
        <v>46346</v>
      </c>
      <c r="G163" t="s">
        <v>514</v>
      </c>
      <c r="H163">
        <v>47128377</v>
      </c>
      <c r="I163" t="s">
        <v>2362</v>
      </c>
      <c r="J163" t="s">
        <v>2363</v>
      </c>
      <c r="K163" t="s">
        <v>530</v>
      </c>
      <c r="N163">
        <v>20</v>
      </c>
      <c r="O163">
        <v>20</v>
      </c>
      <c r="P163" t="str">
        <f t="shared" si="2"/>
        <v>N</v>
      </c>
      <c r="Q163" t="s">
        <v>5893</v>
      </c>
    </row>
    <row r="164" spans="1:17" x14ac:dyDescent="0.25">
      <c r="A164" t="s">
        <v>4035</v>
      </c>
      <c r="B164" t="s">
        <v>1489</v>
      </c>
      <c r="C164">
        <v>2027</v>
      </c>
      <c r="D164" t="s">
        <v>714</v>
      </c>
      <c r="E164" t="s">
        <v>824</v>
      </c>
      <c r="F164" s="32">
        <v>46346</v>
      </c>
      <c r="G164" t="s">
        <v>514</v>
      </c>
      <c r="H164">
        <v>47129473</v>
      </c>
      <c r="I164" t="s">
        <v>1430</v>
      </c>
      <c r="J164" t="s">
        <v>1429</v>
      </c>
      <c r="K164" t="s">
        <v>530</v>
      </c>
      <c r="N164">
        <v>0</v>
      </c>
      <c r="O164">
        <v>0</v>
      </c>
      <c r="P164" t="str">
        <f t="shared" si="2"/>
        <v>N</v>
      </c>
      <c r="Q164" t="s">
        <v>5894</v>
      </c>
    </row>
    <row r="165" spans="1:17" x14ac:dyDescent="0.25">
      <c r="A165" t="s">
        <v>4036</v>
      </c>
      <c r="B165" t="s">
        <v>1489</v>
      </c>
      <c r="C165">
        <v>2027</v>
      </c>
      <c r="D165" t="s">
        <v>714</v>
      </c>
      <c r="E165" t="s">
        <v>824</v>
      </c>
      <c r="F165" s="32">
        <v>46346</v>
      </c>
      <c r="G165" t="s">
        <v>514</v>
      </c>
      <c r="H165">
        <v>47128787</v>
      </c>
      <c r="I165" t="s">
        <v>1453</v>
      </c>
      <c r="J165" t="s">
        <v>1452</v>
      </c>
      <c r="K165" t="s">
        <v>530</v>
      </c>
      <c r="N165">
        <v>9</v>
      </c>
      <c r="O165">
        <v>9</v>
      </c>
      <c r="P165" t="str">
        <f t="shared" si="2"/>
        <v>N</v>
      </c>
      <c r="Q165" t="s">
        <v>5895</v>
      </c>
    </row>
    <row r="166" spans="1:17" x14ac:dyDescent="0.25">
      <c r="A166" t="s">
        <v>4037</v>
      </c>
      <c r="B166" t="s">
        <v>1489</v>
      </c>
      <c r="C166">
        <v>2027</v>
      </c>
      <c r="D166" t="s">
        <v>714</v>
      </c>
      <c r="E166" t="s">
        <v>824</v>
      </c>
      <c r="F166" s="32">
        <v>46346</v>
      </c>
      <c r="G166" t="s">
        <v>514</v>
      </c>
      <c r="H166">
        <v>47128977</v>
      </c>
      <c r="I166" t="s">
        <v>1449</v>
      </c>
      <c r="J166" t="s">
        <v>1448</v>
      </c>
      <c r="K166" t="s">
        <v>530</v>
      </c>
      <c r="N166">
        <v>0</v>
      </c>
      <c r="O166">
        <v>0</v>
      </c>
      <c r="P166" t="str">
        <f t="shared" si="2"/>
        <v>N</v>
      </c>
      <c r="Q166" t="s">
        <v>5896</v>
      </c>
    </row>
    <row r="167" spans="1:17" x14ac:dyDescent="0.25">
      <c r="A167" t="s">
        <v>4134</v>
      </c>
      <c r="B167" t="s">
        <v>916</v>
      </c>
      <c r="C167">
        <v>2027</v>
      </c>
      <c r="D167" t="s">
        <v>714</v>
      </c>
      <c r="E167" t="s">
        <v>824</v>
      </c>
      <c r="F167" s="32">
        <v>46346</v>
      </c>
      <c r="G167" t="s">
        <v>514</v>
      </c>
      <c r="H167">
        <v>47128570</v>
      </c>
      <c r="I167" t="s">
        <v>1491</v>
      </c>
      <c r="J167" t="s">
        <v>1490</v>
      </c>
      <c r="K167" t="s">
        <v>530</v>
      </c>
      <c r="N167">
        <v>0</v>
      </c>
      <c r="O167">
        <v>0</v>
      </c>
      <c r="P167" t="str">
        <f t="shared" si="2"/>
        <v>N</v>
      </c>
      <c r="Q167" t="s">
        <v>5897</v>
      </c>
    </row>
    <row r="168" spans="1:17" x14ac:dyDescent="0.25">
      <c r="A168" t="s">
        <v>4135</v>
      </c>
      <c r="B168" t="s">
        <v>916</v>
      </c>
      <c r="C168">
        <v>2027</v>
      </c>
      <c r="D168" t="s">
        <v>714</v>
      </c>
      <c r="E168" t="s">
        <v>824</v>
      </c>
      <c r="F168" s="32">
        <v>46346</v>
      </c>
      <c r="G168" t="s">
        <v>514</v>
      </c>
      <c r="H168">
        <v>47129548</v>
      </c>
      <c r="I168" t="s">
        <v>1340</v>
      </c>
      <c r="J168" t="s">
        <v>1339</v>
      </c>
      <c r="K168" t="s">
        <v>530</v>
      </c>
      <c r="N168">
        <v>40</v>
      </c>
      <c r="O168">
        <v>40</v>
      </c>
      <c r="P168" t="str">
        <f t="shared" si="2"/>
        <v>N</v>
      </c>
      <c r="Q168" t="s">
        <v>5898</v>
      </c>
    </row>
    <row r="169" spans="1:17" x14ac:dyDescent="0.25">
      <c r="A169" t="s">
        <v>4460</v>
      </c>
      <c r="B169" t="s">
        <v>4445</v>
      </c>
      <c r="C169">
        <v>2027</v>
      </c>
      <c r="D169" t="s">
        <v>714</v>
      </c>
      <c r="E169" t="s">
        <v>824</v>
      </c>
      <c r="F169" s="32">
        <v>46346</v>
      </c>
      <c r="G169" t="s">
        <v>514</v>
      </c>
      <c r="H169">
        <v>47129711</v>
      </c>
      <c r="I169" t="s">
        <v>4446</v>
      </c>
      <c r="J169" t="s">
        <v>4447</v>
      </c>
      <c r="K169" t="s">
        <v>530</v>
      </c>
      <c r="N169">
        <v>0</v>
      </c>
      <c r="O169">
        <v>0</v>
      </c>
      <c r="P169" t="str">
        <f t="shared" si="2"/>
        <v>N</v>
      </c>
      <c r="Q169" t="s">
        <v>5899</v>
      </c>
    </row>
    <row r="170" spans="1:17" x14ac:dyDescent="0.25">
      <c r="A170" t="s">
        <v>4461</v>
      </c>
      <c r="B170" t="s">
        <v>4445</v>
      </c>
      <c r="C170">
        <v>2027</v>
      </c>
      <c r="D170" t="s">
        <v>714</v>
      </c>
      <c r="E170" t="s">
        <v>824</v>
      </c>
      <c r="F170" s="32">
        <v>46346</v>
      </c>
      <c r="G170" t="s">
        <v>514</v>
      </c>
      <c r="H170">
        <v>47129228</v>
      </c>
      <c r="I170" t="s">
        <v>4449</v>
      </c>
      <c r="J170" t="s">
        <v>4450</v>
      </c>
      <c r="K170" t="s">
        <v>530</v>
      </c>
      <c r="N170">
        <v>0</v>
      </c>
      <c r="O170">
        <v>0</v>
      </c>
      <c r="P170" t="str">
        <f t="shared" si="2"/>
        <v>N</v>
      </c>
      <c r="Q170" t="s">
        <v>5900</v>
      </c>
    </row>
    <row r="171" spans="1:17" x14ac:dyDescent="0.25">
      <c r="A171" t="s">
        <v>4522</v>
      </c>
      <c r="B171" t="s">
        <v>1044</v>
      </c>
      <c r="C171">
        <v>2027</v>
      </c>
      <c r="D171" t="s">
        <v>714</v>
      </c>
      <c r="E171" t="s">
        <v>824</v>
      </c>
      <c r="F171" s="32">
        <v>46346</v>
      </c>
      <c r="G171" t="s">
        <v>514</v>
      </c>
      <c r="H171">
        <v>47148664</v>
      </c>
      <c r="I171" t="s">
        <v>1479</v>
      </c>
      <c r="J171" t="s">
        <v>1478</v>
      </c>
      <c r="K171" t="s">
        <v>530</v>
      </c>
      <c r="N171">
        <v>40</v>
      </c>
      <c r="O171">
        <v>40</v>
      </c>
      <c r="P171" t="str">
        <f t="shared" si="2"/>
        <v>N</v>
      </c>
      <c r="Q171" t="s">
        <v>5901</v>
      </c>
    </row>
    <row r="172" spans="1:17" x14ac:dyDescent="0.25">
      <c r="A172" t="s">
        <v>4523</v>
      </c>
      <c r="B172" t="s">
        <v>1044</v>
      </c>
      <c r="C172">
        <v>2027</v>
      </c>
      <c r="D172" t="s">
        <v>714</v>
      </c>
      <c r="E172" t="s">
        <v>824</v>
      </c>
      <c r="F172" s="32">
        <v>46346</v>
      </c>
      <c r="G172" t="s">
        <v>514</v>
      </c>
      <c r="H172">
        <v>47129020</v>
      </c>
      <c r="I172" t="s">
        <v>1058</v>
      </c>
      <c r="J172" t="s">
        <v>1057</v>
      </c>
      <c r="K172" t="s">
        <v>530</v>
      </c>
      <c r="N172">
        <v>0</v>
      </c>
      <c r="O172">
        <v>0</v>
      </c>
      <c r="P172" t="str">
        <f t="shared" si="2"/>
        <v>N</v>
      </c>
      <c r="Q172" t="s">
        <v>5902</v>
      </c>
    </row>
    <row r="173" spans="1:17" x14ac:dyDescent="0.25">
      <c r="A173" t="s">
        <v>4524</v>
      </c>
      <c r="B173" t="s">
        <v>1044</v>
      </c>
      <c r="C173">
        <v>2027</v>
      </c>
      <c r="D173" t="s">
        <v>714</v>
      </c>
      <c r="E173" t="s">
        <v>824</v>
      </c>
      <c r="F173" s="32">
        <v>46346</v>
      </c>
      <c r="G173" t="s">
        <v>514</v>
      </c>
      <c r="H173">
        <v>47129473</v>
      </c>
      <c r="I173" t="s">
        <v>1430</v>
      </c>
      <c r="J173" t="s">
        <v>1429</v>
      </c>
      <c r="K173" t="s">
        <v>530</v>
      </c>
      <c r="N173">
        <v>0</v>
      </c>
      <c r="O173">
        <v>0</v>
      </c>
      <c r="P173" t="str">
        <f t="shared" si="2"/>
        <v>N</v>
      </c>
      <c r="Q173" t="s">
        <v>5903</v>
      </c>
    </row>
    <row r="174" spans="1:17" x14ac:dyDescent="0.25">
      <c r="A174" t="s">
        <v>4525</v>
      </c>
      <c r="B174" t="s">
        <v>1044</v>
      </c>
      <c r="C174">
        <v>2027</v>
      </c>
      <c r="D174" t="s">
        <v>714</v>
      </c>
      <c r="E174" t="s">
        <v>824</v>
      </c>
      <c r="F174" s="32">
        <v>46346</v>
      </c>
      <c r="G174" t="s">
        <v>514</v>
      </c>
      <c r="H174">
        <v>47133720</v>
      </c>
      <c r="I174" t="s">
        <v>1217</v>
      </c>
      <c r="J174" t="s">
        <v>1216</v>
      </c>
      <c r="K174" t="s">
        <v>530</v>
      </c>
      <c r="N174">
        <v>0</v>
      </c>
      <c r="O174">
        <v>0</v>
      </c>
      <c r="P174" t="str">
        <f t="shared" si="2"/>
        <v>N</v>
      </c>
      <c r="Q174" t="s">
        <v>5904</v>
      </c>
    </row>
    <row r="175" spans="1:17" x14ac:dyDescent="0.25">
      <c r="A175" t="s">
        <v>4792</v>
      </c>
      <c r="B175" t="s">
        <v>1090</v>
      </c>
      <c r="C175">
        <v>2027</v>
      </c>
      <c r="D175" t="s">
        <v>714</v>
      </c>
      <c r="E175" t="s">
        <v>824</v>
      </c>
      <c r="F175" s="32">
        <v>46346</v>
      </c>
      <c r="G175" t="s">
        <v>514</v>
      </c>
      <c r="H175">
        <v>47128477</v>
      </c>
      <c r="I175" t="s">
        <v>1029</v>
      </c>
      <c r="J175" t="s">
        <v>1028</v>
      </c>
      <c r="K175" t="s">
        <v>530</v>
      </c>
      <c r="N175">
        <v>0</v>
      </c>
      <c r="O175">
        <v>0</v>
      </c>
      <c r="P175" t="str">
        <f t="shared" si="2"/>
        <v>N</v>
      </c>
      <c r="Q175" t="s">
        <v>5905</v>
      </c>
    </row>
    <row r="176" spans="1:17" x14ac:dyDescent="0.25">
      <c r="A176" t="s">
        <v>4793</v>
      </c>
      <c r="B176" t="s">
        <v>1090</v>
      </c>
      <c r="C176">
        <v>2027</v>
      </c>
      <c r="D176" t="s">
        <v>714</v>
      </c>
      <c r="E176" t="s">
        <v>824</v>
      </c>
      <c r="F176" s="32">
        <v>46346</v>
      </c>
      <c r="G176" t="s">
        <v>514</v>
      </c>
      <c r="H176">
        <v>47128350</v>
      </c>
      <c r="I176" t="s">
        <v>1032</v>
      </c>
      <c r="J176" t="s">
        <v>1031</v>
      </c>
      <c r="K176" t="s">
        <v>530</v>
      </c>
      <c r="N176">
        <v>0</v>
      </c>
      <c r="O176">
        <v>0</v>
      </c>
      <c r="P176" t="str">
        <f t="shared" si="2"/>
        <v>N</v>
      </c>
      <c r="Q176" t="s">
        <v>5906</v>
      </c>
    </row>
    <row r="177" spans="1:17" x14ac:dyDescent="0.25">
      <c r="A177" t="s">
        <v>4794</v>
      </c>
      <c r="B177" t="s">
        <v>1090</v>
      </c>
      <c r="C177">
        <v>2027</v>
      </c>
      <c r="D177" t="s">
        <v>714</v>
      </c>
      <c r="E177" t="s">
        <v>824</v>
      </c>
      <c r="F177" s="32">
        <v>46346</v>
      </c>
      <c r="G177" t="s">
        <v>514</v>
      </c>
      <c r="H177">
        <v>47128353</v>
      </c>
      <c r="I177" t="s">
        <v>982</v>
      </c>
      <c r="J177" t="s">
        <v>981</v>
      </c>
      <c r="K177" t="s">
        <v>530</v>
      </c>
      <c r="N177">
        <v>0</v>
      </c>
      <c r="O177">
        <v>0</v>
      </c>
      <c r="P177" t="str">
        <f t="shared" si="2"/>
        <v>N</v>
      </c>
      <c r="Q177" t="s">
        <v>5907</v>
      </c>
    </row>
    <row r="178" spans="1:17" x14ac:dyDescent="0.25">
      <c r="A178" t="s">
        <v>4795</v>
      </c>
      <c r="B178" t="s">
        <v>1090</v>
      </c>
      <c r="C178">
        <v>2027</v>
      </c>
      <c r="D178" t="s">
        <v>714</v>
      </c>
      <c r="E178" t="s">
        <v>824</v>
      </c>
      <c r="F178" s="32">
        <v>46346</v>
      </c>
      <c r="G178" t="s">
        <v>514</v>
      </c>
      <c r="H178">
        <v>47128349</v>
      </c>
      <c r="I178" t="s">
        <v>975</v>
      </c>
      <c r="J178" t="s">
        <v>974</v>
      </c>
      <c r="K178" t="s">
        <v>530</v>
      </c>
      <c r="N178">
        <v>0</v>
      </c>
      <c r="O178">
        <v>0</v>
      </c>
      <c r="P178" t="str">
        <f t="shared" si="2"/>
        <v>N</v>
      </c>
      <c r="Q178" t="s">
        <v>5908</v>
      </c>
    </row>
    <row r="179" spans="1:17" x14ac:dyDescent="0.25">
      <c r="A179" t="s">
        <v>4796</v>
      </c>
      <c r="B179" t="s">
        <v>1090</v>
      </c>
      <c r="C179">
        <v>2027</v>
      </c>
      <c r="D179" t="s">
        <v>714</v>
      </c>
      <c r="E179" t="s">
        <v>824</v>
      </c>
      <c r="F179" s="32">
        <v>46346</v>
      </c>
      <c r="G179" t="s">
        <v>514</v>
      </c>
      <c r="H179">
        <v>47128851</v>
      </c>
      <c r="I179" t="s">
        <v>924</v>
      </c>
      <c r="J179" t="s">
        <v>923</v>
      </c>
      <c r="K179" t="s">
        <v>530</v>
      </c>
      <c r="N179">
        <v>32.799999999999997</v>
      </c>
      <c r="O179">
        <v>32.799999999999997</v>
      </c>
      <c r="P179" t="str">
        <f t="shared" si="2"/>
        <v>N</v>
      </c>
      <c r="Q179" t="s">
        <v>5909</v>
      </c>
    </row>
    <row r="180" spans="1:17" x14ac:dyDescent="0.25">
      <c r="A180" t="s">
        <v>4797</v>
      </c>
      <c r="B180" t="s">
        <v>1090</v>
      </c>
      <c r="C180">
        <v>2027</v>
      </c>
      <c r="D180" t="s">
        <v>714</v>
      </c>
      <c r="E180" t="s">
        <v>824</v>
      </c>
      <c r="F180" s="32">
        <v>46346</v>
      </c>
      <c r="G180" t="s">
        <v>514</v>
      </c>
      <c r="H180">
        <v>47128824</v>
      </c>
      <c r="I180" t="s">
        <v>1296</v>
      </c>
      <c r="J180" t="s">
        <v>1295</v>
      </c>
      <c r="K180" t="s">
        <v>530</v>
      </c>
      <c r="N180">
        <v>7.2</v>
      </c>
      <c r="O180">
        <v>7.2</v>
      </c>
      <c r="P180" t="str">
        <f t="shared" si="2"/>
        <v>N</v>
      </c>
      <c r="Q180" t="s">
        <v>5910</v>
      </c>
    </row>
    <row r="181" spans="1:17" x14ac:dyDescent="0.25">
      <c r="A181" t="s">
        <v>5204</v>
      </c>
      <c r="B181" t="s">
        <v>1089</v>
      </c>
      <c r="C181">
        <v>2027</v>
      </c>
      <c r="D181" t="s">
        <v>714</v>
      </c>
      <c r="E181" t="s">
        <v>824</v>
      </c>
      <c r="F181" s="32">
        <v>46346</v>
      </c>
      <c r="G181" t="s">
        <v>514</v>
      </c>
      <c r="H181">
        <v>47129548</v>
      </c>
      <c r="I181" t="s">
        <v>1340</v>
      </c>
      <c r="J181" t="s">
        <v>1339</v>
      </c>
      <c r="K181" t="s">
        <v>530</v>
      </c>
      <c r="N181">
        <v>40</v>
      </c>
      <c r="O181">
        <v>40</v>
      </c>
      <c r="P181" t="str">
        <f t="shared" si="2"/>
        <v>N</v>
      </c>
      <c r="Q181" t="s">
        <v>5911</v>
      </c>
    </row>
    <row r="182" spans="1:17" x14ac:dyDescent="0.25">
      <c r="A182" t="s">
        <v>5455</v>
      </c>
      <c r="B182" t="s">
        <v>5437</v>
      </c>
      <c r="C182">
        <v>2027</v>
      </c>
      <c r="D182" t="s">
        <v>714</v>
      </c>
      <c r="E182" t="s">
        <v>824</v>
      </c>
      <c r="F182" s="32">
        <v>46346</v>
      </c>
      <c r="G182" t="s">
        <v>514</v>
      </c>
      <c r="H182">
        <v>47148664</v>
      </c>
      <c r="I182" t="s">
        <v>1479</v>
      </c>
      <c r="J182" t="s">
        <v>1478</v>
      </c>
      <c r="K182" t="s">
        <v>530</v>
      </c>
      <c r="N182">
        <v>0</v>
      </c>
      <c r="O182">
        <v>0</v>
      </c>
      <c r="P182" t="str">
        <f t="shared" si="2"/>
        <v>N</v>
      </c>
      <c r="Q182" t="s">
        <v>5912</v>
      </c>
    </row>
    <row r="183" spans="1:17" x14ac:dyDescent="0.25">
      <c r="A183" t="s">
        <v>5456</v>
      </c>
      <c r="B183" t="s">
        <v>5437</v>
      </c>
      <c r="C183">
        <v>2027</v>
      </c>
      <c r="D183" t="s">
        <v>714</v>
      </c>
      <c r="E183" t="s">
        <v>824</v>
      </c>
      <c r="F183" s="32">
        <v>46346</v>
      </c>
      <c r="G183" t="s">
        <v>514</v>
      </c>
      <c r="H183">
        <v>47129020</v>
      </c>
      <c r="I183" t="s">
        <v>1058</v>
      </c>
      <c r="J183" t="s">
        <v>1057</v>
      </c>
      <c r="K183" t="s">
        <v>530</v>
      </c>
      <c r="N183">
        <v>0</v>
      </c>
      <c r="O183">
        <v>0</v>
      </c>
      <c r="P183" t="str">
        <f t="shared" si="2"/>
        <v>N</v>
      </c>
      <c r="Q183" t="s">
        <v>5913</v>
      </c>
    </row>
    <row r="184" spans="1:17" x14ac:dyDescent="0.25">
      <c r="A184" t="s">
        <v>5457</v>
      </c>
      <c r="B184" t="s">
        <v>5437</v>
      </c>
      <c r="C184">
        <v>2027</v>
      </c>
      <c r="D184" t="s">
        <v>714</v>
      </c>
      <c r="E184" t="s">
        <v>824</v>
      </c>
      <c r="F184" s="32">
        <v>46346</v>
      </c>
      <c r="G184" t="s">
        <v>514</v>
      </c>
      <c r="H184">
        <v>47129473</v>
      </c>
      <c r="I184" t="s">
        <v>1430</v>
      </c>
      <c r="J184" t="s">
        <v>1429</v>
      </c>
      <c r="K184" t="s">
        <v>530</v>
      </c>
      <c r="N184">
        <v>0</v>
      </c>
      <c r="O184">
        <v>0</v>
      </c>
      <c r="P184" t="str">
        <f t="shared" si="2"/>
        <v>N</v>
      </c>
      <c r="Q184" t="s">
        <v>5914</v>
      </c>
    </row>
    <row r="185" spans="1:17" x14ac:dyDescent="0.25">
      <c r="A185" t="s">
        <v>5458</v>
      </c>
      <c r="B185" t="s">
        <v>5437</v>
      </c>
      <c r="C185">
        <v>2027</v>
      </c>
      <c r="D185" t="s">
        <v>714</v>
      </c>
      <c r="E185" t="s">
        <v>824</v>
      </c>
      <c r="F185" s="32">
        <v>46346</v>
      </c>
      <c r="G185" t="s">
        <v>514</v>
      </c>
      <c r="H185">
        <v>47128115</v>
      </c>
      <c r="I185" t="s">
        <v>1260</v>
      </c>
      <c r="J185" t="s">
        <v>1259</v>
      </c>
      <c r="K185" t="s">
        <v>530</v>
      </c>
      <c r="N185">
        <v>40</v>
      </c>
      <c r="O185">
        <v>40</v>
      </c>
      <c r="P185" t="str">
        <f t="shared" si="2"/>
        <v>N</v>
      </c>
      <c r="Q185" t="s">
        <v>5915</v>
      </c>
    </row>
    <row r="186" spans="1:17" x14ac:dyDescent="0.25">
      <c r="A186" t="s">
        <v>1691</v>
      </c>
      <c r="B186" t="s">
        <v>1135</v>
      </c>
      <c r="C186">
        <v>2027</v>
      </c>
      <c r="D186" t="s">
        <v>716</v>
      </c>
      <c r="E186" t="s">
        <v>825</v>
      </c>
      <c r="F186" s="32">
        <v>46353</v>
      </c>
      <c r="G186" t="s">
        <v>514</v>
      </c>
      <c r="H186">
        <v>47128570</v>
      </c>
      <c r="I186" t="s">
        <v>1491</v>
      </c>
      <c r="J186" t="s">
        <v>1490</v>
      </c>
      <c r="K186" t="s">
        <v>530</v>
      </c>
      <c r="N186">
        <v>0</v>
      </c>
      <c r="O186">
        <v>0</v>
      </c>
      <c r="P186" t="str">
        <f t="shared" si="2"/>
        <v>N</v>
      </c>
      <c r="Q186" t="s">
        <v>5916</v>
      </c>
    </row>
    <row r="187" spans="1:17" x14ac:dyDescent="0.25">
      <c r="A187" t="s">
        <v>2364</v>
      </c>
      <c r="B187" t="s">
        <v>2344</v>
      </c>
      <c r="C187">
        <v>2027</v>
      </c>
      <c r="D187" t="s">
        <v>716</v>
      </c>
      <c r="E187" t="s">
        <v>825</v>
      </c>
      <c r="F187" s="32">
        <v>46353</v>
      </c>
      <c r="G187" t="s">
        <v>514</v>
      </c>
      <c r="H187">
        <v>47140037</v>
      </c>
      <c r="I187" t="s">
        <v>2347</v>
      </c>
      <c r="J187" t="s">
        <v>2348</v>
      </c>
      <c r="K187" t="s">
        <v>530</v>
      </c>
      <c r="N187">
        <v>0</v>
      </c>
      <c r="O187">
        <v>0</v>
      </c>
      <c r="P187" t="str">
        <f t="shared" si="2"/>
        <v>N</v>
      </c>
      <c r="Q187" t="s">
        <v>5917</v>
      </c>
    </row>
    <row r="188" spans="1:17" x14ac:dyDescent="0.25">
      <c r="A188" t="s">
        <v>2365</v>
      </c>
      <c r="B188" t="s">
        <v>2344</v>
      </c>
      <c r="C188">
        <v>2027</v>
      </c>
      <c r="D188" t="s">
        <v>716</v>
      </c>
      <c r="E188" t="s">
        <v>825</v>
      </c>
      <c r="F188" s="32">
        <v>46353</v>
      </c>
      <c r="G188" t="s">
        <v>514</v>
      </c>
      <c r="H188">
        <v>47128216</v>
      </c>
      <c r="I188" t="s">
        <v>2350</v>
      </c>
      <c r="J188" t="s">
        <v>2351</v>
      </c>
      <c r="K188" t="s">
        <v>530</v>
      </c>
      <c r="N188">
        <v>0</v>
      </c>
      <c r="O188">
        <v>0</v>
      </c>
      <c r="P188" t="str">
        <f t="shared" si="2"/>
        <v>N</v>
      </c>
      <c r="Q188" t="s">
        <v>5918</v>
      </c>
    </row>
    <row r="189" spans="1:17" x14ac:dyDescent="0.25">
      <c r="A189" t="s">
        <v>2366</v>
      </c>
      <c r="B189" t="s">
        <v>2344</v>
      </c>
      <c r="C189">
        <v>2027</v>
      </c>
      <c r="D189" t="s">
        <v>716</v>
      </c>
      <c r="E189" t="s">
        <v>825</v>
      </c>
      <c r="F189" s="32">
        <v>46353</v>
      </c>
      <c r="G189" t="s">
        <v>514</v>
      </c>
      <c r="H189">
        <v>47128208</v>
      </c>
      <c r="I189" t="s">
        <v>2353</v>
      </c>
      <c r="J189" t="s">
        <v>2354</v>
      </c>
      <c r="K189" t="s">
        <v>530</v>
      </c>
      <c r="N189">
        <v>0</v>
      </c>
      <c r="O189">
        <v>0</v>
      </c>
      <c r="P189" t="str">
        <f t="shared" si="2"/>
        <v>N</v>
      </c>
      <c r="Q189" t="s">
        <v>5919</v>
      </c>
    </row>
    <row r="190" spans="1:17" x14ac:dyDescent="0.25">
      <c r="A190" t="s">
        <v>2367</v>
      </c>
      <c r="B190" t="s">
        <v>2344</v>
      </c>
      <c r="C190">
        <v>2027</v>
      </c>
      <c r="D190" t="s">
        <v>716</v>
      </c>
      <c r="E190" t="s">
        <v>825</v>
      </c>
      <c r="F190" s="32">
        <v>46353</v>
      </c>
      <c r="G190" t="s">
        <v>514</v>
      </c>
      <c r="H190">
        <v>47128377</v>
      </c>
      <c r="I190" t="s">
        <v>2362</v>
      </c>
      <c r="J190" t="s">
        <v>2363</v>
      </c>
      <c r="K190" t="s">
        <v>530</v>
      </c>
      <c r="N190">
        <v>40</v>
      </c>
      <c r="O190">
        <v>40</v>
      </c>
      <c r="P190" t="str">
        <f t="shared" si="2"/>
        <v>N</v>
      </c>
      <c r="Q190" t="s">
        <v>5920</v>
      </c>
    </row>
    <row r="191" spans="1:17" x14ac:dyDescent="0.25">
      <c r="A191" t="s">
        <v>3101</v>
      </c>
      <c r="B191" t="s">
        <v>1080</v>
      </c>
      <c r="C191">
        <v>2027</v>
      </c>
      <c r="D191" t="s">
        <v>716</v>
      </c>
      <c r="E191" t="s">
        <v>825</v>
      </c>
      <c r="F191" s="32">
        <v>46353</v>
      </c>
      <c r="G191" t="s">
        <v>514</v>
      </c>
      <c r="H191">
        <v>47128787</v>
      </c>
      <c r="I191" t="s">
        <v>1453</v>
      </c>
      <c r="J191" t="s">
        <v>1452</v>
      </c>
      <c r="K191" t="s">
        <v>530</v>
      </c>
      <c r="N191">
        <v>0</v>
      </c>
      <c r="O191">
        <v>0</v>
      </c>
      <c r="P191" t="str">
        <f t="shared" si="2"/>
        <v>N</v>
      </c>
      <c r="Q191" t="s">
        <v>5921</v>
      </c>
    </row>
    <row r="192" spans="1:17" x14ac:dyDescent="0.25">
      <c r="A192" t="s">
        <v>3102</v>
      </c>
      <c r="B192" t="s">
        <v>1080</v>
      </c>
      <c r="C192">
        <v>2027</v>
      </c>
      <c r="D192" t="s">
        <v>716</v>
      </c>
      <c r="E192" t="s">
        <v>825</v>
      </c>
      <c r="F192" s="32">
        <v>46353</v>
      </c>
      <c r="G192" t="s">
        <v>514</v>
      </c>
      <c r="H192">
        <v>47128977</v>
      </c>
      <c r="I192" t="s">
        <v>1449</v>
      </c>
      <c r="J192" t="s">
        <v>1448</v>
      </c>
      <c r="K192" t="s">
        <v>530</v>
      </c>
      <c r="N192">
        <v>22</v>
      </c>
      <c r="O192">
        <v>22</v>
      </c>
      <c r="P192" t="str">
        <f t="shared" si="2"/>
        <v>N</v>
      </c>
      <c r="Q192" t="s">
        <v>5922</v>
      </c>
    </row>
    <row r="193" spans="1:17" x14ac:dyDescent="0.25">
      <c r="A193" t="s">
        <v>3803</v>
      </c>
      <c r="B193" t="s">
        <v>912</v>
      </c>
      <c r="C193">
        <v>2027</v>
      </c>
      <c r="D193" t="s">
        <v>716</v>
      </c>
      <c r="E193" t="s">
        <v>825</v>
      </c>
      <c r="F193" s="32">
        <v>46353</v>
      </c>
      <c r="G193" t="s">
        <v>514</v>
      </c>
      <c r="H193">
        <v>47100498</v>
      </c>
      <c r="I193" t="s">
        <v>3789</v>
      </c>
      <c r="J193" t="s">
        <v>3790</v>
      </c>
      <c r="K193" t="s">
        <v>530</v>
      </c>
      <c r="N193">
        <v>0</v>
      </c>
      <c r="O193">
        <v>0</v>
      </c>
      <c r="P193" t="str">
        <f t="shared" si="2"/>
        <v>N</v>
      </c>
      <c r="Q193" t="s">
        <v>5923</v>
      </c>
    </row>
    <row r="194" spans="1:17" x14ac:dyDescent="0.25">
      <c r="A194" t="s">
        <v>3804</v>
      </c>
      <c r="B194" t="s">
        <v>912</v>
      </c>
      <c r="C194">
        <v>2027</v>
      </c>
      <c r="D194" t="s">
        <v>716</v>
      </c>
      <c r="E194" t="s">
        <v>825</v>
      </c>
      <c r="F194" s="32">
        <v>46353</v>
      </c>
      <c r="G194" t="s">
        <v>514</v>
      </c>
      <c r="H194">
        <v>47140037</v>
      </c>
      <c r="I194" t="s">
        <v>2347</v>
      </c>
      <c r="J194" t="s">
        <v>2348</v>
      </c>
      <c r="K194" t="s">
        <v>530</v>
      </c>
      <c r="N194">
        <v>0</v>
      </c>
      <c r="O194">
        <v>0</v>
      </c>
      <c r="P194" t="str">
        <f t="shared" si="2"/>
        <v>N</v>
      </c>
      <c r="Q194" t="s">
        <v>5924</v>
      </c>
    </row>
    <row r="195" spans="1:17" x14ac:dyDescent="0.25">
      <c r="A195" t="s">
        <v>3805</v>
      </c>
      <c r="B195" t="s">
        <v>912</v>
      </c>
      <c r="C195">
        <v>2027</v>
      </c>
      <c r="D195" t="s">
        <v>716</v>
      </c>
      <c r="E195" t="s">
        <v>825</v>
      </c>
      <c r="F195" s="32">
        <v>46353</v>
      </c>
      <c r="G195" t="s">
        <v>514</v>
      </c>
      <c r="H195">
        <v>47128216</v>
      </c>
      <c r="I195" t="s">
        <v>2350</v>
      </c>
      <c r="J195" t="s">
        <v>2351</v>
      </c>
      <c r="K195" t="s">
        <v>530</v>
      </c>
      <c r="N195">
        <v>0</v>
      </c>
      <c r="O195">
        <v>0</v>
      </c>
      <c r="P195" t="str">
        <f t="shared" ref="P195:P258" si="3">IF(N195=O195,"N","Y")</f>
        <v>N</v>
      </c>
      <c r="Q195" t="s">
        <v>5925</v>
      </c>
    </row>
    <row r="196" spans="1:17" x14ac:dyDescent="0.25">
      <c r="A196" t="s">
        <v>3806</v>
      </c>
      <c r="B196" t="s">
        <v>912</v>
      </c>
      <c r="C196">
        <v>2027</v>
      </c>
      <c r="D196" t="s">
        <v>716</v>
      </c>
      <c r="E196" t="s">
        <v>825</v>
      </c>
      <c r="F196" s="32">
        <v>46353</v>
      </c>
      <c r="G196" t="s">
        <v>514</v>
      </c>
      <c r="H196">
        <v>47128208</v>
      </c>
      <c r="I196" t="s">
        <v>2353</v>
      </c>
      <c r="J196" t="s">
        <v>2354</v>
      </c>
      <c r="K196" t="s">
        <v>530</v>
      </c>
      <c r="N196">
        <v>0</v>
      </c>
      <c r="O196">
        <v>0</v>
      </c>
      <c r="P196" t="str">
        <f t="shared" si="3"/>
        <v>N</v>
      </c>
      <c r="Q196" t="s">
        <v>5926</v>
      </c>
    </row>
    <row r="197" spans="1:17" x14ac:dyDescent="0.25">
      <c r="A197" t="s">
        <v>3807</v>
      </c>
      <c r="B197" t="s">
        <v>912</v>
      </c>
      <c r="C197">
        <v>2027</v>
      </c>
      <c r="D197" t="s">
        <v>716</v>
      </c>
      <c r="E197" t="s">
        <v>825</v>
      </c>
      <c r="F197" s="32">
        <v>46353</v>
      </c>
      <c r="G197" t="s">
        <v>514</v>
      </c>
      <c r="H197">
        <v>47128377</v>
      </c>
      <c r="I197" t="s">
        <v>2362</v>
      </c>
      <c r="J197" t="s">
        <v>2363</v>
      </c>
      <c r="K197" t="s">
        <v>530</v>
      </c>
      <c r="N197">
        <v>40</v>
      </c>
      <c r="O197">
        <v>40</v>
      </c>
      <c r="P197" t="str">
        <f t="shared" si="3"/>
        <v>N</v>
      </c>
      <c r="Q197" t="s">
        <v>5927</v>
      </c>
    </row>
    <row r="198" spans="1:17" x14ac:dyDescent="0.25">
      <c r="A198" t="s">
        <v>3951</v>
      </c>
      <c r="B198" t="s">
        <v>3939</v>
      </c>
      <c r="C198">
        <v>2027</v>
      </c>
      <c r="D198" t="s">
        <v>716</v>
      </c>
      <c r="E198" t="s">
        <v>825</v>
      </c>
      <c r="F198" s="32">
        <v>46353</v>
      </c>
      <c r="G198" t="s">
        <v>514</v>
      </c>
      <c r="H198">
        <v>47140037</v>
      </c>
      <c r="I198" t="s">
        <v>2347</v>
      </c>
      <c r="J198" t="s">
        <v>2348</v>
      </c>
      <c r="K198" t="s">
        <v>530</v>
      </c>
      <c r="N198">
        <v>0</v>
      </c>
      <c r="O198">
        <v>0</v>
      </c>
      <c r="P198" t="str">
        <f t="shared" si="3"/>
        <v>N</v>
      </c>
      <c r="Q198" t="s">
        <v>5928</v>
      </c>
    </row>
    <row r="199" spans="1:17" x14ac:dyDescent="0.25">
      <c r="A199" t="s">
        <v>3952</v>
      </c>
      <c r="B199" t="s">
        <v>3939</v>
      </c>
      <c r="C199">
        <v>2027</v>
      </c>
      <c r="D199" t="s">
        <v>716</v>
      </c>
      <c r="E199" t="s">
        <v>825</v>
      </c>
      <c r="F199" s="32">
        <v>46353</v>
      </c>
      <c r="G199" t="s">
        <v>514</v>
      </c>
      <c r="H199">
        <v>47128216</v>
      </c>
      <c r="I199" t="s">
        <v>2350</v>
      </c>
      <c r="J199" t="s">
        <v>2351</v>
      </c>
      <c r="K199" t="s">
        <v>530</v>
      </c>
      <c r="N199">
        <v>0</v>
      </c>
      <c r="O199">
        <v>0</v>
      </c>
      <c r="P199" t="str">
        <f t="shared" si="3"/>
        <v>N</v>
      </c>
      <c r="Q199" t="s">
        <v>5929</v>
      </c>
    </row>
    <row r="200" spans="1:17" x14ac:dyDescent="0.25">
      <c r="A200" t="s">
        <v>3953</v>
      </c>
      <c r="B200" t="s">
        <v>3939</v>
      </c>
      <c r="C200">
        <v>2027</v>
      </c>
      <c r="D200" t="s">
        <v>716</v>
      </c>
      <c r="E200" t="s">
        <v>825</v>
      </c>
      <c r="F200" s="32">
        <v>46353</v>
      </c>
      <c r="G200" t="s">
        <v>514</v>
      </c>
      <c r="H200">
        <v>47128208</v>
      </c>
      <c r="I200" t="s">
        <v>2353</v>
      </c>
      <c r="J200" t="s">
        <v>2354</v>
      </c>
      <c r="K200" t="s">
        <v>530</v>
      </c>
      <c r="N200">
        <v>0</v>
      </c>
      <c r="O200">
        <v>0</v>
      </c>
      <c r="P200" t="str">
        <f t="shared" si="3"/>
        <v>N</v>
      </c>
      <c r="Q200" t="s">
        <v>5930</v>
      </c>
    </row>
    <row r="201" spans="1:17" x14ac:dyDescent="0.25">
      <c r="A201" t="s">
        <v>3954</v>
      </c>
      <c r="B201" t="s">
        <v>3939</v>
      </c>
      <c r="C201">
        <v>2027</v>
      </c>
      <c r="D201" t="s">
        <v>716</v>
      </c>
      <c r="E201" t="s">
        <v>825</v>
      </c>
      <c r="F201" s="32">
        <v>46353</v>
      </c>
      <c r="G201" t="s">
        <v>514</v>
      </c>
      <c r="H201">
        <v>47128377</v>
      </c>
      <c r="I201" t="s">
        <v>2362</v>
      </c>
      <c r="J201" t="s">
        <v>2363</v>
      </c>
      <c r="K201" t="s">
        <v>530</v>
      </c>
      <c r="N201">
        <v>40</v>
      </c>
      <c r="O201">
        <v>40</v>
      </c>
      <c r="P201" t="str">
        <f t="shared" si="3"/>
        <v>N</v>
      </c>
      <c r="Q201" t="s">
        <v>5931</v>
      </c>
    </row>
    <row r="202" spans="1:17" x14ac:dyDescent="0.25">
      <c r="A202" t="s">
        <v>4038</v>
      </c>
      <c r="B202" t="s">
        <v>1489</v>
      </c>
      <c r="C202">
        <v>2027</v>
      </c>
      <c r="D202" t="s">
        <v>716</v>
      </c>
      <c r="E202" t="s">
        <v>825</v>
      </c>
      <c r="F202" s="32">
        <v>46353</v>
      </c>
      <c r="G202" t="s">
        <v>514</v>
      </c>
      <c r="H202">
        <v>47129473</v>
      </c>
      <c r="I202" t="s">
        <v>1430</v>
      </c>
      <c r="J202" t="s">
        <v>1429</v>
      </c>
      <c r="K202" t="s">
        <v>530</v>
      </c>
      <c r="N202">
        <v>0</v>
      </c>
      <c r="O202">
        <v>0</v>
      </c>
      <c r="P202" t="str">
        <f t="shared" si="3"/>
        <v>N</v>
      </c>
      <c r="Q202" t="s">
        <v>5932</v>
      </c>
    </row>
    <row r="203" spans="1:17" x14ac:dyDescent="0.25">
      <c r="A203" t="s">
        <v>4039</v>
      </c>
      <c r="B203" t="s">
        <v>1489</v>
      </c>
      <c r="C203">
        <v>2027</v>
      </c>
      <c r="D203" t="s">
        <v>716</v>
      </c>
      <c r="E203" t="s">
        <v>825</v>
      </c>
      <c r="F203" s="32">
        <v>46353</v>
      </c>
      <c r="G203" t="s">
        <v>514</v>
      </c>
      <c r="H203">
        <v>47128787</v>
      </c>
      <c r="I203" t="s">
        <v>1453</v>
      </c>
      <c r="J203" t="s">
        <v>1452</v>
      </c>
      <c r="K203" t="s">
        <v>530</v>
      </c>
      <c r="N203">
        <v>0</v>
      </c>
      <c r="O203">
        <v>0</v>
      </c>
      <c r="P203" t="str">
        <f t="shared" si="3"/>
        <v>N</v>
      </c>
      <c r="Q203" t="s">
        <v>5933</v>
      </c>
    </row>
    <row r="204" spans="1:17" x14ac:dyDescent="0.25">
      <c r="A204" t="s">
        <v>4040</v>
      </c>
      <c r="B204" t="s">
        <v>1489</v>
      </c>
      <c r="C204">
        <v>2027</v>
      </c>
      <c r="D204" t="s">
        <v>716</v>
      </c>
      <c r="E204" t="s">
        <v>825</v>
      </c>
      <c r="F204" s="32">
        <v>46353</v>
      </c>
      <c r="G204" t="s">
        <v>514</v>
      </c>
      <c r="H204">
        <v>47128977</v>
      </c>
      <c r="I204" t="s">
        <v>1449</v>
      </c>
      <c r="J204" t="s">
        <v>1448</v>
      </c>
      <c r="K204" t="s">
        <v>530</v>
      </c>
      <c r="N204">
        <v>9</v>
      </c>
      <c r="O204">
        <v>9</v>
      </c>
      <c r="P204" t="str">
        <f t="shared" si="3"/>
        <v>N</v>
      </c>
      <c r="Q204" t="s">
        <v>5934</v>
      </c>
    </row>
    <row r="205" spans="1:17" x14ac:dyDescent="0.25">
      <c r="A205" t="s">
        <v>4136</v>
      </c>
      <c r="B205" t="s">
        <v>916</v>
      </c>
      <c r="C205">
        <v>2027</v>
      </c>
      <c r="D205" t="s">
        <v>716</v>
      </c>
      <c r="E205" t="s">
        <v>825</v>
      </c>
      <c r="F205" s="32">
        <v>46353</v>
      </c>
      <c r="G205" t="s">
        <v>514</v>
      </c>
      <c r="H205">
        <v>47128570</v>
      </c>
      <c r="I205" t="s">
        <v>1491</v>
      </c>
      <c r="J205" t="s">
        <v>1490</v>
      </c>
      <c r="K205" t="s">
        <v>530</v>
      </c>
      <c r="N205">
        <v>0</v>
      </c>
      <c r="O205">
        <v>0</v>
      </c>
      <c r="P205" t="str">
        <f t="shared" si="3"/>
        <v>N</v>
      </c>
      <c r="Q205" t="s">
        <v>5935</v>
      </c>
    </row>
    <row r="206" spans="1:17" x14ac:dyDescent="0.25">
      <c r="A206" t="s">
        <v>4137</v>
      </c>
      <c r="B206" t="s">
        <v>916</v>
      </c>
      <c r="C206">
        <v>2027</v>
      </c>
      <c r="D206" t="s">
        <v>716</v>
      </c>
      <c r="E206" t="s">
        <v>825</v>
      </c>
      <c r="F206" s="32">
        <v>46353</v>
      </c>
      <c r="G206" t="s">
        <v>514</v>
      </c>
      <c r="H206">
        <v>47128355</v>
      </c>
      <c r="I206" t="s">
        <v>964</v>
      </c>
      <c r="J206" t="s">
        <v>963</v>
      </c>
      <c r="K206" t="s">
        <v>530</v>
      </c>
      <c r="N206">
        <v>0</v>
      </c>
      <c r="O206">
        <v>0</v>
      </c>
      <c r="P206" t="str">
        <f t="shared" si="3"/>
        <v>N</v>
      </c>
      <c r="Q206" t="s">
        <v>5936</v>
      </c>
    </row>
    <row r="207" spans="1:17" x14ac:dyDescent="0.25">
      <c r="A207" t="s">
        <v>4138</v>
      </c>
      <c r="B207" t="s">
        <v>916</v>
      </c>
      <c r="C207">
        <v>2027</v>
      </c>
      <c r="D207" t="s">
        <v>716</v>
      </c>
      <c r="E207" t="s">
        <v>825</v>
      </c>
      <c r="F207" s="32">
        <v>46353</v>
      </c>
      <c r="G207" t="s">
        <v>514</v>
      </c>
      <c r="H207">
        <v>47129548</v>
      </c>
      <c r="I207" t="s">
        <v>1340</v>
      </c>
      <c r="J207" t="s">
        <v>1339</v>
      </c>
      <c r="K207" t="s">
        <v>530</v>
      </c>
      <c r="N207">
        <v>40</v>
      </c>
      <c r="O207">
        <v>40</v>
      </c>
      <c r="P207" t="str">
        <f t="shared" si="3"/>
        <v>N</v>
      </c>
      <c r="Q207" t="s">
        <v>5937</v>
      </c>
    </row>
    <row r="208" spans="1:17" x14ac:dyDescent="0.25">
      <c r="A208" t="s">
        <v>4462</v>
      </c>
      <c r="B208" t="s">
        <v>4445</v>
      </c>
      <c r="C208">
        <v>2027</v>
      </c>
      <c r="D208" t="s">
        <v>716</v>
      </c>
      <c r="E208" t="s">
        <v>825</v>
      </c>
      <c r="F208" s="32">
        <v>46353</v>
      </c>
      <c r="G208" t="s">
        <v>514</v>
      </c>
      <c r="H208">
        <v>47129711</v>
      </c>
      <c r="I208" t="s">
        <v>4446</v>
      </c>
      <c r="J208" t="s">
        <v>4447</v>
      </c>
      <c r="K208" t="s">
        <v>530</v>
      </c>
      <c r="N208">
        <v>0</v>
      </c>
      <c r="O208">
        <v>0</v>
      </c>
      <c r="P208" t="str">
        <f t="shared" si="3"/>
        <v>N</v>
      </c>
      <c r="Q208" t="s">
        <v>5938</v>
      </c>
    </row>
    <row r="209" spans="1:17" x14ac:dyDescent="0.25">
      <c r="A209" t="s">
        <v>4463</v>
      </c>
      <c r="B209" t="s">
        <v>4445</v>
      </c>
      <c r="C209">
        <v>2027</v>
      </c>
      <c r="D209" t="s">
        <v>716</v>
      </c>
      <c r="E209" t="s">
        <v>825</v>
      </c>
      <c r="F209" s="32">
        <v>46353</v>
      </c>
      <c r="G209" t="s">
        <v>514</v>
      </c>
      <c r="H209">
        <v>47129228</v>
      </c>
      <c r="I209" t="s">
        <v>4449</v>
      </c>
      <c r="J209" t="s">
        <v>4450</v>
      </c>
      <c r="K209" t="s">
        <v>530</v>
      </c>
      <c r="N209">
        <v>0</v>
      </c>
      <c r="O209">
        <v>0</v>
      </c>
      <c r="P209" t="str">
        <f t="shared" si="3"/>
        <v>N</v>
      </c>
      <c r="Q209" t="s">
        <v>5939</v>
      </c>
    </row>
    <row r="210" spans="1:17" x14ac:dyDescent="0.25">
      <c r="A210" t="s">
        <v>4526</v>
      </c>
      <c r="B210" t="s">
        <v>1044</v>
      </c>
      <c r="C210">
        <v>2027</v>
      </c>
      <c r="D210" t="s">
        <v>716</v>
      </c>
      <c r="E210" t="s">
        <v>825</v>
      </c>
      <c r="F210" s="32">
        <v>46353</v>
      </c>
      <c r="G210" t="s">
        <v>514</v>
      </c>
      <c r="H210">
        <v>47148664</v>
      </c>
      <c r="I210" t="s">
        <v>1479</v>
      </c>
      <c r="J210" t="s">
        <v>1478</v>
      </c>
      <c r="K210" t="s">
        <v>530</v>
      </c>
      <c r="N210">
        <v>0</v>
      </c>
      <c r="O210">
        <v>0</v>
      </c>
      <c r="P210" t="str">
        <f t="shared" si="3"/>
        <v>N</v>
      </c>
      <c r="Q210" t="s">
        <v>5940</v>
      </c>
    </row>
    <row r="211" spans="1:17" x14ac:dyDescent="0.25">
      <c r="A211" t="s">
        <v>4527</v>
      </c>
      <c r="B211" t="s">
        <v>1044</v>
      </c>
      <c r="C211">
        <v>2027</v>
      </c>
      <c r="D211" t="s">
        <v>716</v>
      </c>
      <c r="E211" t="s">
        <v>825</v>
      </c>
      <c r="F211" s="32">
        <v>46353</v>
      </c>
      <c r="G211" t="s">
        <v>514</v>
      </c>
      <c r="H211">
        <v>47129020</v>
      </c>
      <c r="I211" t="s">
        <v>1058</v>
      </c>
      <c r="J211" t="s">
        <v>1057</v>
      </c>
      <c r="K211" t="s">
        <v>530</v>
      </c>
      <c r="N211">
        <v>0</v>
      </c>
      <c r="O211">
        <v>0</v>
      </c>
      <c r="P211" t="str">
        <f t="shared" si="3"/>
        <v>N</v>
      </c>
      <c r="Q211" t="s">
        <v>5941</v>
      </c>
    </row>
    <row r="212" spans="1:17" x14ac:dyDescent="0.25">
      <c r="A212" t="s">
        <v>4528</v>
      </c>
      <c r="B212" t="s">
        <v>1044</v>
      </c>
      <c r="C212">
        <v>2027</v>
      </c>
      <c r="D212" t="s">
        <v>716</v>
      </c>
      <c r="E212" t="s">
        <v>825</v>
      </c>
      <c r="F212" s="32">
        <v>46353</v>
      </c>
      <c r="G212" t="s">
        <v>514</v>
      </c>
      <c r="H212">
        <v>47129473</v>
      </c>
      <c r="I212" t="s">
        <v>1430</v>
      </c>
      <c r="J212" t="s">
        <v>1429</v>
      </c>
      <c r="K212" t="s">
        <v>530</v>
      </c>
      <c r="N212">
        <v>40</v>
      </c>
      <c r="O212">
        <v>40</v>
      </c>
      <c r="P212" t="str">
        <f t="shared" si="3"/>
        <v>N</v>
      </c>
      <c r="Q212" t="s">
        <v>5942</v>
      </c>
    </row>
    <row r="213" spans="1:17" x14ac:dyDescent="0.25">
      <c r="A213" t="s">
        <v>4529</v>
      </c>
      <c r="B213" t="s">
        <v>1044</v>
      </c>
      <c r="C213">
        <v>2027</v>
      </c>
      <c r="D213" t="s">
        <v>716</v>
      </c>
      <c r="E213" t="s">
        <v>825</v>
      </c>
      <c r="F213" s="32">
        <v>46353</v>
      </c>
      <c r="G213" t="s">
        <v>514</v>
      </c>
      <c r="H213">
        <v>47133720</v>
      </c>
      <c r="I213" t="s">
        <v>1217</v>
      </c>
      <c r="J213" t="s">
        <v>1216</v>
      </c>
      <c r="K213" t="s">
        <v>530</v>
      </c>
      <c r="N213">
        <v>0</v>
      </c>
      <c r="O213">
        <v>0</v>
      </c>
      <c r="P213" t="str">
        <f t="shared" si="3"/>
        <v>N</v>
      </c>
      <c r="Q213" t="s">
        <v>5943</v>
      </c>
    </row>
    <row r="214" spans="1:17" x14ac:dyDescent="0.25">
      <c r="A214" t="s">
        <v>4798</v>
      </c>
      <c r="B214" t="s">
        <v>1090</v>
      </c>
      <c r="C214">
        <v>2027</v>
      </c>
      <c r="D214" t="s">
        <v>716</v>
      </c>
      <c r="E214" t="s">
        <v>825</v>
      </c>
      <c r="F214" s="32">
        <v>46353</v>
      </c>
      <c r="G214" t="s">
        <v>514</v>
      </c>
      <c r="H214">
        <v>47128349</v>
      </c>
      <c r="I214" t="s">
        <v>975</v>
      </c>
      <c r="J214" t="s">
        <v>974</v>
      </c>
      <c r="K214" t="s">
        <v>530</v>
      </c>
      <c r="N214">
        <v>0</v>
      </c>
      <c r="O214">
        <v>0</v>
      </c>
      <c r="P214" t="str">
        <f t="shared" si="3"/>
        <v>N</v>
      </c>
      <c r="Q214" t="s">
        <v>5944</v>
      </c>
    </row>
    <row r="215" spans="1:17" x14ac:dyDescent="0.25">
      <c r="A215" t="s">
        <v>4799</v>
      </c>
      <c r="B215" t="s">
        <v>1090</v>
      </c>
      <c r="C215">
        <v>2027</v>
      </c>
      <c r="D215" t="s">
        <v>716</v>
      </c>
      <c r="E215" t="s">
        <v>825</v>
      </c>
      <c r="F215" s="32">
        <v>46353</v>
      </c>
      <c r="G215" t="s">
        <v>514</v>
      </c>
      <c r="H215">
        <v>47128477</v>
      </c>
      <c r="I215" t="s">
        <v>1029</v>
      </c>
      <c r="J215" t="s">
        <v>1028</v>
      </c>
      <c r="K215" t="s">
        <v>530</v>
      </c>
      <c r="N215">
        <v>0</v>
      </c>
      <c r="O215">
        <v>0</v>
      </c>
      <c r="P215" t="str">
        <f t="shared" si="3"/>
        <v>N</v>
      </c>
      <c r="Q215" t="s">
        <v>5945</v>
      </c>
    </row>
    <row r="216" spans="1:17" x14ac:dyDescent="0.25">
      <c r="A216" t="s">
        <v>4800</v>
      </c>
      <c r="B216" t="s">
        <v>1090</v>
      </c>
      <c r="C216">
        <v>2027</v>
      </c>
      <c r="D216" t="s">
        <v>716</v>
      </c>
      <c r="E216" t="s">
        <v>825</v>
      </c>
      <c r="F216" s="32">
        <v>46353</v>
      </c>
      <c r="G216" t="s">
        <v>514</v>
      </c>
      <c r="H216">
        <v>47128350</v>
      </c>
      <c r="I216" t="s">
        <v>1032</v>
      </c>
      <c r="J216" t="s">
        <v>1031</v>
      </c>
      <c r="K216" t="s">
        <v>530</v>
      </c>
      <c r="N216">
        <v>0</v>
      </c>
      <c r="O216">
        <v>0</v>
      </c>
      <c r="P216" t="str">
        <f t="shared" si="3"/>
        <v>N</v>
      </c>
      <c r="Q216" t="s">
        <v>5946</v>
      </c>
    </row>
    <row r="217" spans="1:17" x14ac:dyDescent="0.25">
      <c r="A217" t="s">
        <v>4801</v>
      </c>
      <c r="B217" t="s">
        <v>1090</v>
      </c>
      <c r="C217">
        <v>2027</v>
      </c>
      <c r="D217" t="s">
        <v>716</v>
      </c>
      <c r="E217" t="s">
        <v>825</v>
      </c>
      <c r="F217" s="32">
        <v>46353</v>
      </c>
      <c r="G217" t="s">
        <v>514</v>
      </c>
      <c r="H217">
        <v>47128353</v>
      </c>
      <c r="I217" t="s">
        <v>982</v>
      </c>
      <c r="J217" t="s">
        <v>981</v>
      </c>
      <c r="K217" t="s">
        <v>530</v>
      </c>
      <c r="N217">
        <v>0</v>
      </c>
      <c r="O217">
        <v>0</v>
      </c>
      <c r="P217" t="str">
        <f t="shared" si="3"/>
        <v>N</v>
      </c>
      <c r="Q217" t="s">
        <v>5947</v>
      </c>
    </row>
    <row r="218" spans="1:17" x14ac:dyDescent="0.25">
      <c r="A218" t="s">
        <v>5205</v>
      </c>
      <c r="B218" t="s">
        <v>1089</v>
      </c>
      <c r="C218">
        <v>2027</v>
      </c>
      <c r="D218" t="s">
        <v>716</v>
      </c>
      <c r="E218" t="s">
        <v>825</v>
      </c>
      <c r="F218" s="32">
        <v>46353</v>
      </c>
      <c r="G218" t="s">
        <v>514</v>
      </c>
      <c r="H218">
        <v>47129548</v>
      </c>
      <c r="I218" t="s">
        <v>1340</v>
      </c>
      <c r="J218" t="s">
        <v>1339</v>
      </c>
      <c r="K218" t="s">
        <v>530</v>
      </c>
      <c r="N218">
        <v>40</v>
      </c>
      <c r="O218">
        <v>40</v>
      </c>
      <c r="P218" t="str">
        <f t="shared" si="3"/>
        <v>N</v>
      </c>
      <c r="Q218" t="s">
        <v>5948</v>
      </c>
    </row>
    <row r="219" spans="1:17" x14ac:dyDescent="0.25">
      <c r="A219" t="s">
        <v>5459</v>
      </c>
      <c r="B219" t="s">
        <v>5437</v>
      </c>
      <c r="C219">
        <v>2027</v>
      </c>
      <c r="D219" t="s">
        <v>716</v>
      </c>
      <c r="E219" t="s">
        <v>825</v>
      </c>
      <c r="F219" s="32">
        <v>46353</v>
      </c>
      <c r="G219" t="s">
        <v>514</v>
      </c>
      <c r="H219">
        <v>47148664</v>
      </c>
      <c r="I219" t="s">
        <v>1479</v>
      </c>
      <c r="J219" t="s">
        <v>1478</v>
      </c>
      <c r="K219" t="s">
        <v>530</v>
      </c>
      <c r="N219">
        <v>0</v>
      </c>
      <c r="O219">
        <v>0</v>
      </c>
      <c r="P219" t="str">
        <f t="shared" si="3"/>
        <v>N</v>
      </c>
      <c r="Q219" t="s">
        <v>5949</v>
      </c>
    </row>
    <row r="220" spans="1:17" x14ac:dyDescent="0.25">
      <c r="A220" t="s">
        <v>5460</v>
      </c>
      <c r="B220" t="s">
        <v>5437</v>
      </c>
      <c r="C220">
        <v>2027</v>
      </c>
      <c r="D220" t="s">
        <v>716</v>
      </c>
      <c r="E220" t="s">
        <v>825</v>
      </c>
      <c r="F220" s="32">
        <v>46353</v>
      </c>
      <c r="G220" t="s">
        <v>514</v>
      </c>
      <c r="H220">
        <v>47129020</v>
      </c>
      <c r="I220" t="s">
        <v>1058</v>
      </c>
      <c r="J220" t="s">
        <v>1057</v>
      </c>
      <c r="K220" t="s">
        <v>530</v>
      </c>
      <c r="N220">
        <v>0</v>
      </c>
      <c r="O220">
        <v>0</v>
      </c>
      <c r="P220" t="str">
        <f t="shared" si="3"/>
        <v>N</v>
      </c>
      <c r="Q220" t="s">
        <v>5950</v>
      </c>
    </row>
    <row r="221" spans="1:17" x14ac:dyDescent="0.25">
      <c r="A221" t="s">
        <v>5461</v>
      </c>
      <c r="B221" t="s">
        <v>5437</v>
      </c>
      <c r="C221">
        <v>2027</v>
      </c>
      <c r="D221" t="s">
        <v>716</v>
      </c>
      <c r="E221" t="s">
        <v>825</v>
      </c>
      <c r="F221" s="32">
        <v>46353</v>
      </c>
      <c r="G221" t="s">
        <v>514</v>
      </c>
      <c r="H221">
        <v>47129473</v>
      </c>
      <c r="I221" t="s">
        <v>1430</v>
      </c>
      <c r="J221" t="s">
        <v>1429</v>
      </c>
      <c r="K221" t="s">
        <v>530</v>
      </c>
      <c r="N221">
        <v>0</v>
      </c>
      <c r="O221">
        <v>0</v>
      </c>
      <c r="P221" t="str">
        <f t="shared" si="3"/>
        <v>N</v>
      </c>
      <c r="Q221" t="s">
        <v>5951</v>
      </c>
    </row>
    <row r="222" spans="1:17" x14ac:dyDescent="0.25">
      <c r="A222" t="s">
        <v>5462</v>
      </c>
      <c r="B222" t="s">
        <v>5437</v>
      </c>
      <c r="C222">
        <v>2027</v>
      </c>
      <c r="D222" t="s">
        <v>716</v>
      </c>
      <c r="E222" t="s">
        <v>825</v>
      </c>
      <c r="F222" s="32">
        <v>46353</v>
      </c>
      <c r="G222" t="s">
        <v>514</v>
      </c>
      <c r="H222">
        <v>47128115</v>
      </c>
      <c r="I222" t="s">
        <v>1260</v>
      </c>
      <c r="J222" t="s">
        <v>1259</v>
      </c>
      <c r="K222" t="s">
        <v>530</v>
      </c>
      <c r="N222">
        <v>40</v>
      </c>
      <c r="O222">
        <v>40</v>
      </c>
      <c r="P222" t="str">
        <f t="shared" si="3"/>
        <v>N</v>
      </c>
      <c r="Q222" t="s">
        <v>5952</v>
      </c>
    </row>
    <row r="223" spans="1:17" x14ac:dyDescent="0.25">
      <c r="A223" t="s">
        <v>1521</v>
      </c>
      <c r="B223" t="s">
        <v>1520</v>
      </c>
      <c r="C223">
        <v>2027</v>
      </c>
      <c r="D223" t="s">
        <v>718</v>
      </c>
      <c r="E223" t="s">
        <v>826</v>
      </c>
      <c r="F223" s="32">
        <v>46360</v>
      </c>
      <c r="G223" t="s">
        <v>514</v>
      </c>
      <c r="H223">
        <v>47128207</v>
      </c>
      <c r="I223" t="s">
        <v>1522</v>
      </c>
      <c r="J223" t="s">
        <v>1523</v>
      </c>
      <c r="K223" t="s">
        <v>530</v>
      </c>
      <c r="N223">
        <v>0</v>
      </c>
      <c r="O223">
        <v>0</v>
      </c>
      <c r="P223" t="str">
        <f t="shared" si="3"/>
        <v>N</v>
      </c>
      <c r="Q223" t="s">
        <v>5953</v>
      </c>
    </row>
    <row r="224" spans="1:17" x14ac:dyDescent="0.25">
      <c r="A224" t="s">
        <v>1524</v>
      </c>
      <c r="B224" t="s">
        <v>1520</v>
      </c>
      <c r="C224">
        <v>2027</v>
      </c>
      <c r="D224" t="s">
        <v>718</v>
      </c>
      <c r="E224" t="s">
        <v>826</v>
      </c>
      <c r="F224" s="32">
        <v>46360</v>
      </c>
      <c r="G224" t="s">
        <v>514</v>
      </c>
      <c r="H224">
        <v>47128581</v>
      </c>
      <c r="I224" t="s">
        <v>1525</v>
      </c>
      <c r="J224" t="s">
        <v>1526</v>
      </c>
      <c r="K224" t="s">
        <v>530</v>
      </c>
      <c r="N224">
        <v>0</v>
      </c>
      <c r="O224">
        <v>0</v>
      </c>
      <c r="P224" t="str">
        <f t="shared" si="3"/>
        <v>N</v>
      </c>
      <c r="Q224" t="s">
        <v>5954</v>
      </c>
    </row>
    <row r="225" spans="1:17" x14ac:dyDescent="0.25">
      <c r="A225" t="s">
        <v>1527</v>
      </c>
      <c r="B225" t="s">
        <v>1520</v>
      </c>
      <c r="C225">
        <v>2027</v>
      </c>
      <c r="D225" t="s">
        <v>718</v>
      </c>
      <c r="E225" t="s">
        <v>826</v>
      </c>
      <c r="F225" s="32">
        <v>46360</v>
      </c>
      <c r="G225" t="s">
        <v>514</v>
      </c>
      <c r="H225">
        <v>47127959</v>
      </c>
      <c r="I225" t="s">
        <v>1528</v>
      </c>
      <c r="J225" t="s">
        <v>1529</v>
      </c>
      <c r="K225" t="s">
        <v>530</v>
      </c>
      <c r="N225">
        <v>0</v>
      </c>
      <c r="O225">
        <v>0</v>
      </c>
      <c r="P225" t="str">
        <f t="shared" si="3"/>
        <v>N</v>
      </c>
      <c r="Q225" t="s">
        <v>5955</v>
      </c>
    </row>
    <row r="226" spans="1:17" x14ac:dyDescent="0.25">
      <c r="A226" t="s">
        <v>1530</v>
      </c>
      <c r="B226" t="s">
        <v>1520</v>
      </c>
      <c r="C226">
        <v>2027</v>
      </c>
      <c r="D226" t="s">
        <v>718</v>
      </c>
      <c r="E226" t="s">
        <v>826</v>
      </c>
      <c r="F226" s="32">
        <v>46360</v>
      </c>
      <c r="G226" t="s">
        <v>514</v>
      </c>
      <c r="H226">
        <v>47128204</v>
      </c>
      <c r="I226" t="s">
        <v>1531</v>
      </c>
      <c r="J226" t="s">
        <v>1532</v>
      </c>
      <c r="K226" t="s">
        <v>530</v>
      </c>
      <c r="N226">
        <v>32</v>
      </c>
      <c r="O226">
        <v>32</v>
      </c>
      <c r="P226" t="str">
        <f t="shared" si="3"/>
        <v>N</v>
      </c>
      <c r="Q226" t="s">
        <v>5956</v>
      </c>
    </row>
    <row r="227" spans="1:17" x14ac:dyDescent="0.25">
      <c r="A227" t="s">
        <v>1533</v>
      </c>
      <c r="B227" t="s">
        <v>1520</v>
      </c>
      <c r="C227">
        <v>2027</v>
      </c>
      <c r="D227" t="s">
        <v>718</v>
      </c>
      <c r="E227" t="s">
        <v>826</v>
      </c>
      <c r="F227" s="32">
        <v>46360</v>
      </c>
      <c r="G227" t="s">
        <v>514</v>
      </c>
      <c r="H227">
        <v>47128207</v>
      </c>
      <c r="I227" t="s">
        <v>1522</v>
      </c>
      <c r="J227" t="s">
        <v>1534</v>
      </c>
      <c r="K227" t="s">
        <v>530</v>
      </c>
      <c r="N227">
        <v>0</v>
      </c>
      <c r="O227">
        <v>0</v>
      </c>
      <c r="P227" t="str">
        <f t="shared" si="3"/>
        <v>N</v>
      </c>
      <c r="Q227" t="s">
        <v>5957</v>
      </c>
    </row>
    <row r="228" spans="1:17" x14ac:dyDescent="0.25">
      <c r="A228" t="s">
        <v>1535</v>
      </c>
      <c r="B228" t="s">
        <v>1520</v>
      </c>
      <c r="C228">
        <v>2027</v>
      </c>
      <c r="D228" t="s">
        <v>718</v>
      </c>
      <c r="E228" t="s">
        <v>826</v>
      </c>
      <c r="F228" s="32">
        <v>46360</v>
      </c>
      <c r="G228" t="s">
        <v>563</v>
      </c>
      <c r="H228">
        <v>10000015</v>
      </c>
      <c r="I228" t="s">
        <v>562</v>
      </c>
      <c r="K228" t="s">
        <v>530</v>
      </c>
      <c r="N228">
        <v>0</v>
      </c>
      <c r="O228">
        <v>0</v>
      </c>
      <c r="P228" t="str">
        <f t="shared" si="3"/>
        <v>N</v>
      </c>
      <c r="Q228" t="s">
        <v>5958</v>
      </c>
    </row>
    <row r="229" spans="1:17" x14ac:dyDescent="0.25">
      <c r="A229" t="s">
        <v>1536</v>
      </c>
      <c r="B229" t="s">
        <v>1520</v>
      </c>
      <c r="C229">
        <v>2027</v>
      </c>
      <c r="D229" t="s">
        <v>718</v>
      </c>
      <c r="E229" t="s">
        <v>826</v>
      </c>
      <c r="F229" s="32">
        <v>46360</v>
      </c>
      <c r="G229" t="s">
        <v>514</v>
      </c>
      <c r="H229">
        <v>47127959</v>
      </c>
      <c r="I229" t="s">
        <v>1528</v>
      </c>
      <c r="J229" t="s">
        <v>1537</v>
      </c>
      <c r="K229" t="s">
        <v>530</v>
      </c>
      <c r="N229">
        <v>0</v>
      </c>
      <c r="O229">
        <v>0</v>
      </c>
      <c r="P229" t="str">
        <f t="shared" si="3"/>
        <v>N</v>
      </c>
      <c r="Q229" t="s">
        <v>5959</v>
      </c>
    </row>
    <row r="230" spans="1:17" x14ac:dyDescent="0.25">
      <c r="A230" t="s">
        <v>1538</v>
      </c>
      <c r="B230" t="s">
        <v>1520</v>
      </c>
      <c r="C230">
        <v>2027</v>
      </c>
      <c r="D230" t="s">
        <v>718</v>
      </c>
      <c r="E230" t="s">
        <v>826</v>
      </c>
      <c r="F230" s="32">
        <v>46360</v>
      </c>
      <c r="G230" t="s">
        <v>514</v>
      </c>
      <c r="H230">
        <v>47128581</v>
      </c>
      <c r="I230" t="s">
        <v>1525</v>
      </c>
      <c r="J230" t="s">
        <v>1539</v>
      </c>
      <c r="K230" t="s">
        <v>530</v>
      </c>
      <c r="N230">
        <v>0</v>
      </c>
      <c r="O230">
        <v>0</v>
      </c>
      <c r="P230" t="str">
        <f t="shared" si="3"/>
        <v>N</v>
      </c>
      <c r="Q230" t="s">
        <v>5960</v>
      </c>
    </row>
    <row r="231" spans="1:17" x14ac:dyDescent="0.25">
      <c r="A231" t="s">
        <v>1692</v>
      </c>
      <c r="B231" t="s">
        <v>1135</v>
      </c>
      <c r="C231">
        <v>2027</v>
      </c>
      <c r="D231" t="s">
        <v>718</v>
      </c>
      <c r="E231" t="s">
        <v>826</v>
      </c>
      <c r="F231" s="32">
        <v>46360</v>
      </c>
      <c r="G231" t="s">
        <v>514</v>
      </c>
      <c r="H231">
        <v>47147546</v>
      </c>
      <c r="I231" t="s">
        <v>1077</v>
      </c>
      <c r="J231" t="s">
        <v>1381</v>
      </c>
      <c r="K231" t="s">
        <v>530</v>
      </c>
      <c r="N231">
        <v>0</v>
      </c>
      <c r="O231">
        <v>0</v>
      </c>
      <c r="P231" t="str">
        <f t="shared" si="3"/>
        <v>N</v>
      </c>
      <c r="Q231" t="s">
        <v>5961</v>
      </c>
    </row>
    <row r="232" spans="1:17" x14ac:dyDescent="0.25">
      <c r="A232" t="s">
        <v>1693</v>
      </c>
      <c r="B232" t="s">
        <v>1135</v>
      </c>
      <c r="C232">
        <v>2027</v>
      </c>
      <c r="D232" t="s">
        <v>718</v>
      </c>
      <c r="E232" t="s">
        <v>826</v>
      </c>
      <c r="F232" s="32">
        <v>46360</v>
      </c>
      <c r="G232" t="s">
        <v>514</v>
      </c>
      <c r="H232">
        <v>47147658</v>
      </c>
      <c r="I232" t="s">
        <v>1276</v>
      </c>
      <c r="J232" t="s">
        <v>1275</v>
      </c>
      <c r="K232" t="s">
        <v>530</v>
      </c>
      <c r="N232">
        <v>0</v>
      </c>
      <c r="O232">
        <v>0</v>
      </c>
      <c r="P232" t="str">
        <f t="shared" si="3"/>
        <v>N</v>
      </c>
      <c r="Q232" t="s">
        <v>5962</v>
      </c>
    </row>
    <row r="233" spans="1:17" x14ac:dyDescent="0.25">
      <c r="A233" t="s">
        <v>1694</v>
      </c>
      <c r="B233" t="s">
        <v>1135</v>
      </c>
      <c r="C233">
        <v>2027</v>
      </c>
      <c r="D233" t="s">
        <v>718</v>
      </c>
      <c r="E233" t="s">
        <v>826</v>
      </c>
      <c r="F233" s="32">
        <v>46360</v>
      </c>
      <c r="G233" t="s">
        <v>514</v>
      </c>
      <c r="H233">
        <v>47147546</v>
      </c>
      <c r="I233" t="s">
        <v>1077</v>
      </c>
      <c r="J233" t="s">
        <v>1171</v>
      </c>
      <c r="K233" t="s">
        <v>530</v>
      </c>
      <c r="N233">
        <v>0</v>
      </c>
      <c r="O233">
        <v>0</v>
      </c>
      <c r="P233" t="str">
        <f t="shared" si="3"/>
        <v>N</v>
      </c>
      <c r="Q233" t="s">
        <v>5963</v>
      </c>
    </row>
    <row r="234" spans="1:17" x14ac:dyDescent="0.25">
      <c r="A234" t="s">
        <v>1695</v>
      </c>
      <c r="B234" t="s">
        <v>1135</v>
      </c>
      <c r="C234">
        <v>2027</v>
      </c>
      <c r="D234" t="s">
        <v>718</v>
      </c>
      <c r="E234" t="s">
        <v>826</v>
      </c>
      <c r="F234" s="32">
        <v>46360</v>
      </c>
      <c r="G234" t="s">
        <v>514</v>
      </c>
      <c r="H234">
        <v>47128028</v>
      </c>
      <c r="I234" t="s">
        <v>1035</v>
      </c>
      <c r="J234" t="s">
        <v>1034</v>
      </c>
      <c r="K234" t="s">
        <v>530</v>
      </c>
      <c r="N234">
        <v>0</v>
      </c>
      <c r="O234">
        <v>0</v>
      </c>
      <c r="P234" t="str">
        <f t="shared" si="3"/>
        <v>N</v>
      </c>
      <c r="Q234" t="s">
        <v>5964</v>
      </c>
    </row>
    <row r="235" spans="1:17" x14ac:dyDescent="0.25">
      <c r="A235" t="s">
        <v>1696</v>
      </c>
      <c r="B235" t="s">
        <v>1135</v>
      </c>
      <c r="C235">
        <v>2027</v>
      </c>
      <c r="D235" t="s">
        <v>718</v>
      </c>
      <c r="E235" t="s">
        <v>826</v>
      </c>
      <c r="F235" s="32">
        <v>46360</v>
      </c>
      <c r="G235" t="s">
        <v>514</v>
      </c>
      <c r="H235">
        <v>47128465</v>
      </c>
      <c r="I235" t="s">
        <v>1333</v>
      </c>
      <c r="J235" t="s">
        <v>1332</v>
      </c>
      <c r="K235" t="s">
        <v>530</v>
      </c>
      <c r="N235">
        <v>0</v>
      </c>
      <c r="O235">
        <v>0</v>
      </c>
      <c r="P235" t="str">
        <f t="shared" si="3"/>
        <v>N</v>
      </c>
      <c r="Q235" t="s">
        <v>5965</v>
      </c>
    </row>
    <row r="236" spans="1:17" x14ac:dyDescent="0.25">
      <c r="A236" t="s">
        <v>1697</v>
      </c>
      <c r="B236" t="s">
        <v>1135</v>
      </c>
      <c r="C236">
        <v>2027</v>
      </c>
      <c r="D236" t="s">
        <v>718</v>
      </c>
      <c r="E236" t="s">
        <v>826</v>
      </c>
      <c r="F236" s="32">
        <v>46360</v>
      </c>
      <c r="G236" t="s">
        <v>514</v>
      </c>
      <c r="H236">
        <v>47128548</v>
      </c>
      <c r="I236" t="s">
        <v>958</v>
      </c>
      <c r="J236" t="s">
        <v>957</v>
      </c>
      <c r="K236" t="s">
        <v>530</v>
      </c>
      <c r="N236">
        <v>0</v>
      </c>
      <c r="O236">
        <v>0</v>
      </c>
      <c r="P236" t="str">
        <f t="shared" si="3"/>
        <v>N</v>
      </c>
      <c r="Q236" t="s">
        <v>5966</v>
      </c>
    </row>
    <row r="237" spans="1:17" x14ac:dyDescent="0.25">
      <c r="A237" t="s">
        <v>1698</v>
      </c>
      <c r="B237" t="s">
        <v>1135</v>
      </c>
      <c r="C237">
        <v>2027</v>
      </c>
      <c r="D237" t="s">
        <v>718</v>
      </c>
      <c r="E237" t="s">
        <v>826</v>
      </c>
      <c r="F237" s="32">
        <v>46360</v>
      </c>
      <c r="G237" t="s">
        <v>514</v>
      </c>
      <c r="H237">
        <v>47146464</v>
      </c>
      <c r="I237" t="s">
        <v>1438</v>
      </c>
      <c r="J237" t="s">
        <v>1437</v>
      </c>
      <c r="K237" t="s">
        <v>530</v>
      </c>
      <c r="N237">
        <v>0</v>
      </c>
      <c r="O237">
        <v>0</v>
      </c>
      <c r="P237" t="str">
        <f t="shared" si="3"/>
        <v>N</v>
      </c>
      <c r="Q237" t="s">
        <v>5967</v>
      </c>
    </row>
    <row r="238" spans="1:17" x14ac:dyDescent="0.25">
      <c r="A238" t="s">
        <v>1699</v>
      </c>
      <c r="B238" t="s">
        <v>1135</v>
      </c>
      <c r="C238">
        <v>2027</v>
      </c>
      <c r="D238" t="s">
        <v>718</v>
      </c>
      <c r="E238" t="s">
        <v>826</v>
      </c>
      <c r="F238" s="32">
        <v>46360</v>
      </c>
      <c r="G238" t="s">
        <v>514</v>
      </c>
      <c r="H238">
        <v>47146463</v>
      </c>
      <c r="I238" t="s">
        <v>1441</v>
      </c>
      <c r="J238" t="s">
        <v>1440</v>
      </c>
      <c r="K238" t="s">
        <v>530</v>
      </c>
      <c r="N238">
        <v>0</v>
      </c>
      <c r="O238">
        <v>0</v>
      </c>
      <c r="P238" t="str">
        <f t="shared" si="3"/>
        <v>N</v>
      </c>
      <c r="Q238" t="s">
        <v>5968</v>
      </c>
    </row>
    <row r="239" spans="1:17" x14ac:dyDescent="0.25">
      <c r="A239" t="s">
        <v>1700</v>
      </c>
      <c r="B239" t="s">
        <v>1135</v>
      </c>
      <c r="C239">
        <v>2027</v>
      </c>
      <c r="D239" t="s">
        <v>718</v>
      </c>
      <c r="E239" t="s">
        <v>826</v>
      </c>
      <c r="F239" s="32">
        <v>46360</v>
      </c>
      <c r="G239" t="s">
        <v>514</v>
      </c>
      <c r="H239">
        <v>47128729</v>
      </c>
      <c r="I239" t="s">
        <v>1149</v>
      </c>
      <c r="J239" t="s">
        <v>1148</v>
      </c>
      <c r="K239" t="s">
        <v>530</v>
      </c>
      <c r="N239">
        <v>0</v>
      </c>
      <c r="O239">
        <v>0</v>
      </c>
      <c r="P239" t="str">
        <f t="shared" si="3"/>
        <v>N</v>
      </c>
      <c r="Q239" t="s">
        <v>5969</v>
      </c>
    </row>
    <row r="240" spans="1:17" x14ac:dyDescent="0.25">
      <c r="A240" t="s">
        <v>1701</v>
      </c>
      <c r="B240" t="s">
        <v>1135</v>
      </c>
      <c r="C240">
        <v>2027</v>
      </c>
      <c r="D240" t="s">
        <v>718</v>
      </c>
      <c r="E240" t="s">
        <v>826</v>
      </c>
      <c r="F240" s="32">
        <v>46360</v>
      </c>
      <c r="G240" t="s">
        <v>514</v>
      </c>
      <c r="H240">
        <v>47128413</v>
      </c>
      <c r="I240" t="s">
        <v>1397</v>
      </c>
      <c r="J240" t="s">
        <v>1396</v>
      </c>
      <c r="K240" t="s">
        <v>530</v>
      </c>
      <c r="N240">
        <v>0</v>
      </c>
      <c r="O240">
        <v>0</v>
      </c>
      <c r="P240" t="str">
        <f t="shared" si="3"/>
        <v>N</v>
      </c>
      <c r="Q240" t="s">
        <v>5970</v>
      </c>
    </row>
    <row r="241" spans="1:17" x14ac:dyDescent="0.25">
      <c r="A241" t="s">
        <v>1702</v>
      </c>
      <c r="B241" t="s">
        <v>1135</v>
      </c>
      <c r="C241">
        <v>2027</v>
      </c>
      <c r="D241" t="s">
        <v>718</v>
      </c>
      <c r="E241" t="s">
        <v>826</v>
      </c>
      <c r="F241" s="32">
        <v>46360</v>
      </c>
      <c r="G241" t="s">
        <v>514</v>
      </c>
      <c r="H241">
        <v>47128783</v>
      </c>
      <c r="I241" t="s">
        <v>1280</v>
      </c>
      <c r="J241" t="s">
        <v>1279</v>
      </c>
      <c r="K241" t="s">
        <v>530</v>
      </c>
      <c r="N241">
        <v>0</v>
      </c>
      <c r="O241">
        <v>0</v>
      </c>
      <c r="P241" t="str">
        <f t="shared" si="3"/>
        <v>N</v>
      </c>
      <c r="Q241" t="s">
        <v>5971</v>
      </c>
    </row>
    <row r="242" spans="1:17" x14ac:dyDescent="0.25">
      <c r="A242" t="s">
        <v>1703</v>
      </c>
      <c r="B242" t="s">
        <v>1135</v>
      </c>
      <c r="C242">
        <v>2027</v>
      </c>
      <c r="D242" t="s">
        <v>718</v>
      </c>
      <c r="E242" t="s">
        <v>826</v>
      </c>
      <c r="F242" s="32">
        <v>46360</v>
      </c>
      <c r="G242" t="s">
        <v>514</v>
      </c>
      <c r="H242">
        <v>47128944</v>
      </c>
      <c r="I242" t="s">
        <v>1137</v>
      </c>
      <c r="J242" t="s">
        <v>1136</v>
      </c>
      <c r="K242" t="s">
        <v>530</v>
      </c>
      <c r="N242">
        <v>0</v>
      </c>
      <c r="O242">
        <v>0</v>
      </c>
      <c r="P242" t="str">
        <f t="shared" si="3"/>
        <v>N</v>
      </c>
      <c r="Q242" t="s">
        <v>5972</v>
      </c>
    </row>
    <row r="243" spans="1:17" x14ac:dyDescent="0.25">
      <c r="A243" t="s">
        <v>1704</v>
      </c>
      <c r="B243" t="s">
        <v>1135</v>
      </c>
      <c r="C243">
        <v>2027</v>
      </c>
      <c r="D243" t="s">
        <v>718</v>
      </c>
      <c r="E243" t="s">
        <v>826</v>
      </c>
      <c r="F243" s="32">
        <v>46360</v>
      </c>
      <c r="G243" t="s">
        <v>514</v>
      </c>
      <c r="H243">
        <v>47129547</v>
      </c>
      <c r="I243" t="s">
        <v>1128</v>
      </c>
      <c r="J243" t="s">
        <v>1352</v>
      </c>
      <c r="K243" t="s">
        <v>530</v>
      </c>
      <c r="N243">
        <v>0</v>
      </c>
      <c r="O243">
        <v>0</v>
      </c>
      <c r="P243" t="str">
        <f t="shared" si="3"/>
        <v>N</v>
      </c>
      <c r="Q243" t="s">
        <v>5973</v>
      </c>
    </row>
    <row r="244" spans="1:17" x14ac:dyDescent="0.25">
      <c r="A244" t="s">
        <v>1705</v>
      </c>
      <c r="B244" t="s">
        <v>1135</v>
      </c>
      <c r="C244">
        <v>2027</v>
      </c>
      <c r="D244" t="s">
        <v>718</v>
      </c>
      <c r="E244" t="s">
        <v>826</v>
      </c>
      <c r="F244" s="32">
        <v>46360</v>
      </c>
      <c r="G244" t="s">
        <v>514</v>
      </c>
      <c r="H244">
        <v>47128518</v>
      </c>
      <c r="I244" t="s">
        <v>1232</v>
      </c>
      <c r="J244" t="s">
        <v>1493</v>
      </c>
      <c r="K244" t="s">
        <v>530</v>
      </c>
      <c r="N244">
        <v>0</v>
      </c>
      <c r="O244">
        <v>0</v>
      </c>
      <c r="P244" t="str">
        <f t="shared" si="3"/>
        <v>N</v>
      </c>
      <c r="Q244" t="s">
        <v>5974</v>
      </c>
    </row>
    <row r="245" spans="1:17" x14ac:dyDescent="0.25">
      <c r="A245" t="s">
        <v>1706</v>
      </c>
      <c r="B245" t="s">
        <v>1135</v>
      </c>
      <c r="C245">
        <v>2027</v>
      </c>
      <c r="D245" t="s">
        <v>718</v>
      </c>
      <c r="E245" t="s">
        <v>826</v>
      </c>
      <c r="F245" s="32">
        <v>46360</v>
      </c>
      <c r="G245" t="s">
        <v>514</v>
      </c>
      <c r="H245">
        <v>47128168</v>
      </c>
      <c r="I245" t="s">
        <v>1100</v>
      </c>
      <c r="J245" t="s">
        <v>1099</v>
      </c>
      <c r="K245" t="s">
        <v>530</v>
      </c>
      <c r="N245">
        <v>0</v>
      </c>
      <c r="O245">
        <v>0</v>
      </c>
      <c r="P245" t="str">
        <f t="shared" si="3"/>
        <v>N</v>
      </c>
      <c r="Q245" t="s">
        <v>5975</v>
      </c>
    </row>
    <row r="246" spans="1:17" x14ac:dyDescent="0.25">
      <c r="A246" t="s">
        <v>1707</v>
      </c>
      <c r="B246" t="s">
        <v>1135</v>
      </c>
      <c r="C246">
        <v>2027</v>
      </c>
      <c r="D246" t="s">
        <v>718</v>
      </c>
      <c r="E246" t="s">
        <v>826</v>
      </c>
      <c r="F246" s="32">
        <v>46360</v>
      </c>
      <c r="G246" t="s">
        <v>514</v>
      </c>
      <c r="H246">
        <v>47128687</v>
      </c>
      <c r="I246" t="s">
        <v>1153</v>
      </c>
      <c r="J246" t="s">
        <v>1152</v>
      </c>
      <c r="K246" t="s">
        <v>530</v>
      </c>
      <c r="N246">
        <v>0</v>
      </c>
      <c r="O246">
        <v>0</v>
      </c>
      <c r="P246" t="str">
        <f t="shared" si="3"/>
        <v>N</v>
      </c>
      <c r="Q246" t="s">
        <v>5976</v>
      </c>
    </row>
    <row r="247" spans="1:17" x14ac:dyDescent="0.25">
      <c r="A247" t="s">
        <v>1708</v>
      </c>
      <c r="B247" t="s">
        <v>1135</v>
      </c>
      <c r="C247">
        <v>2027</v>
      </c>
      <c r="D247" t="s">
        <v>718</v>
      </c>
      <c r="E247" t="s">
        <v>826</v>
      </c>
      <c r="F247" s="32">
        <v>46360</v>
      </c>
      <c r="G247" t="s">
        <v>514</v>
      </c>
      <c r="H247">
        <v>47128585</v>
      </c>
      <c r="I247" t="s">
        <v>1141</v>
      </c>
      <c r="J247" t="s">
        <v>1140</v>
      </c>
      <c r="K247" t="s">
        <v>530</v>
      </c>
      <c r="N247">
        <v>0</v>
      </c>
      <c r="O247">
        <v>0</v>
      </c>
      <c r="P247" t="str">
        <f t="shared" si="3"/>
        <v>N</v>
      </c>
      <c r="Q247" t="s">
        <v>5977</v>
      </c>
    </row>
    <row r="248" spans="1:17" x14ac:dyDescent="0.25">
      <c r="A248" t="s">
        <v>1709</v>
      </c>
      <c r="B248" t="s">
        <v>1135</v>
      </c>
      <c r="C248">
        <v>2027</v>
      </c>
      <c r="D248" t="s">
        <v>718</v>
      </c>
      <c r="E248" t="s">
        <v>826</v>
      </c>
      <c r="F248" s="32">
        <v>46360</v>
      </c>
      <c r="G248" t="s">
        <v>514</v>
      </c>
      <c r="H248">
        <v>47128906</v>
      </c>
      <c r="I248" t="s">
        <v>1349</v>
      </c>
      <c r="J248" t="s">
        <v>1348</v>
      </c>
      <c r="K248" t="s">
        <v>530</v>
      </c>
      <c r="N248">
        <v>0</v>
      </c>
      <c r="O248">
        <v>0</v>
      </c>
      <c r="P248" t="str">
        <f t="shared" si="3"/>
        <v>N</v>
      </c>
      <c r="Q248" t="s">
        <v>5978</v>
      </c>
    </row>
    <row r="249" spans="1:17" x14ac:dyDescent="0.25">
      <c r="A249" t="s">
        <v>1710</v>
      </c>
      <c r="B249" t="s">
        <v>1135</v>
      </c>
      <c r="C249">
        <v>2027</v>
      </c>
      <c r="D249" t="s">
        <v>718</v>
      </c>
      <c r="E249" t="s">
        <v>826</v>
      </c>
      <c r="F249" s="32">
        <v>46360</v>
      </c>
      <c r="G249" t="s">
        <v>514</v>
      </c>
      <c r="H249">
        <v>47128585</v>
      </c>
      <c r="I249" t="s">
        <v>1141</v>
      </c>
      <c r="J249" t="s">
        <v>1408</v>
      </c>
      <c r="K249" t="s">
        <v>530</v>
      </c>
      <c r="N249">
        <v>0</v>
      </c>
      <c r="O249">
        <v>0</v>
      </c>
      <c r="P249" t="str">
        <f t="shared" si="3"/>
        <v>N</v>
      </c>
      <c r="Q249" t="s">
        <v>5979</v>
      </c>
    </row>
    <row r="250" spans="1:17" x14ac:dyDescent="0.25">
      <c r="A250" t="s">
        <v>1711</v>
      </c>
      <c r="B250" t="s">
        <v>1135</v>
      </c>
      <c r="C250">
        <v>2027</v>
      </c>
      <c r="D250" t="s">
        <v>718</v>
      </c>
      <c r="E250" t="s">
        <v>826</v>
      </c>
      <c r="F250" s="32">
        <v>46360</v>
      </c>
      <c r="G250" t="s">
        <v>514</v>
      </c>
      <c r="H250">
        <v>47128518</v>
      </c>
      <c r="I250" t="s">
        <v>1232</v>
      </c>
      <c r="J250" t="s">
        <v>1231</v>
      </c>
      <c r="K250" t="s">
        <v>530</v>
      </c>
      <c r="N250">
        <v>0</v>
      </c>
      <c r="O250">
        <v>0</v>
      </c>
      <c r="P250" t="str">
        <f t="shared" si="3"/>
        <v>N</v>
      </c>
      <c r="Q250" t="s">
        <v>5980</v>
      </c>
    </row>
    <row r="251" spans="1:17" x14ac:dyDescent="0.25">
      <c r="A251" t="s">
        <v>1712</v>
      </c>
      <c r="B251" t="s">
        <v>1135</v>
      </c>
      <c r="C251">
        <v>2027</v>
      </c>
      <c r="D251" t="s">
        <v>718</v>
      </c>
      <c r="E251" t="s">
        <v>826</v>
      </c>
      <c r="F251" s="32">
        <v>46360</v>
      </c>
      <c r="G251" t="s">
        <v>514</v>
      </c>
      <c r="H251">
        <v>47128024</v>
      </c>
      <c r="I251" t="s">
        <v>1108</v>
      </c>
      <c r="J251" t="s">
        <v>1107</v>
      </c>
      <c r="K251" t="s">
        <v>530</v>
      </c>
      <c r="N251">
        <v>0</v>
      </c>
      <c r="O251">
        <v>0</v>
      </c>
      <c r="P251" t="str">
        <f t="shared" si="3"/>
        <v>N</v>
      </c>
      <c r="Q251" t="s">
        <v>5981</v>
      </c>
    </row>
    <row r="252" spans="1:17" x14ac:dyDescent="0.25">
      <c r="A252" t="s">
        <v>1713</v>
      </c>
      <c r="B252" t="s">
        <v>1135</v>
      </c>
      <c r="C252">
        <v>2027</v>
      </c>
      <c r="D252" t="s">
        <v>718</v>
      </c>
      <c r="E252" t="s">
        <v>826</v>
      </c>
      <c r="F252" s="32">
        <v>46360</v>
      </c>
      <c r="G252" t="s">
        <v>514</v>
      </c>
      <c r="H252">
        <v>47128680</v>
      </c>
      <c r="I252" t="s">
        <v>1284</v>
      </c>
      <c r="J252" t="s">
        <v>1283</v>
      </c>
      <c r="K252" t="s">
        <v>530</v>
      </c>
      <c r="N252">
        <v>0</v>
      </c>
      <c r="O252">
        <v>0</v>
      </c>
      <c r="P252" t="str">
        <f t="shared" si="3"/>
        <v>N</v>
      </c>
      <c r="Q252" t="s">
        <v>5982</v>
      </c>
    </row>
    <row r="253" spans="1:17" x14ac:dyDescent="0.25">
      <c r="A253" t="s">
        <v>1714</v>
      </c>
      <c r="B253" t="s">
        <v>1135</v>
      </c>
      <c r="C253">
        <v>2027</v>
      </c>
      <c r="D253" t="s">
        <v>718</v>
      </c>
      <c r="E253" t="s">
        <v>826</v>
      </c>
      <c r="F253" s="32">
        <v>46360</v>
      </c>
      <c r="G253" t="s">
        <v>514</v>
      </c>
      <c r="H253">
        <v>47128944</v>
      </c>
      <c r="I253" t="s">
        <v>1137</v>
      </c>
      <c r="J253" t="s">
        <v>1513</v>
      </c>
      <c r="K253" t="s">
        <v>530</v>
      </c>
      <c r="N253">
        <v>0</v>
      </c>
      <c r="O253">
        <v>0</v>
      </c>
      <c r="P253" t="str">
        <f t="shared" si="3"/>
        <v>N</v>
      </c>
      <c r="Q253" t="s">
        <v>5983</v>
      </c>
    </row>
    <row r="254" spans="1:17" x14ac:dyDescent="0.25">
      <c r="A254" t="s">
        <v>1715</v>
      </c>
      <c r="B254" t="s">
        <v>1135</v>
      </c>
      <c r="C254">
        <v>2027</v>
      </c>
      <c r="D254" t="s">
        <v>718</v>
      </c>
      <c r="E254" t="s">
        <v>826</v>
      </c>
      <c r="F254" s="32">
        <v>46360</v>
      </c>
      <c r="G254" t="s">
        <v>514</v>
      </c>
      <c r="H254">
        <v>47147546</v>
      </c>
      <c r="I254" t="s">
        <v>1077</v>
      </c>
      <c r="J254" t="s">
        <v>1076</v>
      </c>
      <c r="K254" t="s">
        <v>530</v>
      </c>
      <c r="N254">
        <v>0</v>
      </c>
      <c r="O254">
        <v>0</v>
      </c>
      <c r="P254" t="str">
        <f t="shared" si="3"/>
        <v>N</v>
      </c>
      <c r="Q254" t="s">
        <v>5984</v>
      </c>
    </row>
    <row r="255" spans="1:17" x14ac:dyDescent="0.25">
      <c r="A255" t="s">
        <v>1716</v>
      </c>
      <c r="B255" t="s">
        <v>1135</v>
      </c>
      <c r="C255">
        <v>2027</v>
      </c>
      <c r="D255" t="s">
        <v>718</v>
      </c>
      <c r="E255" t="s">
        <v>826</v>
      </c>
      <c r="F255" s="32">
        <v>46360</v>
      </c>
      <c r="G255" t="s">
        <v>514</v>
      </c>
      <c r="H255">
        <v>47128346</v>
      </c>
      <c r="I255" t="s">
        <v>1157</v>
      </c>
      <c r="J255" t="s">
        <v>1156</v>
      </c>
      <c r="K255" t="s">
        <v>530</v>
      </c>
      <c r="N255">
        <v>0</v>
      </c>
      <c r="O255">
        <v>0</v>
      </c>
      <c r="P255" t="str">
        <f t="shared" si="3"/>
        <v>N</v>
      </c>
      <c r="Q255" t="s">
        <v>5985</v>
      </c>
    </row>
    <row r="256" spans="1:17" x14ac:dyDescent="0.25">
      <c r="A256" t="s">
        <v>1717</v>
      </c>
      <c r="B256" t="s">
        <v>1135</v>
      </c>
      <c r="C256">
        <v>2027</v>
      </c>
      <c r="D256" t="s">
        <v>718</v>
      </c>
      <c r="E256" t="s">
        <v>826</v>
      </c>
      <c r="F256" s="32">
        <v>46360</v>
      </c>
      <c r="G256" t="s">
        <v>514</v>
      </c>
      <c r="H256">
        <v>47128800</v>
      </c>
      <c r="I256" t="s">
        <v>1145</v>
      </c>
      <c r="J256" t="s">
        <v>1144</v>
      </c>
      <c r="K256" t="s">
        <v>530</v>
      </c>
      <c r="N256">
        <v>0</v>
      </c>
      <c r="O256">
        <v>0</v>
      </c>
      <c r="P256" t="str">
        <f t="shared" si="3"/>
        <v>N</v>
      </c>
      <c r="Q256" t="s">
        <v>5986</v>
      </c>
    </row>
    <row r="257" spans="1:17" x14ac:dyDescent="0.25">
      <c r="A257" t="s">
        <v>1718</v>
      </c>
      <c r="B257" t="s">
        <v>1135</v>
      </c>
      <c r="C257">
        <v>2027</v>
      </c>
      <c r="D257" t="s">
        <v>718</v>
      </c>
      <c r="E257" t="s">
        <v>826</v>
      </c>
      <c r="F257" s="32">
        <v>46360</v>
      </c>
      <c r="G257" t="s">
        <v>514</v>
      </c>
      <c r="H257">
        <v>47128109</v>
      </c>
      <c r="I257" t="s">
        <v>1336</v>
      </c>
      <c r="J257" t="s">
        <v>1335</v>
      </c>
      <c r="K257" t="s">
        <v>530</v>
      </c>
      <c r="N257">
        <v>0</v>
      </c>
      <c r="O257">
        <v>0</v>
      </c>
      <c r="P257" t="str">
        <f t="shared" si="3"/>
        <v>N</v>
      </c>
      <c r="Q257" t="s">
        <v>5987</v>
      </c>
    </row>
    <row r="258" spans="1:17" x14ac:dyDescent="0.25">
      <c r="A258" t="s">
        <v>1719</v>
      </c>
      <c r="B258" t="s">
        <v>1135</v>
      </c>
      <c r="C258">
        <v>2027</v>
      </c>
      <c r="D258" t="s">
        <v>718</v>
      </c>
      <c r="E258" t="s">
        <v>826</v>
      </c>
      <c r="F258" s="32">
        <v>46360</v>
      </c>
      <c r="G258" t="s">
        <v>514</v>
      </c>
      <c r="H258">
        <v>47128430</v>
      </c>
      <c r="I258" t="s">
        <v>1401</v>
      </c>
      <c r="J258" t="s">
        <v>1400</v>
      </c>
      <c r="K258" t="s">
        <v>530</v>
      </c>
      <c r="N258">
        <v>0</v>
      </c>
      <c r="O258">
        <v>0</v>
      </c>
      <c r="P258" t="str">
        <f t="shared" si="3"/>
        <v>N</v>
      </c>
      <c r="Q258" t="s">
        <v>5988</v>
      </c>
    </row>
    <row r="259" spans="1:17" x14ac:dyDescent="0.25">
      <c r="A259" t="s">
        <v>1720</v>
      </c>
      <c r="B259" t="s">
        <v>1135</v>
      </c>
      <c r="C259">
        <v>2027</v>
      </c>
      <c r="D259" t="s">
        <v>718</v>
      </c>
      <c r="E259" t="s">
        <v>826</v>
      </c>
      <c r="F259" s="32">
        <v>46360</v>
      </c>
      <c r="G259" t="s">
        <v>514</v>
      </c>
      <c r="H259">
        <v>47128522</v>
      </c>
      <c r="I259" t="s">
        <v>1092</v>
      </c>
      <c r="J259" t="s">
        <v>1091</v>
      </c>
      <c r="K259" t="s">
        <v>530</v>
      </c>
      <c r="N259">
        <v>0</v>
      </c>
      <c r="O259">
        <v>0</v>
      </c>
      <c r="P259" t="str">
        <f t="shared" ref="P259:P322" si="4">IF(N259=O259,"N","Y")</f>
        <v>N</v>
      </c>
      <c r="Q259" t="s">
        <v>5989</v>
      </c>
    </row>
    <row r="260" spans="1:17" x14ac:dyDescent="0.25">
      <c r="A260" t="s">
        <v>1721</v>
      </c>
      <c r="B260" t="s">
        <v>1135</v>
      </c>
      <c r="C260">
        <v>2027</v>
      </c>
      <c r="D260" t="s">
        <v>718</v>
      </c>
      <c r="E260" t="s">
        <v>826</v>
      </c>
      <c r="F260" s="32">
        <v>46360</v>
      </c>
      <c r="G260" t="s">
        <v>514</v>
      </c>
      <c r="H260">
        <v>47128570</v>
      </c>
      <c r="I260" t="s">
        <v>1491</v>
      </c>
      <c r="J260" t="s">
        <v>1490</v>
      </c>
      <c r="K260" t="s">
        <v>530</v>
      </c>
      <c r="N260">
        <v>260</v>
      </c>
      <c r="O260">
        <v>260</v>
      </c>
      <c r="P260" t="str">
        <f t="shared" si="4"/>
        <v>N</v>
      </c>
      <c r="Q260" t="s">
        <v>5990</v>
      </c>
    </row>
    <row r="261" spans="1:17" x14ac:dyDescent="0.25">
      <c r="A261" t="s">
        <v>2368</v>
      </c>
      <c r="B261" t="s">
        <v>2344</v>
      </c>
      <c r="C261">
        <v>2027</v>
      </c>
      <c r="D261" t="s">
        <v>718</v>
      </c>
      <c r="E261" t="s">
        <v>826</v>
      </c>
      <c r="F261" s="32">
        <v>46360</v>
      </c>
      <c r="G261" t="s">
        <v>514</v>
      </c>
      <c r="H261">
        <v>47140037</v>
      </c>
      <c r="I261" t="s">
        <v>2347</v>
      </c>
      <c r="J261" t="s">
        <v>2348</v>
      </c>
      <c r="K261" t="s">
        <v>530</v>
      </c>
      <c r="N261">
        <v>0</v>
      </c>
      <c r="O261">
        <v>0</v>
      </c>
      <c r="P261" t="str">
        <f t="shared" si="4"/>
        <v>N</v>
      </c>
      <c r="Q261" t="s">
        <v>5991</v>
      </c>
    </row>
    <row r="262" spans="1:17" x14ac:dyDescent="0.25">
      <c r="A262" t="s">
        <v>2369</v>
      </c>
      <c r="B262" t="s">
        <v>2344</v>
      </c>
      <c r="C262">
        <v>2027</v>
      </c>
      <c r="D262" t="s">
        <v>718</v>
      </c>
      <c r="E262" t="s">
        <v>826</v>
      </c>
      <c r="F262" s="32">
        <v>46360</v>
      </c>
      <c r="G262" t="s">
        <v>514</v>
      </c>
      <c r="H262">
        <v>47128216</v>
      </c>
      <c r="I262" t="s">
        <v>2350</v>
      </c>
      <c r="J262" t="s">
        <v>2351</v>
      </c>
      <c r="K262" t="s">
        <v>530</v>
      </c>
      <c r="N262">
        <v>0</v>
      </c>
      <c r="O262">
        <v>0</v>
      </c>
      <c r="P262" t="str">
        <f t="shared" si="4"/>
        <v>N</v>
      </c>
      <c r="Q262" t="s">
        <v>5992</v>
      </c>
    </row>
    <row r="263" spans="1:17" x14ac:dyDescent="0.25">
      <c r="A263" t="s">
        <v>2370</v>
      </c>
      <c r="B263" t="s">
        <v>2344</v>
      </c>
      <c r="C263">
        <v>2027</v>
      </c>
      <c r="D263" t="s">
        <v>718</v>
      </c>
      <c r="E263" t="s">
        <v>826</v>
      </c>
      <c r="F263" s="32">
        <v>46360</v>
      </c>
      <c r="G263" t="s">
        <v>514</v>
      </c>
      <c r="H263">
        <v>47128208</v>
      </c>
      <c r="I263" t="s">
        <v>2353</v>
      </c>
      <c r="J263" t="s">
        <v>2354</v>
      </c>
      <c r="K263" t="s">
        <v>530</v>
      </c>
      <c r="N263">
        <v>0</v>
      </c>
      <c r="O263">
        <v>0</v>
      </c>
      <c r="P263" t="str">
        <f t="shared" si="4"/>
        <v>N</v>
      </c>
      <c r="Q263" t="s">
        <v>5993</v>
      </c>
    </row>
    <row r="264" spans="1:17" x14ac:dyDescent="0.25">
      <c r="A264" t="s">
        <v>2371</v>
      </c>
      <c r="B264" t="s">
        <v>2344</v>
      </c>
      <c r="C264">
        <v>2027</v>
      </c>
      <c r="D264" t="s">
        <v>718</v>
      </c>
      <c r="E264" t="s">
        <v>826</v>
      </c>
      <c r="F264" s="32">
        <v>46360</v>
      </c>
      <c r="G264" t="s">
        <v>514</v>
      </c>
      <c r="H264">
        <v>47128377</v>
      </c>
      <c r="I264" t="s">
        <v>2362</v>
      </c>
      <c r="J264" t="s">
        <v>2363</v>
      </c>
      <c r="K264" t="s">
        <v>530</v>
      </c>
      <c r="N264">
        <v>40</v>
      </c>
      <c r="O264">
        <v>40</v>
      </c>
      <c r="P264" t="str">
        <f t="shared" si="4"/>
        <v>N</v>
      </c>
      <c r="Q264" t="s">
        <v>5994</v>
      </c>
    </row>
    <row r="265" spans="1:17" x14ac:dyDescent="0.25">
      <c r="A265" t="s">
        <v>2446</v>
      </c>
      <c r="B265" t="s">
        <v>2444</v>
      </c>
      <c r="C265">
        <v>2027</v>
      </c>
      <c r="D265" t="s">
        <v>718</v>
      </c>
      <c r="E265" t="s">
        <v>826</v>
      </c>
      <c r="F265" s="32">
        <v>46360</v>
      </c>
      <c r="G265" t="s">
        <v>514</v>
      </c>
      <c r="H265">
        <v>47128006</v>
      </c>
      <c r="I265" t="s">
        <v>2447</v>
      </c>
      <c r="J265" t="s">
        <v>2448</v>
      </c>
      <c r="K265" t="s">
        <v>530</v>
      </c>
      <c r="N265">
        <v>40</v>
      </c>
      <c r="O265">
        <v>40</v>
      </c>
      <c r="P265" t="str">
        <f t="shared" si="4"/>
        <v>N</v>
      </c>
      <c r="Q265" t="s">
        <v>5995</v>
      </c>
    </row>
    <row r="266" spans="1:17" x14ac:dyDescent="0.25">
      <c r="A266" t="s">
        <v>2449</v>
      </c>
      <c r="B266" t="s">
        <v>2444</v>
      </c>
      <c r="C266">
        <v>2027</v>
      </c>
      <c r="D266" t="s">
        <v>718</v>
      </c>
      <c r="E266" t="s">
        <v>826</v>
      </c>
      <c r="F266" s="32">
        <v>46360</v>
      </c>
      <c r="G266" t="s">
        <v>514</v>
      </c>
      <c r="H266">
        <v>47128667</v>
      </c>
      <c r="I266" t="s">
        <v>2450</v>
      </c>
      <c r="J266" t="s">
        <v>2451</v>
      </c>
      <c r="K266" t="s">
        <v>530</v>
      </c>
      <c r="N266">
        <v>0</v>
      </c>
      <c r="O266">
        <v>0</v>
      </c>
      <c r="P266" t="str">
        <f t="shared" si="4"/>
        <v>N</v>
      </c>
      <c r="Q266" t="s">
        <v>5996</v>
      </c>
    </row>
    <row r="267" spans="1:17" x14ac:dyDescent="0.25">
      <c r="A267" t="s">
        <v>2452</v>
      </c>
      <c r="B267" t="s">
        <v>2444</v>
      </c>
      <c r="C267">
        <v>2027</v>
      </c>
      <c r="D267" t="s">
        <v>718</v>
      </c>
      <c r="E267" t="s">
        <v>826</v>
      </c>
      <c r="F267" s="32">
        <v>46360</v>
      </c>
      <c r="G267" t="s">
        <v>514</v>
      </c>
      <c r="H267">
        <v>47129262</v>
      </c>
      <c r="I267" t="s">
        <v>2453</v>
      </c>
      <c r="J267" t="s">
        <v>2454</v>
      </c>
      <c r="K267" t="s">
        <v>530</v>
      </c>
      <c r="N267">
        <v>0</v>
      </c>
      <c r="O267">
        <v>0</v>
      </c>
      <c r="P267" t="str">
        <f t="shared" si="4"/>
        <v>N</v>
      </c>
      <c r="Q267" t="s">
        <v>5997</v>
      </c>
    </row>
    <row r="268" spans="1:17" x14ac:dyDescent="0.25">
      <c r="A268" t="s">
        <v>2455</v>
      </c>
      <c r="B268" t="s">
        <v>2444</v>
      </c>
      <c r="C268">
        <v>2027</v>
      </c>
      <c r="D268" t="s">
        <v>718</v>
      </c>
      <c r="E268" t="s">
        <v>826</v>
      </c>
      <c r="F268" s="32">
        <v>46360</v>
      </c>
      <c r="G268" t="s">
        <v>514</v>
      </c>
      <c r="H268">
        <v>47128213</v>
      </c>
      <c r="I268" t="s">
        <v>2456</v>
      </c>
      <c r="J268" t="s">
        <v>2457</v>
      </c>
      <c r="K268" t="s">
        <v>530</v>
      </c>
      <c r="N268">
        <v>0</v>
      </c>
      <c r="O268">
        <v>0</v>
      </c>
      <c r="P268" t="str">
        <f t="shared" si="4"/>
        <v>N</v>
      </c>
      <c r="Q268" t="s">
        <v>5998</v>
      </c>
    </row>
    <row r="269" spans="1:17" x14ac:dyDescent="0.25">
      <c r="A269" t="s">
        <v>2458</v>
      </c>
      <c r="B269" t="s">
        <v>2444</v>
      </c>
      <c r="C269">
        <v>2027</v>
      </c>
      <c r="D269" t="s">
        <v>718</v>
      </c>
      <c r="E269" t="s">
        <v>826</v>
      </c>
      <c r="F269" s="32">
        <v>46360</v>
      </c>
      <c r="G269" t="s">
        <v>514</v>
      </c>
      <c r="H269">
        <v>47129222</v>
      </c>
      <c r="I269" t="s">
        <v>2459</v>
      </c>
      <c r="J269" t="s">
        <v>2460</v>
      </c>
      <c r="K269" t="s">
        <v>530</v>
      </c>
      <c r="N269">
        <v>0</v>
      </c>
      <c r="O269">
        <v>0</v>
      </c>
      <c r="P269" t="str">
        <f t="shared" si="4"/>
        <v>N</v>
      </c>
      <c r="Q269" t="s">
        <v>5999</v>
      </c>
    </row>
    <row r="270" spans="1:17" x14ac:dyDescent="0.25">
      <c r="A270" t="s">
        <v>2461</v>
      </c>
      <c r="B270" t="s">
        <v>2444</v>
      </c>
      <c r="C270">
        <v>2027</v>
      </c>
      <c r="D270" t="s">
        <v>718</v>
      </c>
      <c r="E270" t="s">
        <v>826</v>
      </c>
      <c r="F270" s="32">
        <v>46360</v>
      </c>
      <c r="G270" t="s">
        <v>514</v>
      </c>
      <c r="H270">
        <v>47128561</v>
      </c>
      <c r="I270" t="s">
        <v>2462</v>
      </c>
      <c r="J270" t="s">
        <v>2463</v>
      </c>
      <c r="K270" t="s">
        <v>530</v>
      </c>
      <c r="N270">
        <v>0</v>
      </c>
      <c r="O270">
        <v>0</v>
      </c>
      <c r="P270" t="str">
        <f t="shared" si="4"/>
        <v>N</v>
      </c>
      <c r="Q270" t="s">
        <v>6000</v>
      </c>
    </row>
    <row r="271" spans="1:17" x14ac:dyDescent="0.25">
      <c r="A271" t="s">
        <v>2464</v>
      </c>
      <c r="B271" t="s">
        <v>2444</v>
      </c>
      <c r="C271">
        <v>2027</v>
      </c>
      <c r="D271" t="s">
        <v>718</v>
      </c>
      <c r="E271" t="s">
        <v>826</v>
      </c>
      <c r="F271" s="32">
        <v>46360</v>
      </c>
      <c r="G271" t="s">
        <v>514</v>
      </c>
      <c r="H271">
        <v>47129727</v>
      </c>
      <c r="I271" t="s">
        <v>2465</v>
      </c>
      <c r="J271" t="s">
        <v>2466</v>
      </c>
      <c r="K271" t="s">
        <v>530</v>
      </c>
      <c r="N271">
        <v>0</v>
      </c>
      <c r="O271">
        <v>0</v>
      </c>
      <c r="P271" t="str">
        <f t="shared" si="4"/>
        <v>N</v>
      </c>
      <c r="Q271" t="s">
        <v>6001</v>
      </c>
    </row>
    <row r="272" spans="1:17" x14ac:dyDescent="0.25">
      <c r="A272" t="s">
        <v>2467</v>
      </c>
      <c r="B272" t="s">
        <v>2444</v>
      </c>
      <c r="C272">
        <v>2027</v>
      </c>
      <c r="D272" t="s">
        <v>718</v>
      </c>
      <c r="E272" t="s">
        <v>826</v>
      </c>
      <c r="F272" s="32">
        <v>46360</v>
      </c>
      <c r="G272" t="s">
        <v>514</v>
      </c>
      <c r="H272">
        <v>47132096</v>
      </c>
      <c r="I272" t="s">
        <v>2468</v>
      </c>
      <c r="J272" t="s">
        <v>2469</v>
      </c>
      <c r="K272" t="s">
        <v>530</v>
      </c>
      <c r="N272">
        <v>0</v>
      </c>
      <c r="O272">
        <v>0</v>
      </c>
      <c r="P272" t="str">
        <f t="shared" si="4"/>
        <v>N</v>
      </c>
      <c r="Q272" t="s">
        <v>6002</v>
      </c>
    </row>
    <row r="273" spans="1:17" x14ac:dyDescent="0.25">
      <c r="A273" t="s">
        <v>2470</v>
      </c>
      <c r="B273" t="s">
        <v>2444</v>
      </c>
      <c r="C273">
        <v>2027</v>
      </c>
      <c r="D273" t="s">
        <v>718</v>
      </c>
      <c r="E273" t="s">
        <v>826</v>
      </c>
      <c r="F273" s="32">
        <v>46360</v>
      </c>
      <c r="G273" t="s">
        <v>514</v>
      </c>
      <c r="H273">
        <v>47128300</v>
      </c>
      <c r="I273" t="s">
        <v>2471</v>
      </c>
      <c r="J273" t="s">
        <v>2472</v>
      </c>
      <c r="K273" t="s">
        <v>530</v>
      </c>
      <c r="N273">
        <v>0</v>
      </c>
      <c r="O273">
        <v>0</v>
      </c>
      <c r="P273" t="str">
        <f t="shared" si="4"/>
        <v>N</v>
      </c>
      <c r="Q273" t="s">
        <v>6003</v>
      </c>
    </row>
    <row r="274" spans="1:17" x14ac:dyDescent="0.25">
      <c r="A274" t="s">
        <v>2473</v>
      </c>
      <c r="B274" t="s">
        <v>2444</v>
      </c>
      <c r="C274">
        <v>2027</v>
      </c>
      <c r="D274" t="s">
        <v>718</v>
      </c>
      <c r="E274" t="s">
        <v>826</v>
      </c>
      <c r="F274" s="32">
        <v>46360</v>
      </c>
      <c r="G274" t="s">
        <v>514</v>
      </c>
      <c r="H274">
        <v>47128655</v>
      </c>
      <c r="I274" t="s">
        <v>2474</v>
      </c>
      <c r="J274" t="s">
        <v>2475</v>
      </c>
      <c r="K274" t="s">
        <v>530</v>
      </c>
      <c r="N274">
        <v>0</v>
      </c>
      <c r="O274">
        <v>0</v>
      </c>
      <c r="P274" t="str">
        <f t="shared" si="4"/>
        <v>N</v>
      </c>
      <c r="Q274" t="s">
        <v>6004</v>
      </c>
    </row>
    <row r="275" spans="1:17" x14ac:dyDescent="0.25">
      <c r="A275" t="s">
        <v>2476</v>
      </c>
      <c r="B275" t="s">
        <v>2444</v>
      </c>
      <c r="C275">
        <v>2027</v>
      </c>
      <c r="D275" t="s">
        <v>718</v>
      </c>
      <c r="E275" t="s">
        <v>826</v>
      </c>
      <c r="F275" s="32">
        <v>46360</v>
      </c>
      <c r="G275" t="s">
        <v>514</v>
      </c>
      <c r="H275">
        <v>47128179</v>
      </c>
      <c r="I275" t="s">
        <v>2477</v>
      </c>
      <c r="J275" t="s">
        <v>2478</v>
      </c>
      <c r="K275" t="s">
        <v>530</v>
      </c>
      <c r="N275">
        <v>0</v>
      </c>
      <c r="O275">
        <v>0</v>
      </c>
      <c r="P275" t="str">
        <f t="shared" si="4"/>
        <v>N</v>
      </c>
      <c r="Q275" t="s">
        <v>6005</v>
      </c>
    </row>
    <row r="276" spans="1:17" x14ac:dyDescent="0.25">
      <c r="A276" t="s">
        <v>2479</v>
      </c>
      <c r="B276" t="s">
        <v>2444</v>
      </c>
      <c r="C276">
        <v>2027</v>
      </c>
      <c r="D276" t="s">
        <v>718</v>
      </c>
      <c r="E276" t="s">
        <v>826</v>
      </c>
      <c r="F276" s="32">
        <v>46360</v>
      </c>
      <c r="G276" t="s">
        <v>514</v>
      </c>
      <c r="H276">
        <v>47129558</v>
      </c>
      <c r="I276" t="s">
        <v>2480</v>
      </c>
      <c r="J276" t="s">
        <v>2481</v>
      </c>
      <c r="K276" t="s">
        <v>530</v>
      </c>
      <c r="N276">
        <v>0</v>
      </c>
      <c r="O276">
        <v>0</v>
      </c>
      <c r="P276" t="str">
        <f t="shared" si="4"/>
        <v>N</v>
      </c>
      <c r="Q276" t="s">
        <v>6006</v>
      </c>
    </row>
    <row r="277" spans="1:17" x14ac:dyDescent="0.25">
      <c r="A277" t="s">
        <v>2482</v>
      </c>
      <c r="B277" t="s">
        <v>2444</v>
      </c>
      <c r="C277">
        <v>2027</v>
      </c>
      <c r="D277" t="s">
        <v>718</v>
      </c>
      <c r="E277" t="s">
        <v>826</v>
      </c>
      <c r="F277" s="32">
        <v>46360</v>
      </c>
      <c r="G277" t="s">
        <v>514</v>
      </c>
      <c r="H277">
        <v>47129273</v>
      </c>
      <c r="I277" t="s">
        <v>2483</v>
      </c>
      <c r="J277" t="s">
        <v>2484</v>
      </c>
      <c r="K277" t="s">
        <v>530</v>
      </c>
      <c r="N277">
        <v>0</v>
      </c>
      <c r="O277">
        <v>0</v>
      </c>
      <c r="P277" t="str">
        <f t="shared" si="4"/>
        <v>N</v>
      </c>
      <c r="Q277" t="s">
        <v>6007</v>
      </c>
    </row>
    <row r="278" spans="1:17" x14ac:dyDescent="0.25">
      <c r="A278" t="s">
        <v>2485</v>
      </c>
      <c r="B278" t="s">
        <v>2444</v>
      </c>
      <c r="C278">
        <v>2027</v>
      </c>
      <c r="D278" t="s">
        <v>718</v>
      </c>
      <c r="E278" t="s">
        <v>826</v>
      </c>
      <c r="F278" s="32">
        <v>46360</v>
      </c>
      <c r="G278" t="s">
        <v>514</v>
      </c>
      <c r="H278">
        <v>47129274</v>
      </c>
      <c r="I278" t="s">
        <v>2486</v>
      </c>
      <c r="J278" t="s">
        <v>2487</v>
      </c>
      <c r="K278" t="s">
        <v>530</v>
      </c>
      <c r="N278">
        <v>0</v>
      </c>
      <c r="O278">
        <v>0</v>
      </c>
      <c r="P278" t="str">
        <f t="shared" si="4"/>
        <v>N</v>
      </c>
      <c r="Q278" t="s">
        <v>6008</v>
      </c>
    </row>
    <row r="279" spans="1:17" x14ac:dyDescent="0.25">
      <c r="A279" t="s">
        <v>2488</v>
      </c>
      <c r="B279" t="s">
        <v>2444</v>
      </c>
      <c r="C279">
        <v>2027</v>
      </c>
      <c r="D279" t="s">
        <v>718</v>
      </c>
      <c r="E279" t="s">
        <v>826</v>
      </c>
      <c r="F279" s="32">
        <v>46360</v>
      </c>
      <c r="G279" t="s">
        <v>514</v>
      </c>
      <c r="H279">
        <v>47128587</v>
      </c>
      <c r="I279" t="s">
        <v>2489</v>
      </c>
      <c r="J279" t="s">
        <v>2490</v>
      </c>
      <c r="K279" t="s">
        <v>530</v>
      </c>
      <c r="N279">
        <v>0</v>
      </c>
      <c r="O279">
        <v>0</v>
      </c>
      <c r="P279" t="str">
        <f t="shared" si="4"/>
        <v>N</v>
      </c>
      <c r="Q279" t="s">
        <v>6009</v>
      </c>
    </row>
    <row r="280" spans="1:17" x14ac:dyDescent="0.25">
      <c r="A280" t="s">
        <v>2491</v>
      </c>
      <c r="B280" t="s">
        <v>2444</v>
      </c>
      <c r="C280">
        <v>2027</v>
      </c>
      <c r="D280" t="s">
        <v>718</v>
      </c>
      <c r="E280" t="s">
        <v>826</v>
      </c>
      <c r="F280" s="32">
        <v>46360</v>
      </c>
      <c r="G280" t="s">
        <v>514</v>
      </c>
      <c r="H280">
        <v>47128247</v>
      </c>
      <c r="I280" t="s">
        <v>2492</v>
      </c>
      <c r="J280" t="s">
        <v>2493</v>
      </c>
      <c r="K280" t="s">
        <v>530</v>
      </c>
      <c r="N280">
        <v>0</v>
      </c>
      <c r="O280">
        <v>0</v>
      </c>
      <c r="P280" t="str">
        <f t="shared" si="4"/>
        <v>N</v>
      </c>
      <c r="Q280" t="s">
        <v>6010</v>
      </c>
    </row>
    <row r="281" spans="1:17" x14ac:dyDescent="0.25">
      <c r="A281" t="s">
        <v>2784</v>
      </c>
      <c r="B281" t="s">
        <v>2783</v>
      </c>
      <c r="C281">
        <v>2027</v>
      </c>
      <c r="D281" t="s">
        <v>718</v>
      </c>
      <c r="E281" t="s">
        <v>826</v>
      </c>
      <c r="F281" s="32">
        <v>46360</v>
      </c>
      <c r="G281" t="s">
        <v>514</v>
      </c>
      <c r="H281">
        <v>47128006</v>
      </c>
      <c r="I281" t="s">
        <v>2447</v>
      </c>
      <c r="J281" t="s">
        <v>2448</v>
      </c>
      <c r="K281" t="s">
        <v>530</v>
      </c>
      <c r="N281">
        <v>40</v>
      </c>
      <c r="O281">
        <v>40</v>
      </c>
      <c r="P281" t="str">
        <f t="shared" si="4"/>
        <v>N</v>
      </c>
      <c r="Q281" t="s">
        <v>6011</v>
      </c>
    </row>
    <row r="282" spans="1:17" x14ac:dyDescent="0.25">
      <c r="A282" t="s">
        <v>2785</v>
      </c>
      <c r="B282" t="s">
        <v>2783</v>
      </c>
      <c r="C282">
        <v>2027</v>
      </c>
      <c r="D282" t="s">
        <v>718</v>
      </c>
      <c r="E282" t="s">
        <v>826</v>
      </c>
      <c r="F282" s="32">
        <v>46360</v>
      </c>
      <c r="G282" t="s">
        <v>514</v>
      </c>
      <c r="H282">
        <v>47128667</v>
      </c>
      <c r="I282" t="s">
        <v>2450</v>
      </c>
      <c r="J282" t="s">
        <v>2451</v>
      </c>
      <c r="K282" t="s">
        <v>530</v>
      </c>
      <c r="N282">
        <v>0</v>
      </c>
      <c r="O282">
        <v>0</v>
      </c>
      <c r="P282" t="str">
        <f t="shared" si="4"/>
        <v>N</v>
      </c>
      <c r="Q282" t="s">
        <v>6012</v>
      </c>
    </row>
    <row r="283" spans="1:17" x14ac:dyDescent="0.25">
      <c r="A283" t="s">
        <v>2786</v>
      </c>
      <c r="B283" t="s">
        <v>2783</v>
      </c>
      <c r="C283">
        <v>2027</v>
      </c>
      <c r="D283" t="s">
        <v>718</v>
      </c>
      <c r="E283" t="s">
        <v>826</v>
      </c>
      <c r="F283" s="32">
        <v>46360</v>
      </c>
      <c r="G283" t="s">
        <v>514</v>
      </c>
      <c r="H283">
        <v>47129262</v>
      </c>
      <c r="I283" t="s">
        <v>2453</v>
      </c>
      <c r="J283" t="s">
        <v>2454</v>
      </c>
      <c r="K283" t="s">
        <v>530</v>
      </c>
      <c r="N283">
        <v>0</v>
      </c>
      <c r="O283">
        <v>0</v>
      </c>
      <c r="P283" t="str">
        <f t="shared" si="4"/>
        <v>N</v>
      </c>
      <c r="Q283" t="s">
        <v>6013</v>
      </c>
    </row>
    <row r="284" spans="1:17" x14ac:dyDescent="0.25">
      <c r="A284" t="s">
        <v>2787</v>
      </c>
      <c r="B284" t="s">
        <v>2783</v>
      </c>
      <c r="C284">
        <v>2027</v>
      </c>
      <c r="D284" t="s">
        <v>718</v>
      </c>
      <c r="E284" t="s">
        <v>826</v>
      </c>
      <c r="F284" s="32">
        <v>46360</v>
      </c>
      <c r="G284" t="s">
        <v>514</v>
      </c>
      <c r="H284">
        <v>47128213</v>
      </c>
      <c r="I284" t="s">
        <v>2456</v>
      </c>
      <c r="J284" t="s">
        <v>2457</v>
      </c>
      <c r="K284" t="s">
        <v>530</v>
      </c>
      <c r="N284">
        <v>0</v>
      </c>
      <c r="O284">
        <v>0</v>
      </c>
      <c r="P284" t="str">
        <f t="shared" si="4"/>
        <v>N</v>
      </c>
      <c r="Q284" t="s">
        <v>6014</v>
      </c>
    </row>
    <row r="285" spans="1:17" x14ac:dyDescent="0.25">
      <c r="A285" t="s">
        <v>2788</v>
      </c>
      <c r="B285" t="s">
        <v>2783</v>
      </c>
      <c r="C285">
        <v>2027</v>
      </c>
      <c r="D285" t="s">
        <v>718</v>
      </c>
      <c r="E285" t="s">
        <v>826</v>
      </c>
      <c r="F285" s="32">
        <v>46360</v>
      </c>
      <c r="G285" t="s">
        <v>514</v>
      </c>
      <c r="H285">
        <v>47129222</v>
      </c>
      <c r="I285" t="s">
        <v>2459</v>
      </c>
      <c r="J285" t="s">
        <v>2460</v>
      </c>
      <c r="K285" t="s">
        <v>530</v>
      </c>
      <c r="N285">
        <v>0</v>
      </c>
      <c r="O285">
        <v>0</v>
      </c>
      <c r="P285" t="str">
        <f t="shared" si="4"/>
        <v>N</v>
      </c>
      <c r="Q285" t="s">
        <v>6015</v>
      </c>
    </row>
    <row r="286" spans="1:17" x14ac:dyDescent="0.25">
      <c r="A286" t="s">
        <v>2789</v>
      </c>
      <c r="B286" t="s">
        <v>2783</v>
      </c>
      <c r="C286">
        <v>2027</v>
      </c>
      <c r="D286" t="s">
        <v>718</v>
      </c>
      <c r="E286" t="s">
        <v>826</v>
      </c>
      <c r="F286" s="32">
        <v>46360</v>
      </c>
      <c r="G286" t="s">
        <v>514</v>
      </c>
      <c r="H286">
        <v>47128561</v>
      </c>
      <c r="I286" t="s">
        <v>2462</v>
      </c>
      <c r="J286" t="s">
        <v>2463</v>
      </c>
      <c r="K286" t="s">
        <v>530</v>
      </c>
      <c r="N286">
        <v>0</v>
      </c>
      <c r="O286">
        <v>0</v>
      </c>
      <c r="P286" t="str">
        <f t="shared" si="4"/>
        <v>N</v>
      </c>
      <c r="Q286" t="s">
        <v>6016</v>
      </c>
    </row>
    <row r="287" spans="1:17" x14ac:dyDescent="0.25">
      <c r="A287" t="s">
        <v>2790</v>
      </c>
      <c r="B287" t="s">
        <v>2783</v>
      </c>
      <c r="C287">
        <v>2027</v>
      </c>
      <c r="D287" t="s">
        <v>718</v>
      </c>
      <c r="E287" t="s">
        <v>826</v>
      </c>
      <c r="F287" s="32">
        <v>46360</v>
      </c>
      <c r="G287" t="s">
        <v>514</v>
      </c>
      <c r="H287">
        <v>47129727</v>
      </c>
      <c r="I287" t="s">
        <v>2465</v>
      </c>
      <c r="J287" t="s">
        <v>2466</v>
      </c>
      <c r="K287" t="s">
        <v>530</v>
      </c>
      <c r="N287">
        <v>0</v>
      </c>
      <c r="O287">
        <v>0</v>
      </c>
      <c r="P287" t="str">
        <f t="shared" si="4"/>
        <v>N</v>
      </c>
      <c r="Q287" t="s">
        <v>6017</v>
      </c>
    </row>
    <row r="288" spans="1:17" x14ac:dyDescent="0.25">
      <c r="A288" t="s">
        <v>2791</v>
      </c>
      <c r="B288" t="s">
        <v>2783</v>
      </c>
      <c r="C288">
        <v>2027</v>
      </c>
      <c r="D288" t="s">
        <v>718</v>
      </c>
      <c r="E288" t="s">
        <v>826</v>
      </c>
      <c r="F288" s="32">
        <v>46360</v>
      </c>
      <c r="G288" t="s">
        <v>514</v>
      </c>
      <c r="H288">
        <v>47132096</v>
      </c>
      <c r="I288" t="s">
        <v>2468</v>
      </c>
      <c r="J288" t="s">
        <v>2469</v>
      </c>
      <c r="K288" t="s">
        <v>530</v>
      </c>
      <c r="N288">
        <v>0</v>
      </c>
      <c r="O288">
        <v>0</v>
      </c>
      <c r="P288" t="str">
        <f t="shared" si="4"/>
        <v>N</v>
      </c>
      <c r="Q288" t="s">
        <v>6018</v>
      </c>
    </row>
    <row r="289" spans="1:17" x14ac:dyDescent="0.25">
      <c r="A289" t="s">
        <v>2792</v>
      </c>
      <c r="B289" t="s">
        <v>2783</v>
      </c>
      <c r="C289">
        <v>2027</v>
      </c>
      <c r="D289" t="s">
        <v>718</v>
      </c>
      <c r="E289" t="s">
        <v>826</v>
      </c>
      <c r="F289" s="32">
        <v>46360</v>
      </c>
      <c r="G289" t="s">
        <v>514</v>
      </c>
      <c r="H289">
        <v>47128300</v>
      </c>
      <c r="I289" t="s">
        <v>2471</v>
      </c>
      <c r="J289" t="s">
        <v>2472</v>
      </c>
      <c r="K289" t="s">
        <v>530</v>
      </c>
      <c r="N289">
        <v>0</v>
      </c>
      <c r="O289">
        <v>0</v>
      </c>
      <c r="P289" t="str">
        <f t="shared" si="4"/>
        <v>N</v>
      </c>
      <c r="Q289" t="s">
        <v>6019</v>
      </c>
    </row>
    <row r="290" spans="1:17" x14ac:dyDescent="0.25">
      <c r="A290" t="s">
        <v>2793</v>
      </c>
      <c r="B290" t="s">
        <v>2783</v>
      </c>
      <c r="C290">
        <v>2027</v>
      </c>
      <c r="D290" t="s">
        <v>718</v>
      </c>
      <c r="E290" t="s">
        <v>826</v>
      </c>
      <c r="F290" s="32">
        <v>46360</v>
      </c>
      <c r="G290" t="s">
        <v>514</v>
      </c>
      <c r="H290">
        <v>47128655</v>
      </c>
      <c r="I290" t="s">
        <v>2474</v>
      </c>
      <c r="J290" t="s">
        <v>2475</v>
      </c>
      <c r="K290" t="s">
        <v>530</v>
      </c>
      <c r="N290">
        <v>0</v>
      </c>
      <c r="O290">
        <v>0</v>
      </c>
      <c r="P290" t="str">
        <f t="shared" si="4"/>
        <v>N</v>
      </c>
      <c r="Q290" t="s">
        <v>6020</v>
      </c>
    </row>
    <row r="291" spans="1:17" x14ac:dyDescent="0.25">
      <c r="A291" t="s">
        <v>2794</v>
      </c>
      <c r="B291" t="s">
        <v>2783</v>
      </c>
      <c r="C291">
        <v>2027</v>
      </c>
      <c r="D291" t="s">
        <v>718</v>
      </c>
      <c r="E291" t="s">
        <v>826</v>
      </c>
      <c r="F291" s="32">
        <v>46360</v>
      </c>
      <c r="G291" t="s">
        <v>514</v>
      </c>
      <c r="H291">
        <v>47128179</v>
      </c>
      <c r="I291" t="s">
        <v>2477</v>
      </c>
      <c r="J291" t="s">
        <v>2478</v>
      </c>
      <c r="K291" t="s">
        <v>530</v>
      </c>
      <c r="N291">
        <v>0</v>
      </c>
      <c r="O291">
        <v>0</v>
      </c>
      <c r="P291" t="str">
        <f t="shared" si="4"/>
        <v>N</v>
      </c>
      <c r="Q291" t="s">
        <v>6021</v>
      </c>
    </row>
    <row r="292" spans="1:17" x14ac:dyDescent="0.25">
      <c r="A292" t="s">
        <v>2795</v>
      </c>
      <c r="B292" t="s">
        <v>2783</v>
      </c>
      <c r="C292">
        <v>2027</v>
      </c>
      <c r="D292" t="s">
        <v>718</v>
      </c>
      <c r="E292" t="s">
        <v>826</v>
      </c>
      <c r="F292" s="32">
        <v>46360</v>
      </c>
      <c r="G292" t="s">
        <v>514</v>
      </c>
      <c r="H292">
        <v>47129558</v>
      </c>
      <c r="I292" t="s">
        <v>2480</v>
      </c>
      <c r="J292" t="s">
        <v>2481</v>
      </c>
      <c r="K292" t="s">
        <v>530</v>
      </c>
      <c r="N292">
        <v>0</v>
      </c>
      <c r="O292">
        <v>0</v>
      </c>
      <c r="P292" t="str">
        <f t="shared" si="4"/>
        <v>N</v>
      </c>
      <c r="Q292" t="s">
        <v>6022</v>
      </c>
    </row>
    <row r="293" spans="1:17" x14ac:dyDescent="0.25">
      <c r="A293" t="s">
        <v>2796</v>
      </c>
      <c r="B293" t="s">
        <v>2783</v>
      </c>
      <c r="C293">
        <v>2027</v>
      </c>
      <c r="D293" t="s">
        <v>718</v>
      </c>
      <c r="E293" t="s">
        <v>826</v>
      </c>
      <c r="F293" s="32">
        <v>46360</v>
      </c>
      <c r="G293" t="s">
        <v>514</v>
      </c>
      <c r="H293">
        <v>47129273</v>
      </c>
      <c r="I293" t="s">
        <v>2483</v>
      </c>
      <c r="J293" t="s">
        <v>2484</v>
      </c>
      <c r="K293" t="s">
        <v>530</v>
      </c>
      <c r="N293">
        <v>0</v>
      </c>
      <c r="O293">
        <v>0</v>
      </c>
      <c r="P293" t="str">
        <f t="shared" si="4"/>
        <v>N</v>
      </c>
      <c r="Q293" t="s">
        <v>6023</v>
      </c>
    </row>
    <row r="294" spans="1:17" x14ac:dyDescent="0.25">
      <c r="A294" t="s">
        <v>2797</v>
      </c>
      <c r="B294" t="s">
        <v>2783</v>
      </c>
      <c r="C294">
        <v>2027</v>
      </c>
      <c r="D294" t="s">
        <v>718</v>
      </c>
      <c r="E294" t="s">
        <v>826</v>
      </c>
      <c r="F294" s="32">
        <v>46360</v>
      </c>
      <c r="G294" t="s">
        <v>514</v>
      </c>
      <c r="H294">
        <v>47129274</v>
      </c>
      <c r="I294" t="s">
        <v>2486</v>
      </c>
      <c r="J294" t="s">
        <v>2487</v>
      </c>
      <c r="K294" t="s">
        <v>530</v>
      </c>
      <c r="N294">
        <v>0</v>
      </c>
      <c r="O294">
        <v>0</v>
      </c>
      <c r="P294" t="str">
        <f t="shared" si="4"/>
        <v>N</v>
      </c>
      <c r="Q294" t="s">
        <v>6024</v>
      </c>
    </row>
    <row r="295" spans="1:17" x14ac:dyDescent="0.25">
      <c r="A295" t="s">
        <v>2798</v>
      </c>
      <c r="B295" t="s">
        <v>2783</v>
      </c>
      <c r="C295">
        <v>2027</v>
      </c>
      <c r="D295" t="s">
        <v>718</v>
      </c>
      <c r="E295" t="s">
        <v>826</v>
      </c>
      <c r="F295" s="32">
        <v>46360</v>
      </c>
      <c r="G295" t="s">
        <v>514</v>
      </c>
      <c r="H295">
        <v>47128587</v>
      </c>
      <c r="I295" t="s">
        <v>2489</v>
      </c>
      <c r="J295" t="s">
        <v>2490</v>
      </c>
      <c r="K295" t="s">
        <v>530</v>
      </c>
      <c r="N295">
        <v>0</v>
      </c>
      <c r="O295">
        <v>0</v>
      </c>
      <c r="P295" t="str">
        <f t="shared" si="4"/>
        <v>N</v>
      </c>
      <c r="Q295" t="s">
        <v>6025</v>
      </c>
    </row>
    <row r="296" spans="1:17" x14ac:dyDescent="0.25">
      <c r="A296" t="s">
        <v>2799</v>
      </c>
      <c r="B296" t="s">
        <v>2783</v>
      </c>
      <c r="C296">
        <v>2027</v>
      </c>
      <c r="D296" t="s">
        <v>718</v>
      </c>
      <c r="E296" t="s">
        <v>826</v>
      </c>
      <c r="F296" s="32">
        <v>46360</v>
      </c>
      <c r="G296" t="s">
        <v>514</v>
      </c>
      <c r="H296">
        <v>47128247</v>
      </c>
      <c r="I296" t="s">
        <v>2492</v>
      </c>
      <c r="J296" t="s">
        <v>2493</v>
      </c>
      <c r="K296" t="s">
        <v>530</v>
      </c>
      <c r="N296">
        <v>0</v>
      </c>
      <c r="O296">
        <v>0</v>
      </c>
      <c r="P296" t="str">
        <f t="shared" si="4"/>
        <v>N</v>
      </c>
      <c r="Q296" t="s">
        <v>6026</v>
      </c>
    </row>
    <row r="297" spans="1:17" x14ac:dyDescent="0.25">
      <c r="A297" t="s">
        <v>3103</v>
      </c>
      <c r="B297" t="s">
        <v>1080</v>
      </c>
      <c r="C297">
        <v>2027</v>
      </c>
      <c r="D297" t="s">
        <v>718</v>
      </c>
      <c r="E297" t="s">
        <v>826</v>
      </c>
      <c r="F297" s="32">
        <v>46360</v>
      </c>
      <c r="G297" t="s">
        <v>514</v>
      </c>
      <c r="H297">
        <v>47128522</v>
      </c>
      <c r="I297" t="s">
        <v>1092</v>
      </c>
      <c r="J297" t="s">
        <v>1091</v>
      </c>
      <c r="K297" t="s">
        <v>530</v>
      </c>
      <c r="N297">
        <v>0</v>
      </c>
      <c r="O297">
        <v>0</v>
      </c>
      <c r="P297" t="str">
        <f t="shared" si="4"/>
        <v>N</v>
      </c>
      <c r="Q297" t="s">
        <v>6027</v>
      </c>
    </row>
    <row r="298" spans="1:17" x14ac:dyDescent="0.25">
      <c r="A298" t="s">
        <v>3104</v>
      </c>
      <c r="B298" t="s">
        <v>1080</v>
      </c>
      <c r="C298">
        <v>2027</v>
      </c>
      <c r="D298" t="s">
        <v>718</v>
      </c>
      <c r="E298" t="s">
        <v>826</v>
      </c>
      <c r="F298" s="32">
        <v>46360</v>
      </c>
      <c r="G298" t="s">
        <v>514</v>
      </c>
      <c r="H298">
        <v>47147546</v>
      </c>
      <c r="I298" t="s">
        <v>1077</v>
      </c>
      <c r="J298" t="s">
        <v>1381</v>
      </c>
      <c r="K298" t="s">
        <v>530</v>
      </c>
      <c r="N298">
        <v>0</v>
      </c>
      <c r="O298">
        <v>0</v>
      </c>
      <c r="P298" t="str">
        <f t="shared" si="4"/>
        <v>N</v>
      </c>
      <c r="Q298" t="s">
        <v>6028</v>
      </c>
    </row>
    <row r="299" spans="1:17" x14ac:dyDescent="0.25">
      <c r="A299" t="s">
        <v>3105</v>
      </c>
      <c r="B299" t="s">
        <v>1080</v>
      </c>
      <c r="C299">
        <v>2027</v>
      </c>
      <c r="D299" t="s">
        <v>718</v>
      </c>
      <c r="E299" t="s">
        <v>826</v>
      </c>
      <c r="F299" s="32">
        <v>46360</v>
      </c>
      <c r="G299" t="s">
        <v>514</v>
      </c>
      <c r="H299">
        <v>47147658</v>
      </c>
      <c r="I299" t="s">
        <v>1276</v>
      </c>
      <c r="J299" t="s">
        <v>1275</v>
      </c>
      <c r="K299" t="s">
        <v>530</v>
      </c>
      <c r="N299">
        <v>0</v>
      </c>
      <c r="O299">
        <v>0</v>
      </c>
      <c r="P299" t="str">
        <f t="shared" si="4"/>
        <v>N</v>
      </c>
      <c r="Q299" t="s">
        <v>6029</v>
      </c>
    </row>
    <row r="300" spans="1:17" x14ac:dyDescent="0.25">
      <c r="A300" t="s">
        <v>3106</v>
      </c>
      <c r="B300" t="s">
        <v>1080</v>
      </c>
      <c r="C300">
        <v>2027</v>
      </c>
      <c r="D300" t="s">
        <v>718</v>
      </c>
      <c r="E300" t="s">
        <v>826</v>
      </c>
      <c r="F300" s="32">
        <v>46360</v>
      </c>
      <c r="G300" t="s">
        <v>514</v>
      </c>
      <c r="H300">
        <v>47147546</v>
      </c>
      <c r="I300" t="s">
        <v>1077</v>
      </c>
      <c r="J300" t="s">
        <v>1171</v>
      </c>
      <c r="K300" t="s">
        <v>530</v>
      </c>
      <c r="N300">
        <v>0</v>
      </c>
      <c r="O300">
        <v>0</v>
      </c>
      <c r="P300" t="str">
        <f t="shared" si="4"/>
        <v>N</v>
      </c>
      <c r="Q300" t="s">
        <v>6030</v>
      </c>
    </row>
    <row r="301" spans="1:17" x14ac:dyDescent="0.25">
      <c r="A301" t="s">
        <v>3107</v>
      </c>
      <c r="B301" t="s">
        <v>1080</v>
      </c>
      <c r="C301">
        <v>2027</v>
      </c>
      <c r="D301" t="s">
        <v>718</v>
      </c>
      <c r="E301" t="s">
        <v>826</v>
      </c>
      <c r="F301" s="32">
        <v>46360</v>
      </c>
      <c r="G301" t="s">
        <v>514</v>
      </c>
      <c r="H301">
        <v>47128028</v>
      </c>
      <c r="I301" t="s">
        <v>1035</v>
      </c>
      <c r="J301" t="s">
        <v>1034</v>
      </c>
      <c r="K301" t="s">
        <v>530</v>
      </c>
      <c r="N301">
        <v>0</v>
      </c>
      <c r="O301">
        <v>0</v>
      </c>
      <c r="P301" t="str">
        <f t="shared" si="4"/>
        <v>N</v>
      </c>
      <c r="Q301" t="s">
        <v>6031</v>
      </c>
    </row>
    <row r="302" spans="1:17" x14ac:dyDescent="0.25">
      <c r="A302" t="s">
        <v>3108</v>
      </c>
      <c r="B302" t="s">
        <v>1080</v>
      </c>
      <c r="C302">
        <v>2027</v>
      </c>
      <c r="D302" t="s">
        <v>718</v>
      </c>
      <c r="E302" t="s">
        <v>826</v>
      </c>
      <c r="F302" s="32">
        <v>46360</v>
      </c>
      <c r="G302" t="s">
        <v>514</v>
      </c>
      <c r="H302">
        <v>47128465</v>
      </c>
      <c r="I302" t="s">
        <v>1333</v>
      </c>
      <c r="J302" t="s">
        <v>1332</v>
      </c>
      <c r="K302" t="s">
        <v>530</v>
      </c>
      <c r="N302">
        <v>0</v>
      </c>
      <c r="O302">
        <v>0</v>
      </c>
      <c r="P302" t="str">
        <f t="shared" si="4"/>
        <v>N</v>
      </c>
      <c r="Q302" t="s">
        <v>6032</v>
      </c>
    </row>
    <row r="303" spans="1:17" x14ac:dyDescent="0.25">
      <c r="A303" t="s">
        <v>3109</v>
      </c>
      <c r="B303" t="s">
        <v>1080</v>
      </c>
      <c r="C303">
        <v>2027</v>
      </c>
      <c r="D303" t="s">
        <v>718</v>
      </c>
      <c r="E303" t="s">
        <v>826</v>
      </c>
      <c r="F303" s="32">
        <v>46360</v>
      </c>
      <c r="G303" t="s">
        <v>514</v>
      </c>
      <c r="H303">
        <v>47128548</v>
      </c>
      <c r="I303" t="s">
        <v>958</v>
      </c>
      <c r="J303" t="s">
        <v>957</v>
      </c>
      <c r="K303" t="s">
        <v>530</v>
      </c>
      <c r="N303">
        <v>0</v>
      </c>
      <c r="O303">
        <v>0</v>
      </c>
      <c r="P303" t="str">
        <f t="shared" si="4"/>
        <v>N</v>
      </c>
      <c r="Q303" t="s">
        <v>6033</v>
      </c>
    </row>
    <row r="304" spans="1:17" x14ac:dyDescent="0.25">
      <c r="A304" t="s">
        <v>3110</v>
      </c>
      <c r="B304" t="s">
        <v>1080</v>
      </c>
      <c r="C304">
        <v>2027</v>
      </c>
      <c r="D304" t="s">
        <v>718</v>
      </c>
      <c r="E304" t="s">
        <v>826</v>
      </c>
      <c r="F304" s="32">
        <v>46360</v>
      </c>
      <c r="G304" t="s">
        <v>514</v>
      </c>
      <c r="H304">
        <v>47128787</v>
      </c>
      <c r="I304" t="s">
        <v>1453</v>
      </c>
      <c r="J304" t="s">
        <v>1452</v>
      </c>
      <c r="K304" t="s">
        <v>530</v>
      </c>
      <c r="N304">
        <v>0</v>
      </c>
      <c r="O304">
        <v>0</v>
      </c>
      <c r="P304" t="str">
        <f t="shared" si="4"/>
        <v>N</v>
      </c>
      <c r="Q304" t="s">
        <v>6034</v>
      </c>
    </row>
    <row r="305" spans="1:17" x14ac:dyDescent="0.25">
      <c r="A305" t="s">
        <v>3111</v>
      </c>
      <c r="B305" t="s">
        <v>1080</v>
      </c>
      <c r="C305">
        <v>2027</v>
      </c>
      <c r="D305" t="s">
        <v>718</v>
      </c>
      <c r="E305" t="s">
        <v>826</v>
      </c>
      <c r="F305" s="32">
        <v>46360</v>
      </c>
      <c r="G305" t="s">
        <v>514</v>
      </c>
      <c r="H305">
        <v>47146464</v>
      </c>
      <c r="I305" t="s">
        <v>1438</v>
      </c>
      <c r="J305" t="s">
        <v>1437</v>
      </c>
      <c r="K305" t="s">
        <v>530</v>
      </c>
      <c r="N305">
        <v>0</v>
      </c>
      <c r="O305">
        <v>0</v>
      </c>
      <c r="P305" t="str">
        <f t="shared" si="4"/>
        <v>N</v>
      </c>
      <c r="Q305" t="s">
        <v>6035</v>
      </c>
    </row>
    <row r="306" spans="1:17" x14ac:dyDescent="0.25">
      <c r="A306" t="s">
        <v>3112</v>
      </c>
      <c r="B306" t="s">
        <v>1080</v>
      </c>
      <c r="C306">
        <v>2027</v>
      </c>
      <c r="D306" t="s">
        <v>718</v>
      </c>
      <c r="E306" t="s">
        <v>826</v>
      </c>
      <c r="F306" s="32">
        <v>46360</v>
      </c>
      <c r="G306" t="s">
        <v>514</v>
      </c>
      <c r="H306">
        <v>47146463</v>
      </c>
      <c r="I306" t="s">
        <v>1441</v>
      </c>
      <c r="J306" t="s">
        <v>1440</v>
      </c>
      <c r="K306" t="s">
        <v>530</v>
      </c>
      <c r="N306">
        <v>0</v>
      </c>
      <c r="O306">
        <v>0</v>
      </c>
      <c r="P306" t="str">
        <f t="shared" si="4"/>
        <v>N</v>
      </c>
      <c r="Q306" t="s">
        <v>6036</v>
      </c>
    </row>
    <row r="307" spans="1:17" x14ac:dyDescent="0.25">
      <c r="A307" t="s">
        <v>3113</v>
      </c>
      <c r="B307" t="s">
        <v>1080</v>
      </c>
      <c r="C307">
        <v>2027</v>
      </c>
      <c r="D307" t="s">
        <v>718</v>
      </c>
      <c r="E307" t="s">
        <v>826</v>
      </c>
      <c r="F307" s="32">
        <v>46360</v>
      </c>
      <c r="G307" t="s">
        <v>514</v>
      </c>
      <c r="H307">
        <v>47128729</v>
      </c>
      <c r="I307" t="s">
        <v>1149</v>
      </c>
      <c r="J307" t="s">
        <v>1148</v>
      </c>
      <c r="K307" t="s">
        <v>530</v>
      </c>
      <c r="N307">
        <v>0</v>
      </c>
      <c r="O307">
        <v>0</v>
      </c>
      <c r="P307" t="str">
        <f t="shared" si="4"/>
        <v>N</v>
      </c>
      <c r="Q307" t="s">
        <v>6037</v>
      </c>
    </row>
    <row r="308" spans="1:17" x14ac:dyDescent="0.25">
      <c r="A308" t="s">
        <v>3114</v>
      </c>
      <c r="B308" t="s">
        <v>1080</v>
      </c>
      <c r="C308">
        <v>2027</v>
      </c>
      <c r="D308" t="s">
        <v>718</v>
      </c>
      <c r="E308" t="s">
        <v>826</v>
      </c>
      <c r="F308" s="32">
        <v>46360</v>
      </c>
      <c r="G308" t="s">
        <v>514</v>
      </c>
      <c r="H308">
        <v>47128413</v>
      </c>
      <c r="I308" t="s">
        <v>1397</v>
      </c>
      <c r="J308" t="s">
        <v>1396</v>
      </c>
      <c r="K308" t="s">
        <v>530</v>
      </c>
      <c r="N308">
        <v>0</v>
      </c>
      <c r="O308">
        <v>0</v>
      </c>
      <c r="P308" t="str">
        <f t="shared" si="4"/>
        <v>N</v>
      </c>
      <c r="Q308" t="s">
        <v>6038</v>
      </c>
    </row>
    <row r="309" spans="1:17" x14ac:dyDescent="0.25">
      <c r="A309" t="s">
        <v>3115</v>
      </c>
      <c r="B309" t="s">
        <v>1080</v>
      </c>
      <c r="C309">
        <v>2027</v>
      </c>
      <c r="D309" t="s">
        <v>718</v>
      </c>
      <c r="E309" t="s">
        <v>826</v>
      </c>
      <c r="F309" s="32">
        <v>46360</v>
      </c>
      <c r="G309" t="s">
        <v>514</v>
      </c>
      <c r="H309">
        <v>47128783</v>
      </c>
      <c r="I309" t="s">
        <v>1280</v>
      </c>
      <c r="J309" t="s">
        <v>1279</v>
      </c>
      <c r="K309" t="s">
        <v>530</v>
      </c>
      <c r="N309">
        <v>0</v>
      </c>
      <c r="O309">
        <v>0</v>
      </c>
      <c r="P309" t="str">
        <f t="shared" si="4"/>
        <v>N</v>
      </c>
      <c r="Q309" t="s">
        <v>6039</v>
      </c>
    </row>
    <row r="310" spans="1:17" x14ac:dyDescent="0.25">
      <c r="A310" t="s">
        <v>3116</v>
      </c>
      <c r="B310" t="s">
        <v>1080</v>
      </c>
      <c r="C310">
        <v>2027</v>
      </c>
      <c r="D310" t="s">
        <v>718</v>
      </c>
      <c r="E310" t="s">
        <v>826</v>
      </c>
      <c r="F310" s="32">
        <v>46360</v>
      </c>
      <c r="G310" t="s">
        <v>514</v>
      </c>
      <c r="H310">
        <v>47128944</v>
      </c>
      <c r="I310" t="s">
        <v>1137</v>
      </c>
      <c r="J310" t="s">
        <v>1136</v>
      </c>
      <c r="K310" t="s">
        <v>530</v>
      </c>
      <c r="N310">
        <v>0</v>
      </c>
      <c r="O310">
        <v>0</v>
      </c>
      <c r="P310" t="str">
        <f t="shared" si="4"/>
        <v>N</v>
      </c>
      <c r="Q310" t="s">
        <v>6040</v>
      </c>
    </row>
    <row r="311" spans="1:17" x14ac:dyDescent="0.25">
      <c r="A311" t="s">
        <v>3117</v>
      </c>
      <c r="B311" t="s">
        <v>1080</v>
      </c>
      <c r="C311">
        <v>2027</v>
      </c>
      <c r="D311" t="s">
        <v>718</v>
      </c>
      <c r="E311" t="s">
        <v>826</v>
      </c>
      <c r="F311" s="32">
        <v>46360</v>
      </c>
      <c r="G311" t="s">
        <v>514</v>
      </c>
      <c r="H311">
        <v>47129547</v>
      </c>
      <c r="I311" t="s">
        <v>1128</v>
      </c>
      <c r="J311" t="s">
        <v>1352</v>
      </c>
      <c r="K311" t="s">
        <v>530</v>
      </c>
      <c r="N311">
        <v>0</v>
      </c>
      <c r="O311">
        <v>0</v>
      </c>
      <c r="P311" t="str">
        <f t="shared" si="4"/>
        <v>N</v>
      </c>
      <c r="Q311" t="s">
        <v>6041</v>
      </c>
    </row>
    <row r="312" spans="1:17" x14ac:dyDescent="0.25">
      <c r="A312" t="s">
        <v>3118</v>
      </c>
      <c r="B312" t="s">
        <v>1080</v>
      </c>
      <c r="C312">
        <v>2027</v>
      </c>
      <c r="D312" t="s">
        <v>718</v>
      </c>
      <c r="E312" t="s">
        <v>826</v>
      </c>
      <c r="F312" s="32">
        <v>46360</v>
      </c>
      <c r="G312" t="s">
        <v>514</v>
      </c>
      <c r="H312">
        <v>47128518</v>
      </c>
      <c r="I312" t="s">
        <v>1232</v>
      </c>
      <c r="J312" t="s">
        <v>1493</v>
      </c>
      <c r="K312" t="s">
        <v>530</v>
      </c>
      <c r="N312">
        <v>0</v>
      </c>
      <c r="O312">
        <v>0</v>
      </c>
      <c r="P312" t="str">
        <f t="shared" si="4"/>
        <v>N</v>
      </c>
      <c r="Q312" t="s">
        <v>6042</v>
      </c>
    </row>
    <row r="313" spans="1:17" x14ac:dyDescent="0.25">
      <c r="A313" t="s">
        <v>3119</v>
      </c>
      <c r="B313" t="s">
        <v>1080</v>
      </c>
      <c r="C313">
        <v>2027</v>
      </c>
      <c r="D313" t="s">
        <v>718</v>
      </c>
      <c r="E313" t="s">
        <v>826</v>
      </c>
      <c r="F313" s="32">
        <v>46360</v>
      </c>
      <c r="G313" t="s">
        <v>514</v>
      </c>
      <c r="H313">
        <v>47128977</v>
      </c>
      <c r="I313" t="s">
        <v>1449</v>
      </c>
      <c r="J313" t="s">
        <v>1448</v>
      </c>
      <c r="K313" t="s">
        <v>530</v>
      </c>
      <c r="N313">
        <v>18</v>
      </c>
      <c r="O313">
        <v>18</v>
      </c>
      <c r="P313" t="str">
        <f t="shared" si="4"/>
        <v>N</v>
      </c>
      <c r="Q313" t="s">
        <v>6043</v>
      </c>
    </row>
    <row r="314" spans="1:17" x14ac:dyDescent="0.25">
      <c r="A314" t="s">
        <v>3120</v>
      </c>
      <c r="B314" t="s">
        <v>1080</v>
      </c>
      <c r="C314">
        <v>2027</v>
      </c>
      <c r="D314" t="s">
        <v>718</v>
      </c>
      <c r="E314" t="s">
        <v>826</v>
      </c>
      <c r="F314" s="32">
        <v>46360</v>
      </c>
      <c r="G314" t="s">
        <v>514</v>
      </c>
      <c r="H314">
        <v>47128168</v>
      </c>
      <c r="I314" t="s">
        <v>1100</v>
      </c>
      <c r="J314" t="s">
        <v>1099</v>
      </c>
      <c r="K314" t="s">
        <v>530</v>
      </c>
      <c r="N314">
        <v>0</v>
      </c>
      <c r="O314">
        <v>0</v>
      </c>
      <c r="P314" t="str">
        <f t="shared" si="4"/>
        <v>N</v>
      </c>
      <c r="Q314" t="s">
        <v>6044</v>
      </c>
    </row>
    <row r="315" spans="1:17" x14ac:dyDescent="0.25">
      <c r="A315" t="s">
        <v>3121</v>
      </c>
      <c r="B315" t="s">
        <v>1080</v>
      </c>
      <c r="C315">
        <v>2027</v>
      </c>
      <c r="D315" t="s">
        <v>718</v>
      </c>
      <c r="E315" t="s">
        <v>826</v>
      </c>
      <c r="F315" s="32">
        <v>46360</v>
      </c>
      <c r="G315" t="s">
        <v>514</v>
      </c>
      <c r="H315">
        <v>47128687</v>
      </c>
      <c r="I315" t="s">
        <v>1153</v>
      </c>
      <c r="J315" t="s">
        <v>1152</v>
      </c>
      <c r="K315" t="s">
        <v>530</v>
      </c>
      <c r="N315">
        <v>0</v>
      </c>
      <c r="O315">
        <v>0</v>
      </c>
      <c r="P315" t="str">
        <f t="shared" si="4"/>
        <v>N</v>
      </c>
      <c r="Q315" t="s">
        <v>6045</v>
      </c>
    </row>
    <row r="316" spans="1:17" x14ac:dyDescent="0.25">
      <c r="A316" t="s">
        <v>3122</v>
      </c>
      <c r="B316" t="s">
        <v>1080</v>
      </c>
      <c r="C316">
        <v>2027</v>
      </c>
      <c r="D316" t="s">
        <v>718</v>
      </c>
      <c r="E316" t="s">
        <v>826</v>
      </c>
      <c r="F316" s="32">
        <v>46360</v>
      </c>
      <c r="G316" t="s">
        <v>514</v>
      </c>
      <c r="H316">
        <v>47128585</v>
      </c>
      <c r="I316" t="s">
        <v>1141</v>
      </c>
      <c r="J316" t="s">
        <v>1140</v>
      </c>
      <c r="K316" t="s">
        <v>530</v>
      </c>
      <c r="N316">
        <v>0</v>
      </c>
      <c r="O316">
        <v>0</v>
      </c>
      <c r="P316" t="str">
        <f t="shared" si="4"/>
        <v>N</v>
      </c>
      <c r="Q316" t="s">
        <v>6046</v>
      </c>
    </row>
    <row r="317" spans="1:17" x14ac:dyDescent="0.25">
      <c r="A317" t="s">
        <v>3123</v>
      </c>
      <c r="B317" t="s">
        <v>1080</v>
      </c>
      <c r="C317">
        <v>2027</v>
      </c>
      <c r="D317" t="s">
        <v>718</v>
      </c>
      <c r="E317" t="s">
        <v>826</v>
      </c>
      <c r="F317" s="32">
        <v>46360</v>
      </c>
      <c r="G317" t="s">
        <v>514</v>
      </c>
      <c r="H317">
        <v>47128906</v>
      </c>
      <c r="I317" t="s">
        <v>1349</v>
      </c>
      <c r="J317" t="s">
        <v>1348</v>
      </c>
      <c r="K317" t="s">
        <v>530</v>
      </c>
      <c r="N317">
        <v>0</v>
      </c>
      <c r="O317">
        <v>0</v>
      </c>
      <c r="P317" t="str">
        <f t="shared" si="4"/>
        <v>N</v>
      </c>
      <c r="Q317" t="s">
        <v>6047</v>
      </c>
    </row>
    <row r="318" spans="1:17" x14ac:dyDescent="0.25">
      <c r="A318" t="s">
        <v>3124</v>
      </c>
      <c r="B318" t="s">
        <v>1080</v>
      </c>
      <c r="C318">
        <v>2027</v>
      </c>
      <c r="D318" t="s">
        <v>718</v>
      </c>
      <c r="E318" t="s">
        <v>826</v>
      </c>
      <c r="F318" s="32">
        <v>46360</v>
      </c>
      <c r="G318" t="s">
        <v>514</v>
      </c>
      <c r="H318">
        <v>47128585</v>
      </c>
      <c r="I318" t="s">
        <v>1141</v>
      </c>
      <c r="J318" t="s">
        <v>1408</v>
      </c>
      <c r="K318" t="s">
        <v>530</v>
      </c>
      <c r="N318">
        <v>0</v>
      </c>
      <c r="O318">
        <v>0</v>
      </c>
      <c r="P318" t="str">
        <f t="shared" si="4"/>
        <v>N</v>
      </c>
      <c r="Q318" t="s">
        <v>6048</v>
      </c>
    </row>
    <row r="319" spans="1:17" x14ac:dyDescent="0.25">
      <c r="A319" t="s">
        <v>3125</v>
      </c>
      <c r="B319" t="s">
        <v>1080</v>
      </c>
      <c r="C319">
        <v>2027</v>
      </c>
      <c r="D319" t="s">
        <v>718</v>
      </c>
      <c r="E319" t="s">
        <v>826</v>
      </c>
      <c r="F319" s="32">
        <v>46360</v>
      </c>
      <c r="G319" t="s">
        <v>514</v>
      </c>
      <c r="H319">
        <v>47128518</v>
      </c>
      <c r="I319" t="s">
        <v>1232</v>
      </c>
      <c r="J319" t="s">
        <v>1231</v>
      </c>
      <c r="K319" t="s">
        <v>530</v>
      </c>
      <c r="N319">
        <v>0</v>
      </c>
      <c r="O319">
        <v>0</v>
      </c>
      <c r="P319" t="str">
        <f t="shared" si="4"/>
        <v>N</v>
      </c>
      <c r="Q319" t="s">
        <v>6049</v>
      </c>
    </row>
    <row r="320" spans="1:17" x14ac:dyDescent="0.25">
      <c r="A320" t="s">
        <v>3126</v>
      </c>
      <c r="B320" t="s">
        <v>1080</v>
      </c>
      <c r="C320">
        <v>2027</v>
      </c>
      <c r="D320" t="s">
        <v>718</v>
      </c>
      <c r="E320" t="s">
        <v>826</v>
      </c>
      <c r="F320" s="32">
        <v>46360</v>
      </c>
      <c r="G320" t="s">
        <v>514</v>
      </c>
      <c r="H320">
        <v>47128680</v>
      </c>
      <c r="I320" t="s">
        <v>1284</v>
      </c>
      <c r="J320" t="s">
        <v>1283</v>
      </c>
      <c r="K320" t="s">
        <v>530</v>
      </c>
      <c r="N320">
        <v>0</v>
      </c>
      <c r="O320">
        <v>0</v>
      </c>
      <c r="P320" t="str">
        <f t="shared" si="4"/>
        <v>N</v>
      </c>
      <c r="Q320" t="s">
        <v>6050</v>
      </c>
    </row>
    <row r="321" spans="1:17" x14ac:dyDescent="0.25">
      <c r="A321" t="s">
        <v>3127</v>
      </c>
      <c r="B321" t="s">
        <v>1080</v>
      </c>
      <c r="C321">
        <v>2027</v>
      </c>
      <c r="D321" t="s">
        <v>718</v>
      </c>
      <c r="E321" t="s">
        <v>826</v>
      </c>
      <c r="F321" s="32">
        <v>46360</v>
      </c>
      <c r="G321" t="s">
        <v>514</v>
      </c>
      <c r="H321">
        <v>47128024</v>
      </c>
      <c r="I321" t="s">
        <v>1108</v>
      </c>
      <c r="J321" t="s">
        <v>1107</v>
      </c>
      <c r="K321" t="s">
        <v>530</v>
      </c>
      <c r="N321">
        <v>0</v>
      </c>
      <c r="O321">
        <v>0</v>
      </c>
      <c r="P321" t="str">
        <f t="shared" si="4"/>
        <v>N</v>
      </c>
      <c r="Q321" t="s">
        <v>6051</v>
      </c>
    </row>
    <row r="322" spans="1:17" x14ac:dyDescent="0.25">
      <c r="A322" t="s">
        <v>3128</v>
      </c>
      <c r="B322" t="s">
        <v>1080</v>
      </c>
      <c r="C322">
        <v>2027</v>
      </c>
      <c r="D322" t="s">
        <v>718</v>
      </c>
      <c r="E322" t="s">
        <v>826</v>
      </c>
      <c r="F322" s="32">
        <v>46360</v>
      </c>
      <c r="G322" t="s">
        <v>514</v>
      </c>
      <c r="H322">
        <v>47128944</v>
      </c>
      <c r="I322" t="s">
        <v>1137</v>
      </c>
      <c r="J322" t="s">
        <v>1513</v>
      </c>
      <c r="K322" t="s">
        <v>530</v>
      </c>
      <c r="N322">
        <v>0</v>
      </c>
      <c r="O322">
        <v>0</v>
      </c>
      <c r="P322" t="str">
        <f t="shared" si="4"/>
        <v>N</v>
      </c>
      <c r="Q322" t="s">
        <v>6052</v>
      </c>
    </row>
    <row r="323" spans="1:17" x14ac:dyDescent="0.25">
      <c r="A323" t="s">
        <v>3129</v>
      </c>
      <c r="B323" t="s">
        <v>1080</v>
      </c>
      <c r="C323">
        <v>2027</v>
      </c>
      <c r="D323" t="s">
        <v>718</v>
      </c>
      <c r="E323" t="s">
        <v>826</v>
      </c>
      <c r="F323" s="32">
        <v>46360</v>
      </c>
      <c r="G323" t="s">
        <v>514</v>
      </c>
      <c r="H323">
        <v>47147546</v>
      </c>
      <c r="I323" t="s">
        <v>1077</v>
      </c>
      <c r="J323" t="s">
        <v>1076</v>
      </c>
      <c r="K323" t="s">
        <v>530</v>
      </c>
      <c r="N323">
        <v>0</v>
      </c>
      <c r="O323">
        <v>0</v>
      </c>
      <c r="P323" t="str">
        <f t="shared" ref="P323:P386" si="5">IF(N323=O323,"N","Y")</f>
        <v>N</v>
      </c>
      <c r="Q323" t="s">
        <v>6053</v>
      </c>
    </row>
    <row r="324" spans="1:17" x14ac:dyDescent="0.25">
      <c r="A324" t="s">
        <v>3130</v>
      </c>
      <c r="B324" t="s">
        <v>1080</v>
      </c>
      <c r="C324">
        <v>2027</v>
      </c>
      <c r="D324" t="s">
        <v>718</v>
      </c>
      <c r="E324" t="s">
        <v>826</v>
      </c>
      <c r="F324" s="32">
        <v>46360</v>
      </c>
      <c r="G324" t="s">
        <v>514</v>
      </c>
      <c r="H324">
        <v>47128346</v>
      </c>
      <c r="I324" t="s">
        <v>1157</v>
      </c>
      <c r="J324" t="s">
        <v>1156</v>
      </c>
      <c r="K324" t="s">
        <v>530</v>
      </c>
      <c r="N324">
        <v>0</v>
      </c>
      <c r="O324">
        <v>0</v>
      </c>
      <c r="P324" t="str">
        <f t="shared" si="5"/>
        <v>N</v>
      </c>
      <c r="Q324" t="s">
        <v>6054</v>
      </c>
    </row>
    <row r="325" spans="1:17" x14ac:dyDescent="0.25">
      <c r="A325" t="s">
        <v>3131</v>
      </c>
      <c r="B325" t="s">
        <v>1080</v>
      </c>
      <c r="C325">
        <v>2027</v>
      </c>
      <c r="D325" t="s">
        <v>718</v>
      </c>
      <c r="E325" t="s">
        <v>826</v>
      </c>
      <c r="F325" s="32">
        <v>46360</v>
      </c>
      <c r="G325" t="s">
        <v>514</v>
      </c>
      <c r="H325">
        <v>47128800</v>
      </c>
      <c r="I325" t="s">
        <v>1145</v>
      </c>
      <c r="J325" t="s">
        <v>1144</v>
      </c>
      <c r="K325" t="s">
        <v>530</v>
      </c>
      <c r="N325">
        <v>0</v>
      </c>
      <c r="O325">
        <v>0</v>
      </c>
      <c r="P325" t="str">
        <f t="shared" si="5"/>
        <v>N</v>
      </c>
      <c r="Q325" t="s">
        <v>6055</v>
      </c>
    </row>
    <row r="326" spans="1:17" x14ac:dyDescent="0.25">
      <c r="A326" t="s">
        <v>3132</v>
      </c>
      <c r="B326" t="s">
        <v>1080</v>
      </c>
      <c r="C326">
        <v>2027</v>
      </c>
      <c r="D326" t="s">
        <v>718</v>
      </c>
      <c r="E326" t="s">
        <v>826</v>
      </c>
      <c r="F326" s="32">
        <v>46360</v>
      </c>
      <c r="G326" t="s">
        <v>514</v>
      </c>
      <c r="H326">
        <v>47128109</v>
      </c>
      <c r="I326" t="s">
        <v>1336</v>
      </c>
      <c r="J326" t="s">
        <v>1335</v>
      </c>
      <c r="K326" t="s">
        <v>530</v>
      </c>
      <c r="N326">
        <v>0</v>
      </c>
      <c r="O326">
        <v>0</v>
      </c>
      <c r="P326" t="str">
        <f t="shared" si="5"/>
        <v>N</v>
      </c>
      <c r="Q326" t="s">
        <v>6056</v>
      </c>
    </row>
    <row r="327" spans="1:17" x14ac:dyDescent="0.25">
      <c r="A327" t="s">
        <v>3133</v>
      </c>
      <c r="B327" t="s">
        <v>1080</v>
      </c>
      <c r="C327">
        <v>2027</v>
      </c>
      <c r="D327" t="s">
        <v>718</v>
      </c>
      <c r="E327" t="s">
        <v>826</v>
      </c>
      <c r="F327" s="32">
        <v>46360</v>
      </c>
      <c r="G327" t="s">
        <v>514</v>
      </c>
      <c r="H327">
        <v>47128430</v>
      </c>
      <c r="I327" t="s">
        <v>1401</v>
      </c>
      <c r="J327" t="s">
        <v>1400</v>
      </c>
      <c r="K327" t="s">
        <v>530</v>
      </c>
      <c r="N327">
        <v>0</v>
      </c>
      <c r="O327">
        <v>0</v>
      </c>
      <c r="P327" t="str">
        <f t="shared" si="5"/>
        <v>N</v>
      </c>
      <c r="Q327" t="s">
        <v>6057</v>
      </c>
    </row>
    <row r="328" spans="1:17" x14ac:dyDescent="0.25">
      <c r="A328" t="s">
        <v>3808</v>
      </c>
      <c r="B328" t="s">
        <v>912</v>
      </c>
      <c r="C328">
        <v>2027</v>
      </c>
      <c r="D328" t="s">
        <v>718</v>
      </c>
      <c r="E328" t="s">
        <v>826</v>
      </c>
      <c r="F328" s="32">
        <v>46360</v>
      </c>
      <c r="G328" t="s">
        <v>514</v>
      </c>
      <c r="H328">
        <v>47140037</v>
      </c>
      <c r="I328" t="s">
        <v>2347</v>
      </c>
      <c r="J328" t="s">
        <v>2348</v>
      </c>
      <c r="K328" t="s">
        <v>530</v>
      </c>
      <c r="N328">
        <v>0</v>
      </c>
      <c r="O328">
        <v>0</v>
      </c>
      <c r="P328" t="str">
        <f t="shared" si="5"/>
        <v>N</v>
      </c>
      <c r="Q328" t="s">
        <v>6058</v>
      </c>
    </row>
    <row r="329" spans="1:17" x14ac:dyDescent="0.25">
      <c r="A329" t="s">
        <v>3809</v>
      </c>
      <c r="B329" t="s">
        <v>912</v>
      </c>
      <c r="C329">
        <v>2027</v>
      </c>
      <c r="D329" t="s">
        <v>718</v>
      </c>
      <c r="E329" t="s">
        <v>826</v>
      </c>
      <c r="F329" s="32">
        <v>46360</v>
      </c>
      <c r="G329" t="s">
        <v>514</v>
      </c>
      <c r="H329">
        <v>47128216</v>
      </c>
      <c r="I329" t="s">
        <v>2350</v>
      </c>
      <c r="J329" t="s">
        <v>2351</v>
      </c>
      <c r="K329" t="s">
        <v>530</v>
      </c>
      <c r="N329">
        <v>0</v>
      </c>
      <c r="O329">
        <v>0</v>
      </c>
      <c r="P329" t="str">
        <f t="shared" si="5"/>
        <v>N</v>
      </c>
      <c r="Q329" t="s">
        <v>6059</v>
      </c>
    </row>
    <row r="330" spans="1:17" x14ac:dyDescent="0.25">
      <c r="A330" t="s">
        <v>3810</v>
      </c>
      <c r="B330" t="s">
        <v>912</v>
      </c>
      <c r="C330">
        <v>2027</v>
      </c>
      <c r="D330" t="s">
        <v>718</v>
      </c>
      <c r="E330" t="s">
        <v>826</v>
      </c>
      <c r="F330" s="32">
        <v>46360</v>
      </c>
      <c r="G330" t="s">
        <v>514</v>
      </c>
      <c r="H330">
        <v>47128208</v>
      </c>
      <c r="I330" t="s">
        <v>2353</v>
      </c>
      <c r="J330" t="s">
        <v>2354</v>
      </c>
      <c r="K330" t="s">
        <v>530</v>
      </c>
      <c r="N330">
        <v>0</v>
      </c>
      <c r="O330">
        <v>0</v>
      </c>
      <c r="P330" t="str">
        <f t="shared" si="5"/>
        <v>N</v>
      </c>
      <c r="Q330" t="s">
        <v>6060</v>
      </c>
    </row>
    <row r="331" spans="1:17" x14ac:dyDescent="0.25">
      <c r="A331" t="s">
        <v>3811</v>
      </c>
      <c r="B331" t="s">
        <v>912</v>
      </c>
      <c r="C331">
        <v>2027</v>
      </c>
      <c r="D331" t="s">
        <v>718</v>
      </c>
      <c r="E331" t="s">
        <v>826</v>
      </c>
      <c r="F331" s="32">
        <v>46360</v>
      </c>
      <c r="G331" t="s">
        <v>514</v>
      </c>
      <c r="H331">
        <v>47128377</v>
      </c>
      <c r="I331" t="s">
        <v>2362</v>
      </c>
      <c r="J331" t="s">
        <v>2363</v>
      </c>
      <c r="K331" t="s">
        <v>530</v>
      </c>
      <c r="N331">
        <v>40</v>
      </c>
      <c r="O331">
        <v>40</v>
      </c>
      <c r="P331" t="str">
        <f t="shared" si="5"/>
        <v>N</v>
      </c>
      <c r="Q331" t="s">
        <v>6061</v>
      </c>
    </row>
    <row r="332" spans="1:17" x14ac:dyDescent="0.25">
      <c r="A332" t="s">
        <v>3872</v>
      </c>
      <c r="B332" t="s">
        <v>1043</v>
      </c>
      <c r="C332">
        <v>2027</v>
      </c>
      <c r="D332" t="s">
        <v>718</v>
      </c>
      <c r="E332" t="s">
        <v>826</v>
      </c>
      <c r="F332" s="32">
        <v>46360</v>
      </c>
      <c r="G332" t="s">
        <v>514</v>
      </c>
      <c r="H332">
        <v>47128421</v>
      </c>
      <c r="I332" t="s">
        <v>1086</v>
      </c>
      <c r="J332" t="s">
        <v>1085</v>
      </c>
      <c r="K332" t="s">
        <v>530</v>
      </c>
      <c r="N332">
        <v>0</v>
      </c>
      <c r="O332">
        <v>0</v>
      </c>
      <c r="P332" t="str">
        <f t="shared" si="5"/>
        <v>N</v>
      </c>
      <c r="Q332" t="s">
        <v>6062</v>
      </c>
    </row>
    <row r="333" spans="1:17" x14ac:dyDescent="0.25">
      <c r="A333" t="s">
        <v>3873</v>
      </c>
      <c r="B333" t="s">
        <v>1043</v>
      </c>
      <c r="C333">
        <v>2027</v>
      </c>
      <c r="D333" t="s">
        <v>718</v>
      </c>
      <c r="E333" t="s">
        <v>826</v>
      </c>
      <c r="F333" s="32">
        <v>46360</v>
      </c>
      <c r="G333" t="s">
        <v>514</v>
      </c>
      <c r="H333">
        <v>47128364</v>
      </c>
      <c r="I333" t="s">
        <v>1264</v>
      </c>
      <c r="J333" t="s">
        <v>1263</v>
      </c>
      <c r="K333" t="s">
        <v>530</v>
      </c>
      <c r="N333">
        <v>0</v>
      </c>
      <c r="O333">
        <v>0</v>
      </c>
      <c r="P333" t="str">
        <f t="shared" si="5"/>
        <v>N</v>
      </c>
      <c r="Q333" t="s">
        <v>6063</v>
      </c>
    </row>
    <row r="334" spans="1:17" x14ac:dyDescent="0.25">
      <c r="A334" t="s">
        <v>3874</v>
      </c>
      <c r="B334" t="s">
        <v>1043</v>
      </c>
      <c r="C334">
        <v>2027</v>
      </c>
      <c r="D334" t="s">
        <v>718</v>
      </c>
      <c r="E334" t="s">
        <v>826</v>
      </c>
      <c r="F334" s="32">
        <v>46360</v>
      </c>
      <c r="G334" t="s">
        <v>514</v>
      </c>
      <c r="H334">
        <v>47128706</v>
      </c>
      <c r="I334" t="s">
        <v>1201</v>
      </c>
      <c r="J334" t="s">
        <v>1200</v>
      </c>
      <c r="K334" t="s">
        <v>530</v>
      </c>
      <c r="N334">
        <v>0</v>
      </c>
      <c r="O334">
        <v>0</v>
      </c>
      <c r="P334" t="str">
        <f t="shared" si="5"/>
        <v>N</v>
      </c>
      <c r="Q334" t="s">
        <v>6064</v>
      </c>
    </row>
    <row r="335" spans="1:17" x14ac:dyDescent="0.25">
      <c r="A335" t="s">
        <v>3955</v>
      </c>
      <c r="B335" t="s">
        <v>3939</v>
      </c>
      <c r="C335">
        <v>2027</v>
      </c>
      <c r="D335" t="s">
        <v>718</v>
      </c>
      <c r="E335" t="s">
        <v>826</v>
      </c>
      <c r="F335" s="32">
        <v>46360</v>
      </c>
      <c r="G335" t="s">
        <v>514</v>
      </c>
      <c r="H335">
        <v>47140037</v>
      </c>
      <c r="I335" t="s">
        <v>2347</v>
      </c>
      <c r="J335" t="s">
        <v>2348</v>
      </c>
      <c r="K335" t="s">
        <v>530</v>
      </c>
      <c r="N335">
        <v>0</v>
      </c>
      <c r="O335">
        <v>0</v>
      </c>
      <c r="P335" t="str">
        <f t="shared" si="5"/>
        <v>N</v>
      </c>
      <c r="Q335" t="s">
        <v>6065</v>
      </c>
    </row>
    <row r="336" spans="1:17" x14ac:dyDescent="0.25">
      <c r="A336" t="s">
        <v>3956</v>
      </c>
      <c r="B336" t="s">
        <v>3939</v>
      </c>
      <c r="C336">
        <v>2027</v>
      </c>
      <c r="D336" t="s">
        <v>718</v>
      </c>
      <c r="E336" t="s">
        <v>826</v>
      </c>
      <c r="F336" s="32">
        <v>46360</v>
      </c>
      <c r="G336" t="s">
        <v>514</v>
      </c>
      <c r="H336">
        <v>47128216</v>
      </c>
      <c r="I336" t="s">
        <v>2350</v>
      </c>
      <c r="J336" t="s">
        <v>2351</v>
      </c>
      <c r="K336" t="s">
        <v>530</v>
      </c>
      <c r="N336">
        <v>0</v>
      </c>
      <c r="O336">
        <v>0</v>
      </c>
      <c r="P336" t="str">
        <f t="shared" si="5"/>
        <v>N</v>
      </c>
      <c r="Q336" t="s">
        <v>6066</v>
      </c>
    </row>
    <row r="337" spans="1:17" x14ac:dyDescent="0.25">
      <c r="A337" t="s">
        <v>3957</v>
      </c>
      <c r="B337" t="s">
        <v>3939</v>
      </c>
      <c r="C337">
        <v>2027</v>
      </c>
      <c r="D337" t="s">
        <v>718</v>
      </c>
      <c r="E337" t="s">
        <v>826</v>
      </c>
      <c r="F337" s="32">
        <v>46360</v>
      </c>
      <c r="G337" t="s">
        <v>514</v>
      </c>
      <c r="H337">
        <v>47128208</v>
      </c>
      <c r="I337" t="s">
        <v>2353</v>
      </c>
      <c r="J337" t="s">
        <v>2354</v>
      </c>
      <c r="K337" t="s">
        <v>530</v>
      </c>
      <c r="N337">
        <v>0</v>
      </c>
      <c r="O337">
        <v>0</v>
      </c>
      <c r="P337" t="str">
        <f t="shared" si="5"/>
        <v>N</v>
      </c>
      <c r="Q337" t="s">
        <v>6067</v>
      </c>
    </row>
    <row r="338" spans="1:17" x14ac:dyDescent="0.25">
      <c r="A338" t="s">
        <v>3958</v>
      </c>
      <c r="B338" t="s">
        <v>3939</v>
      </c>
      <c r="C338">
        <v>2027</v>
      </c>
      <c r="D338" t="s">
        <v>718</v>
      </c>
      <c r="E338" t="s">
        <v>826</v>
      </c>
      <c r="F338" s="32">
        <v>46360</v>
      </c>
      <c r="G338" t="s">
        <v>514</v>
      </c>
      <c r="H338">
        <v>47128377</v>
      </c>
      <c r="I338" t="s">
        <v>2362</v>
      </c>
      <c r="J338" t="s">
        <v>2363</v>
      </c>
      <c r="K338" t="s">
        <v>530</v>
      </c>
      <c r="N338">
        <v>40</v>
      </c>
      <c r="O338">
        <v>40</v>
      </c>
      <c r="P338" t="str">
        <f t="shared" si="5"/>
        <v>N</v>
      </c>
      <c r="Q338" t="s">
        <v>6068</v>
      </c>
    </row>
    <row r="339" spans="1:17" x14ac:dyDescent="0.25">
      <c r="A339" t="s">
        <v>4041</v>
      </c>
      <c r="B339" t="s">
        <v>1489</v>
      </c>
      <c r="C339">
        <v>2027</v>
      </c>
      <c r="D339" t="s">
        <v>718</v>
      </c>
      <c r="E339" t="s">
        <v>826</v>
      </c>
      <c r="F339" s="32">
        <v>46360</v>
      </c>
      <c r="G339" t="s">
        <v>514</v>
      </c>
      <c r="H339">
        <v>47133720</v>
      </c>
      <c r="I339" t="s">
        <v>1217</v>
      </c>
      <c r="J339" t="s">
        <v>1216</v>
      </c>
      <c r="K339" t="s">
        <v>530</v>
      </c>
      <c r="N339">
        <v>0</v>
      </c>
      <c r="O339">
        <v>0</v>
      </c>
      <c r="P339" t="str">
        <f t="shared" si="5"/>
        <v>N</v>
      </c>
      <c r="Q339" t="s">
        <v>6069</v>
      </c>
    </row>
    <row r="340" spans="1:17" x14ac:dyDescent="0.25">
      <c r="A340" t="s">
        <v>4042</v>
      </c>
      <c r="B340" t="s">
        <v>1489</v>
      </c>
      <c r="C340">
        <v>2027</v>
      </c>
      <c r="D340" t="s">
        <v>718</v>
      </c>
      <c r="E340" t="s">
        <v>826</v>
      </c>
      <c r="F340" s="32">
        <v>46360</v>
      </c>
      <c r="G340" t="s">
        <v>514</v>
      </c>
      <c r="H340">
        <v>47129473</v>
      </c>
      <c r="I340" t="s">
        <v>1430</v>
      </c>
      <c r="J340" t="s">
        <v>1429</v>
      </c>
      <c r="K340" t="s">
        <v>530</v>
      </c>
      <c r="N340">
        <v>0</v>
      </c>
      <c r="O340">
        <v>0</v>
      </c>
      <c r="P340" t="str">
        <f t="shared" si="5"/>
        <v>N</v>
      </c>
      <c r="Q340" t="s">
        <v>6070</v>
      </c>
    </row>
    <row r="341" spans="1:17" x14ac:dyDescent="0.25">
      <c r="A341" t="s">
        <v>4043</v>
      </c>
      <c r="B341" t="s">
        <v>1489</v>
      </c>
      <c r="C341">
        <v>2027</v>
      </c>
      <c r="D341" t="s">
        <v>718</v>
      </c>
      <c r="E341" t="s">
        <v>826</v>
      </c>
      <c r="F341" s="32">
        <v>46360</v>
      </c>
      <c r="G341" t="s">
        <v>514</v>
      </c>
      <c r="H341">
        <v>47127948</v>
      </c>
      <c r="I341" t="s">
        <v>1247</v>
      </c>
      <c r="J341" t="s">
        <v>1246</v>
      </c>
      <c r="K341" t="s">
        <v>530</v>
      </c>
      <c r="N341">
        <v>0</v>
      </c>
      <c r="O341">
        <v>0</v>
      </c>
      <c r="P341" t="str">
        <f t="shared" si="5"/>
        <v>N</v>
      </c>
      <c r="Q341" t="s">
        <v>6071</v>
      </c>
    </row>
    <row r="342" spans="1:17" x14ac:dyDescent="0.25">
      <c r="A342" t="s">
        <v>4044</v>
      </c>
      <c r="B342" t="s">
        <v>1489</v>
      </c>
      <c r="C342">
        <v>2027</v>
      </c>
      <c r="D342" t="s">
        <v>718</v>
      </c>
      <c r="E342" t="s">
        <v>826</v>
      </c>
      <c r="F342" s="32">
        <v>46360</v>
      </c>
      <c r="G342" t="s">
        <v>514</v>
      </c>
      <c r="H342">
        <v>47128787</v>
      </c>
      <c r="I342" t="s">
        <v>1453</v>
      </c>
      <c r="J342" t="s">
        <v>1452</v>
      </c>
      <c r="K342" t="s">
        <v>530</v>
      </c>
      <c r="N342">
        <v>0</v>
      </c>
      <c r="O342">
        <v>0</v>
      </c>
      <c r="P342" t="str">
        <f t="shared" si="5"/>
        <v>N</v>
      </c>
      <c r="Q342" t="s">
        <v>6072</v>
      </c>
    </row>
    <row r="343" spans="1:17" x14ac:dyDescent="0.25">
      <c r="A343" t="s">
        <v>4045</v>
      </c>
      <c r="B343" t="s">
        <v>1489</v>
      </c>
      <c r="C343">
        <v>2027</v>
      </c>
      <c r="D343" t="s">
        <v>718</v>
      </c>
      <c r="E343" t="s">
        <v>826</v>
      </c>
      <c r="F343" s="32">
        <v>46360</v>
      </c>
      <c r="G343" t="s">
        <v>514</v>
      </c>
      <c r="H343">
        <v>47128977</v>
      </c>
      <c r="I343" t="s">
        <v>1449</v>
      </c>
      <c r="J343" t="s">
        <v>1448</v>
      </c>
      <c r="K343" t="s">
        <v>530</v>
      </c>
      <c r="N343">
        <v>7</v>
      </c>
      <c r="O343">
        <v>7</v>
      </c>
      <c r="P343" t="str">
        <f t="shared" si="5"/>
        <v>N</v>
      </c>
      <c r="Q343" t="s">
        <v>6073</v>
      </c>
    </row>
    <row r="344" spans="1:17" x14ac:dyDescent="0.25">
      <c r="A344" t="s">
        <v>4139</v>
      </c>
      <c r="B344" t="s">
        <v>916</v>
      </c>
      <c r="C344">
        <v>2027</v>
      </c>
      <c r="D344" t="s">
        <v>718</v>
      </c>
      <c r="E344" t="s">
        <v>826</v>
      </c>
      <c r="F344" s="32">
        <v>46360</v>
      </c>
      <c r="G344" t="s">
        <v>514</v>
      </c>
      <c r="H344">
        <v>47128421</v>
      </c>
      <c r="I344" t="s">
        <v>1086</v>
      </c>
      <c r="J344" t="s">
        <v>1085</v>
      </c>
      <c r="K344" t="s">
        <v>530</v>
      </c>
      <c r="N344">
        <v>40</v>
      </c>
      <c r="O344">
        <v>40</v>
      </c>
      <c r="P344" t="str">
        <f t="shared" si="5"/>
        <v>N</v>
      </c>
      <c r="Q344" t="s">
        <v>6074</v>
      </c>
    </row>
    <row r="345" spans="1:17" x14ac:dyDescent="0.25">
      <c r="A345" t="s">
        <v>4140</v>
      </c>
      <c r="B345" t="s">
        <v>916</v>
      </c>
      <c r="C345">
        <v>2027</v>
      </c>
      <c r="D345" t="s">
        <v>718</v>
      </c>
      <c r="E345" t="s">
        <v>826</v>
      </c>
      <c r="F345" s="32">
        <v>46360</v>
      </c>
      <c r="G345" t="s">
        <v>514</v>
      </c>
      <c r="H345">
        <v>47128706</v>
      </c>
      <c r="I345" t="s">
        <v>1201</v>
      </c>
      <c r="J345" t="s">
        <v>1200</v>
      </c>
      <c r="K345" t="s">
        <v>530</v>
      </c>
      <c r="N345">
        <v>0</v>
      </c>
      <c r="O345">
        <v>0</v>
      </c>
      <c r="P345" t="str">
        <f t="shared" si="5"/>
        <v>N</v>
      </c>
      <c r="Q345" t="s">
        <v>6075</v>
      </c>
    </row>
    <row r="346" spans="1:17" x14ac:dyDescent="0.25">
      <c r="A346" t="s">
        <v>4141</v>
      </c>
      <c r="B346" t="s">
        <v>916</v>
      </c>
      <c r="C346">
        <v>2027</v>
      </c>
      <c r="D346" t="s">
        <v>718</v>
      </c>
      <c r="E346" t="s">
        <v>826</v>
      </c>
      <c r="F346" s="32">
        <v>46360</v>
      </c>
      <c r="G346" t="s">
        <v>514</v>
      </c>
      <c r="H346">
        <v>47128364</v>
      </c>
      <c r="I346" t="s">
        <v>1264</v>
      </c>
      <c r="J346" t="s">
        <v>1263</v>
      </c>
      <c r="K346" t="s">
        <v>530</v>
      </c>
      <c r="N346">
        <v>0</v>
      </c>
      <c r="O346">
        <v>0</v>
      </c>
      <c r="P346" t="str">
        <f t="shared" si="5"/>
        <v>N</v>
      </c>
      <c r="Q346" t="s">
        <v>6076</v>
      </c>
    </row>
    <row r="347" spans="1:17" x14ac:dyDescent="0.25">
      <c r="A347" t="s">
        <v>4142</v>
      </c>
      <c r="B347" t="s">
        <v>916</v>
      </c>
      <c r="C347">
        <v>2027</v>
      </c>
      <c r="D347" t="s">
        <v>718</v>
      </c>
      <c r="E347" t="s">
        <v>826</v>
      </c>
      <c r="F347" s="32">
        <v>46360</v>
      </c>
      <c r="G347" t="s">
        <v>514</v>
      </c>
      <c r="H347">
        <v>47128633</v>
      </c>
      <c r="I347" t="s">
        <v>1164</v>
      </c>
      <c r="J347" t="s">
        <v>1163</v>
      </c>
      <c r="K347" t="s">
        <v>530</v>
      </c>
      <c r="N347">
        <v>0</v>
      </c>
      <c r="O347">
        <v>0</v>
      </c>
      <c r="P347" t="str">
        <f t="shared" si="5"/>
        <v>N</v>
      </c>
      <c r="Q347" t="s">
        <v>6077</v>
      </c>
    </row>
    <row r="348" spans="1:17" x14ac:dyDescent="0.25">
      <c r="A348" t="s">
        <v>4143</v>
      </c>
      <c r="B348" t="s">
        <v>916</v>
      </c>
      <c r="C348">
        <v>2027</v>
      </c>
      <c r="D348" t="s">
        <v>718</v>
      </c>
      <c r="E348" t="s">
        <v>826</v>
      </c>
      <c r="F348" s="32">
        <v>46360</v>
      </c>
      <c r="G348" t="s">
        <v>514</v>
      </c>
      <c r="H348">
        <v>47128046</v>
      </c>
      <c r="I348" t="s">
        <v>1389</v>
      </c>
      <c r="J348" t="s">
        <v>1388</v>
      </c>
      <c r="K348" t="s">
        <v>530</v>
      </c>
      <c r="N348">
        <v>0</v>
      </c>
      <c r="O348">
        <v>0</v>
      </c>
      <c r="P348" t="str">
        <f t="shared" si="5"/>
        <v>N</v>
      </c>
      <c r="Q348" t="s">
        <v>6078</v>
      </c>
    </row>
    <row r="349" spans="1:17" x14ac:dyDescent="0.25">
      <c r="A349" t="s">
        <v>4144</v>
      </c>
      <c r="B349" t="s">
        <v>916</v>
      </c>
      <c r="C349">
        <v>2027</v>
      </c>
      <c r="D349" t="s">
        <v>718</v>
      </c>
      <c r="E349" t="s">
        <v>826</v>
      </c>
      <c r="F349" s="32">
        <v>46360</v>
      </c>
      <c r="G349" t="s">
        <v>514</v>
      </c>
      <c r="H349">
        <v>47128570</v>
      </c>
      <c r="I349" t="s">
        <v>1491</v>
      </c>
      <c r="J349" t="s">
        <v>1490</v>
      </c>
      <c r="K349" t="s">
        <v>530</v>
      </c>
      <c r="N349">
        <v>0</v>
      </c>
      <c r="O349">
        <v>0</v>
      </c>
      <c r="P349" t="str">
        <f t="shared" si="5"/>
        <v>N</v>
      </c>
      <c r="Q349" t="s">
        <v>6079</v>
      </c>
    </row>
    <row r="350" spans="1:17" x14ac:dyDescent="0.25">
      <c r="A350" t="s">
        <v>4145</v>
      </c>
      <c r="B350" t="s">
        <v>916</v>
      </c>
      <c r="C350">
        <v>2027</v>
      </c>
      <c r="D350" t="s">
        <v>718</v>
      </c>
      <c r="E350" t="s">
        <v>826</v>
      </c>
      <c r="F350" s="32">
        <v>46360</v>
      </c>
      <c r="G350" t="s">
        <v>514</v>
      </c>
      <c r="H350">
        <v>47128355</v>
      </c>
      <c r="I350" t="s">
        <v>964</v>
      </c>
      <c r="J350" t="s">
        <v>963</v>
      </c>
      <c r="K350" t="s">
        <v>530</v>
      </c>
      <c r="N350">
        <v>0</v>
      </c>
      <c r="O350">
        <v>0</v>
      </c>
      <c r="P350" t="str">
        <f t="shared" si="5"/>
        <v>N</v>
      </c>
      <c r="Q350" t="s">
        <v>6080</v>
      </c>
    </row>
    <row r="351" spans="1:17" x14ac:dyDescent="0.25">
      <c r="A351" t="s">
        <v>4146</v>
      </c>
      <c r="B351" t="s">
        <v>916</v>
      </c>
      <c r="C351">
        <v>2027</v>
      </c>
      <c r="D351" t="s">
        <v>718</v>
      </c>
      <c r="E351" t="s">
        <v>826</v>
      </c>
      <c r="F351" s="32">
        <v>46360</v>
      </c>
      <c r="G351" t="s">
        <v>514</v>
      </c>
      <c r="H351">
        <v>47129548</v>
      </c>
      <c r="I351" t="s">
        <v>1340</v>
      </c>
      <c r="J351" t="s">
        <v>1339</v>
      </c>
      <c r="K351" t="s">
        <v>530</v>
      </c>
      <c r="N351">
        <v>40</v>
      </c>
      <c r="O351">
        <v>40</v>
      </c>
      <c r="P351" t="str">
        <f t="shared" si="5"/>
        <v>N</v>
      </c>
      <c r="Q351" t="s">
        <v>6081</v>
      </c>
    </row>
    <row r="352" spans="1:17" x14ac:dyDescent="0.25">
      <c r="A352" t="s">
        <v>4464</v>
      </c>
      <c r="B352" t="s">
        <v>4445</v>
      </c>
      <c r="C352">
        <v>2027</v>
      </c>
      <c r="D352" t="s">
        <v>718</v>
      </c>
      <c r="E352" t="s">
        <v>826</v>
      </c>
      <c r="F352" s="32">
        <v>46360</v>
      </c>
      <c r="G352" t="s">
        <v>514</v>
      </c>
      <c r="H352">
        <v>47129711</v>
      </c>
      <c r="I352" t="s">
        <v>4446</v>
      </c>
      <c r="J352" t="s">
        <v>4447</v>
      </c>
      <c r="K352" t="s">
        <v>530</v>
      </c>
      <c r="N352">
        <v>0</v>
      </c>
      <c r="O352">
        <v>0</v>
      </c>
      <c r="P352" t="str">
        <f t="shared" si="5"/>
        <v>N</v>
      </c>
      <c r="Q352" t="s">
        <v>6082</v>
      </c>
    </row>
    <row r="353" spans="1:17" x14ac:dyDescent="0.25">
      <c r="A353" t="s">
        <v>4465</v>
      </c>
      <c r="B353" t="s">
        <v>4445</v>
      </c>
      <c r="C353">
        <v>2027</v>
      </c>
      <c r="D353" t="s">
        <v>718</v>
      </c>
      <c r="E353" t="s">
        <v>826</v>
      </c>
      <c r="F353" s="32">
        <v>46360</v>
      </c>
      <c r="G353" t="s">
        <v>514</v>
      </c>
      <c r="H353">
        <v>47129228</v>
      </c>
      <c r="I353" t="s">
        <v>4449</v>
      </c>
      <c r="J353" t="s">
        <v>4450</v>
      </c>
      <c r="K353" t="s">
        <v>530</v>
      </c>
      <c r="N353">
        <v>0</v>
      </c>
      <c r="O353">
        <v>0</v>
      </c>
      <c r="P353" t="str">
        <f t="shared" si="5"/>
        <v>N</v>
      </c>
      <c r="Q353" t="s">
        <v>6083</v>
      </c>
    </row>
    <row r="354" spans="1:17" x14ac:dyDescent="0.25">
      <c r="A354" t="s">
        <v>4530</v>
      </c>
      <c r="B354" t="s">
        <v>1044</v>
      </c>
      <c r="C354">
        <v>2027</v>
      </c>
      <c r="D354" t="s">
        <v>718</v>
      </c>
      <c r="E354" t="s">
        <v>826</v>
      </c>
      <c r="F354" s="32">
        <v>46360</v>
      </c>
      <c r="G354" t="s">
        <v>514</v>
      </c>
      <c r="H354">
        <v>47133720</v>
      </c>
      <c r="I354" t="s">
        <v>1217</v>
      </c>
      <c r="J354" t="s">
        <v>1216</v>
      </c>
      <c r="K354" t="s">
        <v>530</v>
      </c>
      <c r="N354">
        <v>0</v>
      </c>
      <c r="O354">
        <v>0</v>
      </c>
      <c r="P354" t="str">
        <f t="shared" si="5"/>
        <v>N</v>
      </c>
      <c r="Q354" t="s">
        <v>6084</v>
      </c>
    </row>
    <row r="355" spans="1:17" x14ac:dyDescent="0.25">
      <c r="A355" t="s">
        <v>4531</v>
      </c>
      <c r="B355" t="s">
        <v>1044</v>
      </c>
      <c r="C355">
        <v>2027</v>
      </c>
      <c r="D355" t="s">
        <v>718</v>
      </c>
      <c r="E355" t="s">
        <v>826</v>
      </c>
      <c r="F355" s="32">
        <v>46360</v>
      </c>
      <c r="G355" t="s">
        <v>514</v>
      </c>
      <c r="H355">
        <v>47148664</v>
      </c>
      <c r="I355" t="s">
        <v>1479</v>
      </c>
      <c r="J355" t="s">
        <v>1478</v>
      </c>
      <c r="K355" t="s">
        <v>530</v>
      </c>
      <c r="N355">
        <v>0</v>
      </c>
      <c r="O355">
        <v>0</v>
      </c>
      <c r="P355" t="str">
        <f t="shared" si="5"/>
        <v>N</v>
      </c>
      <c r="Q355" t="s">
        <v>6085</v>
      </c>
    </row>
    <row r="356" spans="1:17" x14ac:dyDescent="0.25">
      <c r="A356" t="s">
        <v>4532</v>
      </c>
      <c r="B356" t="s">
        <v>1044</v>
      </c>
      <c r="C356">
        <v>2027</v>
      </c>
      <c r="D356" t="s">
        <v>718</v>
      </c>
      <c r="E356" t="s">
        <v>826</v>
      </c>
      <c r="F356" s="32">
        <v>46360</v>
      </c>
      <c r="G356" t="s">
        <v>514</v>
      </c>
      <c r="H356">
        <v>47129020</v>
      </c>
      <c r="I356" t="s">
        <v>1058</v>
      </c>
      <c r="J356" t="s">
        <v>1057</v>
      </c>
      <c r="K356" t="s">
        <v>530</v>
      </c>
      <c r="N356">
        <v>0</v>
      </c>
      <c r="O356">
        <v>0</v>
      </c>
      <c r="P356" t="str">
        <f t="shared" si="5"/>
        <v>N</v>
      </c>
      <c r="Q356" t="s">
        <v>6086</v>
      </c>
    </row>
    <row r="357" spans="1:17" x14ac:dyDescent="0.25">
      <c r="A357" t="s">
        <v>4533</v>
      </c>
      <c r="B357" t="s">
        <v>1044</v>
      </c>
      <c r="C357">
        <v>2027</v>
      </c>
      <c r="D357" t="s">
        <v>718</v>
      </c>
      <c r="E357" t="s">
        <v>826</v>
      </c>
      <c r="F357" s="32">
        <v>46360</v>
      </c>
      <c r="G357" t="s">
        <v>514</v>
      </c>
      <c r="H357">
        <v>47129473</v>
      </c>
      <c r="I357" t="s">
        <v>1430</v>
      </c>
      <c r="J357" t="s">
        <v>1429</v>
      </c>
      <c r="K357" t="s">
        <v>530</v>
      </c>
      <c r="N357">
        <v>0</v>
      </c>
      <c r="O357">
        <v>0</v>
      </c>
      <c r="P357" t="str">
        <f t="shared" si="5"/>
        <v>N</v>
      </c>
      <c r="Q357" t="s">
        <v>6087</v>
      </c>
    </row>
    <row r="358" spans="1:17" x14ac:dyDescent="0.25">
      <c r="A358" t="s">
        <v>4534</v>
      </c>
      <c r="B358" t="s">
        <v>1044</v>
      </c>
      <c r="C358">
        <v>2027</v>
      </c>
      <c r="D358" t="s">
        <v>718</v>
      </c>
      <c r="E358" t="s">
        <v>826</v>
      </c>
      <c r="F358" s="32">
        <v>46360</v>
      </c>
      <c r="G358" t="s">
        <v>514</v>
      </c>
      <c r="H358">
        <v>47128490</v>
      </c>
      <c r="I358" t="s">
        <v>1254</v>
      </c>
      <c r="J358" t="s">
        <v>1253</v>
      </c>
      <c r="K358" t="s">
        <v>530</v>
      </c>
      <c r="N358">
        <v>40</v>
      </c>
      <c r="O358">
        <v>40</v>
      </c>
      <c r="P358" t="str">
        <f t="shared" si="5"/>
        <v>N</v>
      </c>
      <c r="Q358" t="s">
        <v>6088</v>
      </c>
    </row>
    <row r="359" spans="1:17" x14ac:dyDescent="0.25">
      <c r="A359" t="s">
        <v>4535</v>
      </c>
      <c r="B359" t="s">
        <v>1044</v>
      </c>
      <c r="C359">
        <v>2027</v>
      </c>
      <c r="D359" t="s">
        <v>718</v>
      </c>
      <c r="E359" t="s">
        <v>826</v>
      </c>
      <c r="F359" s="32">
        <v>46360</v>
      </c>
      <c r="G359" t="s">
        <v>514</v>
      </c>
      <c r="H359">
        <v>47127948</v>
      </c>
      <c r="I359" t="s">
        <v>1247</v>
      </c>
      <c r="J359" t="s">
        <v>1246</v>
      </c>
      <c r="K359" t="s">
        <v>530</v>
      </c>
      <c r="N359">
        <v>0</v>
      </c>
      <c r="O359">
        <v>0</v>
      </c>
      <c r="P359" t="str">
        <f t="shared" si="5"/>
        <v>N</v>
      </c>
      <c r="Q359" t="s">
        <v>6089</v>
      </c>
    </row>
    <row r="360" spans="1:17" x14ac:dyDescent="0.25">
      <c r="A360" t="s">
        <v>4536</v>
      </c>
      <c r="B360" t="s">
        <v>1044</v>
      </c>
      <c r="C360">
        <v>2027</v>
      </c>
      <c r="D360" t="s">
        <v>718</v>
      </c>
      <c r="E360" t="s">
        <v>826</v>
      </c>
      <c r="F360" s="32">
        <v>46360</v>
      </c>
      <c r="G360" t="s">
        <v>514</v>
      </c>
      <c r="H360">
        <v>47128710</v>
      </c>
      <c r="I360" t="s">
        <v>1189</v>
      </c>
      <c r="J360" t="s">
        <v>1188</v>
      </c>
      <c r="K360" t="s">
        <v>530</v>
      </c>
      <c r="N360">
        <v>0</v>
      </c>
      <c r="O360">
        <v>0</v>
      </c>
      <c r="P360" t="str">
        <f t="shared" si="5"/>
        <v>N</v>
      </c>
      <c r="Q360" t="s">
        <v>6090</v>
      </c>
    </row>
    <row r="361" spans="1:17" x14ac:dyDescent="0.25">
      <c r="A361" t="s">
        <v>4537</v>
      </c>
      <c r="B361" t="s">
        <v>1044</v>
      </c>
      <c r="C361">
        <v>2027</v>
      </c>
      <c r="D361" t="s">
        <v>718</v>
      </c>
      <c r="E361" t="s">
        <v>826</v>
      </c>
      <c r="F361" s="32">
        <v>46360</v>
      </c>
      <c r="G361" t="s">
        <v>514</v>
      </c>
      <c r="H361">
        <v>47128833</v>
      </c>
      <c r="I361" t="s">
        <v>1193</v>
      </c>
      <c r="J361" t="s">
        <v>1192</v>
      </c>
      <c r="K361" t="s">
        <v>530</v>
      </c>
      <c r="N361">
        <v>0</v>
      </c>
      <c r="O361">
        <v>0</v>
      </c>
      <c r="P361" t="str">
        <f t="shared" si="5"/>
        <v>N</v>
      </c>
      <c r="Q361" t="s">
        <v>6091</v>
      </c>
    </row>
    <row r="362" spans="1:17" x14ac:dyDescent="0.25">
      <c r="A362" t="s">
        <v>4538</v>
      </c>
      <c r="B362" t="s">
        <v>1044</v>
      </c>
      <c r="C362">
        <v>2027</v>
      </c>
      <c r="D362" t="s">
        <v>718</v>
      </c>
      <c r="E362" t="s">
        <v>826</v>
      </c>
      <c r="F362" s="32">
        <v>46360</v>
      </c>
      <c r="G362" t="s">
        <v>514</v>
      </c>
      <c r="H362">
        <v>47128784</v>
      </c>
      <c r="I362" t="s">
        <v>1426</v>
      </c>
      <c r="J362" t="s">
        <v>1425</v>
      </c>
      <c r="K362" t="s">
        <v>530</v>
      </c>
      <c r="N362">
        <v>0</v>
      </c>
      <c r="O362">
        <v>0</v>
      </c>
      <c r="P362" t="str">
        <f t="shared" si="5"/>
        <v>N</v>
      </c>
      <c r="Q362" t="s">
        <v>6092</v>
      </c>
    </row>
    <row r="363" spans="1:17" x14ac:dyDescent="0.25">
      <c r="A363" t="s">
        <v>4802</v>
      </c>
      <c r="B363" t="s">
        <v>1090</v>
      </c>
      <c r="C363">
        <v>2027</v>
      </c>
      <c r="D363" t="s">
        <v>718</v>
      </c>
      <c r="E363" t="s">
        <v>826</v>
      </c>
      <c r="F363" s="32">
        <v>46360</v>
      </c>
      <c r="G363" t="s">
        <v>514</v>
      </c>
      <c r="H363">
        <v>47128353</v>
      </c>
      <c r="I363" t="s">
        <v>982</v>
      </c>
      <c r="J363" t="s">
        <v>981</v>
      </c>
      <c r="K363" t="s">
        <v>530</v>
      </c>
      <c r="N363">
        <v>0</v>
      </c>
      <c r="O363">
        <v>0</v>
      </c>
      <c r="P363" t="str">
        <f t="shared" si="5"/>
        <v>N</v>
      </c>
      <c r="Q363" t="s">
        <v>6093</v>
      </c>
    </row>
    <row r="364" spans="1:17" x14ac:dyDescent="0.25">
      <c r="A364" t="s">
        <v>4803</v>
      </c>
      <c r="B364" t="s">
        <v>1090</v>
      </c>
      <c r="C364">
        <v>2027</v>
      </c>
      <c r="D364" t="s">
        <v>718</v>
      </c>
      <c r="E364" t="s">
        <v>826</v>
      </c>
      <c r="F364" s="32">
        <v>46360</v>
      </c>
      <c r="G364" t="s">
        <v>514</v>
      </c>
      <c r="H364">
        <v>47128350</v>
      </c>
      <c r="I364" t="s">
        <v>1032</v>
      </c>
      <c r="J364" t="s">
        <v>1031</v>
      </c>
      <c r="K364" t="s">
        <v>530</v>
      </c>
      <c r="N364">
        <v>0</v>
      </c>
      <c r="O364">
        <v>0</v>
      </c>
      <c r="P364" t="str">
        <f t="shared" si="5"/>
        <v>N</v>
      </c>
      <c r="Q364" t="s">
        <v>6094</v>
      </c>
    </row>
    <row r="365" spans="1:17" x14ac:dyDescent="0.25">
      <c r="A365" t="s">
        <v>4804</v>
      </c>
      <c r="B365" t="s">
        <v>1090</v>
      </c>
      <c r="C365">
        <v>2027</v>
      </c>
      <c r="D365" t="s">
        <v>718</v>
      </c>
      <c r="E365" t="s">
        <v>826</v>
      </c>
      <c r="F365" s="32">
        <v>46360</v>
      </c>
      <c r="G365" t="s">
        <v>514</v>
      </c>
      <c r="H365">
        <v>47128349</v>
      </c>
      <c r="I365" t="s">
        <v>975</v>
      </c>
      <c r="J365" t="s">
        <v>974</v>
      </c>
      <c r="K365" t="s">
        <v>530</v>
      </c>
      <c r="N365">
        <v>0</v>
      </c>
      <c r="O365">
        <v>0</v>
      </c>
      <c r="P365" t="str">
        <f t="shared" si="5"/>
        <v>N</v>
      </c>
      <c r="Q365" t="s">
        <v>6095</v>
      </c>
    </row>
    <row r="366" spans="1:17" x14ac:dyDescent="0.25">
      <c r="A366" t="s">
        <v>4805</v>
      </c>
      <c r="B366" t="s">
        <v>1090</v>
      </c>
      <c r="C366">
        <v>2027</v>
      </c>
      <c r="D366" t="s">
        <v>718</v>
      </c>
      <c r="E366" t="s">
        <v>826</v>
      </c>
      <c r="F366" s="32">
        <v>46360</v>
      </c>
      <c r="G366" t="s">
        <v>514</v>
      </c>
      <c r="H366">
        <v>47128824</v>
      </c>
      <c r="I366" t="s">
        <v>1296</v>
      </c>
      <c r="J366" t="s">
        <v>1295</v>
      </c>
      <c r="K366" t="s">
        <v>530</v>
      </c>
      <c r="N366">
        <v>40</v>
      </c>
      <c r="O366">
        <v>40</v>
      </c>
      <c r="P366" t="str">
        <f t="shared" si="5"/>
        <v>N</v>
      </c>
      <c r="Q366" t="s">
        <v>6096</v>
      </c>
    </row>
    <row r="367" spans="1:17" x14ac:dyDescent="0.25">
      <c r="A367" t="s">
        <v>4806</v>
      </c>
      <c r="B367" t="s">
        <v>1090</v>
      </c>
      <c r="C367">
        <v>2027</v>
      </c>
      <c r="D367" t="s">
        <v>718</v>
      </c>
      <c r="E367" t="s">
        <v>826</v>
      </c>
      <c r="F367" s="32">
        <v>46360</v>
      </c>
      <c r="G367" t="s">
        <v>514</v>
      </c>
      <c r="H367">
        <v>47128525</v>
      </c>
      <c r="I367" t="s">
        <v>1001</v>
      </c>
      <c r="J367" t="s">
        <v>1000</v>
      </c>
      <c r="K367" t="s">
        <v>530</v>
      </c>
      <c r="N367">
        <v>0</v>
      </c>
      <c r="O367">
        <v>0</v>
      </c>
      <c r="P367" t="str">
        <f t="shared" si="5"/>
        <v>N</v>
      </c>
      <c r="Q367" t="s">
        <v>6097</v>
      </c>
    </row>
    <row r="368" spans="1:17" x14ac:dyDescent="0.25">
      <c r="A368" t="s">
        <v>4807</v>
      </c>
      <c r="B368" t="s">
        <v>1090</v>
      </c>
      <c r="C368">
        <v>2027</v>
      </c>
      <c r="D368" t="s">
        <v>718</v>
      </c>
      <c r="E368" t="s">
        <v>826</v>
      </c>
      <c r="F368" s="32">
        <v>46360</v>
      </c>
      <c r="G368" t="s">
        <v>514</v>
      </c>
      <c r="H368">
        <v>47128477</v>
      </c>
      <c r="I368" t="s">
        <v>1029</v>
      </c>
      <c r="J368" t="s">
        <v>1028</v>
      </c>
      <c r="K368" t="s">
        <v>530</v>
      </c>
      <c r="N368">
        <v>0</v>
      </c>
      <c r="O368">
        <v>0</v>
      </c>
      <c r="P368" t="str">
        <f t="shared" si="5"/>
        <v>N</v>
      </c>
      <c r="Q368" t="s">
        <v>6098</v>
      </c>
    </row>
    <row r="369" spans="1:17" x14ac:dyDescent="0.25">
      <c r="A369" t="s">
        <v>5206</v>
      </c>
      <c r="B369" t="s">
        <v>1089</v>
      </c>
      <c r="C369">
        <v>2027</v>
      </c>
      <c r="D369" t="s">
        <v>718</v>
      </c>
      <c r="E369" t="s">
        <v>826</v>
      </c>
      <c r="F369" s="32">
        <v>46360</v>
      </c>
      <c r="G369" t="s">
        <v>514</v>
      </c>
      <c r="H369">
        <v>47128421</v>
      </c>
      <c r="I369" t="s">
        <v>1086</v>
      </c>
      <c r="J369" t="s">
        <v>1085</v>
      </c>
      <c r="K369" t="s">
        <v>530</v>
      </c>
      <c r="N369">
        <v>40</v>
      </c>
      <c r="O369">
        <v>40</v>
      </c>
      <c r="P369" t="str">
        <f t="shared" si="5"/>
        <v>N</v>
      </c>
      <c r="Q369" t="s">
        <v>6099</v>
      </c>
    </row>
    <row r="370" spans="1:17" x14ac:dyDescent="0.25">
      <c r="A370" t="s">
        <v>5207</v>
      </c>
      <c r="B370" t="s">
        <v>1089</v>
      </c>
      <c r="C370">
        <v>2027</v>
      </c>
      <c r="D370" t="s">
        <v>718</v>
      </c>
      <c r="E370" t="s">
        <v>826</v>
      </c>
      <c r="F370" s="32">
        <v>46360</v>
      </c>
      <c r="G370" t="s">
        <v>514</v>
      </c>
      <c r="H370">
        <v>47128706</v>
      </c>
      <c r="I370" t="s">
        <v>1201</v>
      </c>
      <c r="J370" t="s">
        <v>1200</v>
      </c>
      <c r="K370" t="s">
        <v>530</v>
      </c>
      <c r="N370">
        <v>0</v>
      </c>
      <c r="O370">
        <v>0</v>
      </c>
      <c r="P370" t="str">
        <f t="shared" si="5"/>
        <v>N</v>
      </c>
      <c r="Q370" t="s">
        <v>6100</v>
      </c>
    </row>
    <row r="371" spans="1:17" x14ac:dyDescent="0.25">
      <c r="A371" t="s">
        <v>5208</v>
      </c>
      <c r="B371" t="s">
        <v>1089</v>
      </c>
      <c r="C371">
        <v>2027</v>
      </c>
      <c r="D371" t="s">
        <v>718</v>
      </c>
      <c r="E371" t="s">
        <v>826</v>
      </c>
      <c r="F371" s="32">
        <v>46360</v>
      </c>
      <c r="G371" t="s">
        <v>514</v>
      </c>
      <c r="H371">
        <v>47128364</v>
      </c>
      <c r="I371" t="s">
        <v>1264</v>
      </c>
      <c r="J371" t="s">
        <v>1263</v>
      </c>
      <c r="K371" t="s">
        <v>530</v>
      </c>
      <c r="N371">
        <v>0</v>
      </c>
      <c r="O371">
        <v>0</v>
      </c>
      <c r="P371" t="str">
        <f t="shared" si="5"/>
        <v>N</v>
      </c>
      <c r="Q371" t="s">
        <v>6101</v>
      </c>
    </row>
    <row r="372" spans="1:17" x14ac:dyDescent="0.25">
      <c r="A372" t="s">
        <v>5209</v>
      </c>
      <c r="B372" t="s">
        <v>1089</v>
      </c>
      <c r="C372">
        <v>2027</v>
      </c>
      <c r="D372" t="s">
        <v>718</v>
      </c>
      <c r="E372" t="s">
        <v>826</v>
      </c>
      <c r="F372" s="32">
        <v>46360</v>
      </c>
      <c r="G372" t="s">
        <v>514</v>
      </c>
      <c r="H372">
        <v>47128633</v>
      </c>
      <c r="I372" t="s">
        <v>1164</v>
      </c>
      <c r="J372" t="s">
        <v>1163</v>
      </c>
      <c r="K372" t="s">
        <v>530</v>
      </c>
      <c r="N372">
        <v>0</v>
      </c>
      <c r="O372">
        <v>0</v>
      </c>
      <c r="P372" t="str">
        <f t="shared" si="5"/>
        <v>N</v>
      </c>
      <c r="Q372" t="s">
        <v>6102</v>
      </c>
    </row>
    <row r="373" spans="1:17" x14ac:dyDescent="0.25">
      <c r="A373" t="s">
        <v>5210</v>
      </c>
      <c r="B373" t="s">
        <v>1089</v>
      </c>
      <c r="C373">
        <v>2027</v>
      </c>
      <c r="D373" t="s">
        <v>718</v>
      </c>
      <c r="E373" t="s">
        <v>826</v>
      </c>
      <c r="F373" s="32">
        <v>46360</v>
      </c>
      <c r="G373" t="s">
        <v>514</v>
      </c>
      <c r="H373">
        <v>47128046</v>
      </c>
      <c r="I373" t="s">
        <v>1389</v>
      </c>
      <c r="J373" t="s">
        <v>1388</v>
      </c>
      <c r="K373" t="s">
        <v>530</v>
      </c>
      <c r="N373">
        <v>0</v>
      </c>
      <c r="O373">
        <v>0</v>
      </c>
      <c r="P373" t="str">
        <f t="shared" si="5"/>
        <v>N</v>
      </c>
      <c r="Q373" t="s">
        <v>6103</v>
      </c>
    </row>
    <row r="374" spans="1:17" x14ac:dyDescent="0.25">
      <c r="A374" t="s">
        <v>5211</v>
      </c>
      <c r="B374" t="s">
        <v>1089</v>
      </c>
      <c r="C374">
        <v>2027</v>
      </c>
      <c r="D374" t="s">
        <v>718</v>
      </c>
      <c r="E374" t="s">
        <v>826</v>
      </c>
      <c r="F374" s="32">
        <v>46360</v>
      </c>
      <c r="G374" t="s">
        <v>514</v>
      </c>
      <c r="H374">
        <v>47129548</v>
      </c>
      <c r="I374" t="s">
        <v>1340</v>
      </c>
      <c r="J374" t="s">
        <v>1339</v>
      </c>
      <c r="K374" t="s">
        <v>530</v>
      </c>
      <c r="N374">
        <v>40</v>
      </c>
      <c r="O374">
        <v>40</v>
      </c>
      <c r="P374" t="str">
        <f t="shared" si="5"/>
        <v>N</v>
      </c>
      <c r="Q374" t="s">
        <v>6104</v>
      </c>
    </row>
    <row r="375" spans="1:17" x14ac:dyDescent="0.25">
      <c r="A375" t="s">
        <v>5463</v>
      </c>
      <c r="B375" t="s">
        <v>5437</v>
      </c>
      <c r="C375">
        <v>2027</v>
      </c>
      <c r="D375" t="s">
        <v>718</v>
      </c>
      <c r="E375" t="s">
        <v>826</v>
      </c>
      <c r="F375" s="32">
        <v>46360</v>
      </c>
      <c r="G375" t="s">
        <v>514</v>
      </c>
      <c r="H375">
        <v>47148664</v>
      </c>
      <c r="I375" t="s">
        <v>1479</v>
      </c>
      <c r="J375" t="s">
        <v>1478</v>
      </c>
      <c r="K375" t="s">
        <v>530</v>
      </c>
      <c r="N375">
        <v>0</v>
      </c>
      <c r="O375">
        <v>0</v>
      </c>
      <c r="P375" t="str">
        <f t="shared" si="5"/>
        <v>N</v>
      </c>
      <c r="Q375" t="s">
        <v>6105</v>
      </c>
    </row>
    <row r="376" spans="1:17" x14ac:dyDescent="0.25">
      <c r="A376" t="s">
        <v>5464</v>
      </c>
      <c r="B376" t="s">
        <v>5437</v>
      </c>
      <c r="C376">
        <v>2027</v>
      </c>
      <c r="D376" t="s">
        <v>718</v>
      </c>
      <c r="E376" t="s">
        <v>826</v>
      </c>
      <c r="F376" s="32">
        <v>46360</v>
      </c>
      <c r="G376" t="s">
        <v>514</v>
      </c>
      <c r="H376">
        <v>47129020</v>
      </c>
      <c r="I376" t="s">
        <v>1058</v>
      </c>
      <c r="J376" t="s">
        <v>1057</v>
      </c>
      <c r="K376" t="s">
        <v>530</v>
      </c>
      <c r="N376">
        <v>0</v>
      </c>
      <c r="O376">
        <v>0</v>
      </c>
      <c r="P376" t="str">
        <f t="shared" si="5"/>
        <v>N</v>
      </c>
      <c r="Q376" t="s">
        <v>6106</v>
      </c>
    </row>
    <row r="377" spans="1:17" x14ac:dyDescent="0.25">
      <c r="A377" t="s">
        <v>5465</v>
      </c>
      <c r="B377" t="s">
        <v>5437</v>
      </c>
      <c r="C377">
        <v>2027</v>
      </c>
      <c r="D377" t="s">
        <v>718</v>
      </c>
      <c r="E377" t="s">
        <v>826</v>
      </c>
      <c r="F377" s="32">
        <v>46360</v>
      </c>
      <c r="G377" t="s">
        <v>514</v>
      </c>
      <c r="H377">
        <v>47129473</v>
      </c>
      <c r="I377" t="s">
        <v>1430</v>
      </c>
      <c r="J377" t="s">
        <v>1429</v>
      </c>
      <c r="K377" t="s">
        <v>530</v>
      </c>
      <c r="N377">
        <v>0</v>
      </c>
      <c r="O377">
        <v>0</v>
      </c>
      <c r="P377" t="str">
        <f t="shared" si="5"/>
        <v>N</v>
      </c>
      <c r="Q377" t="s">
        <v>6107</v>
      </c>
    </row>
    <row r="378" spans="1:17" x14ac:dyDescent="0.25">
      <c r="A378" t="s">
        <v>5466</v>
      </c>
      <c r="B378" t="s">
        <v>5437</v>
      </c>
      <c r="C378">
        <v>2027</v>
      </c>
      <c r="D378" t="s">
        <v>718</v>
      </c>
      <c r="E378" t="s">
        <v>826</v>
      </c>
      <c r="F378" s="32">
        <v>46360</v>
      </c>
      <c r="G378" t="s">
        <v>514</v>
      </c>
      <c r="H378">
        <v>47128490</v>
      </c>
      <c r="I378" t="s">
        <v>1254</v>
      </c>
      <c r="J378" t="s">
        <v>1253</v>
      </c>
      <c r="K378" t="s">
        <v>530</v>
      </c>
      <c r="N378">
        <v>0</v>
      </c>
      <c r="O378">
        <v>0</v>
      </c>
      <c r="P378" t="str">
        <f t="shared" si="5"/>
        <v>N</v>
      </c>
      <c r="Q378" t="s">
        <v>6108</v>
      </c>
    </row>
    <row r="379" spans="1:17" x14ac:dyDescent="0.25">
      <c r="A379" t="s">
        <v>5467</v>
      </c>
      <c r="B379" t="s">
        <v>5437</v>
      </c>
      <c r="C379">
        <v>2027</v>
      </c>
      <c r="D379" t="s">
        <v>718</v>
      </c>
      <c r="E379" t="s">
        <v>826</v>
      </c>
      <c r="F379" s="32">
        <v>46360</v>
      </c>
      <c r="G379" t="s">
        <v>514</v>
      </c>
      <c r="H379">
        <v>47127948</v>
      </c>
      <c r="I379" t="s">
        <v>1247</v>
      </c>
      <c r="J379" t="s">
        <v>1246</v>
      </c>
      <c r="K379" t="s">
        <v>530</v>
      </c>
      <c r="N379">
        <v>0</v>
      </c>
      <c r="O379">
        <v>0</v>
      </c>
      <c r="P379" t="str">
        <f t="shared" si="5"/>
        <v>N</v>
      </c>
      <c r="Q379" t="s">
        <v>6109</v>
      </c>
    </row>
    <row r="380" spans="1:17" x14ac:dyDescent="0.25">
      <c r="A380" t="s">
        <v>5468</v>
      </c>
      <c r="B380" t="s">
        <v>5437</v>
      </c>
      <c r="C380">
        <v>2027</v>
      </c>
      <c r="D380" t="s">
        <v>718</v>
      </c>
      <c r="E380" t="s">
        <v>826</v>
      </c>
      <c r="F380" s="32">
        <v>46360</v>
      </c>
      <c r="G380" t="s">
        <v>514</v>
      </c>
      <c r="H380">
        <v>47128710</v>
      </c>
      <c r="I380" t="s">
        <v>1189</v>
      </c>
      <c r="J380" t="s">
        <v>1188</v>
      </c>
      <c r="K380" t="s">
        <v>530</v>
      </c>
      <c r="N380">
        <v>0</v>
      </c>
      <c r="O380">
        <v>0</v>
      </c>
      <c r="P380" t="str">
        <f t="shared" si="5"/>
        <v>N</v>
      </c>
      <c r="Q380" t="s">
        <v>6110</v>
      </c>
    </row>
    <row r="381" spans="1:17" x14ac:dyDescent="0.25">
      <c r="A381" t="s">
        <v>5469</v>
      </c>
      <c r="B381" t="s">
        <v>5437</v>
      </c>
      <c r="C381">
        <v>2027</v>
      </c>
      <c r="D381" t="s">
        <v>718</v>
      </c>
      <c r="E381" t="s">
        <v>826</v>
      </c>
      <c r="F381" s="32">
        <v>46360</v>
      </c>
      <c r="G381" t="s">
        <v>514</v>
      </c>
      <c r="H381">
        <v>47128115</v>
      </c>
      <c r="I381" t="s">
        <v>1260</v>
      </c>
      <c r="J381" t="s">
        <v>1259</v>
      </c>
      <c r="K381" t="s">
        <v>530</v>
      </c>
      <c r="N381">
        <v>40</v>
      </c>
      <c r="O381">
        <v>40</v>
      </c>
      <c r="P381" t="str">
        <f t="shared" si="5"/>
        <v>N</v>
      </c>
      <c r="Q381" t="s">
        <v>6111</v>
      </c>
    </row>
    <row r="382" spans="1:17" x14ac:dyDescent="0.25">
      <c r="A382" t="s">
        <v>5470</v>
      </c>
      <c r="B382" t="s">
        <v>5437</v>
      </c>
      <c r="C382">
        <v>2027</v>
      </c>
      <c r="D382" t="s">
        <v>718</v>
      </c>
      <c r="E382" t="s">
        <v>826</v>
      </c>
      <c r="F382" s="32">
        <v>46360</v>
      </c>
      <c r="G382" t="s">
        <v>514</v>
      </c>
      <c r="H382">
        <v>47128833</v>
      </c>
      <c r="I382" t="s">
        <v>1193</v>
      </c>
      <c r="J382" t="s">
        <v>1192</v>
      </c>
      <c r="K382" t="s">
        <v>530</v>
      </c>
      <c r="N382">
        <v>0</v>
      </c>
      <c r="O382">
        <v>0</v>
      </c>
      <c r="P382" t="str">
        <f t="shared" si="5"/>
        <v>N</v>
      </c>
      <c r="Q382" t="s">
        <v>6112</v>
      </c>
    </row>
    <row r="383" spans="1:17" x14ac:dyDescent="0.25">
      <c r="A383" t="s">
        <v>5471</v>
      </c>
      <c r="B383" t="s">
        <v>5437</v>
      </c>
      <c r="C383">
        <v>2027</v>
      </c>
      <c r="D383" t="s">
        <v>718</v>
      </c>
      <c r="E383" t="s">
        <v>826</v>
      </c>
      <c r="F383" s="32">
        <v>46360</v>
      </c>
      <c r="G383" t="s">
        <v>514</v>
      </c>
      <c r="H383">
        <v>47128784</v>
      </c>
      <c r="I383" t="s">
        <v>1426</v>
      </c>
      <c r="J383" t="s">
        <v>1425</v>
      </c>
      <c r="K383" t="s">
        <v>530</v>
      </c>
      <c r="N383">
        <v>0</v>
      </c>
      <c r="O383">
        <v>0</v>
      </c>
      <c r="P383" t="str">
        <f t="shared" si="5"/>
        <v>N</v>
      </c>
      <c r="Q383" t="s">
        <v>6113</v>
      </c>
    </row>
    <row r="384" spans="1:17" x14ac:dyDescent="0.25">
      <c r="A384" t="s">
        <v>1540</v>
      </c>
      <c r="B384" t="s">
        <v>1520</v>
      </c>
      <c r="C384">
        <v>2027</v>
      </c>
      <c r="D384" t="s">
        <v>720</v>
      </c>
      <c r="E384" t="s">
        <v>827</v>
      </c>
      <c r="F384" s="32">
        <v>46367</v>
      </c>
      <c r="G384" t="s">
        <v>514</v>
      </c>
      <c r="H384">
        <v>47128207</v>
      </c>
      <c r="I384" t="s">
        <v>1522</v>
      </c>
      <c r="J384" t="s">
        <v>1523</v>
      </c>
      <c r="K384" t="s">
        <v>530</v>
      </c>
      <c r="N384">
        <v>0</v>
      </c>
      <c r="O384">
        <v>0</v>
      </c>
      <c r="P384" t="str">
        <f t="shared" si="5"/>
        <v>N</v>
      </c>
      <c r="Q384" t="s">
        <v>6114</v>
      </c>
    </row>
    <row r="385" spans="1:17" x14ac:dyDescent="0.25">
      <c r="A385" t="s">
        <v>1541</v>
      </c>
      <c r="B385" t="s">
        <v>1520</v>
      </c>
      <c r="C385">
        <v>2027</v>
      </c>
      <c r="D385" t="s">
        <v>720</v>
      </c>
      <c r="E385" t="s">
        <v>827</v>
      </c>
      <c r="F385" s="32">
        <v>46367</v>
      </c>
      <c r="G385" t="s">
        <v>514</v>
      </c>
      <c r="H385">
        <v>47128581</v>
      </c>
      <c r="I385" t="s">
        <v>1525</v>
      </c>
      <c r="J385" t="s">
        <v>1526</v>
      </c>
      <c r="K385" t="s">
        <v>530</v>
      </c>
      <c r="N385">
        <v>0</v>
      </c>
      <c r="O385">
        <v>0</v>
      </c>
      <c r="P385" t="str">
        <f t="shared" si="5"/>
        <v>N</v>
      </c>
      <c r="Q385" t="s">
        <v>6115</v>
      </c>
    </row>
    <row r="386" spans="1:17" x14ac:dyDescent="0.25">
      <c r="A386" t="s">
        <v>1542</v>
      </c>
      <c r="B386" t="s">
        <v>1520</v>
      </c>
      <c r="C386">
        <v>2027</v>
      </c>
      <c r="D386" t="s">
        <v>720</v>
      </c>
      <c r="E386" t="s">
        <v>827</v>
      </c>
      <c r="F386" s="32">
        <v>46367</v>
      </c>
      <c r="G386" t="s">
        <v>514</v>
      </c>
      <c r="H386">
        <v>47127959</v>
      </c>
      <c r="I386" t="s">
        <v>1528</v>
      </c>
      <c r="J386" t="s">
        <v>1529</v>
      </c>
      <c r="K386" t="s">
        <v>530</v>
      </c>
      <c r="N386">
        <v>0</v>
      </c>
      <c r="O386">
        <v>0</v>
      </c>
      <c r="P386" t="str">
        <f t="shared" si="5"/>
        <v>N</v>
      </c>
      <c r="Q386" t="s">
        <v>6116</v>
      </c>
    </row>
    <row r="387" spans="1:17" x14ac:dyDescent="0.25">
      <c r="A387" t="s">
        <v>1543</v>
      </c>
      <c r="B387" t="s">
        <v>1520</v>
      </c>
      <c r="C387">
        <v>2027</v>
      </c>
      <c r="D387" t="s">
        <v>720</v>
      </c>
      <c r="E387" t="s">
        <v>827</v>
      </c>
      <c r="F387" s="32">
        <v>46367</v>
      </c>
      <c r="G387" t="s">
        <v>514</v>
      </c>
      <c r="H387">
        <v>47128204</v>
      </c>
      <c r="I387" t="s">
        <v>1531</v>
      </c>
      <c r="J387" t="s">
        <v>1532</v>
      </c>
      <c r="K387" t="s">
        <v>530</v>
      </c>
      <c r="N387">
        <v>40</v>
      </c>
      <c r="O387">
        <v>40</v>
      </c>
      <c r="P387" t="str">
        <f t="shared" ref="P387:P450" si="6">IF(N387=O387,"N","Y")</f>
        <v>N</v>
      </c>
      <c r="Q387" t="s">
        <v>6117</v>
      </c>
    </row>
    <row r="388" spans="1:17" x14ac:dyDescent="0.25">
      <c r="A388" t="s">
        <v>1544</v>
      </c>
      <c r="B388" t="s">
        <v>1520</v>
      </c>
      <c r="C388">
        <v>2027</v>
      </c>
      <c r="D388" t="s">
        <v>720</v>
      </c>
      <c r="E388" t="s">
        <v>827</v>
      </c>
      <c r="F388" s="32">
        <v>46367</v>
      </c>
      <c r="G388" t="s">
        <v>514</v>
      </c>
      <c r="H388">
        <v>47128207</v>
      </c>
      <c r="I388" t="s">
        <v>1522</v>
      </c>
      <c r="J388" t="s">
        <v>1534</v>
      </c>
      <c r="K388" t="s">
        <v>530</v>
      </c>
      <c r="N388">
        <v>0</v>
      </c>
      <c r="O388">
        <v>0</v>
      </c>
      <c r="P388" t="str">
        <f t="shared" si="6"/>
        <v>N</v>
      </c>
      <c r="Q388" t="s">
        <v>6118</v>
      </c>
    </row>
    <row r="389" spans="1:17" x14ac:dyDescent="0.25">
      <c r="A389" t="s">
        <v>1545</v>
      </c>
      <c r="B389" t="s">
        <v>1520</v>
      </c>
      <c r="C389">
        <v>2027</v>
      </c>
      <c r="D389" t="s">
        <v>720</v>
      </c>
      <c r="E389" t="s">
        <v>827</v>
      </c>
      <c r="F389" s="32">
        <v>46367</v>
      </c>
      <c r="G389" t="s">
        <v>563</v>
      </c>
      <c r="H389">
        <v>10000015</v>
      </c>
      <c r="I389" t="s">
        <v>562</v>
      </c>
      <c r="K389" t="s">
        <v>530</v>
      </c>
      <c r="N389">
        <v>0</v>
      </c>
      <c r="O389">
        <v>0</v>
      </c>
      <c r="P389" t="str">
        <f t="shared" si="6"/>
        <v>N</v>
      </c>
      <c r="Q389" t="s">
        <v>6119</v>
      </c>
    </row>
    <row r="390" spans="1:17" x14ac:dyDescent="0.25">
      <c r="A390" t="s">
        <v>1546</v>
      </c>
      <c r="B390" t="s">
        <v>1520</v>
      </c>
      <c r="C390">
        <v>2027</v>
      </c>
      <c r="D390" t="s">
        <v>720</v>
      </c>
      <c r="E390" t="s">
        <v>827</v>
      </c>
      <c r="F390" s="32">
        <v>46367</v>
      </c>
      <c r="G390" t="s">
        <v>514</v>
      </c>
      <c r="H390">
        <v>47127959</v>
      </c>
      <c r="I390" t="s">
        <v>1528</v>
      </c>
      <c r="J390" t="s">
        <v>1537</v>
      </c>
      <c r="K390" t="s">
        <v>530</v>
      </c>
      <c r="N390">
        <v>0</v>
      </c>
      <c r="O390">
        <v>0</v>
      </c>
      <c r="P390" t="str">
        <f t="shared" si="6"/>
        <v>N</v>
      </c>
      <c r="Q390" t="s">
        <v>6120</v>
      </c>
    </row>
    <row r="391" spans="1:17" x14ac:dyDescent="0.25">
      <c r="A391" t="s">
        <v>1547</v>
      </c>
      <c r="B391" t="s">
        <v>1520</v>
      </c>
      <c r="C391">
        <v>2027</v>
      </c>
      <c r="D391" t="s">
        <v>720</v>
      </c>
      <c r="E391" t="s">
        <v>827</v>
      </c>
      <c r="F391" s="32">
        <v>46367</v>
      </c>
      <c r="G391" t="s">
        <v>514</v>
      </c>
      <c r="H391">
        <v>47128581</v>
      </c>
      <c r="I391" t="s">
        <v>1525</v>
      </c>
      <c r="J391" t="s">
        <v>1539</v>
      </c>
      <c r="K391" t="s">
        <v>530</v>
      </c>
      <c r="N391">
        <v>0</v>
      </c>
      <c r="O391">
        <v>0</v>
      </c>
      <c r="P391" t="str">
        <f t="shared" si="6"/>
        <v>N</v>
      </c>
      <c r="Q391" t="s">
        <v>6121</v>
      </c>
    </row>
    <row r="392" spans="1:17" x14ac:dyDescent="0.25">
      <c r="A392" t="s">
        <v>1722</v>
      </c>
      <c r="B392" t="s">
        <v>1135</v>
      </c>
      <c r="C392">
        <v>2027</v>
      </c>
      <c r="D392" t="s">
        <v>720</v>
      </c>
      <c r="E392" t="s">
        <v>827</v>
      </c>
      <c r="F392" s="32">
        <v>46367</v>
      </c>
      <c r="G392" t="s">
        <v>514</v>
      </c>
      <c r="H392">
        <v>47128028</v>
      </c>
      <c r="I392" t="s">
        <v>1035</v>
      </c>
      <c r="J392" t="s">
        <v>1034</v>
      </c>
      <c r="K392" t="s">
        <v>530</v>
      </c>
      <c r="N392">
        <v>0</v>
      </c>
      <c r="O392">
        <v>0</v>
      </c>
      <c r="P392" t="str">
        <f t="shared" si="6"/>
        <v>N</v>
      </c>
      <c r="Q392" t="s">
        <v>6122</v>
      </c>
    </row>
    <row r="393" spans="1:17" x14ac:dyDescent="0.25">
      <c r="A393" t="s">
        <v>1723</v>
      </c>
      <c r="B393" t="s">
        <v>1135</v>
      </c>
      <c r="C393">
        <v>2027</v>
      </c>
      <c r="D393" t="s">
        <v>720</v>
      </c>
      <c r="E393" t="s">
        <v>827</v>
      </c>
      <c r="F393" s="32">
        <v>46367</v>
      </c>
      <c r="G393" t="s">
        <v>514</v>
      </c>
      <c r="H393">
        <v>47128465</v>
      </c>
      <c r="I393" t="s">
        <v>1333</v>
      </c>
      <c r="J393" t="s">
        <v>1332</v>
      </c>
      <c r="K393" t="s">
        <v>530</v>
      </c>
      <c r="N393">
        <v>0</v>
      </c>
      <c r="O393">
        <v>0</v>
      </c>
      <c r="P393" t="str">
        <f t="shared" si="6"/>
        <v>N</v>
      </c>
      <c r="Q393" t="s">
        <v>6123</v>
      </c>
    </row>
    <row r="394" spans="1:17" x14ac:dyDescent="0.25">
      <c r="A394" t="s">
        <v>1724</v>
      </c>
      <c r="B394" t="s">
        <v>1135</v>
      </c>
      <c r="C394">
        <v>2027</v>
      </c>
      <c r="D394" t="s">
        <v>720</v>
      </c>
      <c r="E394" t="s">
        <v>827</v>
      </c>
      <c r="F394" s="32">
        <v>46367</v>
      </c>
      <c r="G394" t="s">
        <v>514</v>
      </c>
      <c r="H394">
        <v>47128548</v>
      </c>
      <c r="I394" t="s">
        <v>958</v>
      </c>
      <c r="J394" t="s">
        <v>957</v>
      </c>
      <c r="K394" t="s">
        <v>530</v>
      </c>
      <c r="N394">
        <v>0</v>
      </c>
      <c r="O394">
        <v>0</v>
      </c>
      <c r="P394" t="str">
        <f t="shared" si="6"/>
        <v>N</v>
      </c>
      <c r="Q394" t="s">
        <v>6124</v>
      </c>
    </row>
    <row r="395" spans="1:17" x14ac:dyDescent="0.25">
      <c r="A395" t="s">
        <v>1725</v>
      </c>
      <c r="B395" t="s">
        <v>1135</v>
      </c>
      <c r="C395">
        <v>2027</v>
      </c>
      <c r="D395" t="s">
        <v>720</v>
      </c>
      <c r="E395" t="s">
        <v>827</v>
      </c>
      <c r="F395" s="32">
        <v>46367</v>
      </c>
      <c r="G395" t="s">
        <v>514</v>
      </c>
      <c r="H395">
        <v>47146464</v>
      </c>
      <c r="I395" t="s">
        <v>1438</v>
      </c>
      <c r="J395" t="s">
        <v>1437</v>
      </c>
      <c r="K395" t="s">
        <v>530</v>
      </c>
      <c r="N395">
        <v>0</v>
      </c>
      <c r="O395">
        <v>0</v>
      </c>
      <c r="P395" t="str">
        <f t="shared" si="6"/>
        <v>N</v>
      </c>
      <c r="Q395" t="s">
        <v>6125</v>
      </c>
    </row>
    <row r="396" spans="1:17" x14ac:dyDescent="0.25">
      <c r="A396" t="s">
        <v>1726</v>
      </c>
      <c r="B396" t="s">
        <v>1135</v>
      </c>
      <c r="C396">
        <v>2027</v>
      </c>
      <c r="D396" t="s">
        <v>720</v>
      </c>
      <c r="E396" t="s">
        <v>827</v>
      </c>
      <c r="F396" s="32">
        <v>46367</v>
      </c>
      <c r="G396" t="s">
        <v>514</v>
      </c>
      <c r="H396">
        <v>47146463</v>
      </c>
      <c r="I396" t="s">
        <v>1441</v>
      </c>
      <c r="J396" t="s">
        <v>1440</v>
      </c>
      <c r="K396" t="s">
        <v>530</v>
      </c>
      <c r="N396">
        <v>0</v>
      </c>
      <c r="O396">
        <v>0</v>
      </c>
      <c r="P396" t="str">
        <f t="shared" si="6"/>
        <v>N</v>
      </c>
      <c r="Q396" t="s">
        <v>6126</v>
      </c>
    </row>
    <row r="397" spans="1:17" x14ac:dyDescent="0.25">
      <c r="A397" t="s">
        <v>1727</v>
      </c>
      <c r="B397" t="s">
        <v>1135</v>
      </c>
      <c r="C397">
        <v>2027</v>
      </c>
      <c r="D397" t="s">
        <v>720</v>
      </c>
      <c r="E397" t="s">
        <v>827</v>
      </c>
      <c r="F397" s="32">
        <v>46367</v>
      </c>
      <c r="G397" t="s">
        <v>514</v>
      </c>
      <c r="H397">
        <v>47128729</v>
      </c>
      <c r="I397" t="s">
        <v>1149</v>
      </c>
      <c r="J397" t="s">
        <v>1148</v>
      </c>
      <c r="K397" t="s">
        <v>530</v>
      </c>
      <c r="N397">
        <v>0</v>
      </c>
      <c r="O397">
        <v>0</v>
      </c>
      <c r="P397" t="str">
        <f t="shared" si="6"/>
        <v>N</v>
      </c>
      <c r="Q397" t="s">
        <v>6127</v>
      </c>
    </row>
    <row r="398" spans="1:17" x14ac:dyDescent="0.25">
      <c r="A398" t="s">
        <v>1728</v>
      </c>
      <c r="B398" t="s">
        <v>1135</v>
      </c>
      <c r="C398">
        <v>2027</v>
      </c>
      <c r="D398" t="s">
        <v>720</v>
      </c>
      <c r="E398" t="s">
        <v>827</v>
      </c>
      <c r="F398" s="32">
        <v>46367</v>
      </c>
      <c r="G398" t="s">
        <v>514</v>
      </c>
      <c r="H398">
        <v>47128413</v>
      </c>
      <c r="I398" t="s">
        <v>1397</v>
      </c>
      <c r="J398" t="s">
        <v>1396</v>
      </c>
      <c r="K398" t="s">
        <v>530</v>
      </c>
      <c r="N398">
        <v>0</v>
      </c>
      <c r="O398">
        <v>0</v>
      </c>
      <c r="P398" t="str">
        <f t="shared" si="6"/>
        <v>N</v>
      </c>
      <c r="Q398" t="s">
        <v>6128</v>
      </c>
    </row>
    <row r="399" spans="1:17" x14ac:dyDescent="0.25">
      <c r="A399" t="s">
        <v>1729</v>
      </c>
      <c r="B399" t="s">
        <v>1135</v>
      </c>
      <c r="C399">
        <v>2027</v>
      </c>
      <c r="D399" t="s">
        <v>720</v>
      </c>
      <c r="E399" t="s">
        <v>827</v>
      </c>
      <c r="F399" s="32">
        <v>46367</v>
      </c>
      <c r="G399" t="s">
        <v>514</v>
      </c>
      <c r="H399">
        <v>47128783</v>
      </c>
      <c r="I399" t="s">
        <v>1280</v>
      </c>
      <c r="J399" t="s">
        <v>1279</v>
      </c>
      <c r="K399" t="s">
        <v>530</v>
      </c>
      <c r="N399">
        <v>0</v>
      </c>
      <c r="O399">
        <v>0</v>
      </c>
      <c r="P399" t="str">
        <f t="shared" si="6"/>
        <v>N</v>
      </c>
      <c r="Q399" t="s">
        <v>6129</v>
      </c>
    </row>
    <row r="400" spans="1:17" x14ac:dyDescent="0.25">
      <c r="A400" t="s">
        <v>1730</v>
      </c>
      <c r="B400" t="s">
        <v>1135</v>
      </c>
      <c r="C400">
        <v>2027</v>
      </c>
      <c r="D400" t="s">
        <v>720</v>
      </c>
      <c r="E400" t="s">
        <v>827</v>
      </c>
      <c r="F400" s="32">
        <v>46367</v>
      </c>
      <c r="G400" t="s">
        <v>514</v>
      </c>
      <c r="H400">
        <v>47128944</v>
      </c>
      <c r="I400" t="s">
        <v>1137</v>
      </c>
      <c r="J400" t="s">
        <v>1136</v>
      </c>
      <c r="K400" t="s">
        <v>530</v>
      </c>
      <c r="N400">
        <v>0</v>
      </c>
      <c r="O400">
        <v>0</v>
      </c>
      <c r="P400" t="str">
        <f t="shared" si="6"/>
        <v>N</v>
      </c>
      <c r="Q400" t="s">
        <v>6130</v>
      </c>
    </row>
    <row r="401" spans="1:17" x14ac:dyDescent="0.25">
      <c r="A401" t="s">
        <v>1731</v>
      </c>
      <c r="B401" t="s">
        <v>1135</v>
      </c>
      <c r="C401">
        <v>2027</v>
      </c>
      <c r="D401" t="s">
        <v>720</v>
      </c>
      <c r="E401" t="s">
        <v>827</v>
      </c>
      <c r="F401" s="32">
        <v>46367</v>
      </c>
      <c r="G401" t="s">
        <v>514</v>
      </c>
      <c r="H401">
        <v>47129547</v>
      </c>
      <c r="I401" t="s">
        <v>1128</v>
      </c>
      <c r="J401" t="s">
        <v>1352</v>
      </c>
      <c r="K401" t="s">
        <v>530</v>
      </c>
      <c r="N401">
        <v>0</v>
      </c>
      <c r="O401">
        <v>0</v>
      </c>
      <c r="P401" t="str">
        <f t="shared" si="6"/>
        <v>N</v>
      </c>
      <c r="Q401" t="s">
        <v>6131</v>
      </c>
    </row>
    <row r="402" spans="1:17" x14ac:dyDescent="0.25">
      <c r="A402" t="s">
        <v>1732</v>
      </c>
      <c r="B402" t="s">
        <v>1135</v>
      </c>
      <c r="C402">
        <v>2027</v>
      </c>
      <c r="D402" t="s">
        <v>720</v>
      </c>
      <c r="E402" t="s">
        <v>827</v>
      </c>
      <c r="F402" s="32">
        <v>46367</v>
      </c>
      <c r="G402" t="s">
        <v>514</v>
      </c>
      <c r="H402">
        <v>47128518</v>
      </c>
      <c r="I402" t="s">
        <v>1232</v>
      </c>
      <c r="J402" t="s">
        <v>1493</v>
      </c>
      <c r="K402" t="s">
        <v>530</v>
      </c>
      <c r="N402">
        <v>0</v>
      </c>
      <c r="O402">
        <v>0</v>
      </c>
      <c r="P402" t="str">
        <f t="shared" si="6"/>
        <v>N</v>
      </c>
      <c r="Q402" t="s">
        <v>6132</v>
      </c>
    </row>
    <row r="403" spans="1:17" x14ac:dyDescent="0.25">
      <c r="A403" t="s">
        <v>1733</v>
      </c>
      <c r="B403" t="s">
        <v>1135</v>
      </c>
      <c r="C403">
        <v>2027</v>
      </c>
      <c r="D403" t="s">
        <v>720</v>
      </c>
      <c r="E403" t="s">
        <v>827</v>
      </c>
      <c r="F403" s="32">
        <v>46367</v>
      </c>
      <c r="G403" t="s">
        <v>514</v>
      </c>
      <c r="H403">
        <v>47128168</v>
      </c>
      <c r="I403" t="s">
        <v>1100</v>
      </c>
      <c r="J403" t="s">
        <v>1099</v>
      </c>
      <c r="K403" t="s">
        <v>530</v>
      </c>
      <c r="N403">
        <v>0</v>
      </c>
      <c r="O403">
        <v>0</v>
      </c>
      <c r="P403" t="str">
        <f t="shared" si="6"/>
        <v>N</v>
      </c>
      <c r="Q403" t="s">
        <v>6133</v>
      </c>
    </row>
    <row r="404" spans="1:17" x14ac:dyDescent="0.25">
      <c r="A404" t="s">
        <v>1734</v>
      </c>
      <c r="B404" t="s">
        <v>1135</v>
      </c>
      <c r="C404">
        <v>2027</v>
      </c>
      <c r="D404" t="s">
        <v>720</v>
      </c>
      <c r="E404" t="s">
        <v>827</v>
      </c>
      <c r="F404" s="32">
        <v>46367</v>
      </c>
      <c r="G404" t="s">
        <v>514</v>
      </c>
      <c r="H404">
        <v>47128687</v>
      </c>
      <c r="I404" t="s">
        <v>1153</v>
      </c>
      <c r="J404" t="s">
        <v>1152</v>
      </c>
      <c r="K404" t="s">
        <v>530</v>
      </c>
      <c r="N404">
        <v>0</v>
      </c>
      <c r="O404">
        <v>0</v>
      </c>
      <c r="P404" t="str">
        <f t="shared" si="6"/>
        <v>N</v>
      </c>
      <c r="Q404" t="s">
        <v>6134</v>
      </c>
    </row>
    <row r="405" spans="1:17" x14ac:dyDescent="0.25">
      <c r="A405" t="s">
        <v>1735</v>
      </c>
      <c r="B405" t="s">
        <v>1135</v>
      </c>
      <c r="C405">
        <v>2027</v>
      </c>
      <c r="D405" t="s">
        <v>720</v>
      </c>
      <c r="E405" t="s">
        <v>827</v>
      </c>
      <c r="F405" s="32">
        <v>46367</v>
      </c>
      <c r="G405" t="s">
        <v>514</v>
      </c>
      <c r="H405">
        <v>47128585</v>
      </c>
      <c r="I405" t="s">
        <v>1141</v>
      </c>
      <c r="J405" t="s">
        <v>1140</v>
      </c>
      <c r="K405" t="s">
        <v>530</v>
      </c>
      <c r="N405">
        <v>0</v>
      </c>
      <c r="O405">
        <v>0</v>
      </c>
      <c r="P405" t="str">
        <f t="shared" si="6"/>
        <v>N</v>
      </c>
      <c r="Q405" t="s">
        <v>6135</v>
      </c>
    </row>
    <row r="406" spans="1:17" x14ac:dyDescent="0.25">
      <c r="A406" t="s">
        <v>1736</v>
      </c>
      <c r="B406" t="s">
        <v>1135</v>
      </c>
      <c r="C406">
        <v>2027</v>
      </c>
      <c r="D406" t="s">
        <v>720</v>
      </c>
      <c r="E406" t="s">
        <v>827</v>
      </c>
      <c r="F406" s="32">
        <v>46367</v>
      </c>
      <c r="G406" t="s">
        <v>514</v>
      </c>
      <c r="H406">
        <v>47128906</v>
      </c>
      <c r="I406" t="s">
        <v>1349</v>
      </c>
      <c r="J406" t="s">
        <v>1348</v>
      </c>
      <c r="K406" t="s">
        <v>530</v>
      </c>
      <c r="N406">
        <v>0</v>
      </c>
      <c r="O406">
        <v>0</v>
      </c>
      <c r="P406" t="str">
        <f t="shared" si="6"/>
        <v>N</v>
      </c>
      <c r="Q406" t="s">
        <v>6136</v>
      </c>
    </row>
    <row r="407" spans="1:17" x14ac:dyDescent="0.25">
      <c r="A407" t="s">
        <v>1737</v>
      </c>
      <c r="B407" t="s">
        <v>1135</v>
      </c>
      <c r="C407">
        <v>2027</v>
      </c>
      <c r="D407" t="s">
        <v>720</v>
      </c>
      <c r="E407" t="s">
        <v>827</v>
      </c>
      <c r="F407" s="32">
        <v>46367</v>
      </c>
      <c r="G407" t="s">
        <v>514</v>
      </c>
      <c r="H407">
        <v>47128585</v>
      </c>
      <c r="I407" t="s">
        <v>1141</v>
      </c>
      <c r="J407" t="s">
        <v>1408</v>
      </c>
      <c r="K407" t="s">
        <v>530</v>
      </c>
      <c r="N407">
        <v>0</v>
      </c>
      <c r="O407">
        <v>0</v>
      </c>
      <c r="P407" t="str">
        <f t="shared" si="6"/>
        <v>N</v>
      </c>
      <c r="Q407" t="s">
        <v>6137</v>
      </c>
    </row>
    <row r="408" spans="1:17" x14ac:dyDescent="0.25">
      <c r="A408" t="s">
        <v>1738</v>
      </c>
      <c r="B408" t="s">
        <v>1135</v>
      </c>
      <c r="C408">
        <v>2027</v>
      </c>
      <c r="D408" t="s">
        <v>720</v>
      </c>
      <c r="E408" t="s">
        <v>827</v>
      </c>
      <c r="F408" s="32">
        <v>46367</v>
      </c>
      <c r="G408" t="s">
        <v>514</v>
      </c>
      <c r="H408">
        <v>47128518</v>
      </c>
      <c r="I408" t="s">
        <v>1232</v>
      </c>
      <c r="J408" t="s">
        <v>1231</v>
      </c>
      <c r="K408" t="s">
        <v>530</v>
      </c>
      <c r="N408">
        <v>0</v>
      </c>
      <c r="O408">
        <v>0</v>
      </c>
      <c r="P408" t="str">
        <f t="shared" si="6"/>
        <v>N</v>
      </c>
      <c r="Q408" t="s">
        <v>6138</v>
      </c>
    </row>
    <row r="409" spans="1:17" x14ac:dyDescent="0.25">
      <c r="A409" t="s">
        <v>1739</v>
      </c>
      <c r="B409" t="s">
        <v>1135</v>
      </c>
      <c r="C409">
        <v>2027</v>
      </c>
      <c r="D409" t="s">
        <v>720</v>
      </c>
      <c r="E409" t="s">
        <v>827</v>
      </c>
      <c r="F409" s="32">
        <v>46367</v>
      </c>
      <c r="G409" t="s">
        <v>514</v>
      </c>
      <c r="H409">
        <v>47128024</v>
      </c>
      <c r="I409" t="s">
        <v>1108</v>
      </c>
      <c r="J409" t="s">
        <v>1107</v>
      </c>
      <c r="K409" t="s">
        <v>530</v>
      </c>
      <c r="N409">
        <v>0</v>
      </c>
      <c r="O409">
        <v>0</v>
      </c>
      <c r="P409" t="str">
        <f t="shared" si="6"/>
        <v>N</v>
      </c>
      <c r="Q409" t="s">
        <v>6139</v>
      </c>
    </row>
    <row r="410" spans="1:17" x14ac:dyDescent="0.25">
      <c r="A410" t="s">
        <v>1740</v>
      </c>
      <c r="B410" t="s">
        <v>1135</v>
      </c>
      <c r="C410">
        <v>2027</v>
      </c>
      <c r="D410" t="s">
        <v>720</v>
      </c>
      <c r="E410" t="s">
        <v>827</v>
      </c>
      <c r="F410" s="32">
        <v>46367</v>
      </c>
      <c r="G410" t="s">
        <v>514</v>
      </c>
      <c r="H410">
        <v>47128680</v>
      </c>
      <c r="I410" t="s">
        <v>1284</v>
      </c>
      <c r="J410" t="s">
        <v>1283</v>
      </c>
      <c r="K410" t="s">
        <v>530</v>
      </c>
      <c r="N410">
        <v>0</v>
      </c>
      <c r="O410">
        <v>0</v>
      </c>
      <c r="P410" t="str">
        <f t="shared" si="6"/>
        <v>N</v>
      </c>
      <c r="Q410" t="s">
        <v>6140</v>
      </c>
    </row>
    <row r="411" spans="1:17" x14ac:dyDescent="0.25">
      <c r="A411" t="s">
        <v>1741</v>
      </c>
      <c r="B411" t="s">
        <v>1135</v>
      </c>
      <c r="C411">
        <v>2027</v>
      </c>
      <c r="D411" t="s">
        <v>720</v>
      </c>
      <c r="E411" t="s">
        <v>827</v>
      </c>
      <c r="F411" s="32">
        <v>46367</v>
      </c>
      <c r="G411" t="s">
        <v>514</v>
      </c>
      <c r="H411">
        <v>47128944</v>
      </c>
      <c r="I411" t="s">
        <v>1137</v>
      </c>
      <c r="J411" t="s">
        <v>1513</v>
      </c>
      <c r="K411" t="s">
        <v>530</v>
      </c>
      <c r="N411">
        <v>0</v>
      </c>
      <c r="O411">
        <v>0</v>
      </c>
      <c r="P411" t="str">
        <f t="shared" si="6"/>
        <v>N</v>
      </c>
      <c r="Q411" t="s">
        <v>6141</v>
      </c>
    </row>
    <row r="412" spans="1:17" x14ac:dyDescent="0.25">
      <c r="A412" t="s">
        <v>1742</v>
      </c>
      <c r="B412" t="s">
        <v>1135</v>
      </c>
      <c r="C412">
        <v>2027</v>
      </c>
      <c r="D412" t="s">
        <v>720</v>
      </c>
      <c r="E412" t="s">
        <v>827</v>
      </c>
      <c r="F412" s="32">
        <v>46367</v>
      </c>
      <c r="G412" t="s">
        <v>514</v>
      </c>
      <c r="H412">
        <v>47147546</v>
      </c>
      <c r="I412" t="s">
        <v>1077</v>
      </c>
      <c r="J412" t="s">
        <v>1076</v>
      </c>
      <c r="K412" t="s">
        <v>530</v>
      </c>
      <c r="N412">
        <v>0</v>
      </c>
      <c r="O412">
        <v>0</v>
      </c>
      <c r="P412" t="str">
        <f t="shared" si="6"/>
        <v>N</v>
      </c>
      <c r="Q412" t="s">
        <v>6142</v>
      </c>
    </row>
    <row r="413" spans="1:17" x14ac:dyDescent="0.25">
      <c r="A413" t="s">
        <v>1743</v>
      </c>
      <c r="B413" t="s">
        <v>1135</v>
      </c>
      <c r="C413">
        <v>2027</v>
      </c>
      <c r="D413" t="s">
        <v>720</v>
      </c>
      <c r="E413" t="s">
        <v>827</v>
      </c>
      <c r="F413" s="32">
        <v>46367</v>
      </c>
      <c r="G413" t="s">
        <v>514</v>
      </c>
      <c r="H413">
        <v>47128346</v>
      </c>
      <c r="I413" t="s">
        <v>1157</v>
      </c>
      <c r="J413" t="s">
        <v>1156</v>
      </c>
      <c r="K413" t="s">
        <v>530</v>
      </c>
      <c r="N413">
        <v>0</v>
      </c>
      <c r="O413">
        <v>0</v>
      </c>
      <c r="P413" t="str">
        <f t="shared" si="6"/>
        <v>N</v>
      </c>
      <c r="Q413" t="s">
        <v>6143</v>
      </c>
    </row>
    <row r="414" spans="1:17" x14ac:dyDescent="0.25">
      <c r="A414" t="s">
        <v>1744</v>
      </c>
      <c r="B414" t="s">
        <v>1135</v>
      </c>
      <c r="C414">
        <v>2027</v>
      </c>
      <c r="D414" t="s">
        <v>720</v>
      </c>
      <c r="E414" t="s">
        <v>827</v>
      </c>
      <c r="F414" s="32">
        <v>46367</v>
      </c>
      <c r="G414" t="s">
        <v>514</v>
      </c>
      <c r="H414">
        <v>47128800</v>
      </c>
      <c r="I414" t="s">
        <v>1145</v>
      </c>
      <c r="J414" t="s">
        <v>1144</v>
      </c>
      <c r="K414" t="s">
        <v>530</v>
      </c>
      <c r="N414">
        <v>0</v>
      </c>
      <c r="O414">
        <v>0</v>
      </c>
      <c r="P414" t="str">
        <f t="shared" si="6"/>
        <v>N</v>
      </c>
      <c r="Q414" t="s">
        <v>6144</v>
      </c>
    </row>
    <row r="415" spans="1:17" x14ac:dyDescent="0.25">
      <c r="A415" t="s">
        <v>1745</v>
      </c>
      <c r="B415" t="s">
        <v>1135</v>
      </c>
      <c r="C415">
        <v>2027</v>
      </c>
      <c r="D415" t="s">
        <v>720</v>
      </c>
      <c r="E415" t="s">
        <v>827</v>
      </c>
      <c r="F415" s="32">
        <v>46367</v>
      </c>
      <c r="G415" t="s">
        <v>514</v>
      </c>
      <c r="H415">
        <v>47128109</v>
      </c>
      <c r="I415" t="s">
        <v>1336</v>
      </c>
      <c r="J415" t="s">
        <v>1335</v>
      </c>
      <c r="K415" t="s">
        <v>530</v>
      </c>
      <c r="N415">
        <v>0</v>
      </c>
      <c r="O415">
        <v>0</v>
      </c>
      <c r="P415" t="str">
        <f t="shared" si="6"/>
        <v>N</v>
      </c>
      <c r="Q415" t="s">
        <v>6145</v>
      </c>
    </row>
    <row r="416" spans="1:17" x14ac:dyDescent="0.25">
      <c r="A416" t="s">
        <v>1746</v>
      </c>
      <c r="B416" t="s">
        <v>1135</v>
      </c>
      <c r="C416">
        <v>2027</v>
      </c>
      <c r="D416" t="s">
        <v>720</v>
      </c>
      <c r="E416" t="s">
        <v>827</v>
      </c>
      <c r="F416" s="32">
        <v>46367</v>
      </c>
      <c r="G416" t="s">
        <v>514</v>
      </c>
      <c r="H416">
        <v>47128430</v>
      </c>
      <c r="I416" t="s">
        <v>1401</v>
      </c>
      <c r="J416" t="s">
        <v>1400</v>
      </c>
      <c r="K416" t="s">
        <v>530</v>
      </c>
      <c r="N416">
        <v>0</v>
      </c>
      <c r="O416">
        <v>0</v>
      </c>
      <c r="P416" t="str">
        <f t="shared" si="6"/>
        <v>N</v>
      </c>
      <c r="Q416" t="s">
        <v>6146</v>
      </c>
    </row>
    <row r="417" spans="1:17" x14ac:dyDescent="0.25">
      <c r="A417" t="s">
        <v>1747</v>
      </c>
      <c r="B417" t="s">
        <v>1135</v>
      </c>
      <c r="C417">
        <v>2027</v>
      </c>
      <c r="D417" t="s">
        <v>720</v>
      </c>
      <c r="E417" t="s">
        <v>827</v>
      </c>
      <c r="F417" s="32">
        <v>46367</v>
      </c>
      <c r="G417" t="s">
        <v>514</v>
      </c>
      <c r="H417">
        <v>47128522</v>
      </c>
      <c r="I417" t="s">
        <v>1092</v>
      </c>
      <c r="J417" t="s">
        <v>1091</v>
      </c>
      <c r="K417" t="s">
        <v>530</v>
      </c>
      <c r="N417">
        <v>0</v>
      </c>
      <c r="O417">
        <v>0</v>
      </c>
      <c r="P417" t="str">
        <f t="shared" si="6"/>
        <v>N</v>
      </c>
      <c r="Q417" t="s">
        <v>6147</v>
      </c>
    </row>
    <row r="418" spans="1:17" x14ac:dyDescent="0.25">
      <c r="A418" t="s">
        <v>1748</v>
      </c>
      <c r="B418" t="s">
        <v>1135</v>
      </c>
      <c r="C418">
        <v>2027</v>
      </c>
      <c r="D418" t="s">
        <v>720</v>
      </c>
      <c r="E418" t="s">
        <v>827</v>
      </c>
      <c r="F418" s="32">
        <v>46367</v>
      </c>
      <c r="G418" t="s">
        <v>514</v>
      </c>
      <c r="H418">
        <v>47147546</v>
      </c>
      <c r="I418" t="s">
        <v>1077</v>
      </c>
      <c r="J418" t="s">
        <v>1381</v>
      </c>
      <c r="K418" t="s">
        <v>530</v>
      </c>
      <c r="N418">
        <v>0</v>
      </c>
      <c r="O418">
        <v>0</v>
      </c>
      <c r="P418" t="str">
        <f t="shared" si="6"/>
        <v>N</v>
      </c>
      <c r="Q418" t="s">
        <v>6148</v>
      </c>
    </row>
    <row r="419" spans="1:17" x14ac:dyDescent="0.25">
      <c r="A419" t="s">
        <v>1749</v>
      </c>
      <c r="B419" t="s">
        <v>1135</v>
      </c>
      <c r="C419">
        <v>2027</v>
      </c>
      <c r="D419" t="s">
        <v>720</v>
      </c>
      <c r="E419" t="s">
        <v>827</v>
      </c>
      <c r="F419" s="32">
        <v>46367</v>
      </c>
      <c r="G419" t="s">
        <v>514</v>
      </c>
      <c r="H419">
        <v>47147658</v>
      </c>
      <c r="I419" t="s">
        <v>1276</v>
      </c>
      <c r="J419" t="s">
        <v>1275</v>
      </c>
      <c r="K419" t="s">
        <v>530</v>
      </c>
      <c r="N419">
        <v>0</v>
      </c>
      <c r="O419">
        <v>0</v>
      </c>
      <c r="P419" t="str">
        <f t="shared" si="6"/>
        <v>N</v>
      </c>
      <c r="Q419" t="s">
        <v>6149</v>
      </c>
    </row>
    <row r="420" spans="1:17" x14ac:dyDescent="0.25">
      <c r="A420" t="s">
        <v>1750</v>
      </c>
      <c r="B420" t="s">
        <v>1135</v>
      </c>
      <c r="C420">
        <v>2027</v>
      </c>
      <c r="D420" t="s">
        <v>720</v>
      </c>
      <c r="E420" t="s">
        <v>827</v>
      </c>
      <c r="F420" s="32">
        <v>46367</v>
      </c>
      <c r="G420" t="s">
        <v>514</v>
      </c>
      <c r="H420">
        <v>47147546</v>
      </c>
      <c r="I420" t="s">
        <v>1077</v>
      </c>
      <c r="J420" t="s">
        <v>1171</v>
      </c>
      <c r="K420" t="s">
        <v>530</v>
      </c>
      <c r="N420">
        <v>0</v>
      </c>
      <c r="O420">
        <v>0</v>
      </c>
      <c r="P420" t="str">
        <f t="shared" si="6"/>
        <v>N</v>
      </c>
      <c r="Q420" t="s">
        <v>6150</v>
      </c>
    </row>
    <row r="421" spans="1:17" x14ac:dyDescent="0.25">
      <c r="A421" t="s">
        <v>1751</v>
      </c>
      <c r="B421" t="s">
        <v>1135</v>
      </c>
      <c r="C421">
        <v>2027</v>
      </c>
      <c r="D421" t="s">
        <v>720</v>
      </c>
      <c r="E421" t="s">
        <v>827</v>
      </c>
      <c r="F421" s="32">
        <v>46367</v>
      </c>
      <c r="G421" t="s">
        <v>514</v>
      </c>
      <c r="H421">
        <v>47128570</v>
      </c>
      <c r="I421" t="s">
        <v>1491</v>
      </c>
      <c r="J421" t="s">
        <v>1490</v>
      </c>
      <c r="K421" t="s">
        <v>530</v>
      </c>
      <c r="N421">
        <v>20</v>
      </c>
      <c r="O421">
        <v>20</v>
      </c>
      <c r="P421" t="str">
        <f t="shared" si="6"/>
        <v>N</v>
      </c>
      <c r="Q421" t="s">
        <v>6151</v>
      </c>
    </row>
    <row r="422" spans="1:17" x14ac:dyDescent="0.25">
      <c r="A422" t="s">
        <v>2372</v>
      </c>
      <c r="B422" t="s">
        <v>2344</v>
      </c>
      <c r="C422">
        <v>2027</v>
      </c>
      <c r="D422" t="s">
        <v>720</v>
      </c>
      <c r="E422" t="s">
        <v>827</v>
      </c>
      <c r="F422" s="32">
        <v>46367</v>
      </c>
      <c r="G422" t="s">
        <v>514</v>
      </c>
      <c r="H422">
        <v>47140037</v>
      </c>
      <c r="I422" t="s">
        <v>2347</v>
      </c>
      <c r="J422" t="s">
        <v>2348</v>
      </c>
      <c r="K422" t="s">
        <v>530</v>
      </c>
      <c r="N422">
        <v>0</v>
      </c>
      <c r="O422">
        <v>0</v>
      </c>
      <c r="P422" t="str">
        <f t="shared" si="6"/>
        <v>N</v>
      </c>
      <c r="Q422" t="s">
        <v>6152</v>
      </c>
    </row>
    <row r="423" spans="1:17" x14ac:dyDescent="0.25">
      <c r="A423" t="s">
        <v>2373</v>
      </c>
      <c r="B423" t="s">
        <v>2344</v>
      </c>
      <c r="C423">
        <v>2027</v>
      </c>
      <c r="D423" t="s">
        <v>720</v>
      </c>
      <c r="E423" t="s">
        <v>827</v>
      </c>
      <c r="F423" s="32">
        <v>46367</v>
      </c>
      <c r="G423" t="s">
        <v>514</v>
      </c>
      <c r="H423">
        <v>47128216</v>
      </c>
      <c r="I423" t="s">
        <v>2350</v>
      </c>
      <c r="J423" t="s">
        <v>2351</v>
      </c>
      <c r="K423" t="s">
        <v>530</v>
      </c>
      <c r="N423">
        <v>0</v>
      </c>
      <c r="O423">
        <v>0</v>
      </c>
      <c r="P423" t="str">
        <f t="shared" si="6"/>
        <v>N</v>
      </c>
      <c r="Q423" t="s">
        <v>6153</v>
      </c>
    </row>
    <row r="424" spans="1:17" x14ac:dyDescent="0.25">
      <c r="A424" t="s">
        <v>2374</v>
      </c>
      <c r="B424" t="s">
        <v>2344</v>
      </c>
      <c r="C424">
        <v>2027</v>
      </c>
      <c r="D424" t="s">
        <v>720</v>
      </c>
      <c r="E424" t="s">
        <v>827</v>
      </c>
      <c r="F424" s="32">
        <v>46367</v>
      </c>
      <c r="G424" t="s">
        <v>514</v>
      </c>
      <c r="H424">
        <v>47128208</v>
      </c>
      <c r="I424" t="s">
        <v>2353</v>
      </c>
      <c r="J424" t="s">
        <v>2354</v>
      </c>
      <c r="K424" t="s">
        <v>530</v>
      </c>
      <c r="N424">
        <v>0</v>
      </c>
      <c r="O424">
        <v>0</v>
      </c>
      <c r="P424" t="str">
        <f t="shared" si="6"/>
        <v>N</v>
      </c>
      <c r="Q424" t="s">
        <v>6154</v>
      </c>
    </row>
    <row r="425" spans="1:17" x14ac:dyDescent="0.25">
      <c r="A425" t="s">
        <v>2375</v>
      </c>
      <c r="B425" t="s">
        <v>2344</v>
      </c>
      <c r="C425">
        <v>2027</v>
      </c>
      <c r="D425" t="s">
        <v>720</v>
      </c>
      <c r="E425" t="s">
        <v>827</v>
      </c>
      <c r="F425" s="32">
        <v>46367</v>
      </c>
      <c r="G425" t="s">
        <v>514</v>
      </c>
      <c r="H425">
        <v>47128377</v>
      </c>
      <c r="I425" t="s">
        <v>2362</v>
      </c>
      <c r="J425" t="s">
        <v>2363</v>
      </c>
      <c r="K425" t="s">
        <v>530</v>
      </c>
      <c r="N425">
        <v>40</v>
      </c>
      <c r="O425">
        <v>40</v>
      </c>
      <c r="P425" t="str">
        <f t="shared" si="6"/>
        <v>N</v>
      </c>
      <c r="Q425" t="s">
        <v>6155</v>
      </c>
    </row>
    <row r="426" spans="1:17" x14ac:dyDescent="0.25">
      <c r="A426" t="s">
        <v>2494</v>
      </c>
      <c r="B426" t="s">
        <v>2444</v>
      </c>
      <c r="C426">
        <v>2027</v>
      </c>
      <c r="D426" t="s">
        <v>720</v>
      </c>
      <c r="E426" t="s">
        <v>827</v>
      </c>
      <c r="F426" s="32">
        <v>46367</v>
      </c>
      <c r="G426" t="s">
        <v>514</v>
      </c>
      <c r="H426">
        <v>47128006</v>
      </c>
      <c r="I426" t="s">
        <v>2447</v>
      </c>
      <c r="J426" t="s">
        <v>2448</v>
      </c>
      <c r="K426" t="s">
        <v>530</v>
      </c>
      <c r="N426">
        <v>40</v>
      </c>
      <c r="O426">
        <v>40</v>
      </c>
      <c r="P426" t="str">
        <f t="shared" si="6"/>
        <v>N</v>
      </c>
      <c r="Q426" t="s">
        <v>6156</v>
      </c>
    </row>
    <row r="427" spans="1:17" x14ac:dyDescent="0.25">
      <c r="A427" t="s">
        <v>2495</v>
      </c>
      <c r="B427" t="s">
        <v>2444</v>
      </c>
      <c r="C427">
        <v>2027</v>
      </c>
      <c r="D427" t="s">
        <v>720</v>
      </c>
      <c r="E427" t="s">
        <v>827</v>
      </c>
      <c r="F427" s="32">
        <v>46367</v>
      </c>
      <c r="G427" t="s">
        <v>514</v>
      </c>
      <c r="H427">
        <v>47128667</v>
      </c>
      <c r="I427" t="s">
        <v>2450</v>
      </c>
      <c r="J427" t="s">
        <v>2451</v>
      </c>
      <c r="K427" t="s">
        <v>530</v>
      </c>
      <c r="N427">
        <v>0</v>
      </c>
      <c r="O427">
        <v>0</v>
      </c>
      <c r="P427" t="str">
        <f t="shared" si="6"/>
        <v>N</v>
      </c>
      <c r="Q427" t="s">
        <v>6157</v>
      </c>
    </row>
    <row r="428" spans="1:17" x14ac:dyDescent="0.25">
      <c r="A428" t="s">
        <v>2496</v>
      </c>
      <c r="B428" t="s">
        <v>2444</v>
      </c>
      <c r="C428">
        <v>2027</v>
      </c>
      <c r="D428" t="s">
        <v>720</v>
      </c>
      <c r="E428" t="s">
        <v>827</v>
      </c>
      <c r="F428" s="32">
        <v>46367</v>
      </c>
      <c r="G428" t="s">
        <v>514</v>
      </c>
      <c r="H428">
        <v>47129262</v>
      </c>
      <c r="I428" t="s">
        <v>2453</v>
      </c>
      <c r="J428" t="s">
        <v>2454</v>
      </c>
      <c r="K428" t="s">
        <v>530</v>
      </c>
      <c r="N428">
        <v>0</v>
      </c>
      <c r="O428">
        <v>0</v>
      </c>
      <c r="P428" t="str">
        <f t="shared" si="6"/>
        <v>N</v>
      </c>
      <c r="Q428" t="s">
        <v>6158</v>
      </c>
    </row>
    <row r="429" spans="1:17" x14ac:dyDescent="0.25">
      <c r="A429" t="s">
        <v>2497</v>
      </c>
      <c r="B429" t="s">
        <v>2444</v>
      </c>
      <c r="C429">
        <v>2027</v>
      </c>
      <c r="D429" t="s">
        <v>720</v>
      </c>
      <c r="E429" t="s">
        <v>827</v>
      </c>
      <c r="F429" s="32">
        <v>46367</v>
      </c>
      <c r="G429" t="s">
        <v>514</v>
      </c>
      <c r="H429">
        <v>47128213</v>
      </c>
      <c r="I429" t="s">
        <v>2456</v>
      </c>
      <c r="J429" t="s">
        <v>2457</v>
      </c>
      <c r="K429" t="s">
        <v>530</v>
      </c>
      <c r="N429">
        <v>0</v>
      </c>
      <c r="O429">
        <v>0</v>
      </c>
      <c r="P429" t="str">
        <f t="shared" si="6"/>
        <v>N</v>
      </c>
      <c r="Q429" t="s">
        <v>6159</v>
      </c>
    </row>
    <row r="430" spans="1:17" x14ac:dyDescent="0.25">
      <c r="A430" t="s">
        <v>2498</v>
      </c>
      <c r="B430" t="s">
        <v>2444</v>
      </c>
      <c r="C430">
        <v>2027</v>
      </c>
      <c r="D430" t="s">
        <v>720</v>
      </c>
      <c r="E430" t="s">
        <v>827</v>
      </c>
      <c r="F430" s="32">
        <v>46367</v>
      </c>
      <c r="G430" t="s">
        <v>514</v>
      </c>
      <c r="H430">
        <v>47129222</v>
      </c>
      <c r="I430" t="s">
        <v>2459</v>
      </c>
      <c r="J430" t="s">
        <v>2460</v>
      </c>
      <c r="K430" t="s">
        <v>530</v>
      </c>
      <c r="N430">
        <v>0</v>
      </c>
      <c r="O430">
        <v>0</v>
      </c>
      <c r="P430" t="str">
        <f t="shared" si="6"/>
        <v>N</v>
      </c>
      <c r="Q430" t="s">
        <v>6160</v>
      </c>
    </row>
    <row r="431" spans="1:17" x14ac:dyDescent="0.25">
      <c r="A431" t="s">
        <v>2499</v>
      </c>
      <c r="B431" t="s">
        <v>2444</v>
      </c>
      <c r="C431">
        <v>2027</v>
      </c>
      <c r="D431" t="s">
        <v>720</v>
      </c>
      <c r="E431" t="s">
        <v>827</v>
      </c>
      <c r="F431" s="32">
        <v>46367</v>
      </c>
      <c r="G431" t="s">
        <v>514</v>
      </c>
      <c r="H431">
        <v>47128561</v>
      </c>
      <c r="I431" t="s">
        <v>2462</v>
      </c>
      <c r="J431" t="s">
        <v>2463</v>
      </c>
      <c r="K431" t="s">
        <v>530</v>
      </c>
      <c r="N431">
        <v>0</v>
      </c>
      <c r="O431">
        <v>0</v>
      </c>
      <c r="P431" t="str">
        <f t="shared" si="6"/>
        <v>N</v>
      </c>
      <c r="Q431" t="s">
        <v>6161</v>
      </c>
    </row>
    <row r="432" spans="1:17" x14ac:dyDescent="0.25">
      <c r="A432" t="s">
        <v>2500</v>
      </c>
      <c r="B432" t="s">
        <v>2444</v>
      </c>
      <c r="C432">
        <v>2027</v>
      </c>
      <c r="D432" t="s">
        <v>720</v>
      </c>
      <c r="E432" t="s">
        <v>827</v>
      </c>
      <c r="F432" s="32">
        <v>46367</v>
      </c>
      <c r="G432" t="s">
        <v>514</v>
      </c>
      <c r="H432">
        <v>47129727</v>
      </c>
      <c r="I432" t="s">
        <v>2465</v>
      </c>
      <c r="J432" t="s">
        <v>2466</v>
      </c>
      <c r="K432" t="s">
        <v>530</v>
      </c>
      <c r="N432">
        <v>0</v>
      </c>
      <c r="O432">
        <v>0</v>
      </c>
      <c r="P432" t="str">
        <f t="shared" si="6"/>
        <v>N</v>
      </c>
      <c r="Q432" t="s">
        <v>6162</v>
      </c>
    </row>
    <row r="433" spans="1:17" x14ac:dyDescent="0.25">
      <c r="A433" t="s">
        <v>2501</v>
      </c>
      <c r="B433" t="s">
        <v>2444</v>
      </c>
      <c r="C433">
        <v>2027</v>
      </c>
      <c r="D433" t="s">
        <v>720</v>
      </c>
      <c r="E433" t="s">
        <v>827</v>
      </c>
      <c r="F433" s="32">
        <v>46367</v>
      </c>
      <c r="G433" t="s">
        <v>514</v>
      </c>
      <c r="H433">
        <v>47132096</v>
      </c>
      <c r="I433" t="s">
        <v>2468</v>
      </c>
      <c r="J433" t="s">
        <v>2469</v>
      </c>
      <c r="K433" t="s">
        <v>530</v>
      </c>
      <c r="N433">
        <v>0</v>
      </c>
      <c r="O433">
        <v>0</v>
      </c>
      <c r="P433" t="str">
        <f t="shared" si="6"/>
        <v>N</v>
      </c>
      <c r="Q433" t="s">
        <v>6163</v>
      </c>
    </row>
    <row r="434" spans="1:17" x14ac:dyDescent="0.25">
      <c r="A434" t="s">
        <v>2502</v>
      </c>
      <c r="B434" t="s">
        <v>2444</v>
      </c>
      <c r="C434">
        <v>2027</v>
      </c>
      <c r="D434" t="s">
        <v>720</v>
      </c>
      <c r="E434" t="s">
        <v>827</v>
      </c>
      <c r="F434" s="32">
        <v>46367</v>
      </c>
      <c r="G434" t="s">
        <v>514</v>
      </c>
      <c r="H434">
        <v>47128300</v>
      </c>
      <c r="I434" t="s">
        <v>2471</v>
      </c>
      <c r="J434" t="s">
        <v>2472</v>
      </c>
      <c r="K434" t="s">
        <v>530</v>
      </c>
      <c r="N434">
        <v>0</v>
      </c>
      <c r="O434">
        <v>0</v>
      </c>
      <c r="P434" t="str">
        <f t="shared" si="6"/>
        <v>N</v>
      </c>
      <c r="Q434" t="s">
        <v>6164</v>
      </c>
    </row>
    <row r="435" spans="1:17" x14ac:dyDescent="0.25">
      <c r="A435" t="s">
        <v>2503</v>
      </c>
      <c r="B435" t="s">
        <v>2444</v>
      </c>
      <c r="C435">
        <v>2027</v>
      </c>
      <c r="D435" t="s">
        <v>720</v>
      </c>
      <c r="E435" t="s">
        <v>827</v>
      </c>
      <c r="F435" s="32">
        <v>46367</v>
      </c>
      <c r="G435" t="s">
        <v>514</v>
      </c>
      <c r="H435">
        <v>47128655</v>
      </c>
      <c r="I435" t="s">
        <v>2474</v>
      </c>
      <c r="J435" t="s">
        <v>2475</v>
      </c>
      <c r="K435" t="s">
        <v>530</v>
      </c>
      <c r="N435">
        <v>0</v>
      </c>
      <c r="O435">
        <v>0</v>
      </c>
      <c r="P435" t="str">
        <f t="shared" si="6"/>
        <v>N</v>
      </c>
      <c r="Q435" t="s">
        <v>6165</v>
      </c>
    </row>
    <row r="436" spans="1:17" x14ac:dyDescent="0.25">
      <c r="A436" t="s">
        <v>2504</v>
      </c>
      <c r="B436" t="s">
        <v>2444</v>
      </c>
      <c r="C436">
        <v>2027</v>
      </c>
      <c r="D436" t="s">
        <v>720</v>
      </c>
      <c r="E436" t="s">
        <v>827</v>
      </c>
      <c r="F436" s="32">
        <v>46367</v>
      </c>
      <c r="G436" t="s">
        <v>514</v>
      </c>
      <c r="H436">
        <v>47128179</v>
      </c>
      <c r="I436" t="s">
        <v>2477</v>
      </c>
      <c r="J436" t="s">
        <v>2478</v>
      </c>
      <c r="K436" t="s">
        <v>530</v>
      </c>
      <c r="N436">
        <v>0</v>
      </c>
      <c r="O436">
        <v>0</v>
      </c>
      <c r="P436" t="str">
        <f t="shared" si="6"/>
        <v>N</v>
      </c>
      <c r="Q436" t="s">
        <v>6166</v>
      </c>
    </row>
    <row r="437" spans="1:17" x14ac:dyDescent="0.25">
      <c r="A437" t="s">
        <v>2505</v>
      </c>
      <c r="B437" t="s">
        <v>2444</v>
      </c>
      <c r="C437">
        <v>2027</v>
      </c>
      <c r="D437" t="s">
        <v>720</v>
      </c>
      <c r="E437" t="s">
        <v>827</v>
      </c>
      <c r="F437" s="32">
        <v>46367</v>
      </c>
      <c r="G437" t="s">
        <v>514</v>
      </c>
      <c r="H437">
        <v>47129558</v>
      </c>
      <c r="I437" t="s">
        <v>2480</v>
      </c>
      <c r="J437" t="s">
        <v>2481</v>
      </c>
      <c r="K437" t="s">
        <v>530</v>
      </c>
      <c r="N437">
        <v>0</v>
      </c>
      <c r="O437">
        <v>0</v>
      </c>
      <c r="P437" t="str">
        <f t="shared" si="6"/>
        <v>N</v>
      </c>
      <c r="Q437" t="s">
        <v>6167</v>
      </c>
    </row>
    <row r="438" spans="1:17" x14ac:dyDescent="0.25">
      <c r="A438" t="s">
        <v>2506</v>
      </c>
      <c r="B438" t="s">
        <v>2444</v>
      </c>
      <c r="C438">
        <v>2027</v>
      </c>
      <c r="D438" t="s">
        <v>720</v>
      </c>
      <c r="E438" t="s">
        <v>827</v>
      </c>
      <c r="F438" s="32">
        <v>46367</v>
      </c>
      <c r="G438" t="s">
        <v>514</v>
      </c>
      <c r="H438">
        <v>47129273</v>
      </c>
      <c r="I438" t="s">
        <v>2483</v>
      </c>
      <c r="J438" t="s">
        <v>2484</v>
      </c>
      <c r="K438" t="s">
        <v>530</v>
      </c>
      <c r="N438">
        <v>0</v>
      </c>
      <c r="O438">
        <v>0</v>
      </c>
      <c r="P438" t="str">
        <f t="shared" si="6"/>
        <v>N</v>
      </c>
      <c r="Q438" t="s">
        <v>6168</v>
      </c>
    </row>
    <row r="439" spans="1:17" x14ac:dyDescent="0.25">
      <c r="A439" t="s">
        <v>2507</v>
      </c>
      <c r="B439" t="s">
        <v>2444</v>
      </c>
      <c r="C439">
        <v>2027</v>
      </c>
      <c r="D439" t="s">
        <v>720</v>
      </c>
      <c r="E439" t="s">
        <v>827</v>
      </c>
      <c r="F439" s="32">
        <v>46367</v>
      </c>
      <c r="G439" t="s">
        <v>514</v>
      </c>
      <c r="H439">
        <v>47129274</v>
      </c>
      <c r="I439" t="s">
        <v>2486</v>
      </c>
      <c r="J439" t="s">
        <v>2487</v>
      </c>
      <c r="K439" t="s">
        <v>530</v>
      </c>
      <c r="N439">
        <v>0</v>
      </c>
      <c r="O439">
        <v>0</v>
      </c>
      <c r="P439" t="str">
        <f t="shared" si="6"/>
        <v>N</v>
      </c>
      <c r="Q439" t="s">
        <v>6169</v>
      </c>
    </row>
    <row r="440" spans="1:17" x14ac:dyDescent="0.25">
      <c r="A440" t="s">
        <v>2508</v>
      </c>
      <c r="B440" t="s">
        <v>2444</v>
      </c>
      <c r="C440">
        <v>2027</v>
      </c>
      <c r="D440" t="s">
        <v>720</v>
      </c>
      <c r="E440" t="s">
        <v>827</v>
      </c>
      <c r="F440" s="32">
        <v>46367</v>
      </c>
      <c r="G440" t="s">
        <v>514</v>
      </c>
      <c r="H440">
        <v>47128587</v>
      </c>
      <c r="I440" t="s">
        <v>2489</v>
      </c>
      <c r="J440" t="s">
        <v>2490</v>
      </c>
      <c r="K440" t="s">
        <v>530</v>
      </c>
      <c r="N440">
        <v>0</v>
      </c>
      <c r="O440">
        <v>0</v>
      </c>
      <c r="P440" t="str">
        <f t="shared" si="6"/>
        <v>N</v>
      </c>
      <c r="Q440" t="s">
        <v>6170</v>
      </c>
    </row>
    <row r="441" spans="1:17" x14ac:dyDescent="0.25">
      <c r="A441" t="s">
        <v>2509</v>
      </c>
      <c r="B441" t="s">
        <v>2444</v>
      </c>
      <c r="C441">
        <v>2027</v>
      </c>
      <c r="D441" t="s">
        <v>720</v>
      </c>
      <c r="E441" t="s">
        <v>827</v>
      </c>
      <c r="F441" s="32">
        <v>46367</v>
      </c>
      <c r="G441" t="s">
        <v>514</v>
      </c>
      <c r="H441">
        <v>47128247</v>
      </c>
      <c r="I441" t="s">
        <v>2492</v>
      </c>
      <c r="J441" t="s">
        <v>2493</v>
      </c>
      <c r="K441" t="s">
        <v>530</v>
      </c>
      <c r="N441">
        <v>0</v>
      </c>
      <c r="O441">
        <v>0</v>
      </c>
      <c r="P441" t="str">
        <f t="shared" si="6"/>
        <v>N</v>
      </c>
      <c r="Q441" t="s">
        <v>6171</v>
      </c>
    </row>
    <row r="442" spans="1:17" x14ac:dyDescent="0.25">
      <c r="A442" t="s">
        <v>2800</v>
      </c>
      <c r="B442" t="s">
        <v>2783</v>
      </c>
      <c r="C442">
        <v>2027</v>
      </c>
      <c r="D442" t="s">
        <v>720</v>
      </c>
      <c r="E442" t="s">
        <v>827</v>
      </c>
      <c r="F442" s="32">
        <v>46367</v>
      </c>
      <c r="G442" t="s">
        <v>514</v>
      </c>
      <c r="H442">
        <v>47128006</v>
      </c>
      <c r="I442" t="s">
        <v>2447</v>
      </c>
      <c r="J442" t="s">
        <v>2448</v>
      </c>
      <c r="K442" t="s">
        <v>530</v>
      </c>
      <c r="N442">
        <v>40</v>
      </c>
      <c r="O442">
        <v>40</v>
      </c>
      <c r="P442" t="str">
        <f t="shared" si="6"/>
        <v>N</v>
      </c>
      <c r="Q442" t="s">
        <v>6172</v>
      </c>
    </row>
    <row r="443" spans="1:17" x14ac:dyDescent="0.25">
      <c r="A443" t="s">
        <v>2801</v>
      </c>
      <c r="B443" t="s">
        <v>2783</v>
      </c>
      <c r="C443">
        <v>2027</v>
      </c>
      <c r="D443" t="s">
        <v>720</v>
      </c>
      <c r="E443" t="s">
        <v>827</v>
      </c>
      <c r="F443" s="32">
        <v>46367</v>
      </c>
      <c r="G443" t="s">
        <v>514</v>
      </c>
      <c r="H443">
        <v>47128667</v>
      </c>
      <c r="I443" t="s">
        <v>2450</v>
      </c>
      <c r="J443" t="s">
        <v>2451</v>
      </c>
      <c r="K443" t="s">
        <v>530</v>
      </c>
      <c r="N443">
        <v>0</v>
      </c>
      <c r="O443">
        <v>0</v>
      </c>
      <c r="P443" t="str">
        <f t="shared" si="6"/>
        <v>N</v>
      </c>
      <c r="Q443" t="s">
        <v>6173</v>
      </c>
    </row>
    <row r="444" spans="1:17" x14ac:dyDescent="0.25">
      <c r="A444" t="s">
        <v>2802</v>
      </c>
      <c r="B444" t="s">
        <v>2783</v>
      </c>
      <c r="C444">
        <v>2027</v>
      </c>
      <c r="D444" t="s">
        <v>720</v>
      </c>
      <c r="E444" t="s">
        <v>827</v>
      </c>
      <c r="F444" s="32">
        <v>46367</v>
      </c>
      <c r="G444" t="s">
        <v>514</v>
      </c>
      <c r="H444">
        <v>47129262</v>
      </c>
      <c r="I444" t="s">
        <v>2453</v>
      </c>
      <c r="J444" t="s">
        <v>2454</v>
      </c>
      <c r="K444" t="s">
        <v>530</v>
      </c>
      <c r="N444">
        <v>0</v>
      </c>
      <c r="O444">
        <v>0</v>
      </c>
      <c r="P444" t="str">
        <f t="shared" si="6"/>
        <v>N</v>
      </c>
      <c r="Q444" t="s">
        <v>6174</v>
      </c>
    </row>
    <row r="445" spans="1:17" x14ac:dyDescent="0.25">
      <c r="A445" t="s">
        <v>2803</v>
      </c>
      <c r="B445" t="s">
        <v>2783</v>
      </c>
      <c r="C445">
        <v>2027</v>
      </c>
      <c r="D445" t="s">
        <v>720</v>
      </c>
      <c r="E445" t="s">
        <v>827</v>
      </c>
      <c r="F445" s="32">
        <v>46367</v>
      </c>
      <c r="G445" t="s">
        <v>514</v>
      </c>
      <c r="H445">
        <v>47128213</v>
      </c>
      <c r="I445" t="s">
        <v>2456</v>
      </c>
      <c r="J445" t="s">
        <v>2457</v>
      </c>
      <c r="K445" t="s">
        <v>530</v>
      </c>
      <c r="N445">
        <v>0</v>
      </c>
      <c r="O445">
        <v>0</v>
      </c>
      <c r="P445" t="str">
        <f t="shared" si="6"/>
        <v>N</v>
      </c>
      <c r="Q445" t="s">
        <v>6175</v>
      </c>
    </row>
    <row r="446" spans="1:17" x14ac:dyDescent="0.25">
      <c r="A446" t="s">
        <v>2804</v>
      </c>
      <c r="B446" t="s">
        <v>2783</v>
      </c>
      <c r="C446">
        <v>2027</v>
      </c>
      <c r="D446" t="s">
        <v>720</v>
      </c>
      <c r="E446" t="s">
        <v>827</v>
      </c>
      <c r="F446" s="32">
        <v>46367</v>
      </c>
      <c r="G446" t="s">
        <v>514</v>
      </c>
      <c r="H446">
        <v>47129222</v>
      </c>
      <c r="I446" t="s">
        <v>2459</v>
      </c>
      <c r="J446" t="s">
        <v>2460</v>
      </c>
      <c r="K446" t="s">
        <v>530</v>
      </c>
      <c r="N446">
        <v>0</v>
      </c>
      <c r="O446">
        <v>0</v>
      </c>
      <c r="P446" t="str">
        <f t="shared" si="6"/>
        <v>N</v>
      </c>
      <c r="Q446" t="s">
        <v>6176</v>
      </c>
    </row>
    <row r="447" spans="1:17" x14ac:dyDescent="0.25">
      <c r="A447" t="s">
        <v>2805</v>
      </c>
      <c r="B447" t="s">
        <v>2783</v>
      </c>
      <c r="C447">
        <v>2027</v>
      </c>
      <c r="D447" t="s">
        <v>720</v>
      </c>
      <c r="E447" t="s">
        <v>827</v>
      </c>
      <c r="F447" s="32">
        <v>46367</v>
      </c>
      <c r="G447" t="s">
        <v>514</v>
      </c>
      <c r="H447">
        <v>47128561</v>
      </c>
      <c r="I447" t="s">
        <v>2462</v>
      </c>
      <c r="J447" t="s">
        <v>2463</v>
      </c>
      <c r="K447" t="s">
        <v>530</v>
      </c>
      <c r="N447">
        <v>0</v>
      </c>
      <c r="O447">
        <v>0</v>
      </c>
      <c r="P447" t="str">
        <f t="shared" si="6"/>
        <v>N</v>
      </c>
      <c r="Q447" t="s">
        <v>6177</v>
      </c>
    </row>
    <row r="448" spans="1:17" x14ac:dyDescent="0.25">
      <c r="A448" t="s">
        <v>2806</v>
      </c>
      <c r="B448" t="s">
        <v>2783</v>
      </c>
      <c r="C448">
        <v>2027</v>
      </c>
      <c r="D448" t="s">
        <v>720</v>
      </c>
      <c r="E448" t="s">
        <v>827</v>
      </c>
      <c r="F448" s="32">
        <v>46367</v>
      </c>
      <c r="G448" t="s">
        <v>514</v>
      </c>
      <c r="H448">
        <v>47129727</v>
      </c>
      <c r="I448" t="s">
        <v>2465</v>
      </c>
      <c r="J448" t="s">
        <v>2466</v>
      </c>
      <c r="K448" t="s">
        <v>530</v>
      </c>
      <c r="N448">
        <v>0</v>
      </c>
      <c r="O448">
        <v>0</v>
      </c>
      <c r="P448" t="str">
        <f t="shared" si="6"/>
        <v>N</v>
      </c>
      <c r="Q448" t="s">
        <v>6178</v>
      </c>
    </row>
    <row r="449" spans="1:17" x14ac:dyDescent="0.25">
      <c r="A449" t="s">
        <v>2807</v>
      </c>
      <c r="B449" t="s">
        <v>2783</v>
      </c>
      <c r="C449">
        <v>2027</v>
      </c>
      <c r="D449" t="s">
        <v>720</v>
      </c>
      <c r="E449" t="s">
        <v>827</v>
      </c>
      <c r="F449" s="32">
        <v>46367</v>
      </c>
      <c r="G449" t="s">
        <v>514</v>
      </c>
      <c r="H449">
        <v>47132096</v>
      </c>
      <c r="I449" t="s">
        <v>2468</v>
      </c>
      <c r="J449" t="s">
        <v>2469</v>
      </c>
      <c r="K449" t="s">
        <v>530</v>
      </c>
      <c r="N449">
        <v>0</v>
      </c>
      <c r="O449">
        <v>0</v>
      </c>
      <c r="P449" t="str">
        <f t="shared" si="6"/>
        <v>N</v>
      </c>
      <c r="Q449" t="s">
        <v>6179</v>
      </c>
    </row>
    <row r="450" spans="1:17" x14ac:dyDescent="0.25">
      <c r="A450" t="s">
        <v>2808</v>
      </c>
      <c r="B450" t="s">
        <v>2783</v>
      </c>
      <c r="C450">
        <v>2027</v>
      </c>
      <c r="D450" t="s">
        <v>720</v>
      </c>
      <c r="E450" t="s">
        <v>827</v>
      </c>
      <c r="F450" s="32">
        <v>46367</v>
      </c>
      <c r="G450" t="s">
        <v>514</v>
      </c>
      <c r="H450">
        <v>47128300</v>
      </c>
      <c r="I450" t="s">
        <v>2471</v>
      </c>
      <c r="J450" t="s">
        <v>2472</v>
      </c>
      <c r="K450" t="s">
        <v>530</v>
      </c>
      <c r="N450">
        <v>0</v>
      </c>
      <c r="O450">
        <v>0</v>
      </c>
      <c r="P450" t="str">
        <f t="shared" si="6"/>
        <v>N</v>
      </c>
      <c r="Q450" t="s">
        <v>6180</v>
      </c>
    </row>
    <row r="451" spans="1:17" x14ac:dyDescent="0.25">
      <c r="A451" t="s">
        <v>2809</v>
      </c>
      <c r="B451" t="s">
        <v>2783</v>
      </c>
      <c r="C451">
        <v>2027</v>
      </c>
      <c r="D451" t="s">
        <v>720</v>
      </c>
      <c r="E451" t="s">
        <v>827</v>
      </c>
      <c r="F451" s="32">
        <v>46367</v>
      </c>
      <c r="G451" t="s">
        <v>514</v>
      </c>
      <c r="H451">
        <v>47128655</v>
      </c>
      <c r="I451" t="s">
        <v>2474</v>
      </c>
      <c r="J451" t="s">
        <v>2475</v>
      </c>
      <c r="K451" t="s">
        <v>530</v>
      </c>
      <c r="N451">
        <v>0</v>
      </c>
      <c r="O451">
        <v>0</v>
      </c>
      <c r="P451" t="str">
        <f t="shared" ref="P451:P514" si="7">IF(N451=O451,"N","Y")</f>
        <v>N</v>
      </c>
      <c r="Q451" t="s">
        <v>6181</v>
      </c>
    </row>
    <row r="452" spans="1:17" x14ac:dyDescent="0.25">
      <c r="A452" t="s">
        <v>2810</v>
      </c>
      <c r="B452" t="s">
        <v>2783</v>
      </c>
      <c r="C452">
        <v>2027</v>
      </c>
      <c r="D452" t="s">
        <v>720</v>
      </c>
      <c r="E452" t="s">
        <v>827</v>
      </c>
      <c r="F452" s="32">
        <v>46367</v>
      </c>
      <c r="G452" t="s">
        <v>514</v>
      </c>
      <c r="H452">
        <v>47128179</v>
      </c>
      <c r="I452" t="s">
        <v>2477</v>
      </c>
      <c r="J452" t="s">
        <v>2478</v>
      </c>
      <c r="K452" t="s">
        <v>530</v>
      </c>
      <c r="N452">
        <v>0</v>
      </c>
      <c r="O452">
        <v>0</v>
      </c>
      <c r="P452" t="str">
        <f t="shared" si="7"/>
        <v>N</v>
      </c>
      <c r="Q452" t="s">
        <v>6182</v>
      </c>
    </row>
    <row r="453" spans="1:17" x14ac:dyDescent="0.25">
      <c r="A453" t="s">
        <v>2811</v>
      </c>
      <c r="B453" t="s">
        <v>2783</v>
      </c>
      <c r="C453">
        <v>2027</v>
      </c>
      <c r="D453" t="s">
        <v>720</v>
      </c>
      <c r="E453" t="s">
        <v>827</v>
      </c>
      <c r="F453" s="32">
        <v>46367</v>
      </c>
      <c r="G453" t="s">
        <v>514</v>
      </c>
      <c r="H453">
        <v>47129558</v>
      </c>
      <c r="I453" t="s">
        <v>2480</v>
      </c>
      <c r="J453" t="s">
        <v>2481</v>
      </c>
      <c r="K453" t="s">
        <v>530</v>
      </c>
      <c r="N453">
        <v>0</v>
      </c>
      <c r="O453">
        <v>0</v>
      </c>
      <c r="P453" t="str">
        <f t="shared" si="7"/>
        <v>N</v>
      </c>
      <c r="Q453" t="s">
        <v>6183</v>
      </c>
    </row>
    <row r="454" spans="1:17" x14ac:dyDescent="0.25">
      <c r="A454" t="s">
        <v>2812</v>
      </c>
      <c r="B454" t="s">
        <v>2783</v>
      </c>
      <c r="C454">
        <v>2027</v>
      </c>
      <c r="D454" t="s">
        <v>720</v>
      </c>
      <c r="E454" t="s">
        <v>827</v>
      </c>
      <c r="F454" s="32">
        <v>46367</v>
      </c>
      <c r="G454" t="s">
        <v>514</v>
      </c>
      <c r="H454">
        <v>47129273</v>
      </c>
      <c r="I454" t="s">
        <v>2483</v>
      </c>
      <c r="J454" t="s">
        <v>2484</v>
      </c>
      <c r="K454" t="s">
        <v>530</v>
      </c>
      <c r="N454">
        <v>0</v>
      </c>
      <c r="O454">
        <v>0</v>
      </c>
      <c r="P454" t="str">
        <f t="shared" si="7"/>
        <v>N</v>
      </c>
      <c r="Q454" t="s">
        <v>6184</v>
      </c>
    </row>
    <row r="455" spans="1:17" x14ac:dyDescent="0.25">
      <c r="A455" t="s">
        <v>2813</v>
      </c>
      <c r="B455" t="s">
        <v>2783</v>
      </c>
      <c r="C455">
        <v>2027</v>
      </c>
      <c r="D455" t="s">
        <v>720</v>
      </c>
      <c r="E455" t="s">
        <v>827</v>
      </c>
      <c r="F455" s="32">
        <v>46367</v>
      </c>
      <c r="G455" t="s">
        <v>514</v>
      </c>
      <c r="H455">
        <v>47129274</v>
      </c>
      <c r="I455" t="s">
        <v>2486</v>
      </c>
      <c r="J455" t="s">
        <v>2487</v>
      </c>
      <c r="K455" t="s">
        <v>530</v>
      </c>
      <c r="N455">
        <v>0</v>
      </c>
      <c r="O455">
        <v>0</v>
      </c>
      <c r="P455" t="str">
        <f t="shared" si="7"/>
        <v>N</v>
      </c>
      <c r="Q455" t="s">
        <v>6185</v>
      </c>
    </row>
    <row r="456" spans="1:17" x14ac:dyDescent="0.25">
      <c r="A456" t="s">
        <v>2814</v>
      </c>
      <c r="B456" t="s">
        <v>2783</v>
      </c>
      <c r="C456">
        <v>2027</v>
      </c>
      <c r="D456" t="s">
        <v>720</v>
      </c>
      <c r="E456" t="s">
        <v>827</v>
      </c>
      <c r="F456" s="32">
        <v>46367</v>
      </c>
      <c r="G456" t="s">
        <v>514</v>
      </c>
      <c r="H456">
        <v>47128587</v>
      </c>
      <c r="I456" t="s">
        <v>2489</v>
      </c>
      <c r="J456" t="s">
        <v>2490</v>
      </c>
      <c r="K456" t="s">
        <v>530</v>
      </c>
      <c r="N456">
        <v>0</v>
      </c>
      <c r="O456">
        <v>0</v>
      </c>
      <c r="P456" t="str">
        <f t="shared" si="7"/>
        <v>N</v>
      </c>
      <c r="Q456" t="s">
        <v>6186</v>
      </c>
    </row>
    <row r="457" spans="1:17" x14ac:dyDescent="0.25">
      <c r="A457" t="s">
        <v>2815</v>
      </c>
      <c r="B457" t="s">
        <v>2783</v>
      </c>
      <c r="C457">
        <v>2027</v>
      </c>
      <c r="D457" t="s">
        <v>720</v>
      </c>
      <c r="E457" t="s">
        <v>827</v>
      </c>
      <c r="F457" s="32">
        <v>46367</v>
      </c>
      <c r="G457" t="s">
        <v>514</v>
      </c>
      <c r="H457">
        <v>47128247</v>
      </c>
      <c r="I457" t="s">
        <v>2492</v>
      </c>
      <c r="J457" t="s">
        <v>2493</v>
      </c>
      <c r="K457" t="s">
        <v>530</v>
      </c>
      <c r="N457">
        <v>0</v>
      </c>
      <c r="O457">
        <v>0</v>
      </c>
      <c r="P457" t="str">
        <f t="shared" si="7"/>
        <v>N</v>
      </c>
      <c r="Q457" t="s">
        <v>6187</v>
      </c>
    </row>
    <row r="458" spans="1:17" x14ac:dyDescent="0.25">
      <c r="A458" t="s">
        <v>3134</v>
      </c>
      <c r="B458" t="s">
        <v>1080</v>
      </c>
      <c r="C458">
        <v>2027</v>
      </c>
      <c r="D458" t="s">
        <v>720</v>
      </c>
      <c r="E458" t="s">
        <v>827</v>
      </c>
      <c r="F458" s="32">
        <v>46367</v>
      </c>
      <c r="G458" t="s">
        <v>514</v>
      </c>
      <c r="H458">
        <v>47128028</v>
      </c>
      <c r="I458" t="s">
        <v>1035</v>
      </c>
      <c r="J458" t="s">
        <v>1034</v>
      </c>
      <c r="K458" t="s">
        <v>530</v>
      </c>
      <c r="N458">
        <v>100</v>
      </c>
      <c r="O458">
        <v>100</v>
      </c>
      <c r="P458" t="str">
        <f t="shared" si="7"/>
        <v>N</v>
      </c>
      <c r="Q458" t="s">
        <v>6188</v>
      </c>
    </row>
    <row r="459" spans="1:17" x14ac:dyDescent="0.25">
      <c r="A459" t="s">
        <v>3135</v>
      </c>
      <c r="B459" t="s">
        <v>1080</v>
      </c>
      <c r="C459">
        <v>2027</v>
      </c>
      <c r="D459" t="s">
        <v>720</v>
      </c>
      <c r="E459" t="s">
        <v>827</v>
      </c>
      <c r="F459" s="32">
        <v>46367</v>
      </c>
      <c r="G459" t="s">
        <v>514</v>
      </c>
      <c r="H459">
        <v>47128465</v>
      </c>
      <c r="I459" t="s">
        <v>1333</v>
      </c>
      <c r="J459" t="s">
        <v>1332</v>
      </c>
      <c r="K459" t="s">
        <v>530</v>
      </c>
      <c r="N459">
        <v>100</v>
      </c>
      <c r="O459">
        <v>100</v>
      </c>
      <c r="P459" t="str">
        <f t="shared" si="7"/>
        <v>N</v>
      </c>
      <c r="Q459" t="s">
        <v>6189</v>
      </c>
    </row>
    <row r="460" spans="1:17" x14ac:dyDescent="0.25">
      <c r="A460" t="s">
        <v>3136</v>
      </c>
      <c r="B460" t="s">
        <v>1080</v>
      </c>
      <c r="C460">
        <v>2027</v>
      </c>
      <c r="D460" t="s">
        <v>720</v>
      </c>
      <c r="E460" t="s">
        <v>827</v>
      </c>
      <c r="F460" s="32">
        <v>46367</v>
      </c>
      <c r="G460" t="s">
        <v>514</v>
      </c>
      <c r="H460">
        <v>47128548</v>
      </c>
      <c r="I460" t="s">
        <v>958</v>
      </c>
      <c r="J460" t="s">
        <v>957</v>
      </c>
      <c r="K460" t="s">
        <v>530</v>
      </c>
      <c r="N460">
        <v>0</v>
      </c>
      <c r="O460">
        <v>0</v>
      </c>
      <c r="P460" t="str">
        <f t="shared" si="7"/>
        <v>N</v>
      </c>
      <c r="Q460" t="s">
        <v>6190</v>
      </c>
    </row>
    <row r="461" spans="1:17" x14ac:dyDescent="0.25">
      <c r="A461" t="s">
        <v>3137</v>
      </c>
      <c r="B461" t="s">
        <v>1080</v>
      </c>
      <c r="C461">
        <v>2027</v>
      </c>
      <c r="D461" t="s">
        <v>720</v>
      </c>
      <c r="E461" t="s">
        <v>827</v>
      </c>
      <c r="F461" s="32">
        <v>46367</v>
      </c>
      <c r="G461" t="s">
        <v>514</v>
      </c>
      <c r="H461">
        <v>47128787</v>
      </c>
      <c r="I461" t="s">
        <v>1453</v>
      </c>
      <c r="J461" t="s">
        <v>1452</v>
      </c>
      <c r="K461" t="s">
        <v>530</v>
      </c>
      <c r="N461">
        <v>0</v>
      </c>
      <c r="O461">
        <v>0</v>
      </c>
      <c r="P461" t="str">
        <f t="shared" si="7"/>
        <v>N</v>
      </c>
      <c r="Q461" t="s">
        <v>6191</v>
      </c>
    </row>
    <row r="462" spans="1:17" x14ac:dyDescent="0.25">
      <c r="A462" t="s">
        <v>3138</v>
      </c>
      <c r="B462" t="s">
        <v>1080</v>
      </c>
      <c r="C462">
        <v>2027</v>
      </c>
      <c r="D462" t="s">
        <v>720</v>
      </c>
      <c r="E462" t="s">
        <v>827</v>
      </c>
      <c r="F462" s="32">
        <v>46367</v>
      </c>
      <c r="G462" t="s">
        <v>514</v>
      </c>
      <c r="H462">
        <v>47146464</v>
      </c>
      <c r="I462" t="s">
        <v>1438</v>
      </c>
      <c r="J462" t="s">
        <v>1437</v>
      </c>
      <c r="K462" t="s">
        <v>530</v>
      </c>
      <c r="N462">
        <v>0</v>
      </c>
      <c r="O462">
        <v>0</v>
      </c>
      <c r="P462" t="str">
        <f t="shared" si="7"/>
        <v>N</v>
      </c>
      <c r="Q462" t="s">
        <v>6192</v>
      </c>
    </row>
    <row r="463" spans="1:17" x14ac:dyDescent="0.25">
      <c r="A463" t="s">
        <v>3139</v>
      </c>
      <c r="B463" t="s">
        <v>1080</v>
      </c>
      <c r="C463">
        <v>2027</v>
      </c>
      <c r="D463" t="s">
        <v>720</v>
      </c>
      <c r="E463" t="s">
        <v>827</v>
      </c>
      <c r="F463" s="32">
        <v>46367</v>
      </c>
      <c r="G463" t="s">
        <v>514</v>
      </c>
      <c r="H463">
        <v>47146463</v>
      </c>
      <c r="I463" t="s">
        <v>1441</v>
      </c>
      <c r="J463" t="s">
        <v>1440</v>
      </c>
      <c r="K463" t="s">
        <v>530</v>
      </c>
      <c r="N463">
        <v>0</v>
      </c>
      <c r="O463">
        <v>0</v>
      </c>
      <c r="P463" t="str">
        <f t="shared" si="7"/>
        <v>N</v>
      </c>
      <c r="Q463" t="s">
        <v>6193</v>
      </c>
    </row>
    <row r="464" spans="1:17" x14ac:dyDescent="0.25">
      <c r="A464" t="s">
        <v>3140</v>
      </c>
      <c r="B464" t="s">
        <v>1080</v>
      </c>
      <c r="C464">
        <v>2027</v>
      </c>
      <c r="D464" t="s">
        <v>720</v>
      </c>
      <c r="E464" t="s">
        <v>827</v>
      </c>
      <c r="F464" s="32">
        <v>46367</v>
      </c>
      <c r="G464" t="s">
        <v>514</v>
      </c>
      <c r="H464">
        <v>47128729</v>
      </c>
      <c r="I464" t="s">
        <v>1149</v>
      </c>
      <c r="J464" t="s">
        <v>1148</v>
      </c>
      <c r="K464" t="s">
        <v>530</v>
      </c>
      <c r="N464">
        <v>0</v>
      </c>
      <c r="O464">
        <v>0</v>
      </c>
      <c r="P464" t="str">
        <f t="shared" si="7"/>
        <v>N</v>
      </c>
      <c r="Q464" t="s">
        <v>6194</v>
      </c>
    </row>
    <row r="465" spans="1:17" x14ac:dyDescent="0.25">
      <c r="A465" t="s">
        <v>3141</v>
      </c>
      <c r="B465" t="s">
        <v>1080</v>
      </c>
      <c r="C465">
        <v>2027</v>
      </c>
      <c r="D465" t="s">
        <v>720</v>
      </c>
      <c r="E465" t="s">
        <v>827</v>
      </c>
      <c r="F465" s="32">
        <v>46367</v>
      </c>
      <c r="G465" t="s">
        <v>514</v>
      </c>
      <c r="H465">
        <v>47128413</v>
      </c>
      <c r="I465" t="s">
        <v>1397</v>
      </c>
      <c r="J465" t="s">
        <v>1396</v>
      </c>
      <c r="K465" t="s">
        <v>530</v>
      </c>
      <c r="N465">
        <v>0</v>
      </c>
      <c r="O465">
        <v>0</v>
      </c>
      <c r="P465" t="str">
        <f t="shared" si="7"/>
        <v>N</v>
      </c>
      <c r="Q465" t="s">
        <v>6195</v>
      </c>
    </row>
    <row r="466" spans="1:17" x14ac:dyDescent="0.25">
      <c r="A466" t="s">
        <v>3142</v>
      </c>
      <c r="B466" t="s">
        <v>1080</v>
      </c>
      <c r="C466">
        <v>2027</v>
      </c>
      <c r="D466" t="s">
        <v>720</v>
      </c>
      <c r="E466" t="s">
        <v>827</v>
      </c>
      <c r="F466" s="32">
        <v>46367</v>
      </c>
      <c r="G466" t="s">
        <v>514</v>
      </c>
      <c r="H466">
        <v>47128783</v>
      </c>
      <c r="I466" t="s">
        <v>1280</v>
      </c>
      <c r="J466" t="s">
        <v>1279</v>
      </c>
      <c r="K466" t="s">
        <v>530</v>
      </c>
      <c r="N466">
        <v>0</v>
      </c>
      <c r="O466">
        <v>0</v>
      </c>
      <c r="P466" t="str">
        <f t="shared" si="7"/>
        <v>N</v>
      </c>
      <c r="Q466" t="s">
        <v>6196</v>
      </c>
    </row>
    <row r="467" spans="1:17" x14ac:dyDescent="0.25">
      <c r="A467" t="s">
        <v>3143</v>
      </c>
      <c r="B467" t="s">
        <v>1080</v>
      </c>
      <c r="C467">
        <v>2027</v>
      </c>
      <c r="D467" t="s">
        <v>720</v>
      </c>
      <c r="E467" t="s">
        <v>827</v>
      </c>
      <c r="F467" s="32">
        <v>46367</v>
      </c>
      <c r="G467" t="s">
        <v>514</v>
      </c>
      <c r="H467">
        <v>47128944</v>
      </c>
      <c r="I467" t="s">
        <v>1137</v>
      </c>
      <c r="J467" t="s">
        <v>1136</v>
      </c>
      <c r="K467" t="s">
        <v>530</v>
      </c>
      <c r="N467">
        <v>0</v>
      </c>
      <c r="O467">
        <v>0</v>
      </c>
      <c r="P467" t="str">
        <f t="shared" si="7"/>
        <v>N</v>
      </c>
      <c r="Q467" t="s">
        <v>6197</v>
      </c>
    </row>
    <row r="468" spans="1:17" x14ac:dyDescent="0.25">
      <c r="A468" t="s">
        <v>3144</v>
      </c>
      <c r="B468" t="s">
        <v>1080</v>
      </c>
      <c r="C468">
        <v>2027</v>
      </c>
      <c r="D468" t="s">
        <v>720</v>
      </c>
      <c r="E468" t="s">
        <v>827</v>
      </c>
      <c r="F468" s="32">
        <v>46367</v>
      </c>
      <c r="G468" t="s">
        <v>514</v>
      </c>
      <c r="H468">
        <v>47129547</v>
      </c>
      <c r="I468" t="s">
        <v>1128</v>
      </c>
      <c r="J468" t="s">
        <v>1352</v>
      </c>
      <c r="K468" t="s">
        <v>530</v>
      </c>
      <c r="N468">
        <v>0</v>
      </c>
      <c r="O468">
        <v>0</v>
      </c>
      <c r="P468" t="str">
        <f t="shared" si="7"/>
        <v>N</v>
      </c>
      <c r="Q468" t="s">
        <v>6198</v>
      </c>
    </row>
    <row r="469" spans="1:17" x14ac:dyDescent="0.25">
      <c r="A469" t="s">
        <v>3145</v>
      </c>
      <c r="B469" t="s">
        <v>1080</v>
      </c>
      <c r="C469">
        <v>2027</v>
      </c>
      <c r="D469" t="s">
        <v>720</v>
      </c>
      <c r="E469" t="s">
        <v>827</v>
      </c>
      <c r="F469" s="32">
        <v>46367</v>
      </c>
      <c r="G469" t="s">
        <v>514</v>
      </c>
      <c r="H469">
        <v>47128518</v>
      </c>
      <c r="I469" t="s">
        <v>1232</v>
      </c>
      <c r="J469" t="s">
        <v>1493</v>
      </c>
      <c r="K469" t="s">
        <v>530</v>
      </c>
      <c r="N469">
        <v>0</v>
      </c>
      <c r="O469">
        <v>0</v>
      </c>
      <c r="P469" t="str">
        <f t="shared" si="7"/>
        <v>N</v>
      </c>
      <c r="Q469" t="s">
        <v>6199</v>
      </c>
    </row>
    <row r="470" spans="1:17" x14ac:dyDescent="0.25">
      <c r="A470" t="s">
        <v>3146</v>
      </c>
      <c r="B470" t="s">
        <v>1080</v>
      </c>
      <c r="C470">
        <v>2027</v>
      </c>
      <c r="D470" t="s">
        <v>720</v>
      </c>
      <c r="E470" t="s">
        <v>827</v>
      </c>
      <c r="F470" s="32">
        <v>46367</v>
      </c>
      <c r="G470" t="s">
        <v>514</v>
      </c>
      <c r="H470">
        <v>47128977</v>
      </c>
      <c r="I470" t="s">
        <v>1449</v>
      </c>
      <c r="J470" t="s">
        <v>1448</v>
      </c>
      <c r="K470" t="s">
        <v>530</v>
      </c>
      <c r="N470">
        <v>10</v>
      </c>
      <c r="O470">
        <v>10</v>
      </c>
      <c r="P470" t="str">
        <f t="shared" si="7"/>
        <v>N</v>
      </c>
      <c r="Q470" t="s">
        <v>6200</v>
      </c>
    </row>
    <row r="471" spans="1:17" x14ac:dyDescent="0.25">
      <c r="A471" t="s">
        <v>3147</v>
      </c>
      <c r="B471" t="s">
        <v>1080</v>
      </c>
      <c r="C471">
        <v>2027</v>
      </c>
      <c r="D471" t="s">
        <v>720</v>
      </c>
      <c r="E471" t="s">
        <v>827</v>
      </c>
      <c r="F471" s="32">
        <v>46367</v>
      </c>
      <c r="G471" t="s">
        <v>514</v>
      </c>
      <c r="H471">
        <v>47128168</v>
      </c>
      <c r="I471" t="s">
        <v>1100</v>
      </c>
      <c r="J471" t="s">
        <v>1099</v>
      </c>
      <c r="K471" t="s">
        <v>530</v>
      </c>
      <c r="N471">
        <v>0</v>
      </c>
      <c r="O471">
        <v>0</v>
      </c>
      <c r="P471" t="str">
        <f t="shared" si="7"/>
        <v>N</v>
      </c>
      <c r="Q471" t="s">
        <v>6201</v>
      </c>
    </row>
    <row r="472" spans="1:17" x14ac:dyDescent="0.25">
      <c r="A472" t="s">
        <v>3148</v>
      </c>
      <c r="B472" t="s">
        <v>1080</v>
      </c>
      <c r="C472">
        <v>2027</v>
      </c>
      <c r="D472" t="s">
        <v>720</v>
      </c>
      <c r="E472" t="s">
        <v>827</v>
      </c>
      <c r="F472" s="32">
        <v>46367</v>
      </c>
      <c r="G472" t="s">
        <v>514</v>
      </c>
      <c r="H472">
        <v>47128687</v>
      </c>
      <c r="I472" t="s">
        <v>1153</v>
      </c>
      <c r="J472" t="s">
        <v>1152</v>
      </c>
      <c r="K472" t="s">
        <v>530</v>
      </c>
      <c r="N472">
        <v>0</v>
      </c>
      <c r="O472">
        <v>0</v>
      </c>
      <c r="P472" t="str">
        <f t="shared" si="7"/>
        <v>N</v>
      </c>
      <c r="Q472" t="s">
        <v>6202</v>
      </c>
    </row>
    <row r="473" spans="1:17" x14ac:dyDescent="0.25">
      <c r="A473" t="s">
        <v>3149</v>
      </c>
      <c r="B473" t="s">
        <v>1080</v>
      </c>
      <c r="C473">
        <v>2027</v>
      </c>
      <c r="D473" t="s">
        <v>720</v>
      </c>
      <c r="E473" t="s">
        <v>827</v>
      </c>
      <c r="F473" s="32">
        <v>46367</v>
      </c>
      <c r="G473" t="s">
        <v>514</v>
      </c>
      <c r="H473">
        <v>47128585</v>
      </c>
      <c r="I473" t="s">
        <v>1141</v>
      </c>
      <c r="J473" t="s">
        <v>1140</v>
      </c>
      <c r="K473" t="s">
        <v>530</v>
      </c>
      <c r="N473">
        <v>0</v>
      </c>
      <c r="O473">
        <v>0</v>
      </c>
      <c r="P473" t="str">
        <f t="shared" si="7"/>
        <v>N</v>
      </c>
      <c r="Q473" t="s">
        <v>6203</v>
      </c>
    </row>
    <row r="474" spans="1:17" x14ac:dyDescent="0.25">
      <c r="A474" t="s">
        <v>3150</v>
      </c>
      <c r="B474" t="s">
        <v>1080</v>
      </c>
      <c r="C474">
        <v>2027</v>
      </c>
      <c r="D474" t="s">
        <v>720</v>
      </c>
      <c r="E474" t="s">
        <v>827</v>
      </c>
      <c r="F474" s="32">
        <v>46367</v>
      </c>
      <c r="G474" t="s">
        <v>514</v>
      </c>
      <c r="H474">
        <v>47128906</v>
      </c>
      <c r="I474" t="s">
        <v>1349</v>
      </c>
      <c r="J474" t="s">
        <v>1348</v>
      </c>
      <c r="K474" t="s">
        <v>530</v>
      </c>
      <c r="N474">
        <v>0</v>
      </c>
      <c r="O474">
        <v>0</v>
      </c>
      <c r="P474" t="str">
        <f t="shared" si="7"/>
        <v>N</v>
      </c>
      <c r="Q474" t="s">
        <v>6204</v>
      </c>
    </row>
    <row r="475" spans="1:17" x14ac:dyDescent="0.25">
      <c r="A475" t="s">
        <v>3151</v>
      </c>
      <c r="B475" t="s">
        <v>1080</v>
      </c>
      <c r="C475">
        <v>2027</v>
      </c>
      <c r="D475" t="s">
        <v>720</v>
      </c>
      <c r="E475" t="s">
        <v>827</v>
      </c>
      <c r="F475" s="32">
        <v>46367</v>
      </c>
      <c r="G475" t="s">
        <v>514</v>
      </c>
      <c r="H475">
        <v>47128585</v>
      </c>
      <c r="I475" t="s">
        <v>1141</v>
      </c>
      <c r="J475" t="s">
        <v>1408</v>
      </c>
      <c r="K475" t="s">
        <v>530</v>
      </c>
      <c r="N475">
        <v>0</v>
      </c>
      <c r="O475">
        <v>0</v>
      </c>
      <c r="P475" t="str">
        <f t="shared" si="7"/>
        <v>N</v>
      </c>
      <c r="Q475" t="s">
        <v>6205</v>
      </c>
    </row>
    <row r="476" spans="1:17" x14ac:dyDescent="0.25">
      <c r="A476" t="s">
        <v>3152</v>
      </c>
      <c r="B476" t="s">
        <v>1080</v>
      </c>
      <c r="C476">
        <v>2027</v>
      </c>
      <c r="D476" t="s">
        <v>720</v>
      </c>
      <c r="E476" t="s">
        <v>827</v>
      </c>
      <c r="F476" s="32">
        <v>46367</v>
      </c>
      <c r="G476" t="s">
        <v>514</v>
      </c>
      <c r="H476">
        <v>47128518</v>
      </c>
      <c r="I476" t="s">
        <v>1232</v>
      </c>
      <c r="J476" t="s">
        <v>1231</v>
      </c>
      <c r="K476" t="s">
        <v>530</v>
      </c>
      <c r="N476">
        <v>0</v>
      </c>
      <c r="O476">
        <v>0</v>
      </c>
      <c r="P476" t="str">
        <f t="shared" si="7"/>
        <v>N</v>
      </c>
      <c r="Q476" t="s">
        <v>6206</v>
      </c>
    </row>
    <row r="477" spans="1:17" x14ac:dyDescent="0.25">
      <c r="A477" t="s">
        <v>3153</v>
      </c>
      <c r="B477" t="s">
        <v>1080</v>
      </c>
      <c r="C477">
        <v>2027</v>
      </c>
      <c r="D477" t="s">
        <v>720</v>
      </c>
      <c r="E477" t="s">
        <v>827</v>
      </c>
      <c r="F477" s="32">
        <v>46367</v>
      </c>
      <c r="G477" t="s">
        <v>514</v>
      </c>
      <c r="H477">
        <v>47128680</v>
      </c>
      <c r="I477" t="s">
        <v>1284</v>
      </c>
      <c r="J477" t="s">
        <v>1283</v>
      </c>
      <c r="K477" t="s">
        <v>530</v>
      </c>
      <c r="N477">
        <v>0</v>
      </c>
      <c r="O477">
        <v>0</v>
      </c>
      <c r="P477" t="str">
        <f t="shared" si="7"/>
        <v>N</v>
      </c>
      <c r="Q477" t="s">
        <v>6207</v>
      </c>
    </row>
    <row r="478" spans="1:17" x14ac:dyDescent="0.25">
      <c r="A478" t="s">
        <v>3154</v>
      </c>
      <c r="B478" t="s">
        <v>1080</v>
      </c>
      <c r="C478">
        <v>2027</v>
      </c>
      <c r="D478" t="s">
        <v>720</v>
      </c>
      <c r="E478" t="s">
        <v>827</v>
      </c>
      <c r="F478" s="32">
        <v>46367</v>
      </c>
      <c r="G478" t="s">
        <v>514</v>
      </c>
      <c r="H478">
        <v>47128024</v>
      </c>
      <c r="I478" t="s">
        <v>1108</v>
      </c>
      <c r="J478" t="s">
        <v>1107</v>
      </c>
      <c r="K478" t="s">
        <v>530</v>
      </c>
      <c r="N478">
        <v>0</v>
      </c>
      <c r="O478">
        <v>0</v>
      </c>
      <c r="P478" t="str">
        <f t="shared" si="7"/>
        <v>N</v>
      </c>
      <c r="Q478" t="s">
        <v>6208</v>
      </c>
    </row>
    <row r="479" spans="1:17" x14ac:dyDescent="0.25">
      <c r="A479" t="s">
        <v>3155</v>
      </c>
      <c r="B479" t="s">
        <v>1080</v>
      </c>
      <c r="C479">
        <v>2027</v>
      </c>
      <c r="D479" t="s">
        <v>720</v>
      </c>
      <c r="E479" t="s">
        <v>827</v>
      </c>
      <c r="F479" s="32">
        <v>46367</v>
      </c>
      <c r="G479" t="s">
        <v>514</v>
      </c>
      <c r="H479">
        <v>47128944</v>
      </c>
      <c r="I479" t="s">
        <v>1137</v>
      </c>
      <c r="J479" t="s">
        <v>1513</v>
      </c>
      <c r="K479" t="s">
        <v>530</v>
      </c>
      <c r="N479">
        <v>0</v>
      </c>
      <c r="O479">
        <v>0</v>
      </c>
      <c r="P479" t="str">
        <f t="shared" si="7"/>
        <v>N</v>
      </c>
      <c r="Q479" t="s">
        <v>6209</v>
      </c>
    </row>
    <row r="480" spans="1:17" x14ac:dyDescent="0.25">
      <c r="A480" t="s">
        <v>3156</v>
      </c>
      <c r="B480" t="s">
        <v>1080</v>
      </c>
      <c r="C480">
        <v>2027</v>
      </c>
      <c r="D480" t="s">
        <v>720</v>
      </c>
      <c r="E480" t="s">
        <v>827</v>
      </c>
      <c r="F480" s="32">
        <v>46367</v>
      </c>
      <c r="G480" t="s">
        <v>514</v>
      </c>
      <c r="H480">
        <v>47147546</v>
      </c>
      <c r="I480" t="s">
        <v>1077</v>
      </c>
      <c r="J480" t="s">
        <v>1076</v>
      </c>
      <c r="K480" t="s">
        <v>530</v>
      </c>
      <c r="N480">
        <v>0</v>
      </c>
      <c r="O480">
        <v>0</v>
      </c>
      <c r="P480" t="str">
        <f t="shared" si="7"/>
        <v>N</v>
      </c>
      <c r="Q480" t="s">
        <v>6210</v>
      </c>
    </row>
    <row r="481" spans="1:17" x14ac:dyDescent="0.25">
      <c r="A481" t="s">
        <v>3157</v>
      </c>
      <c r="B481" t="s">
        <v>1080</v>
      </c>
      <c r="C481">
        <v>2027</v>
      </c>
      <c r="D481" t="s">
        <v>720</v>
      </c>
      <c r="E481" t="s">
        <v>827</v>
      </c>
      <c r="F481" s="32">
        <v>46367</v>
      </c>
      <c r="G481" t="s">
        <v>514</v>
      </c>
      <c r="H481">
        <v>47128346</v>
      </c>
      <c r="I481" t="s">
        <v>1157</v>
      </c>
      <c r="J481" t="s">
        <v>1156</v>
      </c>
      <c r="K481" t="s">
        <v>530</v>
      </c>
      <c r="N481">
        <v>0</v>
      </c>
      <c r="O481">
        <v>0</v>
      </c>
      <c r="P481" t="str">
        <f t="shared" si="7"/>
        <v>N</v>
      </c>
      <c r="Q481" t="s">
        <v>6211</v>
      </c>
    </row>
    <row r="482" spans="1:17" x14ac:dyDescent="0.25">
      <c r="A482" t="s">
        <v>3158</v>
      </c>
      <c r="B482" t="s">
        <v>1080</v>
      </c>
      <c r="C482">
        <v>2027</v>
      </c>
      <c r="D482" t="s">
        <v>720</v>
      </c>
      <c r="E482" t="s">
        <v>827</v>
      </c>
      <c r="F482" s="32">
        <v>46367</v>
      </c>
      <c r="G482" t="s">
        <v>514</v>
      </c>
      <c r="H482">
        <v>47128800</v>
      </c>
      <c r="I482" t="s">
        <v>1145</v>
      </c>
      <c r="J482" t="s">
        <v>1144</v>
      </c>
      <c r="K482" t="s">
        <v>530</v>
      </c>
      <c r="N482">
        <v>0</v>
      </c>
      <c r="O482">
        <v>0</v>
      </c>
      <c r="P482" t="str">
        <f t="shared" si="7"/>
        <v>N</v>
      </c>
      <c r="Q482" t="s">
        <v>6212</v>
      </c>
    </row>
    <row r="483" spans="1:17" x14ac:dyDescent="0.25">
      <c r="A483" t="s">
        <v>3159</v>
      </c>
      <c r="B483" t="s">
        <v>1080</v>
      </c>
      <c r="C483">
        <v>2027</v>
      </c>
      <c r="D483" t="s">
        <v>720</v>
      </c>
      <c r="E483" t="s">
        <v>827</v>
      </c>
      <c r="F483" s="32">
        <v>46367</v>
      </c>
      <c r="G483" t="s">
        <v>514</v>
      </c>
      <c r="H483">
        <v>47128109</v>
      </c>
      <c r="I483" t="s">
        <v>1336</v>
      </c>
      <c r="J483" t="s">
        <v>1335</v>
      </c>
      <c r="K483" t="s">
        <v>530</v>
      </c>
      <c r="N483">
        <v>0</v>
      </c>
      <c r="O483">
        <v>0</v>
      </c>
      <c r="P483" t="str">
        <f t="shared" si="7"/>
        <v>N</v>
      </c>
      <c r="Q483" t="s">
        <v>6213</v>
      </c>
    </row>
    <row r="484" spans="1:17" x14ac:dyDescent="0.25">
      <c r="A484" t="s">
        <v>3160</v>
      </c>
      <c r="B484" t="s">
        <v>1080</v>
      </c>
      <c r="C484">
        <v>2027</v>
      </c>
      <c r="D484" t="s">
        <v>720</v>
      </c>
      <c r="E484" t="s">
        <v>827</v>
      </c>
      <c r="F484" s="32">
        <v>46367</v>
      </c>
      <c r="G484" t="s">
        <v>514</v>
      </c>
      <c r="H484">
        <v>47128430</v>
      </c>
      <c r="I484" t="s">
        <v>1401</v>
      </c>
      <c r="J484" t="s">
        <v>1400</v>
      </c>
      <c r="K484" t="s">
        <v>530</v>
      </c>
      <c r="N484">
        <v>0</v>
      </c>
      <c r="O484">
        <v>0</v>
      </c>
      <c r="P484" t="str">
        <f t="shared" si="7"/>
        <v>N</v>
      </c>
      <c r="Q484" t="s">
        <v>6214</v>
      </c>
    </row>
    <row r="485" spans="1:17" x14ac:dyDescent="0.25">
      <c r="A485" t="s">
        <v>3161</v>
      </c>
      <c r="B485" t="s">
        <v>1080</v>
      </c>
      <c r="C485">
        <v>2027</v>
      </c>
      <c r="D485" t="s">
        <v>720</v>
      </c>
      <c r="E485" t="s">
        <v>827</v>
      </c>
      <c r="F485" s="32">
        <v>46367</v>
      </c>
      <c r="G485" t="s">
        <v>514</v>
      </c>
      <c r="H485">
        <v>47128522</v>
      </c>
      <c r="I485" t="s">
        <v>1092</v>
      </c>
      <c r="J485" t="s">
        <v>1091</v>
      </c>
      <c r="K485" t="s">
        <v>530</v>
      </c>
      <c r="N485">
        <v>0</v>
      </c>
      <c r="O485">
        <v>0</v>
      </c>
      <c r="P485" t="str">
        <f t="shared" si="7"/>
        <v>N</v>
      </c>
      <c r="Q485" t="s">
        <v>6215</v>
      </c>
    </row>
    <row r="486" spans="1:17" x14ac:dyDescent="0.25">
      <c r="A486" t="s">
        <v>3162</v>
      </c>
      <c r="B486" t="s">
        <v>1080</v>
      </c>
      <c r="C486">
        <v>2027</v>
      </c>
      <c r="D486" t="s">
        <v>720</v>
      </c>
      <c r="E486" t="s">
        <v>827</v>
      </c>
      <c r="F486" s="32">
        <v>46367</v>
      </c>
      <c r="G486" t="s">
        <v>514</v>
      </c>
      <c r="H486">
        <v>47147546</v>
      </c>
      <c r="I486" t="s">
        <v>1077</v>
      </c>
      <c r="J486" t="s">
        <v>1381</v>
      </c>
      <c r="K486" t="s">
        <v>530</v>
      </c>
      <c r="N486">
        <v>0</v>
      </c>
      <c r="O486">
        <v>0</v>
      </c>
      <c r="P486" t="str">
        <f t="shared" si="7"/>
        <v>N</v>
      </c>
      <c r="Q486" t="s">
        <v>6216</v>
      </c>
    </row>
    <row r="487" spans="1:17" x14ac:dyDescent="0.25">
      <c r="A487" t="s">
        <v>3163</v>
      </c>
      <c r="B487" t="s">
        <v>1080</v>
      </c>
      <c r="C487">
        <v>2027</v>
      </c>
      <c r="D487" t="s">
        <v>720</v>
      </c>
      <c r="E487" t="s">
        <v>827</v>
      </c>
      <c r="F487" s="32">
        <v>46367</v>
      </c>
      <c r="G487" t="s">
        <v>514</v>
      </c>
      <c r="H487">
        <v>47147658</v>
      </c>
      <c r="I487" t="s">
        <v>1276</v>
      </c>
      <c r="J487" t="s">
        <v>1275</v>
      </c>
      <c r="K487" t="s">
        <v>530</v>
      </c>
      <c r="N487">
        <v>0</v>
      </c>
      <c r="O487">
        <v>0</v>
      </c>
      <c r="P487" t="str">
        <f t="shared" si="7"/>
        <v>N</v>
      </c>
      <c r="Q487" t="s">
        <v>6217</v>
      </c>
    </row>
    <row r="488" spans="1:17" x14ac:dyDescent="0.25">
      <c r="A488" t="s">
        <v>3164</v>
      </c>
      <c r="B488" t="s">
        <v>1080</v>
      </c>
      <c r="C488">
        <v>2027</v>
      </c>
      <c r="D488" t="s">
        <v>720</v>
      </c>
      <c r="E488" t="s">
        <v>827</v>
      </c>
      <c r="F488" s="32">
        <v>46367</v>
      </c>
      <c r="G488" t="s">
        <v>514</v>
      </c>
      <c r="H488">
        <v>47147546</v>
      </c>
      <c r="I488" t="s">
        <v>1077</v>
      </c>
      <c r="J488" t="s">
        <v>1171</v>
      </c>
      <c r="K488" t="s">
        <v>530</v>
      </c>
      <c r="N488">
        <v>0</v>
      </c>
      <c r="O488">
        <v>0</v>
      </c>
      <c r="P488" t="str">
        <f t="shared" si="7"/>
        <v>N</v>
      </c>
      <c r="Q488" t="s">
        <v>6218</v>
      </c>
    </row>
    <row r="489" spans="1:17" x14ac:dyDescent="0.25">
      <c r="A489" t="s">
        <v>3812</v>
      </c>
      <c r="B489" t="s">
        <v>912</v>
      </c>
      <c r="C489">
        <v>2027</v>
      </c>
      <c r="D489" t="s">
        <v>720</v>
      </c>
      <c r="E489" t="s">
        <v>827</v>
      </c>
      <c r="F489" s="32">
        <v>46367</v>
      </c>
      <c r="G489" t="s">
        <v>514</v>
      </c>
      <c r="H489">
        <v>47140037</v>
      </c>
      <c r="I489" t="s">
        <v>2347</v>
      </c>
      <c r="J489" t="s">
        <v>2348</v>
      </c>
      <c r="K489" t="s">
        <v>530</v>
      </c>
      <c r="N489">
        <v>0</v>
      </c>
      <c r="O489">
        <v>0</v>
      </c>
      <c r="P489" t="str">
        <f t="shared" si="7"/>
        <v>N</v>
      </c>
      <c r="Q489" t="s">
        <v>6219</v>
      </c>
    </row>
    <row r="490" spans="1:17" x14ac:dyDescent="0.25">
      <c r="A490" t="s">
        <v>3813</v>
      </c>
      <c r="B490" t="s">
        <v>912</v>
      </c>
      <c r="C490">
        <v>2027</v>
      </c>
      <c r="D490" t="s">
        <v>720</v>
      </c>
      <c r="E490" t="s">
        <v>827</v>
      </c>
      <c r="F490" s="32">
        <v>46367</v>
      </c>
      <c r="G490" t="s">
        <v>514</v>
      </c>
      <c r="H490">
        <v>47128216</v>
      </c>
      <c r="I490" t="s">
        <v>2350</v>
      </c>
      <c r="J490" t="s">
        <v>2351</v>
      </c>
      <c r="K490" t="s">
        <v>530</v>
      </c>
      <c r="N490">
        <v>0</v>
      </c>
      <c r="O490">
        <v>0</v>
      </c>
      <c r="P490" t="str">
        <f t="shared" si="7"/>
        <v>N</v>
      </c>
      <c r="Q490" t="s">
        <v>6220</v>
      </c>
    </row>
    <row r="491" spans="1:17" x14ac:dyDescent="0.25">
      <c r="A491" t="s">
        <v>3814</v>
      </c>
      <c r="B491" t="s">
        <v>912</v>
      </c>
      <c r="C491">
        <v>2027</v>
      </c>
      <c r="D491" t="s">
        <v>720</v>
      </c>
      <c r="E491" t="s">
        <v>827</v>
      </c>
      <c r="F491" s="32">
        <v>46367</v>
      </c>
      <c r="G491" t="s">
        <v>514</v>
      </c>
      <c r="H491">
        <v>47128208</v>
      </c>
      <c r="I491" t="s">
        <v>2353</v>
      </c>
      <c r="J491" t="s">
        <v>2354</v>
      </c>
      <c r="K491" t="s">
        <v>530</v>
      </c>
      <c r="N491">
        <v>0</v>
      </c>
      <c r="O491">
        <v>0</v>
      </c>
      <c r="P491" t="str">
        <f t="shared" si="7"/>
        <v>N</v>
      </c>
      <c r="Q491" t="s">
        <v>6221</v>
      </c>
    </row>
    <row r="492" spans="1:17" x14ac:dyDescent="0.25">
      <c r="A492" t="s">
        <v>3815</v>
      </c>
      <c r="B492" t="s">
        <v>912</v>
      </c>
      <c r="C492">
        <v>2027</v>
      </c>
      <c r="D492" t="s">
        <v>720</v>
      </c>
      <c r="E492" t="s">
        <v>827</v>
      </c>
      <c r="F492" s="32">
        <v>46367</v>
      </c>
      <c r="G492" t="s">
        <v>514</v>
      </c>
      <c r="H492">
        <v>47128377</v>
      </c>
      <c r="I492" t="s">
        <v>2362</v>
      </c>
      <c r="J492" t="s">
        <v>2363</v>
      </c>
      <c r="K492" t="s">
        <v>530</v>
      </c>
      <c r="N492">
        <v>40</v>
      </c>
      <c r="O492">
        <v>40</v>
      </c>
      <c r="P492" t="str">
        <f t="shared" si="7"/>
        <v>N</v>
      </c>
      <c r="Q492" t="s">
        <v>6222</v>
      </c>
    </row>
    <row r="493" spans="1:17" x14ac:dyDescent="0.25">
      <c r="A493" t="s">
        <v>3875</v>
      </c>
      <c r="B493" t="s">
        <v>1043</v>
      </c>
      <c r="C493">
        <v>2027</v>
      </c>
      <c r="D493" t="s">
        <v>720</v>
      </c>
      <c r="E493" t="s">
        <v>827</v>
      </c>
      <c r="F493" s="32">
        <v>46367</v>
      </c>
      <c r="G493" t="s">
        <v>514</v>
      </c>
      <c r="H493">
        <v>47128421</v>
      </c>
      <c r="I493" t="s">
        <v>1086</v>
      </c>
      <c r="J493" t="s">
        <v>1085</v>
      </c>
      <c r="K493" t="s">
        <v>530</v>
      </c>
      <c r="N493">
        <v>0</v>
      </c>
      <c r="O493">
        <v>0</v>
      </c>
      <c r="P493" t="str">
        <f t="shared" si="7"/>
        <v>N</v>
      </c>
      <c r="Q493" t="s">
        <v>6223</v>
      </c>
    </row>
    <row r="494" spans="1:17" x14ac:dyDescent="0.25">
      <c r="A494" t="s">
        <v>3876</v>
      </c>
      <c r="B494" t="s">
        <v>1043</v>
      </c>
      <c r="C494">
        <v>2027</v>
      </c>
      <c r="D494" t="s">
        <v>720</v>
      </c>
      <c r="E494" t="s">
        <v>827</v>
      </c>
      <c r="F494" s="32">
        <v>46367</v>
      </c>
      <c r="G494" t="s">
        <v>514</v>
      </c>
      <c r="H494">
        <v>47128364</v>
      </c>
      <c r="I494" t="s">
        <v>1264</v>
      </c>
      <c r="J494" t="s">
        <v>1263</v>
      </c>
      <c r="K494" t="s">
        <v>530</v>
      </c>
      <c r="N494">
        <v>0</v>
      </c>
      <c r="O494">
        <v>0</v>
      </c>
      <c r="P494" t="str">
        <f t="shared" si="7"/>
        <v>N</v>
      </c>
      <c r="Q494" t="s">
        <v>6224</v>
      </c>
    </row>
    <row r="495" spans="1:17" x14ac:dyDescent="0.25">
      <c r="A495" t="s">
        <v>3877</v>
      </c>
      <c r="B495" t="s">
        <v>1043</v>
      </c>
      <c r="C495">
        <v>2027</v>
      </c>
      <c r="D495" t="s">
        <v>720</v>
      </c>
      <c r="E495" t="s">
        <v>827</v>
      </c>
      <c r="F495" s="32">
        <v>46367</v>
      </c>
      <c r="G495" t="s">
        <v>514</v>
      </c>
      <c r="H495">
        <v>47128706</v>
      </c>
      <c r="I495" t="s">
        <v>1201</v>
      </c>
      <c r="J495" t="s">
        <v>1200</v>
      </c>
      <c r="K495" t="s">
        <v>530</v>
      </c>
      <c r="N495">
        <v>0</v>
      </c>
      <c r="O495">
        <v>0</v>
      </c>
      <c r="P495" t="str">
        <f t="shared" si="7"/>
        <v>N</v>
      </c>
      <c r="Q495" t="s">
        <v>6225</v>
      </c>
    </row>
    <row r="496" spans="1:17" x14ac:dyDescent="0.25">
      <c r="A496" t="s">
        <v>3959</v>
      </c>
      <c r="B496" t="s">
        <v>3939</v>
      </c>
      <c r="C496">
        <v>2027</v>
      </c>
      <c r="D496" t="s">
        <v>720</v>
      </c>
      <c r="E496" t="s">
        <v>827</v>
      </c>
      <c r="F496" s="32">
        <v>46367</v>
      </c>
      <c r="G496" t="s">
        <v>514</v>
      </c>
      <c r="H496">
        <v>47140037</v>
      </c>
      <c r="I496" t="s">
        <v>2347</v>
      </c>
      <c r="J496" t="s">
        <v>2348</v>
      </c>
      <c r="K496" t="s">
        <v>530</v>
      </c>
      <c r="N496">
        <v>0</v>
      </c>
      <c r="O496">
        <v>0</v>
      </c>
      <c r="P496" t="str">
        <f t="shared" si="7"/>
        <v>N</v>
      </c>
      <c r="Q496" t="s">
        <v>6226</v>
      </c>
    </row>
    <row r="497" spans="1:17" x14ac:dyDescent="0.25">
      <c r="A497" t="s">
        <v>3960</v>
      </c>
      <c r="B497" t="s">
        <v>3939</v>
      </c>
      <c r="C497">
        <v>2027</v>
      </c>
      <c r="D497" t="s">
        <v>720</v>
      </c>
      <c r="E497" t="s">
        <v>827</v>
      </c>
      <c r="F497" s="32">
        <v>46367</v>
      </c>
      <c r="G497" t="s">
        <v>514</v>
      </c>
      <c r="H497">
        <v>47128216</v>
      </c>
      <c r="I497" t="s">
        <v>2350</v>
      </c>
      <c r="J497" t="s">
        <v>2351</v>
      </c>
      <c r="K497" t="s">
        <v>530</v>
      </c>
      <c r="N497">
        <v>0</v>
      </c>
      <c r="O497">
        <v>0</v>
      </c>
      <c r="P497" t="str">
        <f t="shared" si="7"/>
        <v>N</v>
      </c>
      <c r="Q497" t="s">
        <v>6227</v>
      </c>
    </row>
    <row r="498" spans="1:17" x14ac:dyDescent="0.25">
      <c r="A498" t="s">
        <v>3961</v>
      </c>
      <c r="B498" t="s">
        <v>3939</v>
      </c>
      <c r="C498">
        <v>2027</v>
      </c>
      <c r="D498" t="s">
        <v>720</v>
      </c>
      <c r="E498" t="s">
        <v>827</v>
      </c>
      <c r="F498" s="32">
        <v>46367</v>
      </c>
      <c r="G498" t="s">
        <v>514</v>
      </c>
      <c r="H498">
        <v>47128208</v>
      </c>
      <c r="I498" t="s">
        <v>2353</v>
      </c>
      <c r="J498" t="s">
        <v>2354</v>
      </c>
      <c r="K498" t="s">
        <v>530</v>
      </c>
      <c r="N498">
        <v>0</v>
      </c>
      <c r="O498">
        <v>0</v>
      </c>
      <c r="P498" t="str">
        <f t="shared" si="7"/>
        <v>N</v>
      </c>
      <c r="Q498" t="s">
        <v>6228</v>
      </c>
    </row>
    <row r="499" spans="1:17" x14ac:dyDescent="0.25">
      <c r="A499" t="s">
        <v>3962</v>
      </c>
      <c r="B499" t="s">
        <v>3939</v>
      </c>
      <c r="C499">
        <v>2027</v>
      </c>
      <c r="D499" t="s">
        <v>720</v>
      </c>
      <c r="E499" t="s">
        <v>827</v>
      </c>
      <c r="F499" s="32">
        <v>46367</v>
      </c>
      <c r="G499" t="s">
        <v>514</v>
      </c>
      <c r="H499">
        <v>47128377</v>
      </c>
      <c r="I499" t="s">
        <v>2362</v>
      </c>
      <c r="J499" t="s">
        <v>2363</v>
      </c>
      <c r="K499" t="s">
        <v>530</v>
      </c>
      <c r="N499">
        <v>40</v>
      </c>
      <c r="O499">
        <v>40</v>
      </c>
      <c r="P499" t="str">
        <f t="shared" si="7"/>
        <v>N</v>
      </c>
      <c r="Q499" t="s">
        <v>6229</v>
      </c>
    </row>
    <row r="500" spans="1:17" x14ac:dyDescent="0.25">
      <c r="A500" t="s">
        <v>4046</v>
      </c>
      <c r="B500" t="s">
        <v>1489</v>
      </c>
      <c r="C500">
        <v>2027</v>
      </c>
      <c r="D500" t="s">
        <v>720</v>
      </c>
      <c r="E500" t="s">
        <v>827</v>
      </c>
      <c r="F500" s="32">
        <v>46367</v>
      </c>
      <c r="G500" t="s">
        <v>514</v>
      </c>
      <c r="H500">
        <v>47133720</v>
      </c>
      <c r="I500" t="s">
        <v>1217</v>
      </c>
      <c r="J500" t="s">
        <v>1216</v>
      </c>
      <c r="K500" t="s">
        <v>530</v>
      </c>
      <c r="N500">
        <v>0</v>
      </c>
      <c r="O500">
        <v>0</v>
      </c>
      <c r="P500" t="str">
        <f t="shared" si="7"/>
        <v>N</v>
      </c>
      <c r="Q500" t="s">
        <v>6230</v>
      </c>
    </row>
    <row r="501" spans="1:17" x14ac:dyDescent="0.25">
      <c r="A501" t="s">
        <v>4047</v>
      </c>
      <c r="B501" t="s">
        <v>1489</v>
      </c>
      <c r="C501">
        <v>2027</v>
      </c>
      <c r="D501" t="s">
        <v>720</v>
      </c>
      <c r="E501" t="s">
        <v>827</v>
      </c>
      <c r="F501" s="32">
        <v>46367</v>
      </c>
      <c r="G501" t="s">
        <v>514</v>
      </c>
      <c r="H501">
        <v>47129473</v>
      </c>
      <c r="I501" t="s">
        <v>1430</v>
      </c>
      <c r="J501" t="s">
        <v>1429</v>
      </c>
      <c r="K501" t="s">
        <v>530</v>
      </c>
      <c r="N501">
        <v>0</v>
      </c>
      <c r="O501">
        <v>0</v>
      </c>
      <c r="P501" t="str">
        <f t="shared" si="7"/>
        <v>N</v>
      </c>
      <c r="Q501" t="s">
        <v>6231</v>
      </c>
    </row>
    <row r="502" spans="1:17" x14ac:dyDescent="0.25">
      <c r="A502" t="s">
        <v>4048</v>
      </c>
      <c r="B502" t="s">
        <v>1489</v>
      </c>
      <c r="C502">
        <v>2027</v>
      </c>
      <c r="D502" t="s">
        <v>720</v>
      </c>
      <c r="E502" t="s">
        <v>827</v>
      </c>
      <c r="F502" s="32">
        <v>46367</v>
      </c>
      <c r="G502" t="s">
        <v>514</v>
      </c>
      <c r="H502">
        <v>47127948</v>
      </c>
      <c r="I502" t="s">
        <v>1247</v>
      </c>
      <c r="J502" t="s">
        <v>1246</v>
      </c>
      <c r="K502" t="s">
        <v>530</v>
      </c>
      <c r="N502">
        <v>0</v>
      </c>
      <c r="O502">
        <v>0</v>
      </c>
      <c r="P502" t="str">
        <f t="shared" si="7"/>
        <v>N</v>
      </c>
      <c r="Q502" t="s">
        <v>6232</v>
      </c>
    </row>
    <row r="503" spans="1:17" x14ac:dyDescent="0.25">
      <c r="A503" t="s">
        <v>4049</v>
      </c>
      <c r="B503" t="s">
        <v>1489</v>
      </c>
      <c r="C503">
        <v>2027</v>
      </c>
      <c r="D503" t="s">
        <v>720</v>
      </c>
      <c r="E503" t="s">
        <v>827</v>
      </c>
      <c r="F503" s="32">
        <v>46367</v>
      </c>
      <c r="G503" t="s">
        <v>514</v>
      </c>
      <c r="H503">
        <v>47128787</v>
      </c>
      <c r="I503" t="s">
        <v>1453</v>
      </c>
      <c r="J503" t="s">
        <v>1452</v>
      </c>
      <c r="K503" t="s">
        <v>530</v>
      </c>
      <c r="N503">
        <v>0</v>
      </c>
      <c r="O503">
        <v>0</v>
      </c>
      <c r="P503" t="str">
        <f t="shared" si="7"/>
        <v>N</v>
      </c>
      <c r="Q503" t="s">
        <v>6233</v>
      </c>
    </row>
    <row r="504" spans="1:17" x14ac:dyDescent="0.25">
      <c r="A504" t="s">
        <v>4050</v>
      </c>
      <c r="B504" t="s">
        <v>1489</v>
      </c>
      <c r="C504">
        <v>2027</v>
      </c>
      <c r="D504" t="s">
        <v>720</v>
      </c>
      <c r="E504" t="s">
        <v>827</v>
      </c>
      <c r="F504" s="32">
        <v>46367</v>
      </c>
      <c r="G504" t="s">
        <v>514</v>
      </c>
      <c r="H504">
        <v>47128977</v>
      </c>
      <c r="I504" t="s">
        <v>1449</v>
      </c>
      <c r="J504" t="s">
        <v>1448</v>
      </c>
      <c r="K504" t="s">
        <v>530</v>
      </c>
      <c r="N504">
        <v>4</v>
      </c>
      <c r="O504">
        <v>4</v>
      </c>
      <c r="P504" t="str">
        <f t="shared" si="7"/>
        <v>N</v>
      </c>
      <c r="Q504" t="s">
        <v>6234</v>
      </c>
    </row>
    <row r="505" spans="1:17" x14ac:dyDescent="0.25">
      <c r="A505" t="s">
        <v>4147</v>
      </c>
      <c r="B505" t="s">
        <v>916</v>
      </c>
      <c r="C505">
        <v>2027</v>
      </c>
      <c r="D505" t="s">
        <v>720</v>
      </c>
      <c r="E505" t="s">
        <v>827</v>
      </c>
      <c r="F505" s="32">
        <v>46367</v>
      </c>
      <c r="G505" t="s">
        <v>514</v>
      </c>
      <c r="H505">
        <v>47128421</v>
      </c>
      <c r="I505" t="s">
        <v>1086</v>
      </c>
      <c r="J505" t="s">
        <v>1085</v>
      </c>
      <c r="K505" t="s">
        <v>530</v>
      </c>
      <c r="N505">
        <v>40</v>
      </c>
      <c r="O505">
        <v>40</v>
      </c>
      <c r="P505" t="str">
        <f t="shared" si="7"/>
        <v>N</v>
      </c>
      <c r="Q505" t="s">
        <v>6235</v>
      </c>
    </row>
    <row r="506" spans="1:17" x14ac:dyDescent="0.25">
      <c r="A506" t="s">
        <v>4148</v>
      </c>
      <c r="B506" t="s">
        <v>916</v>
      </c>
      <c r="C506">
        <v>2027</v>
      </c>
      <c r="D506" t="s">
        <v>720</v>
      </c>
      <c r="E506" t="s">
        <v>827</v>
      </c>
      <c r="F506" s="32">
        <v>46367</v>
      </c>
      <c r="G506" t="s">
        <v>514</v>
      </c>
      <c r="H506">
        <v>47128706</v>
      </c>
      <c r="I506" t="s">
        <v>1201</v>
      </c>
      <c r="J506" t="s">
        <v>1200</v>
      </c>
      <c r="K506" t="s">
        <v>530</v>
      </c>
      <c r="N506">
        <v>0</v>
      </c>
      <c r="O506">
        <v>0</v>
      </c>
      <c r="P506" t="str">
        <f t="shared" si="7"/>
        <v>N</v>
      </c>
      <c r="Q506" t="s">
        <v>6236</v>
      </c>
    </row>
    <row r="507" spans="1:17" x14ac:dyDescent="0.25">
      <c r="A507" t="s">
        <v>4149</v>
      </c>
      <c r="B507" t="s">
        <v>916</v>
      </c>
      <c r="C507">
        <v>2027</v>
      </c>
      <c r="D507" t="s">
        <v>720</v>
      </c>
      <c r="E507" t="s">
        <v>827</v>
      </c>
      <c r="F507" s="32">
        <v>46367</v>
      </c>
      <c r="G507" t="s">
        <v>514</v>
      </c>
      <c r="H507">
        <v>47128364</v>
      </c>
      <c r="I507" t="s">
        <v>1264</v>
      </c>
      <c r="J507" t="s">
        <v>1263</v>
      </c>
      <c r="K507" t="s">
        <v>530</v>
      </c>
      <c r="N507">
        <v>0</v>
      </c>
      <c r="O507">
        <v>0</v>
      </c>
      <c r="P507" t="str">
        <f t="shared" si="7"/>
        <v>N</v>
      </c>
      <c r="Q507" t="s">
        <v>6237</v>
      </c>
    </row>
    <row r="508" spans="1:17" x14ac:dyDescent="0.25">
      <c r="A508" t="s">
        <v>4150</v>
      </c>
      <c r="B508" t="s">
        <v>916</v>
      </c>
      <c r="C508">
        <v>2027</v>
      </c>
      <c r="D508" t="s">
        <v>720</v>
      </c>
      <c r="E508" t="s">
        <v>827</v>
      </c>
      <c r="F508" s="32">
        <v>46367</v>
      </c>
      <c r="G508" t="s">
        <v>514</v>
      </c>
      <c r="H508">
        <v>47128633</v>
      </c>
      <c r="I508" t="s">
        <v>1164</v>
      </c>
      <c r="J508" t="s">
        <v>1163</v>
      </c>
      <c r="K508" t="s">
        <v>530</v>
      </c>
      <c r="N508">
        <v>0</v>
      </c>
      <c r="O508">
        <v>0</v>
      </c>
      <c r="P508" t="str">
        <f t="shared" si="7"/>
        <v>N</v>
      </c>
      <c r="Q508" t="s">
        <v>6238</v>
      </c>
    </row>
    <row r="509" spans="1:17" x14ac:dyDescent="0.25">
      <c r="A509" t="s">
        <v>4151</v>
      </c>
      <c r="B509" t="s">
        <v>916</v>
      </c>
      <c r="C509">
        <v>2027</v>
      </c>
      <c r="D509" t="s">
        <v>720</v>
      </c>
      <c r="E509" t="s">
        <v>827</v>
      </c>
      <c r="F509" s="32">
        <v>46367</v>
      </c>
      <c r="G509" t="s">
        <v>514</v>
      </c>
      <c r="H509">
        <v>47128046</v>
      </c>
      <c r="I509" t="s">
        <v>1389</v>
      </c>
      <c r="J509" t="s">
        <v>1388</v>
      </c>
      <c r="K509" t="s">
        <v>530</v>
      </c>
      <c r="N509">
        <v>0</v>
      </c>
      <c r="O509">
        <v>0</v>
      </c>
      <c r="P509" t="str">
        <f t="shared" si="7"/>
        <v>N</v>
      </c>
      <c r="Q509" t="s">
        <v>6239</v>
      </c>
    </row>
    <row r="510" spans="1:17" x14ac:dyDescent="0.25">
      <c r="A510" t="s">
        <v>4152</v>
      </c>
      <c r="B510" t="s">
        <v>916</v>
      </c>
      <c r="C510">
        <v>2027</v>
      </c>
      <c r="D510" t="s">
        <v>720</v>
      </c>
      <c r="E510" t="s">
        <v>827</v>
      </c>
      <c r="F510" s="32">
        <v>46367</v>
      </c>
      <c r="G510" t="s">
        <v>514</v>
      </c>
      <c r="H510">
        <v>47128570</v>
      </c>
      <c r="I510" t="s">
        <v>1491</v>
      </c>
      <c r="J510" t="s">
        <v>1490</v>
      </c>
      <c r="K510" t="s">
        <v>530</v>
      </c>
      <c r="N510">
        <v>0</v>
      </c>
      <c r="O510">
        <v>0</v>
      </c>
      <c r="P510" t="str">
        <f t="shared" si="7"/>
        <v>N</v>
      </c>
      <c r="Q510" t="s">
        <v>6240</v>
      </c>
    </row>
    <row r="511" spans="1:17" x14ac:dyDescent="0.25">
      <c r="A511" t="s">
        <v>4153</v>
      </c>
      <c r="B511" t="s">
        <v>916</v>
      </c>
      <c r="C511">
        <v>2027</v>
      </c>
      <c r="D511" t="s">
        <v>720</v>
      </c>
      <c r="E511" t="s">
        <v>827</v>
      </c>
      <c r="F511" s="32">
        <v>46367</v>
      </c>
      <c r="G511" t="s">
        <v>514</v>
      </c>
      <c r="H511">
        <v>47128355</v>
      </c>
      <c r="I511" t="s">
        <v>964</v>
      </c>
      <c r="J511" t="s">
        <v>963</v>
      </c>
      <c r="K511" t="s">
        <v>530</v>
      </c>
      <c r="N511">
        <v>0</v>
      </c>
      <c r="O511">
        <v>0</v>
      </c>
      <c r="P511" t="str">
        <f t="shared" si="7"/>
        <v>N</v>
      </c>
      <c r="Q511" t="s">
        <v>6241</v>
      </c>
    </row>
    <row r="512" spans="1:17" x14ac:dyDescent="0.25">
      <c r="A512" t="s">
        <v>4154</v>
      </c>
      <c r="B512" t="s">
        <v>916</v>
      </c>
      <c r="C512">
        <v>2027</v>
      </c>
      <c r="D512" t="s">
        <v>720</v>
      </c>
      <c r="E512" t="s">
        <v>827</v>
      </c>
      <c r="F512" s="32">
        <v>46367</v>
      </c>
      <c r="G512" t="s">
        <v>514</v>
      </c>
      <c r="H512">
        <v>47129548</v>
      </c>
      <c r="I512" t="s">
        <v>1340</v>
      </c>
      <c r="J512" t="s">
        <v>1339</v>
      </c>
      <c r="K512" t="s">
        <v>530</v>
      </c>
      <c r="N512">
        <v>40</v>
      </c>
      <c r="O512">
        <v>40</v>
      </c>
      <c r="P512" t="str">
        <f t="shared" si="7"/>
        <v>N</v>
      </c>
      <c r="Q512" t="s">
        <v>6242</v>
      </c>
    </row>
    <row r="513" spans="1:17" x14ac:dyDescent="0.25">
      <c r="A513" t="s">
        <v>4466</v>
      </c>
      <c r="B513" t="s">
        <v>4445</v>
      </c>
      <c r="C513">
        <v>2027</v>
      </c>
      <c r="D513" t="s">
        <v>720</v>
      </c>
      <c r="E513" t="s">
        <v>827</v>
      </c>
      <c r="F513" s="32">
        <v>46367</v>
      </c>
      <c r="G513" t="s">
        <v>514</v>
      </c>
      <c r="H513">
        <v>47129711</v>
      </c>
      <c r="I513" t="s">
        <v>4446</v>
      </c>
      <c r="J513" t="s">
        <v>4447</v>
      </c>
      <c r="K513" t="s">
        <v>530</v>
      </c>
      <c r="N513">
        <v>20</v>
      </c>
      <c r="O513">
        <v>20</v>
      </c>
      <c r="P513" t="str">
        <f t="shared" si="7"/>
        <v>N</v>
      </c>
      <c r="Q513" t="s">
        <v>6243</v>
      </c>
    </row>
    <row r="514" spans="1:17" x14ac:dyDescent="0.25">
      <c r="A514" t="s">
        <v>4467</v>
      </c>
      <c r="B514" t="s">
        <v>4445</v>
      </c>
      <c r="C514">
        <v>2027</v>
      </c>
      <c r="D514" t="s">
        <v>720</v>
      </c>
      <c r="E514" t="s">
        <v>827</v>
      </c>
      <c r="F514" s="32">
        <v>46367</v>
      </c>
      <c r="G514" t="s">
        <v>514</v>
      </c>
      <c r="H514">
        <v>47129228</v>
      </c>
      <c r="I514" t="s">
        <v>4449</v>
      </c>
      <c r="J514" t="s">
        <v>4450</v>
      </c>
      <c r="K514" t="s">
        <v>530</v>
      </c>
      <c r="N514">
        <v>20</v>
      </c>
      <c r="O514">
        <v>20</v>
      </c>
      <c r="P514" t="str">
        <f t="shared" si="7"/>
        <v>N</v>
      </c>
      <c r="Q514" t="s">
        <v>6244</v>
      </c>
    </row>
    <row r="515" spans="1:17" x14ac:dyDescent="0.25">
      <c r="A515" t="s">
        <v>4539</v>
      </c>
      <c r="B515" t="s">
        <v>1044</v>
      </c>
      <c r="C515">
        <v>2027</v>
      </c>
      <c r="D515" t="s">
        <v>720</v>
      </c>
      <c r="E515" t="s">
        <v>827</v>
      </c>
      <c r="F515" s="32">
        <v>46367</v>
      </c>
      <c r="G515" t="s">
        <v>514</v>
      </c>
      <c r="H515">
        <v>47133720</v>
      </c>
      <c r="I515" t="s">
        <v>1217</v>
      </c>
      <c r="J515" t="s">
        <v>1216</v>
      </c>
      <c r="K515" t="s">
        <v>530</v>
      </c>
      <c r="N515">
        <v>40</v>
      </c>
      <c r="O515">
        <v>40</v>
      </c>
      <c r="P515" t="str">
        <f t="shared" ref="P515:P578" si="8">IF(N515=O515,"N","Y")</f>
        <v>N</v>
      </c>
      <c r="Q515" t="s">
        <v>6245</v>
      </c>
    </row>
    <row r="516" spans="1:17" x14ac:dyDescent="0.25">
      <c r="A516" t="s">
        <v>4540</v>
      </c>
      <c r="B516" t="s">
        <v>1044</v>
      </c>
      <c r="C516">
        <v>2027</v>
      </c>
      <c r="D516" t="s">
        <v>720</v>
      </c>
      <c r="E516" t="s">
        <v>827</v>
      </c>
      <c r="F516" s="32">
        <v>46367</v>
      </c>
      <c r="G516" t="s">
        <v>514</v>
      </c>
      <c r="H516">
        <v>47129473</v>
      </c>
      <c r="I516" t="s">
        <v>1430</v>
      </c>
      <c r="J516" t="s">
        <v>1429</v>
      </c>
      <c r="K516" t="s">
        <v>530</v>
      </c>
      <c r="N516">
        <v>0</v>
      </c>
      <c r="O516">
        <v>0</v>
      </c>
      <c r="P516" t="str">
        <f t="shared" si="8"/>
        <v>N</v>
      </c>
      <c r="Q516" t="s">
        <v>6246</v>
      </c>
    </row>
    <row r="517" spans="1:17" x14ac:dyDescent="0.25">
      <c r="A517" t="s">
        <v>4541</v>
      </c>
      <c r="B517" t="s">
        <v>1044</v>
      </c>
      <c r="C517">
        <v>2027</v>
      </c>
      <c r="D517" t="s">
        <v>720</v>
      </c>
      <c r="E517" t="s">
        <v>827</v>
      </c>
      <c r="F517" s="32">
        <v>46367</v>
      </c>
      <c r="G517" t="s">
        <v>514</v>
      </c>
      <c r="H517">
        <v>47128490</v>
      </c>
      <c r="I517" t="s">
        <v>1254</v>
      </c>
      <c r="J517" t="s">
        <v>1253</v>
      </c>
      <c r="K517" t="s">
        <v>530</v>
      </c>
      <c r="N517">
        <v>0</v>
      </c>
      <c r="O517">
        <v>0</v>
      </c>
      <c r="P517" t="str">
        <f t="shared" si="8"/>
        <v>N</v>
      </c>
      <c r="Q517" t="s">
        <v>6247</v>
      </c>
    </row>
    <row r="518" spans="1:17" x14ac:dyDescent="0.25">
      <c r="A518" t="s">
        <v>4542</v>
      </c>
      <c r="B518" t="s">
        <v>1044</v>
      </c>
      <c r="C518">
        <v>2027</v>
      </c>
      <c r="D518" t="s">
        <v>720</v>
      </c>
      <c r="E518" t="s">
        <v>827</v>
      </c>
      <c r="F518" s="32">
        <v>46367</v>
      </c>
      <c r="G518" t="s">
        <v>514</v>
      </c>
      <c r="H518">
        <v>47127948</v>
      </c>
      <c r="I518" t="s">
        <v>1247</v>
      </c>
      <c r="J518" t="s">
        <v>1246</v>
      </c>
      <c r="K518" t="s">
        <v>530</v>
      </c>
      <c r="N518">
        <v>0</v>
      </c>
      <c r="O518">
        <v>0</v>
      </c>
      <c r="P518" t="str">
        <f t="shared" si="8"/>
        <v>N</v>
      </c>
      <c r="Q518" t="s">
        <v>6248</v>
      </c>
    </row>
    <row r="519" spans="1:17" x14ac:dyDescent="0.25">
      <c r="A519" t="s">
        <v>4543</v>
      </c>
      <c r="B519" t="s">
        <v>1044</v>
      </c>
      <c r="C519">
        <v>2027</v>
      </c>
      <c r="D519" t="s">
        <v>720</v>
      </c>
      <c r="E519" t="s">
        <v>827</v>
      </c>
      <c r="F519" s="32">
        <v>46367</v>
      </c>
      <c r="G519" t="s">
        <v>514</v>
      </c>
      <c r="H519">
        <v>47128710</v>
      </c>
      <c r="I519" t="s">
        <v>1189</v>
      </c>
      <c r="J519" t="s">
        <v>1188</v>
      </c>
      <c r="K519" t="s">
        <v>530</v>
      </c>
      <c r="N519">
        <v>0</v>
      </c>
      <c r="O519">
        <v>0</v>
      </c>
      <c r="P519" t="str">
        <f t="shared" si="8"/>
        <v>N</v>
      </c>
      <c r="Q519" t="s">
        <v>6249</v>
      </c>
    </row>
    <row r="520" spans="1:17" x14ac:dyDescent="0.25">
      <c r="A520" t="s">
        <v>4544</v>
      </c>
      <c r="B520" t="s">
        <v>1044</v>
      </c>
      <c r="C520">
        <v>2027</v>
      </c>
      <c r="D520" t="s">
        <v>720</v>
      </c>
      <c r="E520" t="s">
        <v>827</v>
      </c>
      <c r="F520" s="32">
        <v>46367</v>
      </c>
      <c r="G520" t="s">
        <v>514</v>
      </c>
      <c r="H520">
        <v>47128833</v>
      </c>
      <c r="I520" t="s">
        <v>1193</v>
      </c>
      <c r="J520" t="s">
        <v>1192</v>
      </c>
      <c r="K520" t="s">
        <v>530</v>
      </c>
      <c r="N520">
        <v>0</v>
      </c>
      <c r="O520">
        <v>0</v>
      </c>
      <c r="P520" t="str">
        <f t="shared" si="8"/>
        <v>N</v>
      </c>
      <c r="Q520" t="s">
        <v>6250</v>
      </c>
    </row>
    <row r="521" spans="1:17" x14ac:dyDescent="0.25">
      <c r="A521" t="s">
        <v>4545</v>
      </c>
      <c r="B521" t="s">
        <v>1044</v>
      </c>
      <c r="C521">
        <v>2027</v>
      </c>
      <c r="D521" t="s">
        <v>720</v>
      </c>
      <c r="E521" t="s">
        <v>827</v>
      </c>
      <c r="F521" s="32">
        <v>46367</v>
      </c>
      <c r="G521" t="s">
        <v>514</v>
      </c>
      <c r="H521">
        <v>47128784</v>
      </c>
      <c r="I521" t="s">
        <v>1426</v>
      </c>
      <c r="J521" t="s">
        <v>1425</v>
      </c>
      <c r="K521" t="s">
        <v>530</v>
      </c>
      <c r="N521">
        <v>0</v>
      </c>
      <c r="O521">
        <v>0</v>
      </c>
      <c r="P521" t="str">
        <f t="shared" si="8"/>
        <v>N</v>
      </c>
      <c r="Q521" t="s">
        <v>6251</v>
      </c>
    </row>
    <row r="522" spans="1:17" x14ac:dyDescent="0.25">
      <c r="A522" t="s">
        <v>4546</v>
      </c>
      <c r="B522" t="s">
        <v>1044</v>
      </c>
      <c r="C522">
        <v>2027</v>
      </c>
      <c r="D522" t="s">
        <v>720</v>
      </c>
      <c r="E522" t="s">
        <v>827</v>
      </c>
      <c r="F522" s="32">
        <v>46367</v>
      </c>
      <c r="G522" t="s">
        <v>514</v>
      </c>
      <c r="H522">
        <v>47129020</v>
      </c>
      <c r="I522" t="s">
        <v>1058</v>
      </c>
      <c r="J522" t="s">
        <v>1057</v>
      </c>
      <c r="K522" t="s">
        <v>530</v>
      </c>
      <c r="N522">
        <v>0</v>
      </c>
      <c r="O522">
        <v>0</v>
      </c>
      <c r="P522" t="str">
        <f t="shared" si="8"/>
        <v>N</v>
      </c>
      <c r="Q522" t="s">
        <v>6252</v>
      </c>
    </row>
    <row r="523" spans="1:17" x14ac:dyDescent="0.25">
      <c r="A523" t="s">
        <v>4808</v>
      </c>
      <c r="B523" t="s">
        <v>1090</v>
      </c>
      <c r="C523">
        <v>2027</v>
      </c>
      <c r="D523" t="s">
        <v>720</v>
      </c>
      <c r="E523" t="s">
        <v>827</v>
      </c>
      <c r="F523" s="32">
        <v>46367</v>
      </c>
      <c r="G523" t="s">
        <v>514</v>
      </c>
      <c r="H523">
        <v>47128353</v>
      </c>
      <c r="I523" t="s">
        <v>982</v>
      </c>
      <c r="J523" t="s">
        <v>981</v>
      </c>
      <c r="K523" t="s">
        <v>530</v>
      </c>
      <c r="N523">
        <v>0</v>
      </c>
      <c r="O523">
        <v>0</v>
      </c>
      <c r="P523" t="str">
        <f t="shared" si="8"/>
        <v>N</v>
      </c>
      <c r="Q523" t="s">
        <v>6253</v>
      </c>
    </row>
    <row r="524" spans="1:17" x14ac:dyDescent="0.25">
      <c r="A524" t="s">
        <v>4809</v>
      </c>
      <c r="B524" t="s">
        <v>1090</v>
      </c>
      <c r="C524">
        <v>2027</v>
      </c>
      <c r="D524" t="s">
        <v>720</v>
      </c>
      <c r="E524" t="s">
        <v>827</v>
      </c>
      <c r="F524" s="32">
        <v>46367</v>
      </c>
      <c r="G524" t="s">
        <v>514</v>
      </c>
      <c r="H524">
        <v>47128350</v>
      </c>
      <c r="I524" t="s">
        <v>1032</v>
      </c>
      <c r="J524" t="s">
        <v>1031</v>
      </c>
      <c r="K524" t="s">
        <v>530</v>
      </c>
      <c r="N524">
        <v>0</v>
      </c>
      <c r="O524">
        <v>0</v>
      </c>
      <c r="P524" t="str">
        <f t="shared" si="8"/>
        <v>N</v>
      </c>
      <c r="Q524" t="s">
        <v>6254</v>
      </c>
    </row>
    <row r="525" spans="1:17" x14ac:dyDescent="0.25">
      <c r="A525" t="s">
        <v>4810</v>
      </c>
      <c r="B525" t="s">
        <v>1090</v>
      </c>
      <c r="C525">
        <v>2027</v>
      </c>
      <c r="D525" t="s">
        <v>720</v>
      </c>
      <c r="E525" t="s">
        <v>827</v>
      </c>
      <c r="F525" s="32">
        <v>46367</v>
      </c>
      <c r="G525" t="s">
        <v>514</v>
      </c>
      <c r="H525">
        <v>47128349</v>
      </c>
      <c r="I525" t="s">
        <v>975</v>
      </c>
      <c r="J525" t="s">
        <v>974</v>
      </c>
      <c r="K525" t="s">
        <v>530</v>
      </c>
      <c r="N525">
        <v>0</v>
      </c>
      <c r="O525">
        <v>0</v>
      </c>
      <c r="P525" t="str">
        <f t="shared" si="8"/>
        <v>N</v>
      </c>
      <c r="Q525" t="s">
        <v>6255</v>
      </c>
    </row>
    <row r="526" spans="1:17" x14ac:dyDescent="0.25">
      <c r="A526" t="s">
        <v>4811</v>
      </c>
      <c r="B526" t="s">
        <v>1090</v>
      </c>
      <c r="C526">
        <v>2027</v>
      </c>
      <c r="D526" t="s">
        <v>720</v>
      </c>
      <c r="E526" t="s">
        <v>827</v>
      </c>
      <c r="F526" s="32">
        <v>46367</v>
      </c>
      <c r="G526" t="s">
        <v>514</v>
      </c>
      <c r="H526">
        <v>47128824</v>
      </c>
      <c r="I526" t="s">
        <v>1296</v>
      </c>
      <c r="J526" t="s">
        <v>1295</v>
      </c>
      <c r="K526" t="s">
        <v>530</v>
      </c>
      <c r="N526">
        <v>40</v>
      </c>
      <c r="O526">
        <v>40</v>
      </c>
      <c r="P526" t="str">
        <f t="shared" si="8"/>
        <v>N</v>
      </c>
      <c r="Q526" t="s">
        <v>6256</v>
      </c>
    </row>
    <row r="527" spans="1:17" x14ac:dyDescent="0.25">
      <c r="A527" t="s">
        <v>4812</v>
      </c>
      <c r="B527" t="s">
        <v>1090</v>
      </c>
      <c r="C527">
        <v>2027</v>
      </c>
      <c r="D527" t="s">
        <v>720</v>
      </c>
      <c r="E527" t="s">
        <v>827</v>
      </c>
      <c r="F527" s="32">
        <v>46367</v>
      </c>
      <c r="G527" t="s">
        <v>514</v>
      </c>
      <c r="H527">
        <v>47128525</v>
      </c>
      <c r="I527" t="s">
        <v>1001</v>
      </c>
      <c r="J527" t="s">
        <v>1000</v>
      </c>
      <c r="K527" t="s">
        <v>530</v>
      </c>
      <c r="N527">
        <v>0</v>
      </c>
      <c r="O527">
        <v>0</v>
      </c>
      <c r="P527" t="str">
        <f t="shared" si="8"/>
        <v>N</v>
      </c>
      <c r="Q527" t="s">
        <v>6257</v>
      </c>
    </row>
    <row r="528" spans="1:17" x14ac:dyDescent="0.25">
      <c r="A528" t="s">
        <v>4813</v>
      </c>
      <c r="B528" t="s">
        <v>1090</v>
      </c>
      <c r="C528">
        <v>2027</v>
      </c>
      <c r="D528" t="s">
        <v>720</v>
      </c>
      <c r="E528" t="s">
        <v>827</v>
      </c>
      <c r="F528" s="32">
        <v>46367</v>
      </c>
      <c r="G528" t="s">
        <v>514</v>
      </c>
      <c r="H528">
        <v>47128477</v>
      </c>
      <c r="I528" t="s">
        <v>1029</v>
      </c>
      <c r="J528" t="s">
        <v>1028</v>
      </c>
      <c r="K528" t="s">
        <v>530</v>
      </c>
      <c r="N528">
        <v>0</v>
      </c>
      <c r="O528">
        <v>0</v>
      </c>
      <c r="P528" t="str">
        <f t="shared" si="8"/>
        <v>N</v>
      </c>
      <c r="Q528" t="s">
        <v>6258</v>
      </c>
    </row>
    <row r="529" spans="1:17" x14ac:dyDescent="0.25">
      <c r="A529" t="s">
        <v>5212</v>
      </c>
      <c r="B529" t="s">
        <v>1089</v>
      </c>
      <c r="C529">
        <v>2027</v>
      </c>
      <c r="D529" t="s">
        <v>720</v>
      </c>
      <c r="E529" t="s">
        <v>827</v>
      </c>
      <c r="F529" s="32">
        <v>46367</v>
      </c>
      <c r="G529" t="s">
        <v>514</v>
      </c>
      <c r="H529">
        <v>47128421</v>
      </c>
      <c r="I529" t="s">
        <v>1086</v>
      </c>
      <c r="J529" t="s">
        <v>1085</v>
      </c>
      <c r="K529" t="s">
        <v>530</v>
      </c>
      <c r="N529">
        <v>40</v>
      </c>
      <c r="O529">
        <v>40</v>
      </c>
      <c r="P529" t="str">
        <f t="shared" si="8"/>
        <v>N</v>
      </c>
      <c r="Q529" t="s">
        <v>6259</v>
      </c>
    </row>
    <row r="530" spans="1:17" x14ac:dyDescent="0.25">
      <c r="A530" t="s">
        <v>5213</v>
      </c>
      <c r="B530" t="s">
        <v>1089</v>
      </c>
      <c r="C530">
        <v>2027</v>
      </c>
      <c r="D530" t="s">
        <v>720</v>
      </c>
      <c r="E530" t="s">
        <v>827</v>
      </c>
      <c r="F530" s="32">
        <v>46367</v>
      </c>
      <c r="G530" t="s">
        <v>514</v>
      </c>
      <c r="H530">
        <v>47128706</v>
      </c>
      <c r="I530" t="s">
        <v>1201</v>
      </c>
      <c r="J530" t="s">
        <v>1200</v>
      </c>
      <c r="K530" t="s">
        <v>530</v>
      </c>
      <c r="N530">
        <v>0</v>
      </c>
      <c r="O530">
        <v>0</v>
      </c>
      <c r="P530" t="str">
        <f t="shared" si="8"/>
        <v>N</v>
      </c>
      <c r="Q530" t="s">
        <v>6260</v>
      </c>
    </row>
    <row r="531" spans="1:17" x14ac:dyDescent="0.25">
      <c r="A531" t="s">
        <v>5214</v>
      </c>
      <c r="B531" t="s">
        <v>1089</v>
      </c>
      <c r="C531">
        <v>2027</v>
      </c>
      <c r="D531" t="s">
        <v>720</v>
      </c>
      <c r="E531" t="s">
        <v>827</v>
      </c>
      <c r="F531" s="32">
        <v>46367</v>
      </c>
      <c r="G531" t="s">
        <v>514</v>
      </c>
      <c r="H531">
        <v>47128364</v>
      </c>
      <c r="I531" t="s">
        <v>1264</v>
      </c>
      <c r="J531" t="s">
        <v>1263</v>
      </c>
      <c r="K531" t="s">
        <v>530</v>
      </c>
      <c r="N531">
        <v>0</v>
      </c>
      <c r="O531">
        <v>0</v>
      </c>
      <c r="P531" t="str">
        <f t="shared" si="8"/>
        <v>N</v>
      </c>
      <c r="Q531" t="s">
        <v>6261</v>
      </c>
    </row>
    <row r="532" spans="1:17" x14ac:dyDescent="0.25">
      <c r="A532" t="s">
        <v>5215</v>
      </c>
      <c r="B532" t="s">
        <v>1089</v>
      </c>
      <c r="C532">
        <v>2027</v>
      </c>
      <c r="D532" t="s">
        <v>720</v>
      </c>
      <c r="E532" t="s">
        <v>827</v>
      </c>
      <c r="F532" s="32">
        <v>46367</v>
      </c>
      <c r="G532" t="s">
        <v>514</v>
      </c>
      <c r="H532">
        <v>47128633</v>
      </c>
      <c r="I532" t="s">
        <v>1164</v>
      </c>
      <c r="J532" t="s">
        <v>1163</v>
      </c>
      <c r="K532" t="s">
        <v>530</v>
      </c>
      <c r="N532">
        <v>0</v>
      </c>
      <c r="O532">
        <v>0</v>
      </c>
      <c r="P532" t="str">
        <f t="shared" si="8"/>
        <v>N</v>
      </c>
      <c r="Q532" t="s">
        <v>6262</v>
      </c>
    </row>
    <row r="533" spans="1:17" x14ac:dyDescent="0.25">
      <c r="A533" t="s">
        <v>5216</v>
      </c>
      <c r="B533" t="s">
        <v>1089</v>
      </c>
      <c r="C533">
        <v>2027</v>
      </c>
      <c r="D533" t="s">
        <v>720</v>
      </c>
      <c r="E533" t="s">
        <v>827</v>
      </c>
      <c r="F533" s="32">
        <v>46367</v>
      </c>
      <c r="G533" t="s">
        <v>514</v>
      </c>
      <c r="H533">
        <v>47128046</v>
      </c>
      <c r="I533" t="s">
        <v>1389</v>
      </c>
      <c r="J533" t="s">
        <v>1388</v>
      </c>
      <c r="K533" t="s">
        <v>530</v>
      </c>
      <c r="N533">
        <v>0</v>
      </c>
      <c r="O533">
        <v>0</v>
      </c>
      <c r="P533" t="str">
        <f t="shared" si="8"/>
        <v>N</v>
      </c>
      <c r="Q533" t="s">
        <v>6263</v>
      </c>
    </row>
    <row r="534" spans="1:17" x14ac:dyDescent="0.25">
      <c r="A534" t="s">
        <v>5217</v>
      </c>
      <c r="B534" t="s">
        <v>1089</v>
      </c>
      <c r="C534">
        <v>2027</v>
      </c>
      <c r="D534" t="s">
        <v>720</v>
      </c>
      <c r="E534" t="s">
        <v>827</v>
      </c>
      <c r="F534" s="32">
        <v>46367</v>
      </c>
      <c r="G534" t="s">
        <v>514</v>
      </c>
      <c r="H534">
        <v>47129548</v>
      </c>
      <c r="I534" t="s">
        <v>1340</v>
      </c>
      <c r="J534" t="s">
        <v>1339</v>
      </c>
      <c r="K534" t="s">
        <v>530</v>
      </c>
      <c r="N534">
        <v>40</v>
      </c>
      <c r="O534">
        <v>40</v>
      </c>
      <c r="P534" t="str">
        <f t="shared" si="8"/>
        <v>N</v>
      </c>
      <c r="Q534" t="s">
        <v>6264</v>
      </c>
    </row>
    <row r="535" spans="1:17" x14ac:dyDescent="0.25">
      <c r="A535" t="s">
        <v>5472</v>
      </c>
      <c r="B535" t="s">
        <v>5437</v>
      </c>
      <c r="C535">
        <v>2027</v>
      </c>
      <c r="D535" t="s">
        <v>720</v>
      </c>
      <c r="E535" t="s">
        <v>827</v>
      </c>
      <c r="F535" s="32">
        <v>46367</v>
      </c>
      <c r="G535" t="s">
        <v>514</v>
      </c>
      <c r="H535">
        <v>47129473</v>
      </c>
      <c r="I535" t="s">
        <v>1430</v>
      </c>
      <c r="J535" t="s">
        <v>1429</v>
      </c>
      <c r="K535" t="s">
        <v>530</v>
      </c>
      <c r="N535">
        <v>0</v>
      </c>
      <c r="O535">
        <v>0</v>
      </c>
      <c r="P535" t="str">
        <f t="shared" si="8"/>
        <v>N</v>
      </c>
      <c r="Q535" t="s">
        <v>6265</v>
      </c>
    </row>
    <row r="536" spans="1:17" x14ac:dyDescent="0.25">
      <c r="A536" t="s">
        <v>5473</v>
      </c>
      <c r="B536" t="s">
        <v>5437</v>
      </c>
      <c r="C536">
        <v>2027</v>
      </c>
      <c r="D536" t="s">
        <v>720</v>
      </c>
      <c r="E536" t="s">
        <v>827</v>
      </c>
      <c r="F536" s="32">
        <v>46367</v>
      </c>
      <c r="G536" t="s">
        <v>514</v>
      </c>
      <c r="H536">
        <v>47128490</v>
      </c>
      <c r="I536" t="s">
        <v>1254</v>
      </c>
      <c r="J536" t="s">
        <v>1253</v>
      </c>
      <c r="K536" t="s">
        <v>530</v>
      </c>
      <c r="N536">
        <v>40</v>
      </c>
      <c r="O536">
        <v>40</v>
      </c>
      <c r="P536" t="str">
        <f t="shared" si="8"/>
        <v>N</v>
      </c>
      <c r="Q536" t="s">
        <v>6266</v>
      </c>
    </row>
    <row r="537" spans="1:17" x14ac:dyDescent="0.25">
      <c r="A537" t="s">
        <v>5474</v>
      </c>
      <c r="B537" t="s">
        <v>5437</v>
      </c>
      <c r="C537">
        <v>2027</v>
      </c>
      <c r="D537" t="s">
        <v>720</v>
      </c>
      <c r="E537" t="s">
        <v>827</v>
      </c>
      <c r="F537" s="32">
        <v>46367</v>
      </c>
      <c r="G537" t="s">
        <v>514</v>
      </c>
      <c r="H537">
        <v>47127948</v>
      </c>
      <c r="I537" t="s">
        <v>1247</v>
      </c>
      <c r="J537" t="s">
        <v>1246</v>
      </c>
      <c r="K537" t="s">
        <v>530</v>
      </c>
      <c r="N537">
        <v>0</v>
      </c>
      <c r="O537">
        <v>0</v>
      </c>
      <c r="P537" t="str">
        <f t="shared" si="8"/>
        <v>N</v>
      </c>
      <c r="Q537" t="s">
        <v>6267</v>
      </c>
    </row>
    <row r="538" spans="1:17" x14ac:dyDescent="0.25">
      <c r="A538" t="s">
        <v>5475</v>
      </c>
      <c r="B538" t="s">
        <v>5437</v>
      </c>
      <c r="C538">
        <v>2027</v>
      </c>
      <c r="D538" t="s">
        <v>720</v>
      </c>
      <c r="E538" t="s">
        <v>827</v>
      </c>
      <c r="F538" s="32">
        <v>46367</v>
      </c>
      <c r="G538" t="s">
        <v>514</v>
      </c>
      <c r="H538">
        <v>47128710</v>
      </c>
      <c r="I538" t="s">
        <v>1189</v>
      </c>
      <c r="J538" t="s">
        <v>1188</v>
      </c>
      <c r="K538" t="s">
        <v>530</v>
      </c>
      <c r="N538">
        <v>0</v>
      </c>
      <c r="O538">
        <v>0</v>
      </c>
      <c r="P538" t="str">
        <f t="shared" si="8"/>
        <v>N</v>
      </c>
      <c r="Q538" t="s">
        <v>6268</v>
      </c>
    </row>
    <row r="539" spans="1:17" x14ac:dyDescent="0.25">
      <c r="A539" t="s">
        <v>5476</v>
      </c>
      <c r="B539" t="s">
        <v>5437</v>
      </c>
      <c r="C539">
        <v>2027</v>
      </c>
      <c r="D539" t="s">
        <v>720</v>
      </c>
      <c r="E539" t="s">
        <v>827</v>
      </c>
      <c r="F539" s="32">
        <v>46367</v>
      </c>
      <c r="G539" t="s">
        <v>514</v>
      </c>
      <c r="H539">
        <v>47128115</v>
      </c>
      <c r="I539" t="s">
        <v>1260</v>
      </c>
      <c r="J539" t="s">
        <v>1259</v>
      </c>
      <c r="K539" t="s">
        <v>530</v>
      </c>
      <c r="N539">
        <v>0</v>
      </c>
      <c r="O539">
        <v>0</v>
      </c>
      <c r="P539" t="str">
        <f t="shared" si="8"/>
        <v>N</v>
      </c>
      <c r="Q539" t="s">
        <v>6269</v>
      </c>
    </row>
    <row r="540" spans="1:17" x14ac:dyDescent="0.25">
      <c r="A540" t="s">
        <v>5477</v>
      </c>
      <c r="B540" t="s">
        <v>5437</v>
      </c>
      <c r="C540">
        <v>2027</v>
      </c>
      <c r="D540" t="s">
        <v>720</v>
      </c>
      <c r="E540" t="s">
        <v>827</v>
      </c>
      <c r="F540" s="32">
        <v>46367</v>
      </c>
      <c r="G540" t="s">
        <v>514</v>
      </c>
      <c r="H540">
        <v>47128833</v>
      </c>
      <c r="I540" t="s">
        <v>1193</v>
      </c>
      <c r="J540" t="s">
        <v>1192</v>
      </c>
      <c r="K540" t="s">
        <v>530</v>
      </c>
      <c r="N540">
        <v>0</v>
      </c>
      <c r="O540">
        <v>0</v>
      </c>
      <c r="P540" t="str">
        <f t="shared" si="8"/>
        <v>N</v>
      </c>
      <c r="Q540" t="s">
        <v>6270</v>
      </c>
    </row>
    <row r="541" spans="1:17" x14ac:dyDescent="0.25">
      <c r="A541" t="s">
        <v>5478</v>
      </c>
      <c r="B541" t="s">
        <v>5437</v>
      </c>
      <c r="C541">
        <v>2027</v>
      </c>
      <c r="D541" t="s">
        <v>720</v>
      </c>
      <c r="E541" t="s">
        <v>827</v>
      </c>
      <c r="F541" s="32">
        <v>46367</v>
      </c>
      <c r="G541" t="s">
        <v>514</v>
      </c>
      <c r="H541">
        <v>47128784</v>
      </c>
      <c r="I541" t="s">
        <v>1426</v>
      </c>
      <c r="J541" t="s">
        <v>1425</v>
      </c>
      <c r="K541" t="s">
        <v>530</v>
      </c>
      <c r="N541">
        <v>0</v>
      </c>
      <c r="O541">
        <v>0</v>
      </c>
      <c r="P541" t="str">
        <f t="shared" si="8"/>
        <v>N</v>
      </c>
      <c r="Q541" t="s">
        <v>6271</v>
      </c>
    </row>
    <row r="542" spans="1:17" x14ac:dyDescent="0.25">
      <c r="A542" t="s">
        <v>5479</v>
      </c>
      <c r="B542" t="s">
        <v>5437</v>
      </c>
      <c r="C542">
        <v>2027</v>
      </c>
      <c r="D542" t="s">
        <v>720</v>
      </c>
      <c r="E542" t="s">
        <v>827</v>
      </c>
      <c r="F542" s="32">
        <v>46367</v>
      </c>
      <c r="G542" t="s">
        <v>514</v>
      </c>
      <c r="H542">
        <v>47129020</v>
      </c>
      <c r="I542" t="s">
        <v>1058</v>
      </c>
      <c r="J542" t="s">
        <v>1057</v>
      </c>
      <c r="K542" t="s">
        <v>530</v>
      </c>
      <c r="N542">
        <v>0</v>
      </c>
      <c r="O542">
        <v>0</v>
      </c>
      <c r="P542" t="str">
        <f t="shared" si="8"/>
        <v>N</v>
      </c>
      <c r="Q542" t="s">
        <v>6272</v>
      </c>
    </row>
    <row r="543" spans="1:17" x14ac:dyDescent="0.25">
      <c r="A543" t="s">
        <v>1548</v>
      </c>
      <c r="B543" t="s">
        <v>1520</v>
      </c>
      <c r="C543">
        <v>2027</v>
      </c>
      <c r="D543" t="s">
        <v>528</v>
      </c>
      <c r="E543" t="s">
        <v>828</v>
      </c>
      <c r="F543" s="32">
        <v>46374</v>
      </c>
      <c r="G543" t="s">
        <v>514</v>
      </c>
      <c r="H543">
        <v>47128207</v>
      </c>
      <c r="I543" t="s">
        <v>1522</v>
      </c>
      <c r="J543" t="s">
        <v>1523</v>
      </c>
      <c r="K543" t="s">
        <v>530</v>
      </c>
      <c r="N543">
        <v>0</v>
      </c>
      <c r="O543">
        <v>0</v>
      </c>
      <c r="P543" t="str">
        <f t="shared" si="8"/>
        <v>N</v>
      </c>
      <c r="Q543" t="s">
        <v>6273</v>
      </c>
    </row>
    <row r="544" spans="1:17" x14ac:dyDescent="0.25">
      <c r="A544" t="s">
        <v>1549</v>
      </c>
      <c r="B544" t="s">
        <v>1520</v>
      </c>
      <c r="C544">
        <v>2027</v>
      </c>
      <c r="D544" t="s">
        <v>528</v>
      </c>
      <c r="E544" t="s">
        <v>828</v>
      </c>
      <c r="F544" s="32">
        <v>46374</v>
      </c>
      <c r="G544" t="s">
        <v>514</v>
      </c>
      <c r="H544">
        <v>47128581</v>
      </c>
      <c r="I544" t="s">
        <v>1525</v>
      </c>
      <c r="J544" t="s">
        <v>1526</v>
      </c>
      <c r="K544" t="s">
        <v>530</v>
      </c>
      <c r="N544">
        <v>0</v>
      </c>
      <c r="O544">
        <v>0</v>
      </c>
      <c r="P544" t="str">
        <f t="shared" si="8"/>
        <v>N</v>
      </c>
      <c r="Q544" t="s">
        <v>6274</v>
      </c>
    </row>
    <row r="545" spans="1:17" x14ac:dyDescent="0.25">
      <c r="A545" t="s">
        <v>1550</v>
      </c>
      <c r="B545" t="s">
        <v>1520</v>
      </c>
      <c r="C545">
        <v>2027</v>
      </c>
      <c r="D545" t="s">
        <v>528</v>
      </c>
      <c r="E545" t="s">
        <v>828</v>
      </c>
      <c r="F545" s="32">
        <v>46374</v>
      </c>
      <c r="G545" t="s">
        <v>514</v>
      </c>
      <c r="H545">
        <v>47127959</v>
      </c>
      <c r="I545" t="s">
        <v>1528</v>
      </c>
      <c r="J545" t="s">
        <v>1529</v>
      </c>
      <c r="K545" t="s">
        <v>530</v>
      </c>
      <c r="N545">
        <v>0</v>
      </c>
      <c r="O545">
        <v>0</v>
      </c>
      <c r="P545" t="str">
        <f t="shared" si="8"/>
        <v>N</v>
      </c>
      <c r="Q545" t="s">
        <v>6275</v>
      </c>
    </row>
    <row r="546" spans="1:17" x14ac:dyDescent="0.25">
      <c r="A546" t="s">
        <v>1551</v>
      </c>
      <c r="B546" t="s">
        <v>1520</v>
      </c>
      <c r="C546">
        <v>2027</v>
      </c>
      <c r="D546" t="s">
        <v>528</v>
      </c>
      <c r="E546" t="s">
        <v>828</v>
      </c>
      <c r="F546" s="32">
        <v>46374</v>
      </c>
      <c r="G546" t="s">
        <v>514</v>
      </c>
      <c r="H546">
        <v>47128204</v>
      </c>
      <c r="I546" t="s">
        <v>1531</v>
      </c>
      <c r="J546" t="s">
        <v>1532</v>
      </c>
      <c r="K546" t="s">
        <v>530</v>
      </c>
      <c r="N546">
        <v>40</v>
      </c>
      <c r="O546">
        <v>40</v>
      </c>
      <c r="P546" t="str">
        <f t="shared" si="8"/>
        <v>N</v>
      </c>
      <c r="Q546" t="s">
        <v>6276</v>
      </c>
    </row>
    <row r="547" spans="1:17" x14ac:dyDescent="0.25">
      <c r="A547" t="s">
        <v>1552</v>
      </c>
      <c r="B547" t="s">
        <v>1520</v>
      </c>
      <c r="C547">
        <v>2027</v>
      </c>
      <c r="D547" t="s">
        <v>528</v>
      </c>
      <c r="E547" t="s">
        <v>828</v>
      </c>
      <c r="F547" s="32">
        <v>46374</v>
      </c>
      <c r="G547" t="s">
        <v>514</v>
      </c>
      <c r="H547">
        <v>47128207</v>
      </c>
      <c r="I547" t="s">
        <v>1522</v>
      </c>
      <c r="J547" t="s">
        <v>1534</v>
      </c>
      <c r="K547" t="s">
        <v>530</v>
      </c>
      <c r="N547">
        <v>0</v>
      </c>
      <c r="O547">
        <v>0</v>
      </c>
      <c r="P547" t="str">
        <f t="shared" si="8"/>
        <v>N</v>
      </c>
      <c r="Q547" t="s">
        <v>6277</v>
      </c>
    </row>
    <row r="548" spans="1:17" x14ac:dyDescent="0.25">
      <c r="A548" t="s">
        <v>1553</v>
      </c>
      <c r="B548" t="s">
        <v>1520</v>
      </c>
      <c r="C548">
        <v>2027</v>
      </c>
      <c r="D548" t="s">
        <v>528</v>
      </c>
      <c r="E548" t="s">
        <v>828</v>
      </c>
      <c r="F548" s="32">
        <v>46374</v>
      </c>
      <c r="G548" t="s">
        <v>563</v>
      </c>
      <c r="H548">
        <v>10000015</v>
      </c>
      <c r="I548" t="s">
        <v>562</v>
      </c>
      <c r="K548" t="s">
        <v>530</v>
      </c>
      <c r="N548">
        <v>0</v>
      </c>
      <c r="O548">
        <v>0</v>
      </c>
      <c r="P548" t="str">
        <f t="shared" si="8"/>
        <v>N</v>
      </c>
      <c r="Q548" t="s">
        <v>6278</v>
      </c>
    </row>
    <row r="549" spans="1:17" x14ac:dyDescent="0.25">
      <c r="A549" t="s">
        <v>1554</v>
      </c>
      <c r="B549" t="s">
        <v>1520</v>
      </c>
      <c r="C549">
        <v>2027</v>
      </c>
      <c r="D549" t="s">
        <v>528</v>
      </c>
      <c r="E549" t="s">
        <v>828</v>
      </c>
      <c r="F549" s="32">
        <v>46374</v>
      </c>
      <c r="G549" t="s">
        <v>514</v>
      </c>
      <c r="H549">
        <v>47127959</v>
      </c>
      <c r="I549" t="s">
        <v>1528</v>
      </c>
      <c r="J549" t="s">
        <v>1537</v>
      </c>
      <c r="K549" t="s">
        <v>530</v>
      </c>
      <c r="N549">
        <v>0</v>
      </c>
      <c r="O549">
        <v>0</v>
      </c>
      <c r="P549" t="str">
        <f t="shared" si="8"/>
        <v>N</v>
      </c>
      <c r="Q549" t="s">
        <v>6279</v>
      </c>
    </row>
    <row r="550" spans="1:17" x14ac:dyDescent="0.25">
      <c r="A550" t="s">
        <v>1555</v>
      </c>
      <c r="B550" t="s">
        <v>1520</v>
      </c>
      <c r="C550">
        <v>2027</v>
      </c>
      <c r="D550" t="s">
        <v>528</v>
      </c>
      <c r="E550" t="s">
        <v>828</v>
      </c>
      <c r="F550" s="32">
        <v>46374</v>
      </c>
      <c r="G550" t="s">
        <v>514</v>
      </c>
      <c r="H550">
        <v>47128581</v>
      </c>
      <c r="I550" t="s">
        <v>1525</v>
      </c>
      <c r="J550" t="s">
        <v>1539</v>
      </c>
      <c r="K550" t="s">
        <v>530</v>
      </c>
      <c r="N550">
        <v>0</v>
      </c>
      <c r="O550">
        <v>0</v>
      </c>
      <c r="P550" t="str">
        <f t="shared" si="8"/>
        <v>N</v>
      </c>
      <c r="Q550" t="s">
        <v>6280</v>
      </c>
    </row>
    <row r="551" spans="1:17" x14ac:dyDescent="0.25">
      <c r="A551" t="s">
        <v>1752</v>
      </c>
      <c r="B551" t="s">
        <v>1135</v>
      </c>
      <c r="C551">
        <v>2027</v>
      </c>
      <c r="D551" t="s">
        <v>528</v>
      </c>
      <c r="E551" t="s">
        <v>828</v>
      </c>
      <c r="F551" s="32">
        <v>46374</v>
      </c>
      <c r="G551" t="s">
        <v>514</v>
      </c>
      <c r="H551">
        <v>47128028</v>
      </c>
      <c r="I551" t="s">
        <v>1035</v>
      </c>
      <c r="J551" t="s">
        <v>1034</v>
      </c>
      <c r="K551" t="s">
        <v>530</v>
      </c>
      <c r="N551">
        <v>0</v>
      </c>
      <c r="O551">
        <v>0</v>
      </c>
      <c r="P551" t="str">
        <f t="shared" si="8"/>
        <v>N</v>
      </c>
      <c r="Q551" t="s">
        <v>6281</v>
      </c>
    </row>
    <row r="552" spans="1:17" x14ac:dyDescent="0.25">
      <c r="A552" t="s">
        <v>1753</v>
      </c>
      <c r="B552" t="s">
        <v>1135</v>
      </c>
      <c r="C552">
        <v>2027</v>
      </c>
      <c r="D552" t="s">
        <v>528</v>
      </c>
      <c r="E552" t="s">
        <v>828</v>
      </c>
      <c r="F552" s="32">
        <v>46374</v>
      </c>
      <c r="G552" t="s">
        <v>514</v>
      </c>
      <c r="H552">
        <v>47128465</v>
      </c>
      <c r="I552" t="s">
        <v>1333</v>
      </c>
      <c r="J552" t="s">
        <v>1332</v>
      </c>
      <c r="K552" t="s">
        <v>530</v>
      </c>
      <c r="N552">
        <v>0</v>
      </c>
      <c r="O552">
        <v>0</v>
      </c>
      <c r="P552" t="str">
        <f t="shared" si="8"/>
        <v>N</v>
      </c>
      <c r="Q552" t="s">
        <v>6282</v>
      </c>
    </row>
    <row r="553" spans="1:17" x14ac:dyDescent="0.25">
      <c r="A553" t="s">
        <v>1754</v>
      </c>
      <c r="B553" t="s">
        <v>1135</v>
      </c>
      <c r="C553">
        <v>2027</v>
      </c>
      <c r="D553" t="s">
        <v>528</v>
      </c>
      <c r="E553" t="s">
        <v>828</v>
      </c>
      <c r="F553" s="32">
        <v>46374</v>
      </c>
      <c r="G553" t="s">
        <v>514</v>
      </c>
      <c r="H553">
        <v>47128548</v>
      </c>
      <c r="I553" t="s">
        <v>958</v>
      </c>
      <c r="J553" t="s">
        <v>957</v>
      </c>
      <c r="K553" t="s">
        <v>530</v>
      </c>
      <c r="N553">
        <v>0</v>
      </c>
      <c r="O553">
        <v>0</v>
      </c>
      <c r="P553" t="str">
        <f t="shared" si="8"/>
        <v>N</v>
      </c>
      <c r="Q553" t="s">
        <v>6283</v>
      </c>
    </row>
    <row r="554" spans="1:17" x14ac:dyDescent="0.25">
      <c r="A554" t="s">
        <v>1755</v>
      </c>
      <c r="B554" t="s">
        <v>1135</v>
      </c>
      <c r="C554">
        <v>2027</v>
      </c>
      <c r="D554" t="s">
        <v>528</v>
      </c>
      <c r="E554" t="s">
        <v>828</v>
      </c>
      <c r="F554" s="32">
        <v>46374</v>
      </c>
      <c r="G554" t="s">
        <v>514</v>
      </c>
      <c r="H554">
        <v>47146464</v>
      </c>
      <c r="I554" t="s">
        <v>1438</v>
      </c>
      <c r="J554" t="s">
        <v>1437</v>
      </c>
      <c r="K554" t="s">
        <v>530</v>
      </c>
      <c r="N554">
        <v>0</v>
      </c>
      <c r="O554">
        <v>0</v>
      </c>
      <c r="P554" t="str">
        <f t="shared" si="8"/>
        <v>N</v>
      </c>
      <c r="Q554" t="s">
        <v>6284</v>
      </c>
    </row>
    <row r="555" spans="1:17" x14ac:dyDescent="0.25">
      <c r="A555" t="s">
        <v>1756</v>
      </c>
      <c r="B555" t="s">
        <v>1135</v>
      </c>
      <c r="C555">
        <v>2027</v>
      </c>
      <c r="D555" t="s">
        <v>528</v>
      </c>
      <c r="E555" t="s">
        <v>828</v>
      </c>
      <c r="F555" s="32">
        <v>46374</v>
      </c>
      <c r="G555" t="s">
        <v>514</v>
      </c>
      <c r="H555">
        <v>47146463</v>
      </c>
      <c r="I555" t="s">
        <v>1441</v>
      </c>
      <c r="J555" t="s">
        <v>1440</v>
      </c>
      <c r="K555" t="s">
        <v>530</v>
      </c>
      <c r="N555">
        <v>0</v>
      </c>
      <c r="O555">
        <v>0</v>
      </c>
      <c r="P555" t="str">
        <f t="shared" si="8"/>
        <v>N</v>
      </c>
      <c r="Q555" t="s">
        <v>6285</v>
      </c>
    </row>
    <row r="556" spans="1:17" x14ac:dyDescent="0.25">
      <c r="A556" t="s">
        <v>1757</v>
      </c>
      <c r="B556" t="s">
        <v>1135</v>
      </c>
      <c r="C556">
        <v>2027</v>
      </c>
      <c r="D556" t="s">
        <v>528</v>
      </c>
      <c r="E556" t="s">
        <v>828</v>
      </c>
      <c r="F556" s="32">
        <v>46374</v>
      </c>
      <c r="G556" t="s">
        <v>514</v>
      </c>
      <c r="H556">
        <v>47128729</v>
      </c>
      <c r="I556" t="s">
        <v>1149</v>
      </c>
      <c r="J556" t="s">
        <v>1148</v>
      </c>
      <c r="K556" t="s">
        <v>530</v>
      </c>
      <c r="N556">
        <v>0</v>
      </c>
      <c r="O556">
        <v>0</v>
      </c>
      <c r="P556" t="str">
        <f t="shared" si="8"/>
        <v>N</v>
      </c>
      <c r="Q556" t="s">
        <v>6286</v>
      </c>
    </row>
    <row r="557" spans="1:17" x14ac:dyDescent="0.25">
      <c r="A557" t="s">
        <v>1758</v>
      </c>
      <c r="B557" t="s">
        <v>1135</v>
      </c>
      <c r="C557">
        <v>2027</v>
      </c>
      <c r="D557" t="s">
        <v>528</v>
      </c>
      <c r="E557" t="s">
        <v>828</v>
      </c>
      <c r="F557" s="32">
        <v>46374</v>
      </c>
      <c r="G557" t="s">
        <v>514</v>
      </c>
      <c r="H557">
        <v>47128413</v>
      </c>
      <c r="I557" t="s">
        <v>1397</v>
      </c>
      <c r="J557" t="s">
        <v>1396</v>
      </c>
      <c r="K557" t="s">
        <v>530</v>
      </c>
      <c r="N557">
        <v>0</v>
      </c>
      <c r="O557">
        <v>0</v>
      </c>
      <c r="P557" t="str">
        <f t="shared" si="8"/>
        <v>N</v>
      </c>
      <c r="Q557" t="s">
        <v>6287</v>
      </c>
    </row>
    <row r="558" spans="1:17" x14ac:dyDescent="0.25">
      <c r="A558" t="s">
        <v>1759</v>
      </c>
      <c r="B558" t="s">
        <v>1135</v>
      </c>
      <c r="C558">
        <v>2027</v>
      </c>
      <c r="D558" t="s">
        <v>528</v>
      </c>
      <c r="E558" t="s">
        <v>828</v>
      </c>
      <c r="F558" s="32">
        <v>46374</v>
      </c>
      <c r="G558" t="s">
        <v>514</v>
      </c>
      <c r="H558">
        <v>47128783</v>
      </c>
      <c r="I558" t="s">
        <v>1280</v>
      </c>
      <c r="J558" t="s">
        <v>1279</v>
      </c>
      <c r="K558" t="s">
        <v>530</v>
      </c>
      <c r="N558">
        <v>0</v>
      </c>
      <c r="O558">
        <v>0</v>
      </c>
      <c r="P558" t="str">
        <f t="shared" si="8"/>
        <v>N</v>
      </c>
      <c r="Q558" t="s">
        <v>6288</v>
      </c>
    </row>
    <row r="559" spans="1:17" x14ac:dyDescent="0.25">
      <c r="A559" t="s">
        <v>1760</v>
      </c>
      <c r="B559" t="s">
        <v>1135</v>
      </c>
      <c r="C559">
        <v>2027</v>
      </c>
      <c r="D559" t="s">
        <v>528</v>
      </c>
      <c r="E559" t="s">
        <v>828</v>
      </c>
      <c r="F559" s="32">
        <v>46374</v>
      </c>
      <c r="G559" t="s">
        <v>514</v>
      </c>
      <c r="H559">
        <v>47128944</v>
      </c>
      <c r="I559" t="s">
        <v>1137</v>
      </c>
      <c r="J559" t="s">
        <v>1136</v>
      </c>
      <c r="K559" t="s">
        <v>530</v>
      </c>
      <c r="N559">
        <v>0</v>
      </c>
      <c r="O559">
        <v>0</v>
      </c>
      <c r="P559" t="str">
        <f t="shared" si="8"/>
        <v>N</v>
      </c>
      <c r="Q559" t="s">
        <v>6289</v>
      </c>
    </row>
    <row r="560" spans="1:17" x14ac:dyDescent="0.25">
      <c r="A560" t="s">
        <v>1761</v>
      </c>
      <c r="B560" t="s">
        <v>1135</v>
      </c>
      <c r="C560">
        <v>2027</v>
      </c>
      <c r="D560" t="s">
        <v>528</v>
      </c>
      <c r="E560" t="s">
        <v>828</v>
      </c>
      <c r="F560" s="32">
        <v>46374</v>
      </c>
      <c r="G560" t="s">
        <v>514</v>
      </c>
      <c r="H560">
        <v>47129547</v>
      </c>
      <c r="I560" t="s">
        <v>1128</v>
      </c>
      <c r="J560" t="s">
        <v>1352</v>
      </c>
      <c r="K560" t="s">
        <v>530</v>
      </c>
      <c r="N560">
        <v>100</v>
      </c>
      <c r="O560">
        <v>100</v>
      </c>
      <c r="P560" t="str">
        <f t="shared" si="8"/>
        <v>N</v>
      </c>
      <c r="Q560" t="s">
        <v>6290</v>
      </c>
    </row>
    <row r="561" spans="1:17" x14ac:dyDescent="0.25">
      <c r="A561" t="s">
        <v>1762</v>
      </c>
      <c r="B561" t="s">
        <v>1135</v>
      </c>
      <c r="C561">
        <v>2027</v>
      </c>
      <c r="D561" t="s">
        <v>528</v>
      </c>
      <c r="E561" t="s">
        <v>828</v>
      </c>
      <c r="F561" s="32">
        <v>46374</v>
      </c>
      <c r="G561" t="s">
        <v>514</v>
      </c>
      <c r="H561">
        <v>47128518</v>
      </c>
      <c r="I561" t="s">
        <v>1232</v>
      </c>
      <c r="J561" t="s">
        <v>1493</v>
      </c>
      <c r="K561" t="s">
        <v>530</v>
      </c>
      <c r="N561">
        <v>0</v>
      </c>
      <c r="O561">
        <v>0</v>
      </c>
      <c r="P561" t="str">
        <f t="shared" si="8"/>
        <v>N</v>
      </c>
      <c r="Q561" t="s">
        <v>6291</v>
      </c>
    </row>
    <row r="562" spans="1:17" x14ac:dyDescent="0.25">
      <c r="A562" t="s">
        <v>1763</v>
      </c>
      <c r="B562" t="s">
        <v>1135</v>
      </c>
      <c r="C562">
        <v>2027</v>
      </c>
      <c r="D562" t="s">
        <v>528</v>
      </c>
      <c r="E562" t="s">
        <v>828</v>
      </c>
      <c r="F562" s="32">
        <v>46374</v>
      </c>
      <c r="G562" t="s">
        <v>514</v>
      </c>
      <c r="H562">
        <v>47128168</v>
      </c>
      <c r="I562" t="s">
        <v>1100</v>
      </c>
      <c r="J562" t="s">
        <v>1099</v>
      </c>
      <c r="K562" t="s">
        <v>530</v>
      </c>
      <c r="N562">
        <v>0</v>
      </c>
      <c r="O562">
        <v>0</v>
      </c>
      <c r="P562" t="str">
        <f t="shared" si="8"/>
        <v>N</v>
      </c>
      <c r="Q562" t="s">
        <v>6292</v>
      </c>
    </row>
    <row r="563" spans="1:17" x14ac:dyDescent="0.25">
      <c r="A563" t="s">
        <v>1764</v>
      </c>
      <c r="B563" t="s">
        <v>1135</v>
      </c>
      <c r="C563">
        <v>2027</v>
      </c>
      <c r="D563" t="s">
        <v>528</v>
      </c>
      <c r="E563" t="s">
        <v>828</v>
      </c>
      <c r="F563" s="32">
        <v>46374</v>
      </c>
      <c r="G563" t="s">
        <v>514</v>
      </c>
      <c r="H563">
        <v>47128687</v>
      </c>
      <c r="I563" t="s">
        <v>1153</v>
      </c>
      <c r="J563" t="s">
        <v>1152</v>
      </c>
      <c r="K563" t="s">
        <v>530</v>
      </c>
      <c r="N563">
        <v>0</v>
      </c>
      <c r="O563">
        <v>0</v>
      </c>
      <c r="P563" t="str">
        <f t="shared" si="8"/>
        <v>N</v>
      </c>
      <c r="Q563" t="s">
        <v>6293</v>
      </c>
    </row>
    <row r="564" spans="1:17" x14ac:dyDescent="0.25">
      <c r="A564" t="s">
        <v>1765</v>
      </c>
      <c r="B564" t="s">
        <v>1135</v>
      </c>
      <c r="C564">
        <v>2027</v>
      </c>
      <c r="D564" t="s">
        <v>528</v>
      </c>
      <c r="E564" t="s">
        <v>828</v>
      </c>
      <c r="F564" s="32">
        <v>46374</v>
      </c>
      <c r="G564" t="s">
        <v>514</v>
      </c>
      <c r="H564">
        <v>47128585</v>
      </c>
      <c r="I564" t="s">
        <v>1141</v>
      </c>
      <c r="J564" t="s">
        <v>1140</v>
      </c>
      <c r="K564" t="s">
        <v>530</v>
      </c>
      <c r="N564">
        <v>0</v>
      </c>
      <c r="O564">
        <v>0</v>
      </c>
      <c r="P564" t="str">
        <f t="shared" si="8"/>
        <v>N</v>
      </c>
      <c r="Q564" t="s">
        <v>6294</v>
      </c>
    </row>
    <row r="565" spans="1:17" x14ac:dyDescent="0.25">
      <c r="A565" t="s">
        <v>1766</v>
      </c>
      <c r="B565" t="s">
        <v>1135</v>
      </c>
      <c r="C565">
        <v>2027</v>
      </c>
      <c r="D565" t="s">
        <v>528</v>
      </c>
      <c r="E565" t="s">
        <v>828</v>
      </c>
      <c r="F565" s="32">
        <v>46374</v>
      </c>
      <c r="G565" t="s">
        <v>514</v>
      </c>
      <c r="H565">
        <v>47128906</v>
      </c>
      <c r="I565" t="s">
        <v>1349</v>
      </c>
      <c r="J565" t="s">
        <v>1348</v>
      </c>
      <c r="K565" t="s">
        <v>530</v>
      </c>
      <c r="N565">
        <v>0</v>
      </c>
      <c r="O565">
        <v>0</v>
      </c>
      <c r="P565" t="str">
        <f t="shared" si="8"/>
        <v>N</v>
      </c>
      <c r="Q565" t="s">
        <v>6295</v>
      </c>
    </row>
    <row r="566" spans="1:17" x14ac:dyDescent="0.25">
      <c r="A566" t="s">
        <v>1767</v>
      </c>
      <c r="B566" t="s">
        <v>1135</v>
      </c>
      <c r="C566">
        <v>2027</v>
      </c>
      <c r="D566" t="s">
        <v>528</v>
      </c>
      <c r="E566" t="s">
        <v>828</v>
      </c>
      <c r="F566" s="32">
        <v>46374</v>
      </c>
      <c r="G566" t="s">
        <v>514</v>
      </c>
      <c r="H566">
        <v>47128585</v>
      </c>
      <c r="I566" t="s">
        <v>1141</v>
      </c>
      <c r="J566" t="s">
        <v>1408</v>
      </c>
      <c r="K566" t="s">
        <v>530</v>
      </c>
      <c r="N566">
        <v>0</v>
      </c>
      <c r="O566">
        <v>0</v>
      </c>
      <c r="P566" t="str">
        <f t="shared" si="8"/>
        <v>N</v>
      </c>
      <c r="Q566" t="s">
        <v>6296</v>
      </c>
    </row>
    <row r="567" spans="1:17" x14ac:dyDescent="0.25">
      <c r="A567" t="s">
        <v>1768</v>
      </c>
      <c r="B567" t="s">
        <v>1135</v>
      </c>
      <c r="C567">
        <v>2027</v>
      </c>
      <c r="D567" t="s">
        <v>528</v>
      </c>
      <c r="E567" t="s">
        <v>828</v>
      </c>
      <c r="F567" s="32">
        <v>46374</v>
      </c>
      <c r="G567" t="s">
        <v>514</v>
      </c>
      <c r="H567">
        <v>47128518</v>
      </c>
      <c r="I567" t="s">
        <v>1232</v>
      </c>
      <c r="J567" t="s">
        <v>1231</v>
      </c>
      <c r="K567" t="s">
        <v>530</v>
      </c>
      <c r="N567">
        <v>0</v>
      </c>
      <c r="O567">
        <v>0</v>
      </c>
      <c r="P567" t="str">
        <f t="shared" si="8"/>
        <v>N</v>
      </c>
      <c r="Q567" t="s">
        <v>6297</v>
      </c>
    </row>
    <row r="568" spans="1:17" x14ac:dyDescent="0.25">
      <c r="A568" t="s">
        <v>1769</v>
      </c>
      <c r="B568" t="s">
        <v>1135</v>
      </c>
      <c r="C568">
        <v>2027</v>
      </c>
      <c r="D568" t="s">
        <v>528</v>
      </c>
      <c r="E568" t="s">
        <v>828</v>
      </c>
      <c r="F568" s="32">
        <v>46374</v>
      </c>
      <c r="G568" t="s">
        <v>514</v>
      </c>
      <c r="H568">
        <v>47128024</v>
      </c>
      <c r="I568" t="s">
        <v>1108</v>
      </c>
      <c r="J568" t="s">
        <v>1107</v>
      </c>
      <c r="K568" t="s">
        <v>530</v>
      </c>
      <c r="N568">
        <v>0</v>
      </c>
      <c r="O568">
        <v>0</v>
      </c>
      <c r="P568" t="str">
        <f t="shared" si="8"/>
        <v>N</v>
      </c>
      <c r="Q568" t="s">
        <v>6298</v>
      </c>
    </row>
    <row r="569" spans="1:17" x14ac:dyDescent="0.25">
      <c r="A569" t="s">
        <v>1770</v>
      </c>
      <c r="B569" t="s">
        <v>1135</v>
      </c>
      <c r="C569">
        <v>2027</v>
      </c>
      <c r="D569" t="s">
        <v>528</v>
      </c>
      <c r="E569" t="s">
        <v>828</v>
      </c>
      <c r="F569" s="32">
        <v>46374</v>
      </c>
      <c r="G569" t="s">
        <v>514</v>
      </c>
      <c r="H569">
        <v>47128680</v>
      </c>
      <c r="I569" t="s">
        <v>1284</v>
      </c>
      <c r="J569" t="s">
        <v>1283</v>
      </c>
      <c r="K569" t="s">
        <v>530</v>
      </c>
      <c r="N569">
        <v>0</v>
      </c>
      <c r="O569">
        <v>0</v>
      </c>
      <c r="P569" t="str">
        <f t="shared" si="8"/>
        <v>N</v>
      </c>
      <c r="Q569" t="s">
        <v>6299</v>
      </c>
    </row>
    <row r="570" spans="1:17" x14ac:dyDescent="0.25">
      <c r="A570" t="s">
        <v>1771</v>
      </c>
      <c r="B570" t="s">
        <v>1135</v>
      </c>
      <c r="C570">
        <v>2027</v>
      </c>
      <c r="D570" t="s">
        <v>528</v>
      </c>
      <c r="E570" t="s">
        <v>828</v>
      </c>
      <c r="F570" s="32">
        <v>46374</v>
      </c>
      <c r="G570" t="s">
        <v>514</v>
      </c>
      <c r="H570">
        <v>47128944</v>
      </c>
      <c r="I570" t="s">
        <v>1137</v>
      </c>
      <c r="J570" t="s">
        <v>1513</v>
      </c>
      <c r="K570" t="s">
        <v>530</v>
      </c>
      <c r="N570">
        <v>0</v>
      </c>
      <c r="O570">
        <v>0</v>
      </c>
      <c r="P570" t="str">
        <f t="shared" si="8"/>
        <v>N</v>
      </c>
      <c r="Q570" t="s">
        <v>6300</v>
      </c>
    </row>
    <row r="571" spans="1:17" x14ac:dyDescent="0.25">
      <c r="A571" t="s">
        <v>1772</v>
      </c>
      <c r="B571" t="s">
        <v>1135</v>
      </c>
      <c r="C571">
        <v>2027</v>
      </c>
      <c r="D571" t="s">
        <v>528</v>
      </c>
      <c r="E571" t="s">
        <v>828</v>
      </c>
      <c r="F571" s="32">
        <v>46374</v>
      </c>
      <c r="G571" t="s">
        <v>514</v>
      </c>
      <c r="H571">
        <v>47147546</v>
      </c>
      <c r="I571" t="s">
        <v>1077</v>
      </c>
      <c r="J571" t="s">
        <v>1076</v>
      </c>
      <c r="K571" t="s">
        <v>530</v>
      </c>
      <c r="N571">
        <v>0</v>
      </c>
      <c r="O571">
        <v>0</v>
      </c>
      <c r="P571" t="str">
        <f t="shared" si="8"/>
        <v>N</v>
      </c>
      <c r="Q571" t="s">
        <v>6301</v>
      </c>
    </row>
    <row r="572" spans="1:17" x14ac:dyDescent="0.25">
      <c r="A572" t="s">
        <v>1773</v>
      </c>
      <c r="B572" t="s">
        <v>1135</v>
      </c>
      <c r="C572">
        <v>2027</v>
      </c>
      <c r="D572" t="s">
        <v>528</v>
      </c>
      <c r="E572" t="s">
        <v>828</v>
      </c>
      <c r="F572" s="32">
        <v>46374</v>
      </c>
      <c r="G572" t="s">
        <v>514</v>
      </c>
      <c r="H572">
        <v>47128346</v>
      </c>
      <c r="I572" t="s">
        <v>1157</v>
      </c>
      <c r="J572" t="s">
        <v>1156</v>
      </c>
      <c r="K572" t="s">
        <v>530</v>
      </c>
      <c r="N572">
        <v>0</v>
      </c>
      <c r="O572">
        <v>0</v>
      </c>
      <c r="P572" t="str">
        <f t="shared" si="8"/>
        <v>N</v>
      </c>
      <c r="Q572" t="s">
        <v>6302</v>
      </c>
    </row>
    <row r="573" spans="1:17" x14ac:dyDescent="0.25">
      <c r="A573" t="s">
        <v>1774</v>
      </c>
      <c r="B573" t="s">
        <v>1135</v>
      </c>
      <c r="C573">
        <v>2027</v>
      </c>
      <c r="D573" t="s">
        <v>528</v>
      </c>
      <c r="E573" t="s">
        <v>828</v>
      </c>
      <c r="F573" s="32">
        <v>46374</v>
      </c>
      <c r="G573" t="s">
        <v>514</v>
      </c>
      <c r="H573">
        <v>47128800</v>
      </c>
      <c r="I573" t="s">
        <v>1145</v>
      </c>
      <c r="J573" t="s">
        <v>1144</v>
      </c>
      <c r="K573" t="s">
        <v>530</v>
      </c>
      <c r="N573">
        <v>0</v>
      </c>
      <c r="O573">
        <v>0</v>
      </c>
      <c r="P573" t="str">
        <f t="shared" si="8"/>
        <v>N</v>
      </c>
      <c r="Q573" t="s">
        <v>6303</v>
      </c>
    </row>
    <row r="574" spans="1:17" x14ac:dyDescent="0.25">
      <c r="A574" t="s">
        <v>1775</v>
      </c>
      <c r="B574" t="s">
        <v>1135</v>
      </c>
      <c r="C574">
        <v>2027</v>
      </c>
      <c r="D574" t="s">
        <v>528</v>
      </c>
      <c r="E574" t="s">
        <v>828</v>
      </c>
      <c r="F574" s="32">
        <v>46374</v>
      </c>
      <c r="G574" t="s">
        <v>514</v>
      </c>
      <c r="H574">
        <v>47128109</v>
      </c>
      <c r="I574" t="s">
        <v>1336</v>
      </c>
      <c r="J574" t="s">
        <v>1335</v>
      </c>
      <c r="K574" t="s">
        <v>530</v>
      </c>
      <c r="N574">
        <v>0</v>
      </c>
      <c r="O574">
        <v>0</v>
      </c>
      <c r="P574" t="str">
        <f t="shared" si="8"/>
        <v>N</v>
      </c>
      <c r="Q574" t="s">
        <v>6304</v>
      </c>
    </row>
    <row r="575" spans="1:17" x14ac:dyDescent="0.25">
      <c r="A575" t="s">
        <v>1776</v>
      </c>
      <c r="B575" t="s">
        <v>1135</v>
      </c>
      <c r="C575">
        <v>2027</v>
      </c>
      <c r="D575" t="s">
        <v>528</v>
      </c>
      <c r="E575" t="s">
        <v>828</v>
      </c>
      <c r="F575" s="32">
        <v>46374</v>
      </c>
      <c r="G575" t="s">
        <v>514</v>
      </c>
      <c r="H575">
        <v>47128430</v>
      </c>
      <c r="I575" t="s">
        <v>1401</v>
      </c>
      <c r="J575" t="s">
        <v>1400</v>
      </c>
      <c r="K575" t="s">
        <v>530</v>
      </c>
      <c r="N575">
        <v>0</v>
      </c>
      <c r="O575">
        <v>0</v>
      </c>
      <c r="P575" t="str">
        <f t="shared" si="8"/>
        <v>N</v>
      </c>
      <c r="Q575" t="s">
        <v>6305</v>
      </c>
    </row>
    <row r="576" spans="1:17" x14ac:dyDescent="0.25">
      <c r="A576" t="s">
        <v>1777</v>
      </c>
      <c r="B576" t="s">
        <v>1135</v>
      </c>
      <c r="C576">
        <v>2027</v>
      </c>
      <c r="D576" t="s">
        <v>528</v>
      </c>
      <c r="E576" t="s">
        <v>828</v>
      </c>
      <c r="F576" s="32">
        <v>46374</v>
      </c>
      <c r="G576" t="s">
        <v>514</v>
      </c>
      <c r="H576">
        <v>47128522</v>
      </c>
      <c r="I576" t="s">
        <v>1092</v>
      </c>
      <c r="J576" t="s">
        <v>1091</v>
      </c>
      <c r="K576" t="s">
        <v>530</v>
      </c>
      <c r="N576">
        <v>0</v>
      </c>
      <c r="O576">
        <v>0</v>
      </c>
      <c r="P576" t="str">
        <f t="shared" si="8"/>
        <v>N</v>
      </c>
      <c r="Q576" t="s">
        <v>6306</v>
      </c>
    </row>
    <row r="577" spans="1:17" x14ac:dyDescent="0.25">
      <c r="A577" t="s">
        <v>1778</v>
      </c>
      <c r="B577" t="s">
        <v>1135</v>
      </c>
      <c r="C577">
        <v>2027</v>
      </c>
      <c r="D577" t="s">
        <v>528</v>
      </c>
      <c r="E577" t="s">
        <v>828</v>
      </c>
      <c r="F577" s="32">
        <v>46374</v>
      </c>
      <c r="G577" t="s">
        <v>514</v>
      </c>
      <c r="H577">
        <v>47147546</v>
      </c>
      <c r="I577" t="s">
        <v>1077</v>
      </c>
      <c r="J577" t="s">
        <v>1381</v>
      </c>
      <c r="K577" t="s">
        <v>530</v>
      </c>
      <c r="N577">
        <v>0</v>
      </c>
      <c r="O577">
        <v>0</v>
      </c>
      <c r="P577" t="str">
        <f t="shared" si="8"/>
        <v>N</v>
      </c>
      <c r="Q577" t="s">
        <v>6307</v>
      </c>
    </row>
    <row r="578" spans="1:17" x14ac:dyDescent="0.25">
      <c r="A578" t="s">
        <v>1779</v>
      </c>
      <c r="B578" t="s">
        <v>1135</v>
      </c>
      <c r="C578">
        <v>2027</v>
      </c>
      <c r="D578" t="s">
        <v>528</v>
      </c>
      <c r="E578" t="s">
        <v>828</v>
      </c>
      <c r="F578" s="32">
        <v>46374</v>
      </c>
      <c r="G578" t="s">
        <v>514</v>
      </c>
      <c r="H578">
        <v>47147658</v>
      </c>
      <c r="I578" t="s">
        <v>1276</v>
      </c>
      <c r="J578" t="s">
        <v>1275</v>
      </c>
      <c r="K578" t="s">
        <v>530</v>
      </c>
      <c r="N578">
        <v>0</v>
      </c>
      <c r="O578">
        <v>0</v>
      </c>
      <c r="P578" t="str">
        <f t="shared" si="8"/>
        <v>N</v>
      </c>
      <c r="Q578" t="s">
        <v>6308</v>
      </c>
    </row>
    <row r="579" spans="1:17" x14ac:dyDescent="0.25">
      <c r="A579" t="s">
        <v>1780</v>
      </c>
      <c r="B579" t="s">
        <v>1135</v>
      </c>
      <c r="C579">
        <v>2027</v>
      </c>
      <c r="D579" t="s">
        <v>528</v>
      </c>
      <c r="E579" t="s">
        <v>828</v>
      </c>
      <c r="F579" s="32">
        <v>46374</v>
      </c>
      <c r="G579" t="s">
        <v>514</v>
      </c>
      <c r="H579">
        <v>47147546</v>
      </c>
      <c r="I579" t="s">
        <v>1077</v>
      </c>
      <c r="J579" t="s">
        <v>1171</v>
      </c>
      <c r="K579" t="s">
        <v>530</v>
      </c>
      <c r="N579">
        <v>0</v>
      </c>
      <c r="O579">
        <v>0</v>
      </c>
      <c r="P579" t="str">
        <f t="shared" ref="P579:P642" si="9">IF(N579=O579,"N","Y")</f>
        <v>N</v>
      </c>
      <c r="Q579" t="s">
        <v>6309</v>
      </c>
    </row>
    <row r="580" spans="1:17" x14ac:dyDescent="0.25">
      <c r="A580" t="s">
        <v>1781</v>
      </c>
      <c r="B580" t="s">
        <v>1135</v>
      </c>
      <c r="C580">
        <v>2027</v>
      </c>
      <c r="D580" t="s">
        <v>528</v>
      </c>
      <c r="E580" t="s">
        <v>828</v>
      </c>
      <c r="F580" s="32">
        <v>46374</v>
      </c>
      <c r="G580" t="s">
        <v>514</v>
      </c>
      <c r="H580">
        <v>47128570</v>
      </c>
      <c r="I580" t="s">
        <v>1491</v>
      </c>
      <c r="J580" t="s">
        <v>1490</v>
      </c>
      <c r="K580" t="s">
        <v>530</v>
      </c>
      <c r="N580">
        <v>40</v>
      </c>
      <c r="O580">
        <v>40</v>
      </c>
      <c r="P580" t="str">
        <f t="shared" si="9"/>
        <v>N</v>
      </c>
      <c r="Q580" t="s">
        <v>6310</v>
      </c>
    </row>
    <row r="581" spans="1:17" x14ac:dyDescent="0.25">
      <c r="A581" t="s">
        <v>2376</v>
      </c>
      <c r="B581" t="s">
        <v>2344</v>
      </c>
      <c r="C581">
        <v>2027</v>
      </c>
      <c r="D581" t="s">
        <v>528</v>
      </c>
      <c r="E581" t="s">
        <v>828</v>
      </c>
      <c r="F581" s="32">
        <v>46374</v>
      </c>
      <c r="G581" t="s">
        <v>514</v>
      </c>
      <c r="H581">
        <v>47140037</v>
      </c>
      <c r="I581" t="s">
        <v>2347</v>
      </c>
      <c r="J581" t="s">
        <v>2348</v>
      </c>
      <c r="K581" t="s">
        <v>530</v>
      </c>
      <c r="N581">
        <v>0</v>
      </c>
      <c r="O581">
        <v>0</v>
      </c>
      <c r="P581" t="str">
        <f t="shared" si="9"/>
        <v>N</v>
      </c>
      <c r="Q581" t="s">
        <v>6311</v>
      </c>
    </row>
    <row r="582" spans="1:17" x14ac:dyDescent="0.25">
      <c r="A582" t="s">
        <v>2377</v>
      </c>
      <c r="B582" t="s">
        <v>2344</v>
      </c>
      <c r="C582">
        <v>2027</v>
      </c>
      <c r="D582" t="s">
        <v>528</v>
      </c>
      <c r="E582" t="s">
        <v>828</v>
      </c>
      <c r="F582" s="32">
        <v>46374</v>
      </c>
      <c r="G582" t="s">
        <v>514</v>
      </c>
      <c r="H582">
        <v>47128216</v>
      </c>
      <c r="I582" t="s">
        <v>2350</v>
      </c>
      <c r="J582" t="s">
        <v>2351</v>
      </c>
      <c r="K582" t="s">
        <v>530</v>
      </c>
      <c r="N582">
        <v>0</v>
      </c>
      <c r="O582">
        <v>0</v>
      </c>
      <c r="P582" t="str">
        <f t="shared" si="9"/>
        <v>N</v>
      </c>
      <c r="Q582" t="s">
        <v>6312</v>
      </c>
    </row>
    <row r="583" spans="1:17" x14ac:dyDescent="0.25">
      <c r="A583" t="s">
        <v>2378</v>
      </c>
      <c r="B583" t="s">
        <v>2344</v>
      </c>
      <c r="C583">
        <v>2027</v>
      </c>
      <c r="D583" t="s">
        <v>528</v>
      </c>
      <c r="E583" t="s">
        <v>828</v>
      </c>
      <c r="F583" s="32">
        <v>46374</v>
      </c>
      <c r="G583" t="s">
        <v>514</v>
      </c>
      <c r="H583">
        <v>47128208</v>
      </c>
      <c r="I583" t="s">
        <v>2353</v>
      </c>
      <c r="J583" t="s">
        <v>2354</v>
      </c>
      <c r="K583" t="s">
        <v>530</v>
      </c>
      <c r="N583">
        <v>0</v>
      </c>
      <c r="O583">
        <v>0</v>
      </c>
      <c r="P583" t="str">
        <f t="shared" si="9"/>
        <v>N</v>
      </c>
      <c r="Q583" t="s">
        <v>6313</v>
      </c>
    </row>
    <row r="584" spans="1:17" x14ac:dyDescent="0.25">
      <c r="A584" t="s">
        <v>2379</v>
      </c>
      <c r="B584" t="s">
        <v>2344</v>
      </c>
      <c r="C584">
        <v>2027</v>
      </c>
      <c r="D584" t="s">
        <v>528</v>
      </c>
      <c r="E584" t="s">
        <v>828</v>
      </c>
      <c r="F584" s="32">
        <v>46374</v>
      </c>
      <c r="G584" t="s">
        <v>514</v>
      </c>
      <c r="H584">
        <v>47128377</v>
      </c>
      <c r="I584" t="s">
        <v>2362</v>
      </c>
      <c r="J584" t="s">
        <v>2363</v>
      </c>
      <c r="K584" t="s">
        <v>530</v>
      </c>
      <c r="N584">
        <v>40</v>
      </c>
      <c r="O584">
        <v>40</v>
      </c>
      <c r="P584" t="str">
        <f t="shared" si="9"/>
        <v>N</v>
      </c>
      <c r="Q584" t="s">
        <v>6314</v>
      </c>
    </row>
    <row r="585" spans="1:17" x14ac:dyDescent="0.25">
      <c r="A585" t="s">
        <v>2510</v>
      </c>
      <c r="B585" t="s">
        <v>2444</v>
      </c>
      <c r="C585">
        <v>2027</v>
      </c>
      <c r="D585" t="s">
        <v>528</v>
      </c>
      <c r="E585" t="s">
        <v>828</v>
      </c>
      <c r="F585" s="32">
        <v>46374</v>
      </c>
      <c r="G585" t="s">
        <v>514</v>
      </c>
      <c r="H585">
        <v>47128006</v>
      </c>
      <c r="I585" t="s">
        <v>2447</v>
      </c>
      <c r="J585" t="s">
        <v>2448</v>
      </c>
      <c r="K585" t="s">
        <v>530</v>
      </c>
      <c r="N585">
        <v>40</v>
      </c>
      <c r="O585">
        <v>40</v>
      </c>
      <c r="P585" t="str">
        <f t="shared" si="9"/>
        <v>N</v>
      </c>
      <c r="Q585" t="s">
        <v>6315</v>
      </c>
    </row>
    <row r="586" spans="1:17" x14ac:dyDescent="0.25">
      <c r="A586" t="s">
        <v>2511</v>
      </c>
      <c r="B586" t="s">
        <v>2444</v>
      </c>
      <c r="C586">
        <v>2027</v>
      </c>
      <c r="D586" t="s">
        <v>528</v>
      </c>
      <c r="E586" t="s">
        <v>828</v>
      </c>
      <c r="F586" s="32">
        <v>46374</v>
      </c>
      <c r="G586" t="s">
        <v>514</v>
      </c>
      <c r="H586">
        <v>47128667</v>
      </c>
      <c r="I586" t="s">
        <v>2450</v>
      </c>
      <c r="J586" t="s">
        <v>2451</v>
      </c>
      <c r="K586" t="s">
        <v>530</v>
      </c>
      <c r="N586">
        <v>0</v>
      </c>
      <c r="O586">
        <v>0</v>
      </c>
      <c r="P586" t="str">
        <f t="shared" si="9"/>
        <v>N</v>
      </c>
      <c r="Q586" t="s">
        <v>6316</v>
      </c>
    </row>
    <row r="587" spans="1:17" x14ac:dyDescent="0.25">
      <c r="A587" t="s">
        <v>2512</v>
      </c>
      <c r="B587" t="s">
        <v>2444</v>
      </c>
      <c r="C587">
        <v>2027</v>
      </c>
      <c r="D587" t="s">
        <v>528</v>
      </c>
      <c r="E587" t="s">
        <v>828</v>
      </c>
      <c r="F587" s="32">
        <v>46374</v>
      </c>
      <c r="G587" t="s">
        <v>514</v>
      </c>
      <c r="H587">
        <v>47129262</v>
      </c>
      <c r="I587" t="s">
        <v>2453</v>
      </c>
      <c r="J587" t="s">
        <v>2454</v>
      </c>
      <c r="K587" t="s">
        <v>530</v>
      </c>
      <c r="N587">
        <v>0</v>
      </c>
      <c r="O587">
        <v>0</v>
      </c>
      <c r="P587" t="str">
        <f t="shared" si="9"/>
        <v>N</v>
      </c>
      <c r="Q587" t="s">
        <v>6317</v>
      </c>
    </row>
    <row r="588" spans="1:17" x14ac:dyDescent="0.25">
      <c r="A588" t="s">
        <v>2513</v>
      </c>
      <c r="B588" t="s">
        <v>2444</v>
      </c>
      <c r="C588">
        <v>2027</v>
      </c>
      <c r="D588" t="s">
        <v>528</v>
      </c>
      <c r="E588" t="s">
        <v>828</v>
      </c>
      <c r="F588" s="32">
        <v>46374</v>
      </c>
      <c r="G588" t="s">
        <v>514</v>
      </c>
      <c r="H588">
        <v>47128213</v>
      </c>
      <c r="I588" t="s">
        <v>2456</v>
      </c>
      <c r="J588" t="s">
        <v>2457</v>
      </c>
      <c r="K588" t="s">
        <v>530</v>
      </c>
      <c r="N588">
        <v>0</v>
      </c>
      <c r="O588">
        <v>0</v>
      </c>
      <c r="P588" t="str">
        <f t="shared" si="9"/>
        <v>N</v>
      </c>
      <c r="Q588" t="s">
        <v>6318</v>
      </c>
    </row>
    <row r="589" spans="1:17" x14ac:dyDescent="0.25">
      <c r="A589" t="s">
        <v>2514</v>
      </c>
      <c r="B589" t="s">
        <v>2444</v>
      </c>
      <c r="C589">
        <v>2027</v>
      </c>
      <c r="D589" t="s">
        <v>528</v>
      </c>
      <c r="E589" t="s">
        <v>828</v>
      </c>
      <c r="F589" s="32">
        <v>46374</v>
      </c>
      <c r="G589" t="s">
        <v>514</v>
      </c>
      <c r="H589">
        <v>47129222</v>
      </c>
      <c r="I589" t="s">
        <v>2459</v>
      </c>
      <c r="J589" t="s">
        <v>2460</v>
      </c>
      <c r="K589" t="s">
        <v>530</v>
      </c>
      <c r="N589">
        <v>0</v>
      </c>
      <c r="O589">
        <v>0</v>
      </c>
      <c r="P589" t="str">
        <f t="shared" si="9"/>
        <v>N</v>
      </c>
      <c r="Q589" t="s">
        <v>6319</v>
      </c>
    </row>
    <row r="590" spans="1:17" x14ac:dyDescent="0.25">
      <c r="A590" t="s">
        <v>2515</v>
      </c>
      <c r="B590" t="s">
        <v>2444</v>
      </c>
      <c r="C590">
        <v>2027</v>
      </c>
      <c r="D590" t="s">
        <v>528</v>
      </c>
      <c r="E590" t="s">
        <v>828</v>
      </c>
      <c r="F590" s="32">
        <v>46374</v>
      </c>
      <c r="G590" t="s">
        <v>514</v>
      </c>
      <c r="H590">
        <v>47128561</v>
      </c>
      <c r="I590" t="s">
        <v>2462</v>
      </c>
      <c r="J590" t="s">
        <v>2463</v>
      </c>
      <c r="K590" t="s">
        <v>530</v>
      </c>
      <c r="N590">
        <v>0</v>
      </c>
      <c r="O590">
        <v>0</v>
      </c>
      <c r="P590" t="str">
        <f t="shared" si="9"/>
        <v>N</v>
      </c>
      <c r="Q590" t="s">
        <v>6320</v>
      </c>
    </row>
    <row r="591" spans="1:17" x14ac:dyDescent="0.25">
      <c r="A591" t="s">
        <v>2516</v>
      </c>
      <c r="B591" t="s">
        <v>2444</v>
      </c>
      <c r="C591">
        <v>2027</v>
      </c>
      <c r="D591" t="s">
        <v>528</v>
      </c>
      <c r="E591" t="s">
        <v>828</v>
      </c>
      <c r="F591" s="32">
        <v>46374</v>
      </c>
      <c r="G591" t="s">
        <v>514</v>
      </c>
      <c r="H591">
        <v>47129727</v>
      </c>
      <c r="I591" t="s">
        <v>2465</v>
      </c>
      <c r="J591" t="s">
        <v>2466</v>
      </c>
      <c r="K591" t="s">
        <v>530</v>
      </c>
      <c r="N591">
        <v>0</v>
      </c>
      <c r="O591">
        <v>0</v>
      </c>
      <c r="P591" t="str">
        <f t="shared" si="9"/>
        <v>N</v>
      </c>
      <c r="Q591" t="s">
        <v>6321</v>
      </c>
    </row>
    <row r="592" spans="1:17" x14ac:dyDescent="0.25">
      <c r="A592" t="s">
        <v>2517</v>
      </c>
      <c r="B592" t="s">
        <v>2444</v>
      </c>
      <c r="C592">
        <v>2027</v>
      </c>
      <c r="D592" t="s">
        <v>528</v>
      </c>
      <c r="E592" t="s">
        <v>828</v>
      </c>
      <c r="F592" s="32">
        <v>46374</v>
      </c>
      <c r="G592" t="s">
        <v>514</v>
      </c>
      <c r="H592">
        <v>47132096</v>
      </c>
      <c r="I592" t="s">
        <v>2468</v>
      </c>
      <c r="J592" t="s">
        <v>2469</v>
      </c>
      <c r="K592" t="s">
        <v>530</v>
      </c>
      <c r="N592">
        <v>0</v>
      </c>
      <c r="O592">
        <v>0</v>
      </c>
      <c r="P592" t="str">
        <f t="shared" si="9"/>
        <v>N</v>
      </c>
      <c r="Q592" t="s">
        <v>6322</v>
      </c>
    </row>
    <row r="593" spans="1:17" x14ac:dyDescent="0.25">
      <c r="A593" t="s">
        <v>2518</v>
      </c>
      <c r="B593" t="s">
        <v>2444</v>
      </c>
      <c r="C593">
        <v>2027</v>
      </c>
      <c r="D593" t="s">
        <v>528</v>
      </c>
      <c r="E593" t="s">
        <v>828</v>
      </c>
      <c r="F593" s="32">
        <v>46374</v>
      </c>
      <c r="G593" t="s">
        <v>514</v>
      </c>
      <c r="H593">
        <v>47128300</v>
      </c>
      <c r="I593" t="s">
        <v>2471</v>
      </c>
      <c r="J593" t="s">
        <v>2472</v>
      </c>
      <c r="K593" t="s">
        <v>530</v>
      </c>
      <c r="N593">
        <v>0</v>
      </c>
      <c r="O593">
        <v>0</v>
      </c>
      <c r="P593" t="str">
        <f t="shared" si="9"/>
        <v>N</v>
      </c>
      <c r="Q593" t="s">
        <v>6323</v>
      </c>
    </row>
    <row r="594" spans="1:17" x14ac:dyDescent="0.25">
      <c r="A594" t="s">
        <v>2519</v>
      </c>
      <c r="B594" t="s">
        <v>2444</v>
      </c>
      <c r="C594">
        <v>2027</v>
      </c>
      <c r="D594" t="s">
        <v>528</v>
      </c>
      <c r="E594" t="s">
        <v>828</v>
      </c>
      <c r="F594" s="32">
        <v>46374</v>
      </c>
      <c r="G594" t="s">
        <v>514</v>
      </c>
      <c r="H594">
        <v>47128655</v>
      </c>
      <c r="I594" t="s">
        <v>2474</v>
      </c>
      <c r="J594" t="s">
        <v>2475</v>
      </c>
      <c r="K594" t="s">
        <v>530</v>
      </c>
      <c r="N594">
        <v>0</v>
      </c>
      <c r="O594">
        <v>0</v>
      </c>
      <c r="P594" t="str">
        <f t="shared" si="9"/>
        <v>N</v>
      </c>
      <c r="Q594" t="s">
        <v>6324</v>
      </c>
    </row>
    <row r="595" spans="1:17" x14ac:dyDescent="0.25">
      <c r="A595" t="s">
        <v>2520</v>
      </c>
      <c r="B595" t="s">
        <v>2444</v>
      </c>
      <c r="C595">
        <v>2027</v>
      </c>
      <c r="D595" t="s">
        <v>528</v>
      </c>
      <c r="E595" t="s">
        <v>828</v>
      </c>
      <c r="F595" s="32">
        <v>46374</v>
      </c>
      <c r="G595" t="s">
        <v>514</v>
      </c>
      <c r="H595">
        <v>47128179</v>
      </c>
      <c r="I595" t="s">
        <v>2477</v>
      </c>
      <c r="J595" t="s">
        <v>2478</v>
      </c>
      <c r="K595" t="s">
        <v>530</v>
      </c>
      <c r="N595">
        <v>0</v>
      </c>
      <c r="O595">
        <v>0</v>
      </c>
      <c r="P595" t="str">
        <f t="shared" si="9"/>
        <v>N</v>
      </c>
      <c r="Q595" t="s">
        <v>6325</v>
      </c>
    </row>
    <row r="596" spans="1:17" x14ac:dyDescent="0.25">
      <c r="A596" t="s">
        <v>2521</v>
      </c>
      <c r="B596" t="s">
        <v>2444</v>
      </c>
      <c r="C596">
        <v>2027</v>
      </c>
      <c r="D596" t="s">
        <v>528</v>
      </c>
      <c r="E596" t="s">
        <v>828</v>
      </c>
      <c r="F596" s="32">
        <v>46374</v>
      </c>
      <c r="G596" t="s">
        <v>514</v>
      </c>
      <c r="H596">
        <v>47129558</v>
      </c>
      <c r="I596" t="s">
        <v>2480</v>
      </c>
      <c r="J596" t="s">
        <v>2481</v>
      </c>
      <c r="K596" t="s">
        <v>530</v>
      </c>
      <c r="N596">
        <v>0</v>
      </c>
      <c r="O596">
        <v>0</v>
      </c>
      <c r="P596" t="str">
        <f t="shared" si="9"/>
        <v>N</v>
      </c>
      <c r="Q596" t="s">
        <v>6326</v>
      </c>
    </row>
    <row r="597" spans="1:17" x14ac:dyDescent="0.25">
      <c r="A597" t="s">
        <v>2522</v>
      </c>
      <c r="B597" t="s">
        <v>2444</v>
      </c>
      <c r="C597">
        <v>2027</v>
      </c>
      <c r="D597" t="s">
        <v>528</v>
      </c>
      <c r="E597" t="s">
        <v>828</v>
      </c>
      <c r="F597" s="32">
        <v>46374</v>
      </c>
      <c r="G597" t="s">
        <v>514</v>
      </c>
      <c r="H597">
        <v>47129273</v>
      </c>
      <c r="I597" t="s">
        <v>2483</v>
      </c>
      <c r="J597" t="s">
        <v>2484</v>
      </c>
      <c r="K597" t="s">
        <v>530</v>
      </c>
      <c r="N597">
        <v>0</v>
      </c>
      <c r="O597">
        <v>0</v>
      </c>
      <c r="P597" t="str">
        <f t="shared" si="9"/>
        <v>N</v>
      </c>
      <c r="Q597" t="s">
        <v>6327</v>
      </c>
    </row>
    <row r="598" spans="1:17" x14ac:dyDescent="0.25">
      <c r="A598" t="s">
        <v>2523</v>
      </c>
      <c r="B598" t="s">
        <v>2444</v>
      </c>
      <c r="C598">
        <v>2027</v>
      </c>
      <c r="D598" t="s">
        <v>528</v>
      </c>
      <c r="E598" t="s">
        <v>828</v>
      </c>
      <c r="F598" s="32">
        <v>46374</v>
      </c>
      <c r="G598" t="s">
        <v>514</v>
      </c>
      <c r="H598">
        <v>47129274</v>
      </c>
      <c r="I598" t="s">
        <v>2486</v>
      </c>
      <c r="J598" t="s">
        <v>2487</v>
      </c>
      <c r="K598" t="s">
        <v>530</v>
      </c>
      <c r="N598">
        <v>0</v>
      </c>
      <c r="O598">
        <v>0</v>
      </c>
      <c r="P598" t="str">
        <f t="shared" si="9"/>
        <v>N</v>
      </c>
      <c r="Q598" t="s">
        <v>6328</v>
      </c>
    </row>
    <row r="599" spans="1:17" x14ac:dyDescent="0.25">
      <c r="A599" t="s">
        <v>2524</v>
      </c>
      <c r="B599" t="s">
        <v>2444</v>
      </c>
      <c r="C599">
        <v>2027</v>
      </c>
      <c r="D599" t="s">
        <v>528</v>
      </c>
      <c r="E599" t="s">
        <v>828</v>
      </c>
      <c r="F599" s="32">
        <v>46374</v>
      </c>
      <c r="G599" t="s">
        <v>514</v>
      </c>
      <c r="H599">
        <v>47128247</v>
      </c>
      <c r="I599" t="s">
        <v>2492</v>
      </c>
      <c r="J599" t="s">
        <v>2493</v>
      </c>
      <c r="K599" t="s">
        <v>530</v>
      </c>
      <c r="N599">
        <v>0</v>
      </c>
      <c r="O599">
        <v>0</v>
      </c>
      <c r="P599" t="str">
        <f t="shared" si="9"/>
        <v>N</v>
      </c>
      <c r="Q599" t="s">
        <v>6329</v>
      </c>
    </row>
    <row r="600" spans="1:17" x14ac:dyDescent="0.25">
      <c r="A600" t="s">
        <v>2525</v>
      </c>
      <c r="B600" t="s">
        <v>2444</v>
      </c>
      <c r="C600">
        <v>2027</v>
      </c>
      <c r="D600" t="s">
        <v>528</v>
      </c>
      <c r="E600" t="s">
        <v>828</v>
      </c>
      <c r="F600" s="32">
        <v>46374</v>
      </c>
      <c r="G600" t="s">
        <v>514</v>
      </c>
      <c r="H600">
        <v>47128587</v>
      </c>
      <c r="I600" t="s">
        <v>2489</v>
      </c>
      <c r="J600" t="s">
        <v>2490</v>
      </c>
      <c r="K600" t="s">
        <v>530</v>
      </c>
      <c r="N600">
        <v>0</v>
      </c>
      <c r="O600">
        <v>0</v>
      </c>
      <c r="P600" t="str">
        <f t="shared" si="9"/>
        <v>N</v>
      </c>
      <c r="Q600" t="s">
        <v>6330</v>
      </c>
    </row>
    <row r="601" spans="1:17" x14ac:dyDescent="0.25">
      <c r="A601" t="s">
        <v>2816</v>
      </c>
      <c r="B601" t="s">
        <v>2783</v>
      </c>
      <c r="C601">
        <v>2027</v>
      </c>
      <c r="D601" t="s">
        <v>528</v>
      </c>
      <c r="E601" t="s">
        <v>828</v>
      </c>
      <c r="F601" s="32">
        <v>46374</v>
      </c>
      <c r="G601" t="s">
        <v>514</v>
      </c>
      <c r="H601">
        <v>47128006</v>
      </c>
      <c r="I601" t="s">
        <v>2447</v>
      </c>
      <c r="J601" t="s">
        <v>2448</v>
      </c>
      <c r="K601" t="s">
        <v>530</v>
      </c>
      <c r="N601">
        <v>40</v>
      </c>
      <c r="O601">
        <v>40</v>
      </c>
      <c r="P601" t="str">
        <f t="shared" si="9"/>
        <v>N</v>
      </c>
      <c r="Q601" t="s">
        <v>6331</v>
      </c>
    </row>
    <row r="602" spans="1:17" x14ac:dyDescent="0.25">
      <c r="A602" t="s">
        <v>2817</v>
      </c>
      <c r="B602" t="s">
        <v>2783</v>
      </c>
      <c r="C602">
        <v>2027</v>
      </c>
      <c r="D602" t="s">
        <v>528</v>
      </c>
      <c r="E602" t="s">
        <v>828</v>
      </c>
      <c r="F602" s="32">
        <v>46374</v>
      </c>
      <c r="G602" t="s">
        <v>514</v>
      </c>
      <c r="H602">
        <v>47128667</v>
      </c>
      <c r="I602" t="s">
        <v>2450</v>
      </c>
      <c r="J602" t="s">
        <v>2451</v>
      </c>
      <c r="K602" t="s">
        <v>530</v>
      </c>
      <c r="N602">
        <v>0</v>
      </c>
      <c r="O602">
        <v>0</v>
      </c>
      <c r="P602" t="str">
        <f t="shared" si="9"/>
        <v>N</v>
      </c>
      <c r="Q602" t="s">
        <v>6332</v>
      </c>
    </row>
    <row r="603" spans="1:17" x14ac:dyDescent="0.25">
      <c r="A603" t="s">
        <v>2818</v>
      </c>
      <c r="B603" t="s">
        <v>2783</v>
      </c>
      <c r="C603">
        <v>2027</v>
      </c>
      <c r="D603" t="s">
        <v>528</v>
      </c>
      <c r="E603" t="s">
        <v>828</v>
      </c>
      <c r="F603" s="32">
        <v>46374</v>
      </c>
      <c r="G603" t="s">
        <v>514</v>
      </c>
      <c r="H603">
        <v>47129262</v>
      </c>
      <c r="I603" t="s">
        <v>2453</v>
      </c>
      <c r="J603" t="s">
        <v>2454</v>
      </c>
      <c r="K603" t="s">
        <v>530</v>
      </c>
      <c r="N603">
        <v>0</v>
      </c>
      <c r="O603">
        <v>0</v>
      </c>
      <c r="P603" t="str">
        <f t="shared" si="9"/>
        <v>N</v>
      </c>
      <c r="Q603" t="s">
        <v>6333</v>
      </c>
    </row>
    <row r="604" spans="1:17" x14ac:dyDescent="0.25">
      <c r="A604" t="s">
        <v>2819</v>
      </c>
      <c r="B604" t="s">
        <v>2783</v>
      </c>
      <c r="C604">
        <v>2027</v>
      </c>
      <c r="D604" t="s">
        <v>528</v>
      </c>
      <c r="E604" t="s">
        <v>828</v>
      </c>
      <c r="F604" s="32">
        <v>46374</v>
      </c>
      <c r="G604" t="s">
        <v>514</v>
      </c>
      <c r="H604">
        <v>47128213</v>
      </c>
      <c r="I604" t="s">
        <v>2456</v>
      </c>
      <c r="J604" t="s">
        <v>2457</v>
      </c>
      <c r="K604" t="s">
        <v>530</v>
      </c>
      <c r="N604">
        <v>0</v>
      </c>
      <c r="O604">
        <v>0</v>
      </c>
      <c r="P604" t="str">
        <f t="shared" si="9"/>
        <v>N</v>
      </c>
      <c r="Q604" t="s">
        <v>6334</v>
      </c>
    </row>
    <row r="605" spans="1:17" x14ac:dyDescent="0.25">
      <c r="A605" t="s">
        <v>2820</v>
      </c>
      <c r="B605" t="s">
        <v>2783</v>
      </c>
      <c r="C605">
        <v>2027</v>
      </c>
      <c r="D605" t="s">
        <v>528</v>
      </c>
      <c r="E605" t="s">
        <v>828</v>
      </c>
      <c r="F605" s="32">
        <v>46374</v>
      </c>
      <c r="G605" t="s">
        <v>514</v>
      </c>
      <c r="H605">
        <v>47129222</v>
      </c>
      <c r="I605" t="s">
        <v>2459</v>
      </c>
      <c r="J605" t="s">
        <v>2460</v>
      </c>
      <c r="K605" t="s">
        <v>530</v>
      </c>
      <c r="N605">
        <v>0</v>
      </c>
      <c r="O605">
        <v>0</v>
      </c>
      <c r="P605" t="str">
        <f t="shared" si="9"/>
        <v>N</v>
      </c>
      <c r="Q605" t="s">
        <v>6335</v>
      </c>
    </row>
    <row r="606" spans="1:17" x14ac:dyDescent="0.25">
      <c r="A606" t="s">
        <v>2821</v>
      </c>
      <c r="B606" t="s">
        <v>2783</v>
      </c>
      <c r="C606">
        <v>2027</v>
      </c>
      <c r="D606" t="s">
        <v>528</v>
      </c>
      <c r="E606" t="s">
        <v>828</v>
      </c>
      <c r="F606" s="32">
        <v>46374</v>
      </c>
      <c r="G606" t="s">
        <v>514</v>
      </c>
      <c r="H606">
        <v>47128561</v>
      </c>
      <c r="I606" t="s">
        <v>2462</v>
      </c>
      <c r="J606" t="s">
        <v>2463</v>
      </c>
      <c r="K606" t="s">
        <v>530</v>
      </c>
      <c r="N606">
        <v>0</v>
      </c>
      <c r="O606">
        <v>0</v>
      </c>
      <c r="P606" t="str">
        <f t="shared" si="9"/>
        <v>N</v>
      </c>
      <c r="Q606" t="s">
        <v>6336</v>
      </c>
    </row>
    <row r="607" spans="1:17" x14ac:dyDescent="0.25">
      <c r="A607" t="s">
        <v>2822</v>
      </c>
      <c r="B607" t="s">
        <v>2783</v>
      </c>
      <c r="C607">
        <v>2027</v>
      </c>
      <c r="D607" t="s">
        <v>528</v>
      </c>
      <c r="E607" t="s">
        <v>828</v>
      </c>
      <c r="F607" s="32">
        <v>46374</v>
      </c>
      <c r="G607" t="s">
        <v>514</v>
      </c>
      <c r="H607">
        <v>47129727</v>
      </c>
      <c r="I607" t="s">
        <v>2465</v>
      </c>
      <c r="J607" t="s">
        <v>2466</v>
      </c>
      <c r="K607" t="s">
        <v>530</v>
      </c>
      <c r="N607">
        <v>0</v>
      </c>
      <c r="O607">
        <v>0</v>
      </c>
      <c r="P607" t="str">
        <f t="shared" si="9"/>
        <v>N</v>
      </c>
      <c r="Q607" t="s">
        <v>6337</v>
      </c>
    </row>
    <row r="608" spans="1:17" x14ac:dyDescent="0.25">
      <c r="A608" t="s">
        <v>2823</v>
      </c>
      <c r="B608" t="s">
        <v>2783</v>
      </c>
      <c r="C608">
        <v>2027</v>
      </c>
      <c r="D608" t="s">
        <v>528</v>
      </c>
      <c r="E608" t="s">
        <v>828</v>
      </c>
      <c r="F608" s="32">
        <v>46374</v>
      </c>
      <c r="G608" t="s">
        <v>514</v>
      </c>
      <c r="H608">
        <v>47132096</v>
      </c>
      <c r="I608" t="s">
        <v>2468</v>
      </c>
      <c r="J608" t="s">
        <v>2469</v>
      </c>
      <c r="K608" t="s">
        <v>530</v>
      </c>
      <c r="N608">
        <v>0</v>
      </c>
      <c r="O608">
        <v>0</v>
      </c>
      <c r="P608" t="str">
        <f t="shared" si="9"/>
        <v>N</v>
      </c>
      <c r="Q608" t="s">
        <v>6338</v>
      </c>
    </row>
    <row r="609" spans="1:17" x14ac:dyDescent="0.25">
      <c r="A609" t="s">
        <v>2824</v>
      </c>
      <c r="B609" t="s">
        <v>2783</v>
      </c>
      <c r="C609">
        <v>2027</v>
      </c>
      <c r="D609" t="s">
        <v>528</v>
      </c>
      <c r="E609" t="s">
        <v>828</v>
      </c>
      <c r="F609" s="32">
        <v>46374</v>
      </c>
      <c r="G609" t="s">
        <v>514</v>
      </c>
      <c r="H609">
        <v>47128300</v>
      </c>
      <c r="I609" t="s">
        <v>2471</v>
      </c>
      <c r="J609" t="s">
        <v>2472</v>
      </c>
      <c r="K609" t="s">
        <v>530</v>
      </c>
      <c r="N609">
        <v>0</v>
      </c>
      <c r="O609">
        <v>0</v>
      </c>
      <c r="P609" t="str">
        <f t="shared" si="9"/>
        <v>N</v>
      </c>
      <c r="Q609" t="s">
        <v>6339</v>
      </c>
    </row>
    <row r="610" spans="1:17" x14ac:dyDescent="0.25">
      <c r="A610" t="s">
        <v>2825</v>
      </c>
      <c r="B610" t="s">
        <v>2783</v>
      </c>
      <c r="C610">
        <v>2027</v>
      </c>
      <c r="D610" t="s">
        <v>528</v>
      </c>
      <c r="E610" t="s">
        <v>828</v>
      </c>
      <c r="F610" s="32">
        <v>46374</v>
      </c>
      <c r="G610" t="s">
        <v>514</v>
      </c>
      <c r="H610">
        <v>47128655</v>
      </c>
      <c r="I610" t="s">
        <v>2474</v>
      </c>
      <c r="J610" t="s">
        <v>2475</v>
      </c>
      <c r="K610" t="s">
        <v>530</v>
      </c>
      <c r="N610">
        <v>0</v>
      </c>
      <c r="O610">
        <v>0</v>
      </c>
      <c r="P610" t="str">
        <f t="shared" si="9"/>
        <v>N</v>
      </c>
      <c r="Q610" t="s">
        <v>6340</v>
      </c>
    </row>
    <row r="611" spans="1:17" x14ac:dyDescent="0.25">
      <c r="A611" t="s">
        <v>2826</v>
      </c>
      <c r="B611" t="s">
        <v>2783</v>
      </c>
      <c r="C611">
        <v>2027</v>
      </c>
      <c r="D611" t="s">
        <v>528</v>
      </c>
      <c r="E611" t="s">
        <v>828</v>
      </c>
      <c r="F611" s="32">
        <v>46374</v>
      </c>
      <c r="G611" t="s">
        <v>514</v>
      </c>
      <c r="H611">
        <v>47128179</v>
      </c>
      <c r="I611" t="s">
        <v>2477</v>
      </c>
      <c r="J611" t="s">
        <v>2478</v>
      </c>
      <c r="K611" t="s">
        <v>530</v>
      </c>
      <c r="N611">
        <v>0</v>
      </c>
      <c r="O611">
        <v>0</v>
      </c>
      <c r="P611" t="str">
        <f t="shared" si="9"/>
        <v>N</v>
      </c>
      <c r="Q611" t="s">
        <v>6341</v>
      </c>
    </row>
    <row r="612" spans="1:17" x14ac:dyDescent="0.25">
      <c r="A612" t="s">
        <v>2827</v>
      </c>
      <c r="B612" t="s">
        <v>2783</v>
      </c>
      <c r="C612">
        <v>2027</v>
      </c>
      <c r="D612" t="s">
        <v>528</v>
      </c>
      <c r="E612" t="s">
        <v>828</v>
      </c>
      <c r="F612" s="32">
        <v>46374</v>
      </c>
      <c r="G612" t="s">
        <v>514</v>
      </c>
      <c r="H612">
        <v>47129558</v>
      </c>
      <c r="I612" t="s">
        <v>2480</v>
      </c>
      <c r="J612" t="s">
        <v>2481</v>
      </c>
      <c r="K612" t="s">
        <v>530</v>
      </c>
      <c r="N612">
        <v>0</v>
      </c>
      <c r="O612">
        <v>0</v>
      </c>
      <c r="P612" t="str">
        <f t="shared" si="9"/>
        <v>N</v>
      </c>
      <c r="Q612" t="s">
        <v>6342</v>
      </c>
    </row>
    <row r="613" spans="1:17" x14ac:dyDescent="0.25">
      <c r="A613" t="s">
        <v>2828</v>
      </c>
      <c r="B613" t="s">
        <v>2783</v>
      </c>
      <c r="C613">
        <v>2027</v>
      </c>
      <c r="D613" t="s">
        <v>528</v>
      </c>
      <c r="E613" t="s">
        <v>828</v>
      </c>
      <c r="F613" s="32">
        <v>46374</v>
      </c>
      <c r="G613" t="s">
        <v>514</v>
      </c>
      <c r="H613">
        <v>47129273</v>
      </c>
      <c r="I613" t="s">
        <v>2483</v>
      </c>
      <c r="J613" t="s">
        <v>2484</v>
      </c>
      <c r="K613" t="s">
        <v>530</v>
      </c>
      <c r="N613">
        <v>0</v>
      </c>
      <c r="O613">
        <v>0</v>
      </c>
      <c r="P613" t="str">
        <f t="shared" si="9"/>
        <v>N</v>
      </c>
      <c r="Q613" t="s">
        <v>6343</v>
      </c>
    </row>
    <row r="614" spans="1:17" x14ac:dyDescent="0.25">
      <c r="A614" t="s">
        <v>2829</v>
      </c>
      <c r="B614" t="s">
        <v>2783</v>
      </c>
      <c r="C614">
        <v>2027</v>
      </c>
      <c r="D614" t="s">
        <v>528</v>
      </c>
      <c r="E614" t="s">
        <v>828</v>
      </c>
      <c r="F614" s="32">
        <v>46374</v>
      </c>
      <c r="G614" t="s">
        <v>514</v>
      </c>
      <c r="H614">
        <v>47129274</v>
      </c>
      <c r="I614" t="s">
        <v>2486</v>
      </c>
      <c r="J614" t="s">
        <v>2487</v>
      </c>
      <c r="K614" t="s">
        <v>530</v>
      </c>
      <c r="N614">
        <v>0</v>
      </c>
      <c r="O614">
        <v>0</v>
      </c>
      <c r="P614" t="str">
        <f t="shared" si="9"/>
        <v>N</v>
      </c>
      <c r="Q614" t="s">
        <v>6344</v>
      </c>
    </row>
    <row r="615" spans="1:17" x14ac:dyDescent="0.25">
      <c r="A615" t="s">
        <v>2830</v>
      </c>
      <c r="B615" t="s">
        <v>2783</v>
      </c>
      <c r="C615">
        <v>2027</v>
      </c>
      <c r="D615" t="s">
        <v>528</v>
      </c>
      <c r="E615" t="s">
        <v>828</v>
      </c>
      <c r="F615" s="32">
        <v>46374</v>
      </c>
      <c r="G615" t="s">
        <v>514</v>
      </c>
      <c r="H615">
        <v>47128587</v>
      </c>
      <c r="I615" t="s">
        <v>2489</v>
      </c>
      <c r="J615" t="s">
        <v>2490</v>
      </c>
      <c r="K615" t="s">
        <v>530</v>
      </c>
      <c r="N615">
        <v>0</v>
      </c>
      <c r="O615">
        <v>0</v>
      </c>
      <c r="P615" t="str">
        <f t="shared" si="9"/>
        <v>N</v>
      </c>
      <c r="Q615" t="s">
        <v>6345</v>
      </c>
    </row>
    <row r="616" spans="1:17" x14ac:dyDescent="0.25">
      <c r="A616" t="s">
        <v>2831</v>
      </c>
      <c r="B616" t="s">
        <v>2783</v>
      </c>
      <c r="C616">
        <v>2027</v>
      </c>
      <c r="D616" t="s">
        <v>528</v>
      </c>
      <c r="E616" t="s">
        <v>828</v>
      </c>
      <c r="F616" s="32">
        <v>46374</v>
      </c>
      <c r="G616" t="s">
        <v>514</v>
      </c>
      <c r="H616">
        <v>47128247</v>
      </c>
      <c r="I616" t="s">
        <v>2492</v>
      </c>
      <c r="J616" t="s">
        <v>2493</v>
      </c>
      <c r="K616" t="s">
        <v>530</v>
      </c>
      <c r="N616">
        <v>0</v>
      </c>
      <c r="O616">
        <v>0</v>
      </c>
      <c r="P616" t="str">
        <f t="shared" si="9"/>
        <v>N</v>
      </c>
      <c r="Q616" t="s">
        <v>6346</v>
      </c>
    </row>
    <row r="617" spans="1:17" x14ac:dyDescent="0.25">
      <c r="A617" t="s">
        <v>3165</v>
      </c>
      <c r="B617" t="s">
        <v>1080</v>
      </c>
      <c r="C617">
        <v>2027</v>
      </c>
      <c r="D617" t="s">
        <v>528</v>
      </c>
      <c r="E617" t="s">
        <v>828</v>
      </c>
      <c r="F617" s="32">
        <v>46374</v>
      </c>
      <c r="G617" t="s">
        <v>514</v>
      </c>
      <c r="H617">
        <v>47128028</v>
      </c>
      <c r="I617" t="s">
        <v>1035</v>
      </c>
      <c r="J617" t="s">
        <v>1034</v>
      </c>
      <c r="K617" t="s">
        <v>530</v>
      </c>
      <c r="N617">
        <v>0</v>
      </c>
      <c r="O617">
        <v>0</v>
      </c>
      <c r="P617" t="str">
        <f t="shared" si="9"/>
        <v>N</v>
      </c>
      <c r="Q617" t="s">
        <v>6347</v>
      </c>
    </row>
    <row r="618" spans="1:17" x14ac:dyDescent="0.25">
      <c r="A618" t="s">
        <v>3166</v>
      </c>
      <c r="B618" t="s">
        <v>1080</v>
      </c>
      <c r="C618">
        <v>2027</v>
      </c>
      <c r="D618" t="s">
        <v>528</v>
      </c>
      <c r="E618" t="s">
        <v>828</v>
      </c>
      <c r="F618" s="32">
        <v>46374</v>
      </c>
      <c r="G618" t="s">
        <v>514</v>
      </c>
      <c r="H618">
        <v>47128465</v>
      </c>
      <c r="I618" t="s">
        <v>1333</v>
      </c>
      <c r="J618" t="s">
        <v>1332</v>
      </c>
      <c r="K618" t="s">
        <v>530</v>
      </c>
      <c r="N618">
        <v>0</v>
      </c>
      <c r="O618">
        <v>0</v>
      </c>
      <c r="P618" t="str">
        <f t="shared" si="9"/>
        <v>N</v>
      </c>
      <c r="Q618" t="s">
        <v>6348</v>
      </c>
    </row>
    <row r="619" spans="1:17" x14ac:dyDescent="0.25">
      <c r="A619" t="s">
        <v>3167</v>
      </c>
      <c r="B619" t="s">
        <v>1080</v>
      </c>
      <c r="C619">
        <v>2027</v>
      </c>
      <c r="D619" t="s">
        <v>528</v>
      </c>
      <c r="E619" t="s">
        <v>828</v>
      </c>
      <c r="F619" s="32">
        <v>46374</v>
      </c>
      <c r="G619" t="s">
        <v>514</v>
      </c>
      <c r="H619">
        <v>47128548</v>
      </c>
      <c r="I619" t="s">
        <v>958</v>
      </c>
      <c r="J619" t="s">
        <v>957</v>
      </c>
      <c r="K619" t="s">
        <v>530</v>
      </c>
      <c r="N619">
        <v>100</v>
      </c>
      <c r="O619">
        <v>100</v>
      </c>
      <c r="P619" t="str">
        <f t="shared" si="9"/>
        <v>N</v>
      </c>
      <c r="Q619" t="s">
        <v>6349</v>
      </c>
    </row>
    <row r="620" spans="1:17" x14ac:dyDescent="0.25">
      <c r="A620" t="s">
        <v>3168</v>
      </c>
      <c r="B620" t="s">
        <v>1080</v>
      </c>
      <c r="C620">
        <v>2027</v>
      </c>
      <c r="D620" t="s">
        <v>528</v>
      </c>
      <c r="E620" t="s">
        <v>828</v>
      </c>
      <c r="F620" s="32">
        <v>46374</v>
      </c>
      <c r="G620" t="s">
        <v>514</v>
      </c>
      <c r="H620">
        <v>47128787</v>
      </c>
      <c r="I620" t="s">
        <v>1453</v>
      </c>
      <c r="J620" t="s">
        <v>1452</v>
      </c>
      <c r="K620" t="s">
        <v>530</v>
      </c>
      <c r="N620">
        <v>0</v>
      </c>
      <c r="O620">
        <v>0</v>
      </c>
      <c r="P620" t="str">
        <f t="shared" si="9"/>
        <v>N</v>
      </c>
      <c r="Q620" t="s">
        <v>6350</v>
      </c>
    </row>
    <row r="621" spans="1:17" x14ac:dyDescent="0.25">
      <c r="A621" t="s">
        <v>3169</v>
      </c>
      <c r="B621" t="s">
        <v>1080</v>
      </c>
      <c r="C621">
        <v>2027</v>
      </c>
      <c r="D621" t="s">
        <v>528</v>
      </c>
      <c r="E621" t="s">
        <v>828</v>
      </c>
      <c r="F621" s="32">
        <v>46374</v>
      </c>
      <c r="G621" t="s">
        <v>514</v>
      </c>
      <c r="H621">
        <v>47146464</v>
      </c>
      <c r="I621" t="s">
        <v>1438</v>
      </c>
      <c r="J621" t="s">
        <v>1437</v>
      </c>
      <c r="K621" t="s">
        <v>530</v>
      </c>
      <c r="N621">
        <v>0</v>
      </c>
      <c r="O621">
        <v>0</v>
      </c>
      <c r="P621" t="str">
        <f t="shared" si="9"/>
        <v>N</v>
      </c>
      <c r="Q621" t="s">
        <v>6351</v>
      </c>
    </row>
    <row r="622" spans="1:17" x14ac:dyDescent="0.25">
      <c r="A622" t="s">
        <v>3170</v>
      </c>
      <c r="B622" t="s">
        <v>1080</v>
      </c>
      <c r="C622">
        <v>2027</v>
      </c>
      <c r="D622" t="s">
        <v>528</v>
      </c>
      <c r="E622" t="s">
        <v>828</v>
      </c>
      <c r="F622" s="32">
        <v>46374</v>
      </c>
      <c r="G622" t="s">
        <v>514</v>
      </c>
      <c r="H622">
        <v>47146463</v>
      </c>
      <c r="I622" t="s">
        <v>1441</v>
      </c>
      <c r="J622" t="s">
        <v>1440</v>
      </c>
      <c r="K622" t="s">
        <v>530</v>
      </c>
      <c r="N622">
        <v>0</v>
      </c>
      <c r="O622">
        <v>0</v>
      </c>
      <c r="P622" t="str">
        <f t="shared" si="9"/>
        <v>N</v>
      </c>
      <c r="Q622" t="s">
        <v>6352</v>
      </c>
    </row>
    <row r="623" spans="1:17" x14ac:dyDescent="0.25">
      <c r="A623" t="s">
        <v>3171</v>
      </c>
      <c r="B623" t="s">
        <v>1080</v>
      </c>
      <c r="C623">
        <v>2027</v>
      </c>
      <c r="D623" t="s">
        <v>528</v>
      </c>
      <c r="E623" t="s">
        <v>828</v>
      </c>
      <c r="F623" s="32">
        <v>46374</v>
      </c>
      <c r="G623" t="s">
        <v>514</v>
      </c>
      <c r="H623">
        <v>47128729</v>
      </c>
      <c r="I623" t="s">
        <v>1149</v>
      </c>
      <c r="J623" t="s">
        <v>1148</v>
      </c>
      <c r="K623" t="s">
        <v>530</v>
      </c>
      <c r="N623">
        <v>0</v>
      </c>
      <c r="O623">
        <v>0</v>
      </c>
      <c r="P623" t="str">
        <f t="shared" si="9"/>
        <v>N</v>
      </c>
      <c r="Q623" t="s">
        <v>6353</v>
      </c>
    </row>
    <row r="624" spans="1:17" x14ac:dyDescent="0.25">
      <c r="A624" t="s">
        <v>3172</v>
      </c>
      <c r="B624" t="s">
        <v>1080</v>
      </c>
      <c r="C624">
        <v>2027</v>
      </c>
      <c r="D624" t="s">
        <v>528</v>
      </c>
      <c r="E624" t="s">
        <v>828</v>
      </c>
      <c r="F624" s="32">
        <v>46374</v>
      </c>
      <c r="G624" t="s">
        <v>514</v>
      </c>
      <c r="H624">
        <v>47128413</v>
      </c>
      <c r="I624" t="s">
        <v>1397</v>
      </c>
      <c r="J624" t="s">
        <v>1396</v>
      </c>
      <c r="K624" t="s">
        <v>530</v>
      </c>
      <c r="N624">
        <v>0</v>
      </c>
      <c r="O624">
        <v>0</v>
      </c>
      <c r="P624" t="str">
        <f t="shared" si="9"/>
        <v>N</v>
      </c>
      <c r="Q624" t="s">
        <v>6354</v>
      </c>
    </row>
    <row r="625" spans="1:17" x14ac:dyDescent="0.25">
      <c r="A625" t="s">
        <v>3173</v>
      </c>
      <c r="B625" t="s">
        <v>1080</v>
      </c>
      <c r="C625">
        <v>2027</v>
      </c>
      <c r="D625" t="s">
        <v>528</v>
      </c>
      <c r="E625" t="s">
        <v>828</v>
      </c>
      <c r="F625" s="32">
        <v>46374</v>
      </c>
      <c r="G625" t="s">
        <v>514</v>
      </c>
      <c r="H625">
        <v>47128783</v>
      </c>
      <c r="I625" t="s">
        <v>1280</v>
      </c>
      <c r="J625" t="s">
        <v>1279</v>
      </c>
      <c r="K625" t="s">
        <v>530</v>
      </c>
      <c r="N625">
        <v>0</v>
      </c>
      <c r="O625">
        <v>0</v>
      </c>
      <c r="P625" t="str">
        <f t="shared" si="9"/>
        <v>N</v>
      </c>
      <c r="Q625" t="s">
        <v>6355</v>
      </c>
    </row>
    <row r="626" spans="1:17" x14ac:dyDescent="0.25">
      <c r="A626" t="s">
        <v>3174</v>
      </c>
      <c r="B626" t="s">
        <v>1080</v>
      </c>
      <c r="C626">
        <v>2027</v>
      </c>
      <c r="D626" t="s">
        <v>528</v>
      </c>
      <c r="E626" t="s">
        <v>828</v>
      </c>
      <c r="F626" s="32">
        <v>46374</v>
      </c>
      <c r="G626" t="s">
        <v>514</v>
      </c>
      <c r="H626">
        <v>47128944</v>
      </c>
      <c r="I626" t="s">
        <v>1137</v>
      </c>
      <c r="J626" t="s">
        <v>1136</v>
      </c>
      <c r="K626" t="s">
        <v>530</v>
      </c>
      <c r="N626">
        <v>0</v>
      </c>
      <c r="O626">
        <v>0</v>
      </c>
      <c r="P626" t="str">
        <f t="shared" si="9"/>
        <v>N</v>
      </c>
      <c r="Q626" t="s">
        <v>6356</v>
      </c>
    </row>
    <row r="627" spans="1:17" x14ac:dyDescent="0.25">
      <c r="A627" t="s">
        <v>3175</v>
      </c>
      <c r="B627" t="s">
        <v>1080</v>
      </c>
      <c r="C627">
        <v>2027</v>
      </c>
      <c r="D627" t="s">
        <v>528</v>
      </c>
      <c r="E627" t="s">
        <v>828</v>
      </c>
      <c r="F627" s="32">
        <v>46374</v>
      </c>
      <c r="G627" t="s">
        <v>514</v>
      </c>
      <c r="H627">
        <v>47129547</v>
      </c>
      <c r="I627" t="s">
        <v>1128</v>
      </c>
      <c r="J627" t="s">
        <v>1352</v>
      </c>
      <c r="K627" t="s">
        <v>530</v>
      </c>
      <c r="N627">
        <v>0</v>
      </c>
      <c r="O627">
        <v>0</v>
      </c>
      <c r="P627" t="str">
        <f t="shared" si="9"/>
        <v>N</v>
      </c>
      <c r="Q627" t="s">
        <v>6357</v>
      </c>
    </row>
    <row r="628" spans="1:17" x14ac:dyDescent="0.25">
      <c r="A628" t="s">
        <v>3176</v>
      </c>
      <c r="B628" t="s">
        <v>1080</v>
      </c>
      <c r="C628">
        <v>2027</v>
      </c>
      <c r="D628" t="s">
        <v>528</v>
      </c>
      <c r="E628" t="s">
        <v>828</v>
      </c>
      <c r="F628" s="32">
        <v>46374</v>
      </c>
      <c r="G628" t="s">
        <v>514</v>
      </c>
      <c r="H628">
        <v>47128518</v>
      </c>
      <c r="I628" t="s">
        <v>1232</v>
      </c>
      <c r="J628" t="s">
        <v>1493</v>
      </c>
      <c r="K628" t="s">
        <v>530</v>
      </c>
      <c r="N628">
        <v>0</v>
      </c>
      <c r="O628">
        <v>0</v>
      </c>
      <c r="P628" t="str">
        <f t="shared" si="9"/>
        <v>N</v>
      </c>
      <c r="Q628" t="s">
        <v>6358</v>
      </c>
    </row>
    <row r="629" spans="1:17" x14ac:dyDescent="0.25">
      <c r="A629" t="s">
        <v>3177</v>
      </c>
      <c r="B629" t="s">
        <v>1080</v>
      </c>
      <c r="C629">
        <v>2027</v>
      </c>
      <c r="D629" t="s">
        <v>528</v>
      </c>
      <c r="E629" t="s">
        <v>828</v>
      </c>
      <c r="F629" s="32">
        <v>46374</v>
      </c>
      <c r="G629" t="s">
        <v>514</v>
      </c>
      <c r="H629">
        <v>47128977</v>
      </c>
      <c r="I629" t="s">
        <v>1449</v>
      </c>
      <c r="J629" t="s">
        <v>1448</v>
      </c>
      <c r="K629" t="s">
        <v>530</v>
      </c>
      <c r="N629">
        <v>0</v>
      </c>
      <c r="O629">
        <v>0</v>
      </c>
      <c r="P629" t="str">
        <f t="shared" si="9"/>
        <v>N</v>
      </c>
      <c r="Q629" t="s">
        <v>6359</v>
      </c>
    </row>
    <row r="630" spans="1:17" x14ac:dyDescent="0.25">
      <c r="A630" t="s">
        <v>3178</v>
      </c>
      <c r="B630" t="s">
        <v>1080</v>
      </c>
      <c r="C630">
        <v>2027</v>
      </c>
      <c r="D630" t="s">
        <v>528</v>
      </c>
      <c r="E630" t="s">
        <v>828</v>
      </c>
      <c r="F630" s="32">
        <v>46374</v>
      </c>
      <c r="G630" t="s">
        <v>514</v>
      </c>
      <c r="H630">
        <v>47128168</v>
      </c>
      <c r="I630" t="s">
        <v>1100</v>
      </c>
      <c r="J630" t="s">
        <v>1099</v>
      </c>
      <c r="K630" t="s">
        <v>530</v>
      </c>
      <c r="N630">
        <v>0</v>
      </c>
      <c r="O630">
        <v>0</v>
      </c>
      <c r="P630" t="str">
        <f t="shared" si="9"/>
        <v>N</v>
      </c>
      <c r="Q630" t="s">
        <v>6360</v>
      </c>
    </row>
    <row r="631" spans="1:17" x14ac:dyDescent="0.25">
      <c r="A631" t="s">
        <v>3179</v>
      </c>
      <c r="B631" t="s">
        <v>1080</v>
      </c>
      <c r="C631">
        <v>2027</v>
      </c>
      <c r="D631" t="s">
        <v>528</v>
      </c>
      <c r="E631" t="s">
        <v>828</v>
      </c>
      <c r="F631" s="32">
        <v>46374</v>
      </c>
      <c r="G631" t="s">
        <v>514</v>
      </c>
      <c r="H631">
        <v>47128687</v>
      </c>
      <c r="I631" t="s">
        <v>1153</v>
      </c>
      <c r="J631" t="s">
        <v>1152</v>
      </c>
      <c r="K631" t="s">
        <v>530</v>
      </c>
      <c r="N631">
        <v>0</v>
      </c>
      <c r="O631">
        <v>0</v>
      </c>
      <c r="P631" t="str">
        <f t="shared" si="9"/>
        <v>N</v>
      </c>
      <c r="Q631" t="s">
        <v>6361</v>
      </c>
    </row>
    <row r="632" spans="1:17" x14ac:dyDescent="0.25">
      <c r="A632" t="s">
        <v>3180</v>
      </c>
      <c r="B632" t="s">
        <v>1080</v>
      </c>
      <c r="C632">
        <v>2027</v>
      </c>
      <c r="D632" t="s">
        <v>528</v>
      </c>
      <c r="E632" t="s">
        <v>828</v>
      </c>
      <c r="F632" s="32">
        <v>46374</v>
      </c>
      <c r="G632" t="s">
        <v>514</v>
      </c>
      <c r="H632">
        <v>47128585</v>
      </c>
      <c r="I632" t="s">
        <v>1141</v>
      </c>
      <c r="J632" t="s">
        <v>1140</v>
      </c>
      <c r="K632" t="s">
        <v>530</v>
      </c>
      <c r="N632">
        <v>0</v>
      </c>
      <c r="O632">
        <v>0</v>
      </c>
      <c r="P632" t="str">
        <f t="shared" si="9"/>
        <v>N</v>
      </c>
      <c r="Q632" t="s">
        <v>6362</v>
      </c>
    </row>
    <row r="633" spans="1:17" x14ac:dyDescent="0.25">
      <c r="A633" t="s">
        <v>3181</v>
      </c>
      <c r="B633" t="s">
        <v>1080</v>
      </c>
      <c r="C633">
        <v>2027</v>
      </c>
      <c r="D633" t="s">
        <v>528</v>
      </c>
      <c r="E633" t="s">
        <v>828</v>
      </c>
      <c r="F633" s="32">
        <v>46374</v>
      </c>
      <c r="G633" t="s">
        <v>514</v>
      </c>
      <c r="H633">
        <v>47128906</v>
      </c>
      <c r="I633" t="s">
        <v>1349</v>
      </c>
      <c r="J633" t="s">
        <v>1348</v>
      </c>
      <c r="K633" t="s">
        <v>530</v>
      </c>
      <c r="N633">
        <v>0</v>
      </c>
      <c r="O633">
        <v>0</v>
      </c>
      <c r="P633" t="str">
        <f t="shared" si="9"/>
        <v>N</v>
      </c>
      <c r="Q633" t="s">
        <v>6363</v>
      </c>
    </row>
    <row r="634" spans="1:17" x14ac:dyDescent="0.25">
      <c r="A634" t="s">
        <v>3182</v>
      </c>
      <c r="B634" t="s">
        <v>1080</v>
      </c>
      <c r="C634">
        <v>2027</v>
      </c>
      <c r="D634" t="s">
        <v>528</v>
      </c>
      <c r="E634" t="s">
        <v>828</v>
      </c>
      <c r="F634" s="32">
        <v>46374</v>
      </c>
      <c r="G634" t="s">
        <v>514</v>
      </c>
      <c r="H634">
        <v>47128585</v>
      </c>
      <c r="I634" t="s">
        <v>1141</v>
      </c>
      <c r="J634" t="s">
        <v>1408</v>
      </c>
      <c r="K634" t="s">
        <v>530</v>
      </c>
      <c r="N634">
        <v>0</v>
      </c>
      <c r="O634">
        <v>0</v>
      </c>
      <c r="P634" t="str">
        <f t="shared" si="9"/>
        <v>N</v>
      </c>
      <c r="Q634" t="s">
        <v>6364</v>
      </c>
    </row>
    <row r="635" spans="1:17" x14ac:dyDescent="0.25">
      <c r="A635" t="s">
        <v>3183</v>
      </c>
      <c r="B635" t="s">
        <v>1080</v>
      </c>
      <c r="C635">
        <v>2027</v>
      </c>
      <c r="D635" t="s">
        <v>528</v>
      </c>
      <c r="E635" t="s">
        <v>828</v>
      </c>
      <c r="F635" s="32">
        <v>46374</v>
      </c>
      <c r="G635" t="s">
        <v>514</v>
      </c>
      <c r="H635">
        <v>47128518</v>
      </c>
      <c r="I635" t="s">
        <v>1232</v>
      </c>
      <c r="J635" t="s">
        <v>1231</v>
      </c>
      <c r="K635" t="s">
        <v>530</v>
      </c>
      <c r="N635">
        <v>0</v>
      </c>
      <c r="O635">
        <v>0</v>
      </c>
      <c r="P635" t="str">
        <f t="shared" si="9"/>
        <v>N</v>
      </c>
      <c r="Q635" t="s">
        <v>6365</v>
      </c>
    </row>
    <row r="636" spans="1:17" x14ac:dyDescent="0.25">
      <c r="A636" t="s">
        <v>3184</v>
      </c>
      <c r="B636" t="s">
        <v>1080</v>
      </c>
      <c r="C636">
        <v>2027</v>
      </c>
      <c r="D636" t="s">
        <v>528</v>
      </c>
      <c r="E636" t="s">
        <v>828</v>
      </c>
      <c r="F636" s="32">
        <v>46374</v>
      </c>
      <c r="G636" t="s">
        <v>514</v>
      </c>
      <c r="H636">
        <v>47128680</v>
      </c>
      <c r="I636" t="s">
        <v>1284</v>
      </c>
      <c r="J636" t="s">
        <v>1283</v>
      </c>
      <c r="K636" t="s">
        <v>530</v>
      </c>
      <c r="N636">
        <v>0</v>
      </c>
      <c r="O636">
        <v>0</v>
      </c>
      <c r="P636" t="str">
        <f t="shared" si="9"/>
        <v>N</v>
      </c>
      <c r="Q636" t="s">
        <v>6366</v>
      </c>
    </row>
    <row r="637" spans="1:17" x14ac:dyDescent="0.25">
      <c r="A637" t="s">
        <v>3185</v>
      </c>
      <c r="B637" t="s">
        <v>1080</v>
      </c>
      <c r="C637">
        <v>2027</v>
      </c>
      <c r="D637" t="s">
        <v>528</v>
      </c>
      <c r="E637" t="s">
        <v>828</v>
      </c>
      <c r="F637" s="32">
        <v>46374</v>
      </c>
      <c r="G637" t="s">
        <v>514</v>
      </c>
      <c r="H637">
        <v>47128024</v>
      </c>
      <c r="I637" t="s">
        <v>1108</v>
      </c>
      <c r="J637" t="s">
        <v>1107</v>
      </c>
      <c r="K637" t="s">
        <v>530</v>
      </c>
      <c r="N637">
        <v>0</v>
      </c>
      <c r="O637">
        <v>0</v>
      </c>
      <c r="P637" t="str">
        <f t="shared" si="9"/>
        <v>N</v>
      </c>
      <c r="Q637" t="s">
        <v>6367</v>
      </c>
    </row>
    <row r="638" spans="1:17" x14ac:dyDescent="0.25">
      <c r="A638" t="s">
        <v>3186</v>
      </c>
      <c r="B638" t="s">
        <v>1080</v>
      </c>
      <c r="C638">
        <v>2027</v>
      </c>
      <c r="D638" t="s">
        <v>528</v>
      </c>
      <c r="E638" t="s">
        <v>828</v>
      </c>
      <c r="F638" s="32">
        <v>46374</v>
      </c>
      <c r="G638" t="s">
        <v>514</v>
      </c>
      <c r="H638">
        <v>47128944</v>
      </c>
      <c r="I638" t="s">
        <v>1137</v>
      </c>
      <c r="J638" t="s">
        <v>1513</v>
      </c>
      <c r="K638" t="s">
        <v>530</v>
      </c>
      <c r="N638">
        <v>0</v>
      </c>
      <c r="O638">
        <v>0</v>
      </c>
      <c r="P638" t="str">
        <f t="shared" si="9"/>
        <v>N</v>
      </c>
      <c r="Q638" t="s">
        <v>6368</v>
      </c>
    </row>
    <row r="639" spans="1:17" x14ac:dyDescent="0.25">
      <c r="A639" t="s">
        <v>3187</v>
      </c>
      <c r="B639" t="s">
        <v>1080</v>
      </c>
      <c r="C639">
        <v>2027</v>
      </c>
      <c r="D639" t="s">
        <v>528</v>
      </c>
      <c r="E639" t="s">
        <v>828</v>
      </c>
      <c r="F639" s="32">
        <v>46374</v>
      </c>
      <c r="G639" t="s">
        <v>514</v>
      </c>
      <c r="H639">
        <v>47147546</v>
      </c>
      <c r="I639" t="s">
        <v>1077</v>
      </c>
      <c r="J639" t="s">
        <v>1076</v>
      </c>
      <c r="K639" t="s">
        <v>530</v>
      </c>
      <c r="N639">
        <v>0</v>
      </c>
      <c r="O639">
        <v>0</v>
      </c>
      <c r="P639" t="str">
        <f t="shared" si="9"/>
        <v>N</v>
      </c>
      <c r="Q639" t="s">
        <v>6369</v>
      </c>
    </row>
    <row r="640" spans="1:17" x14ac:dyDescent="0.25">
      <c r="A640" t="s">
        <v>3188</v>
      </c>
      <c r="B640" t="s">
        <v>1080</v>
      </c>
      <c r="C640">
        <v>2027</v>
      </c>
      <c r="D640" t="s">
        <v>528</v>
      </c>
      <c r="E640" t="s">
        <v>828</v>
      </c>
      <c r="F640" s="32">
        <v>46374</v>
      </c>
      <c r="G640" t="s">
        <v>514</v>
      </c>
      <c r="H640">
        <v>47128346</v>
      </c>
      <c r="I640" t="s">
        <v>1157</v>
      </c>
      <c r="J640" t="s">
        <v>1156</v>
      </c>
      <c r="K640" t="s">
        <v>530</v>
      </c>
      <c r="N640">
        <v>0</v>
      </c>
      <c r="O640">
        <v>0</v>
      </c>
      <c r="P640" t="str">
        <f t="shared" si="9"/>
        <v>N</v>
      </c>
      <c r="Q640" t="s">
        <v>6370</v>
      </c>
    </row>
    <row r="641" spans="1:17" x14ac:dyDescent="0.25">
      <c r="A641" t="s">
        <v>3189</v>
      </c>
      <c r="B641" t="s">
        <v>1080</v>
      </c>
      <c r="C641">
        <v>2027</v>
      </c>
      <c r="D641" t="s">
        <v>528</v>
      </c>
      <c r="E641" t="s">
        <v>828</v>
      </c>
      <c r="F641" s="32">
        <v>46374</v>
      </c>
      <c r="G641" t="s">
        <v>514</v>
      </c>
      <c r="H641">
        <v>47128800</v>
      </c>
      <c r="I641" t="s">
        <v>1145</v>
      </c>
      <c r="J641" t="s">
        <v>1144</v>
      </c>
      <c r="K641" t="s">
        <v>530</v>
      </c>
      <c r="N641">
        <v>0</v>
      </c>
      <c r="O641">
        <v>0</v>
      </c>
      <c r="P641" t="str">
        <f t="shared" si="9"/>
        <v>N</v>
      </c>
      <c r="Q641" t="s">
        <v>6371</v>
      </c>
    </row>
    <row r="642" spans="1:17" x14ac:dyDescent="0.25">
      <c r="A642" t="s">
        <v>3190</v>
      </c>
      <c r="B642" t="s">
        <v>1080</v>
      </c>
      <c r="C642">
        <v>2027</v>
      </c>
      <c r="D642" t="s">
        <v>528</v>
      </c>
      <c r="E642" t="s">
        <v>828</v>
      </c>
      <c r="F642" s="32">
        <v>46374</v>
      </c>
      <c r="G642" t="s">
        <v>514</v>
      </c>
      <c r="H642">
        <v>47128109</v>
      </c>
      <c r="I642" t="s">
        <v>1336</v>
      </c>
      <c r="J642" t="s">
        <v>1335</v>
      </c>
      <c r="K642" t="s">
        <v>530</v>
      </c>
      <c r="N642">
        <v>0</v>
      </c>
      <c r="O642">
        <v>0</v>
      </c>
      <c r="P642" t="str">
        <f t="shared" si="9"/>
        <v>N</v>
      </c>
      <c r="Q642" t="s">
        <v>6372</v>
      </c>
    </row>
    <row r="643" spans="1:17" x14ac:dyDescent="0.25">
      <c r="A643" t="s">
        <v>3191</v>
      </c>
      <c r="B643" t="s">
        <v>1080</v>
      </c>
      <c r="C643">
        <v>2027</v>
      </c>
      <c r="D643" t="s">
        <v>528</v>
      </c>
      <c r="E643" t="s">
        <v>828</v>
      </c>
      <c r="F643" s="32">
        <v>46374</v>
      </c>
      <c r="G643" t="s">
        <v>514</v>
      </c>
      <c r="H643">
        <v>47128430</v>
      </c>
      <c r="I643" t="s">
        <v>1401</v>
      </c>
      <c r="J643" t="s">
        <v>1400</v>
      </c>
      <c r="K643" t="s">
        <v>530</v>
      </c>
      <c r="N643">
        <v>0</v>
      </c>
      <c r="O643">
        <v>0</v>
      </c>
      <c r="P643" t="str">
        <f t="shared" ref="P643:P706" si="10">IF(N643=O643,"N","Y")</f>
        <v>N</v>
      </c>
      <c r="Q643" t="s">
        <v>6373</v>
      </c>
    </row>
    <row r="644" spans="1:17" x14ac:dyDescent="0.25">
      <c r="A644" t="s">
        <v>3192</v>
      </c>
      <c r="B644" t="s">
        <v>1080</v>
      </c>
      <c r="C644">
        <v>2027</v>
      </c>
      <c r="D644" t="s">
        <v>528</v>
      </c>
      <c r="E644" t="s">
        <v>828</v>
      </c>
      <c r="F644" s="32">
        <v>46374</v>
      </c>
      <c r="G644" t="s">
        <v>514</v>
      </c>
      <c r="H644">
        <v>47128522</v>
      </c>
      <c r="I644" t="s">
        <v>1092</v>
      </c>
      <c r="J644" t="s">
        <v>1091</v>
      </c>
      <c r="K644" t="s">
        <v>530</v>
      </c>
      <c r="N644">
        <v>0</v>
      </c>
      <c r="O644">
        <v>0</v>
      </c>
      <c r="P644" t="str">
        <f t="shared" si="10"/>
        <v>N</v>
      </c>
      <c r="Q644" t="s">
        <v>6374</v>
      </c>
    </row>
    <row r="645" spans="1:17" x14ac:dyDescent="0.25">
      <c r="A645" t="s">
        <v>3193</v>
      </c>
      <c r="B645" t="s">
        <v>1080</v>
      </c>
      <c r="C645">
        <v>2027</v>
      </c>
      <c r="D645" t="s">
        <v>528</v>
      </c>
      <c r="E645" t="s">
        <v>828</v>
      </c>
      <c r="F645" s="32">
        <v>46374</v>
      </c>
      <c r="G645" t="s">
        <v>514</v>
      </c>
      <c r="H645">
        <v>47147546</v>
      </c>
      <c r="I645" t="s">
        <v>1077</v>
      </c>
      <c r="J645" t="s">
        <v>1381</v>
      </c>
      <c r="K645" t="s">
        <v>530</v>
      </c>
      <c r="N645">
        <v>0</v>
      </c>
      <c r="O645">
        <v>0</v>
      </c>
      <c r="P645" t="str">
        <f t="shared" si="10"/>
        <v>N</v>
      </c>
      <c r="Q645" t="s">
        <v>6375</v>
      </c>
    </row>
    <row r="646" spans="1:17" x14ac:dyDescent="0.25">
      <c r="A646" t="s">
        <v>3194</v>
      </c>
      <c r="B646" t="s">
        <v>1080</v>
      </c>
      <c r="C646">
        <v>2027</v>
      </c>
      <c r="D646" t="s">
        <v>528</v>
      </c>
      <c r="E646" t="s">
        <v>828</v>
      </c>
      <c r="F646" s="32">
        <v>46374</v>
      </c>
      <c r="G646" t="s">
        <v>514</v>
      </c>
      <c r="H646">
        <v>47147658</v>
      </c>
      <c r="I646" t="s">
        <v>1276</v>
      </c>
      <c r="J646" t="s">
        <v>1275</v>
      </c>
      <c r="K646" t="s">
        <v>530</v>
      </c>
      <c r="N646">
        <v>0</v>
      </c>
      <c r="O646">
        <v>0</v>
      </c>
      <c r="P646" t="str">
        <f t="shared" si="10"/>
        <v>N</v>
      </c>
      <c r="Q646" t="s">
        <v>6376</v>
      </c>
    </row>
    <row r="647" spans="1:17" x14ac:dyDescent="0.25">
      <c r="A647" t="s">
        <v>3195</v>
      </c>
      <c r="B647" t="s">
        <v>1080</v>
      </c>
      <c r="C647">
        <v>2027</v>
      </c>
      <c r="D647" t="s">
        <v>528</v>
      </c>
      <c r="E647" t="s">
        <v>828</v>
      </c>
      <c r="F647" s="32">
        <v>46374</v>
      </c>
      <c r="G647" t="s">
        <v>514</v>
      </c>
      <c r="H647">
        <v>47147546</v>
      </c>
      <c r="I647" t="s">
        <v>1077</v>
      </c>
      <c r="J647" t="s">
        <v>1171</v>
      </c>
      <c r="K647" t="s">
        <v>530</v>
      </c>
      <c r="N647">
        <v>0</v>
      </c>
      <c r="O647">
        <v>0</v>
      </c>
      <c r="P647" t="str">
        <f t="shared" si="10"/>
        <v>N</v>
      </c>
      <c r="Q647" t="s">
        <v>6377</v>
      </c>
    </row>
    <row r="648" spans="1:17" x14ac:dyDescent="0.25">
      <c r="A648" t="s">
        <v>3816</v>
      </c>
      <c r="B648" t="s">
        <v>912</v>
      </c>
      <c r="C648">
        <v>2027</v>
      </c>
      <c r="D648" t="s">
        <v>528</v>
      </c>
      <c r="E648" t="s">
        <v>828</v>
      </c>
      <c r="F648" s="32">
        <v>46374</v>
      </c>
      <c r="G648" t="s">
        <v>514</v>
      </c>
      <c r="H648">
        <v>47140037</v>
      </c>
      <c r="I648" t="s">
        <v>2347</v>
      </c>
      <c r="J648" t="s">
        <v>2348</v>
      </c>
      <c r="K648" t="s">
        <v>530</v>
      </c>
      <c r="N648">
        <v>0</v>
      </c>
      <c r="O648">
        <v>0</v>
      </c>
      <c r="P648" t="str">
        <f t="shared" si="10"/>
        <v>N</v>
      </c>
      <c r="Q648" t="s">
        <v>6378</v>
      </c>
    </row>
    <row r="649" spans="1:17" x14ac:dyDescent="0.25">
      <c r="A649" t="s">
        <v>3817</v>
      </c>
      <c r="B649" t="s">
        <v>912</v>
      </c>
      <c r="C649">
        <v>2027</v>
      </c>
      <c r="D649" t="s">
        <v>528</v>
      </c>
      <c r="E649" t="s">
        <v>828</v>
      </c>
      <c r="F649" s="32">
        <v>46374</v>
      </c>
      <c r="G649" t="s">
        <v>514</v>
      </c>
      <c r="H649">
        <v>47128216</v>
      </c>
      <c r="I649" t="s">
        <v>2350</v>
      </c>
      <c r="J649" t="s">
        <v>2351</v>
      </c>
      <c r="K649" t="s">
        <v>530</v>
      </c>
      <c r="N649">
        <v>0</v>
      </c>
      <c r="O649">
        <v>0</v>
      </c>
      <c r="P649" t="str">
        <f t="shared" si="10"/>
        <v>N</v>
      </c>
      <c r="Q649" t="s">
        <v>6379</v>
      </c>
    </row>
    <row r="650" spans="1:17" x14ac:dyDescent="0.25">
      <c r="A650" t="s">
        <v>3818</v>
      </c>
      <c r="B650" t="s">
        <v>912</v>
      </c>
      <c r="C650">
        <v>2027</v>
      </c>
      <c r="D650" t="s">
        <v>528</v>
      </c>
      <c r="E650" t="s">
        <v>828</v>
      </c>
      <c r="F650" s="32">
        <v>46374</v>
      </c>
      <c r="G650" t="s">
        <v>514</v>
      </c>
      <c r="H650">
        <v>47128208</v>
      </c>
      <c r="I650" t="s">
        <v>2353</v>
      </c>
      <c r="J650" t="s">
        <v>2354</v>
      </c>
      <c r="K650" t="s">
        <v>530</v>
      </c>
      <c r="N650">
        <v>0</v>
      </c>
      <c r="O650">
        <v>0</v>
      </c>
      <c r="P650" t="str">
        <f t="shared" si="10"/>
        <v>N</v>
      </c>
      <c r="Q650" t="s">
        <v>6380</v>
      </c>
    </row>
    <row r="651" spans="1:17" x14ac:dyDescent="0.25">
      <c r="A651" t="s">
        <v>3819</v>
      </c>
      <c r="B651" t="s">
        <v>912</v>
      </c>
      <c r="C651">
        <v>2027</v>
      </c>
      <c r="D651" t="s">
        <v>528</v>
      </c>
      <c r="E651" t="s">
        <v>828</v>
      </c>
      <c r="F651" s="32">
        <v>46374</v>
      </c>
      <c r="G651" t="s">
        <v>514</v>
      </c>
      <c r="H651">
        <v>47128377</v>
      </c>
      <c r="I651" t="s">
        <v>2362</v>
      </c>
      <c r="J651" t="s">
        <v>2363</v>
      </c>
      <c r="K651" t="s">
        <v>530</v>
      </c>
      <c r="N651">
        <v>40</v>
      </c>
      <c r="O651">
        <v>40</v>
      </c>
      <c r="P651" t="str">
        <f t="shared" si="10"/>
        <v>N</v>
      </c>
      <c r="Q651" t="s">
        <v>6381</v>
      </c>
    </row>
    <row r="652" spans="1:17" x14ac:dyDescent="0.25">
      <c r="A652" t="s">
        <v>3878</v>
      </c>
      <c r="B652" t="s">
        <v>1043</v>
      </c>
      <c r="C652">
        <v>2027</v>
      </c>
      <c r="D652" t="s">
        <v>528</v>
      </c>
      <c r="E652" t="s">
        <v>828</v>
      </c>
      <c r="F652" s="32">
        <v>46374</v>
      </c>
      <c r="G652" t="s">
        <v>514</v>
      </c>
      <c r="H652">
        <v>47128706</v>
      </c>
      <c r="I652" t="s">
        <v>1201</v>
      </c>
      <c r="J652" t="s">
        <v>1200</v>
      </c>
      <c r="K652" t="s">
        <v>530</v>
      </c>
      <c r="N652">
        <v>0</v>
      </c>
      <c r="O652">
        <v>0</v>
      </c>
      <c r="P652" t="str">
        <f t="shared" si="10"/>
        <v>N</v>
      </c>
      <c r="Q652" t="s">
        <v>6382</v>
      </c>
    </row>
    <row r="653" spans="1:17" x14ac:dyDescent="0.25">
      <c r="A653" t="s">
        <v>3879</v>
      </c>
      <c r="B653" t="s">
        <v>1043</v>
      </c>
      <c r="C653">
        <v>2027</v>
      </c>
      <c r="D653" t="s">
        <v>528</v>
      </c>
      <c r="E653" t="s">
        <v>828</v>
      </c>
      <c r="F653" s="32">
        <v>46374</v>
      </c>
      <c r="G653" t="s">
        <v>514</v>
      </c>
      <c r="H653">
        <v>47128421</v>
      </c>
      <c r="I653" t="s">
        <v>1086</v>
      </c>
      <c r="J653" t="s">
        <v>1085</v>
      </c>
      <c r="K653" t="s">
        <v>530</v>
      </c>
      <c r="N653">
        <v>0</v>
      </c>
      <c r="O653">
        <v>0</v>
      </c>
      <c r="P653" t="str">
        <f t="shared" si="10"/>
        <v>N</v>
      </c>
      <c r="Q653" t="s">
        <v>6383</v>
      </c>
    </row>
    <row r="654" spans="1:17" x14ac:dyDescent="0.25">
      <c r="A654" t="s">
        <v>3880</v>
      </c>
      <c r="B654" t="s">
        <v>1043</v>
      </c>
      <c r="C654">
        <v>2027</v>
      </c>
      <c r="D654" t="s">
        <v>528</v>
      </c>
      <c r="E654" t="s">
        <v>828</v>
      </c>
      <c r="F654" s="32">
        <v>46374</v>
      </c>
      <c r="G654" t="s">
        <v>514</v>
      </c>
      <c r="H654">
        <v>47128364</v>
      </c>
      <c r="I654" t="s">
        <v>1264</v>
      </c>
      <c r="J654" t="s">
        <v>1263</v>
      </c>
      <c r="K654" t="s">
        <v>530</v>
      </c>
      <c r="N654">
        <v>0</v>
      </c>
      <c r="O654">
        <v>0</v>
      </c>
      <c r="P654" t="str">
        <f t="shared" si="10"/>
        <v>N</v>
      </c>
      <c r="Q654" t="s">
        <v>6384</v>
      </c>
    </row>
    <row r="655" spans="1:17" x14ac:dyDescent="0.25">
      <c r="A655" t="s">
        <v>3963</v>
      </c>
      <c r="B655" t="s">
        <v>3939</v>
      </c>
      <c r="C655">
        <v>2027</v>
      </c>
      <c r="D655" t="s">
        <v>528</v>
      </c>
      <c r="E655" t="s">
        <v>828</v>
      </c>
      <c r="F655" s="32">
        <v>46374</v>
      </c>
      <c r="G655" t="s">
        <v>514</v>
      </c>
      <c r="H655">
        <v>47140037</v>
      </c>
      <c r="I655" t="s">
        <v>2347</v>
      </c>
      <c r="J655" t="s">
        <v>2348</v>
      </c>
      <c r="K655" t="s">
        <v>530</v>
      </c>
      <c r="N655">
        <v>0</v>
      </c>
      <c r="O655">
        <v>0</v>
      </c>
      <c r="P655" t="str">
        <f t="shared" si="10"/>
        <v>N</v>
      </c>
      <c r="Q655" t="s">
        <v>6385</v>
      </c>
    </row>
    <row r="656" spans="1:17" x14ac:dyDescent="0.25">
      <c r="A656" t="s">
        <v>3964</v>
      </c>
      <c r="B656" t="s">
        <v>3939</v>
      </c>
      <c r="C656">
        <v>2027</v>
      </c>
      <c r="D656" t="s">
        <v>528</v>
      </c>
      <c r="E656" t="s">
        <v>828</v>
      </c>
      <c r="F656" s="32">
        <v>46374</v>
      </c>
      <c r="G656" t="s">
        <v>514</v>
      </c>
      <c r="H656">
        <v>47128216</v>
      </c>
      <c r="I656" t="s">
        <v>2350</v>
      </c>
      <c r="J656" t="s">
        <v>2351</v>
      </c>
      <c r="K656" t="s">
        <v>530</v>
      </c>
      <c r="N656">
        <v>0</v>
      </c>
      <c r="O656">
        <v>0</v>
      </c>
      <c r="P656" t="str">
        <f t="shared" si="10"/>
        <v>N</v>
      </c>
      <c r="Q656" t="s">
        <v>6386</v>
      </c>
    </row>
    <row r="657" spans="1:17" x14ac:dyDescent="0.25">
      <c r="A657" t="s">
        <v>3965</v>
      </c>
      <c r="B657" t="s">
        <v>3939</v>
      </c>
      <c r="C657">
        <v>2027</v>
      </c>
      <c r="D657" t="s">
        <v>528</v>
      </c>
      <c r="E657" t="s">
        <v>828</v>
      </c>
      <c r="F657" s="32">
        <v>46374</v>
      </c>
      <c r="G657" t="s">
        <v>514</v>
      </c>
      <c r="H657">
        <v>47128208</v>
      </c>
      <c r="I657" t="s">
        <v>2353</v>
      </c>
      <c r="J657" t="s">
        <v>2354</v>
      </c>
      <c r="K657" t="s">
        <v>530</v>
      </c>
      <c r="N657">
        <v>0</v>
      </c>
      <c r="O657">
        <v>0</v>
      </c>
      <c r="P657" t="str">
        <f t="shared" si="10"/>
        <v>N</v>
      </c>
      <c r="Q657" t="s">
        <v>6387</v>
      </c>
    </row>
    <row r="658" spans="1:17" x14ac:dyDescent="0.25">
      <c r="A658" t="s">
        <v>3966</v>
      </c>
      <c r="B658" t="s">
        <v>3939</v>
      </c>
      <c r="C658">
        <v>2027</v>
      </c>
      <c r="D658" t="s">
        <v>528</v>
      </c>
      <c r="E658" t="s">
        <v>828</v>
      </c>
      <c r="F658" s="32">
        <v>46374</v>
      </c>
      <c r="G658" t="s">
        <v>514</v>
      </c>
      <c r="H658">
        <v>47128377</v>
      </c>
      <c r="I658" t="s">
        <v>2362</v>
      </c>
      <c r="J658" t="s">
        <v>2363</v>
      </c>
      <c r="K658" t="s">
        <v>530</v>
      </c>
      <c r="N658">
        <v>40</v>
      </c>
      <c r="O658">
        <v>40</v>
      </c>
      <c r="P658" t="str">
        <f t="shared" si="10"/>
        <v>N</v>
      </c>
      <c r="Q658" t="s">
        <v>6388</v>
      </c>
    </row>
    <row r="659" spans="1:17" x14ac:dyDescent="0.25">
      <c r="A659" t="s">
        <v>4051</v>
      </c>
      <c r="B659" t="s">
        <v>1489</v>
      </c>
      <c r="C659">
        <v>2027</v>
      </c>
      <c r="D659" t="s">
        <v>528</v>
      </c>
      <c r="E659" t="s">
        <v>828</v>
      </c>
      <c r="F659" s="32">
        <v>46374</v>
      </c>
      <c r="G659" t="s">
        <v>514</v>
      </c>
      <c r="H659">
        <v>47133720</v>
      </c>
      <c r="I659" t="s">
        <v>1217</v>
      </c>
      <c r="J659" t="s">
        <v>1216</v>
      </c>
      <c r="K659" t="s">
        <v>530</v>
      </c>
      <c r="N659">
        <v>0</v>
      </c>
      <c r="O659">
        <v>0</v>
      </c>
      <c r="P659" t="str">
        <f t="shared" si="10"/>
        <v>N</v>
      </c>
      <c r="Q659" t="s">
        <v>6389</v>
      </c>
    </row>
    <row r="660" spans="1:17" x14ac:dyDescent="0.25">
      <c r="A660" t="s">
        <v>4052</v>
      </c>
      <c r="B660" t="s">
        <v>1489</v>
      </c>
      <c r="C660">
        <v>2027</v>
      </c>
      <c r="D660" t="s">
        <v>528</v>
      </c>
      <c r="E660" t="s">
        <v>828</v>
      </c>
      <c r="F660" s="32">
        <v>46374</v>
      </c>
      <c r="G660" t="s">
        <v>514</v>
      </c>
      <c r="H660">
        <v>47129473</v>
      </c>
      <c r="I660" t="s">
        <v>1430</v>
      </c>
      <c r="J660" t="s">
        <v>1429</v>
      </c>
      <c r="K660" t="s">
        <v>530</v>
      </c>
      <c r="N660">
        <v>0</v>
      </c>
      <c r="O660">
        <v>0</v>
      </c>
      <c r="P660" t="str">
        <f t="shared" si="10"/>
        <v>N</v>
      </c>
      <c r="Q660" t="s">
        <v>6390</v>
      </c>
    </row>
    <row r="661" spans="1:17" x14ac:dyDescent="0.25">
      <c r="A661" t="s">
        <v>4053</v>
      </c>
      <c r="B661" t="s">
        <v>1489</v>
      </c>
      <c r="C661">
        <v>2027</v>
      </c>
      <c r="D661" t="s">
        <v>528</v>
      </c>
      <c r="E661" t="s">
        <v>828</v>
      </c>
      <c r="F661" s="32">
        <v>46374</v>
      </c>
      <c r="G661" t="s">
        <v>514</v>
      </c>
      <c r="H661">
        <v>47127948</v>
      </c>
      <c r="I661" t="s">
        <v>1247</v>
      </c>
      <c r="J661" t="s">
        <v>1246</v>
      </c>
      <c r="K661" t="s">
        <v>530</v>
      </c>
      <c r="N661">
        <v>0</v>
      </c>
      <c r="O661">
        <v>0</v>
      </c>
      <c r="P661" t="str">
        <f t="shared" si="10"/>
        <v>N</v>
      </c>
      <c r="Q661" t="s">
        <v>6391</v>
      </c>
    </row>
    <row r="662" spans="1:17" x14ac:dyDescent="0.25">
      <c r="A662" t="s">
        <v>4054</v>
      </c>
      <c r="B662" t="s">
        <v>1489</v>
      </c>
      <c r="C662">
        <v>2027</v>
      </c>
      <c r="D662" t="s">
        <v>528</v>
      </c>
      <c r="E662" t="s">
        <v>828</v>
      </c>
      <c r="F662" s="32">
        <v>46374</v>
      </c>
      <c r="G662" t="s">
        <v>514</v>
      </c>
      <c r="H662">
        <v>47128787</v>
      </c>
      <c r="I662" t="s">
        <v>1453</v>
      </c>
      <c r="J662" t="s">
        <v>1452</v>
      </c>
      <c r="K662" t="s">
        <v>530</v>
      </c>
      <c r="N662">
        <v>0</v>
      </c>
      <c r="O662">
        <v>0</v>
      </c>
      <c r="P662" t="str">
        <f t="shared" si="10"/>
        <v>N</v>
      </c>
      <c r="Q662" t="s">
        <v>6392</v>
      </c>
    </row>
    <row r="663" spans="1:17" x14ac:dyDescent="0.25">
      <c r="A663" t="s">
        <v>4055</v>
      </c>
      <c r="B663" t="s">
        <v>1489</v>
      </c>
      <c r="C663">
        <v>2027</v>
      </c>
      <c r="D663" t="s">
        <v>528</v>
      </c>
      <c r="E663" t="s">
        <v>828</v>
      </c>
      <c r="F663" s="32">
        <v>46374</v>
      </c>
      <c r="G663" t="s">
        <v>514</v>
      </c>
      <c r="H663">
        <v>47128977</v>
      </c>
      <c r="I663" t="s">
        <v>1449</v>
      </c>
      <c r="J663" t="s">
        <v>1448</v>
      </c>
      <c r="K663" t="s">
        <v>530</v>
      </c>
      <c r="N663">
        <v>0</v>
      </c>
      <c r="O663">
        <v>0</v>
      </c>
      <c r="P663" t="str">
        <f t="shared" si="10"/>
        <v>N</v>
      </c>
      <c r="Q663" t="s">
        <v>6393</v>
      </c>
    </row>
    <row r="664" spans="1:17" x14ac:dyDescent="0.25">
      <c r="A664" t="s">
        <v>4155</v>
      </c>
      <c r="B664" t="s">
        <v>916</v>
      </c>
      <c r="C664">
        <v>2027</v>
      </c>
      <c r="D664" t="s">
        <v>528</v>
      </c>
      <c r="E664" t="s">
        <v>828</v>
      </c>
      <c r="F664" s="32">
        <v>46374</v>
      </c>
      <c r="G664" t="s">
        <v>514</v>
      </c>
      <c r="H664">
        <v>47128421</v>
      </c>
      <c r="I664" t="s">
        <v>1086</v>
      </c>
      <c r="J664" t="s">
        <v>1085</v>
      </c>
      <c r="K664" t="s">
        <v>530</v>
      </c>
      <c r="N664">
        <v>40</v>
      </c>
      <c r="O664">
        <v>40</v>
      </c>
      <c r="P664" t="str">
        <f t="shared" si="10"/>
        <v>N</v>
      </c>
      <c r="Q664" t="s">
        <v>6394</v>
      </c>
    </row>
    <row r="665" spans="1:17" x14ac:dyDescent="0.25">
      <c r="A665" t="s">
        <v>4156</v>
      </c>
      <c r="B665" t="s">
        <v>916</v>
      </c>
      <c r="C665">
        <v>2027</v>
      </c>
      <c r="D665" t="s">
        <v>528</v>
      </c>
      <c r="E665" t="s">
        <v>828</v>
      </c>
      <c r="F665" s="32">
        <v>46374</v>
      </c>
      <c r="G665" t="s">
        <v>514</v>
      </c>
      <c r="H665">
        <v>47128706</v>
      </c>
      <c r="I665" t="s">
        <v>1201</v>
      </c>
      <c r="J665" t="s">
        <v>1200</v>
      </c>
      <c r="K665" t="s">
        <v>530</v>
      </c>
      <c r="N665">
        <v>0</v>
      </c>
      <c r="O665">
        <v>0</v>
      </c>
      <c r="P665" t="str">
        <f t="shared" si="10"/>
        <v>N</v>
      </c>
      <c r="Q665" t="s">
        <v>6395</v>
      </c>
    </row>
    <row r="666" spans="1:17" x14ac:dyDescent="0.25">
      <c r="A666" t="s">
        <v>4157</v>
      </c>
      <c r="B666" t="s">
        <v>916</v>
      </c>
      <c r="C666">
        <v>2027</v>
      </c>
      <c r="D666" t="s">
        <v>528</v>
      </c>
      <c r="E666" t="s">
        <v>828</v>
      </c>
      <c r="F666" s="32">
        <v>46374</v>
      </c>
      <c r="G666" t="s">
        <v>514</v>
      </c>
      <c r="H666">
        <v>47128364</v>
      </c>
      <c r="I666" t="s">
        <v>1264</v>
      </c>
      <c r="J666" t="s">
        <v>1263</v>
      </c>
      <c r="K666" t="s">
        <v>530</v>
      </c>
      <c r="N666">
        <v>0</v>
      </c>
      <c r="O666">
        <v>0</v>
      </c>
      <c r="P666" t="str">
        <f t="shared" si="10"/>
        <v>N</v>
      </c>
      <c r="Q666" t="s">
        <v>6396</v>
      </c>
    </row>
    <row r="667" spans="1:17" x14ac:dyDescent="0.25">
      <c r="A667" t="s">
        <v>4158</v>
      </c>
      <c r="B667" t="s">
        <v>916</v>
      </c>
      <c r="C667">
        <v>2027</v>
      </c>
      <c r="D667" t="s">
        <v>528</v>
      </c>
      <c r="E667" t="s">
        <v>828</v>
      </c>
      <c r="F667" s="32">
        <v>46374</v>
      </c>
      <c r="G667" t="s">
        <v>514</v>
      </c>
      <c r="H667">
        <v>47128633</v>
      </c>
      <c r="I667" t="s">
        <v>1164</v>
      </c>
      <c r="J667" t="s">
        <v>1163</v>
      </c>
      <c r="K667" t="s">
        <v>530</v>
      </c>
      <c r="N667">
        <v>0</v>
      </c>
      <c r="O667">
        <v>0</v>
      </c>
      <c r="P667" t="str">
        <f t="shared" si="10"/>
        <v>N</v>
      </c>
      <c r="Q667" t="s">
        <v>6397</v>
      </c>
    </row>
    <row r="668" spans="1:17" x14ac:dyDescent="0.25">
      <c r="A668" t="s">
        <v>4159</v>
      </c>
      <c r="B668" t="s">
        <v>916</v>
      </c>
      <c r="C668">
        <v>2027</v>
      </c>
      <c r="D668" t="s">
        <v>528</v>
      </c>
      <c r="E668" t="s">
        <v>828</v>
      </c>
      <c r="F668" s="32">
        <v>46374</v>
      </c>
      <c r="G668" t="s">
        <v>514</v>
      </c>
      <c r="H668">
        <v>47128046</v>
      </c>
      <c r="I668" t="s">
        <v>1389</v>
      </c>
      <c r="J668" t="s">
        <v>1388</v>
      </c>
      <c r="K668" t="s">
        <v>530</v>
      </c>
      <c r="N668">
        <v>0</v>
      </c>
      <c r="O668">
        <v>0</v>
      </c>
      <c r="P668" t="str">
        <f t="shared" si="10"/>
        <v>N</v>
      </c>
      <c r="Q668" t="s">
        <v>6398</v>
      </c>
    </row>
    <row r="669" spans="1:17" x14ac:dyDescent="0.25">
      <c r="A669" t="s">
        <v>4160</v>
      </c>
      <c r="B669" t="s">
        <v>916</v>
      </c>
      <c r="C669">
        <v>2027</v>
      </c>
      <c r="D669" t="s">
        <v>528</v>
      </c>
      <c r="E669" t="s">
        <v>828</v>
      </c>
      <c r="F669" s="32">
        <v>46374</v>
      </c>
      <c r="G669" t="s">
        <v>514</v>
      </c>
      <c r="H669">
        <v>47128570</v>
      </c>
      <c r="I669" t="s">
        <v>1491</v>
      </c>
      <c r="J669" t="s">
        <v>1490</v>
      </c>
      <c r="K669" t="s">
        <v>530</v>
      </c>
      <c r="N669">
        <v>0</v>
      </c>
      <c r="O669">
        <v>0</v>
      </c>
      <c r="P669" t="str">
        <f t="shared" si="10"/>
        <v>N</v>
      </c>
      <c r="Q669" t="s">
        <v>6399</v>
      </c>
    </row>
    <row r="670" spans="1:17" x14ac:dyDescent="0.25">
      <c r="A670" t="s">
        <v>4161</v>
      </c>
      <c r="B670" t="s">
        <v>916</v>
      </c>
      <c r="C670">
        <v>2027</v>
      </c>
      <c r="D670" t="s">
        <v>528</v>
      </c>
      <c r="E670" t="s">
        <v>828</v>
      </c>
      <c r="F670" s="32">
        <v>46374</v>
      </c>
      <c r="G670" t="s">
        <v>514</v>
      </c>
      <c r="H670">
        <v>47128355</v>
      </c>
      <c r="I670" t="s">
        <v>964</v>
      </c>
      <c r="J670" t="s">
        <v>963</v>
      </c>
      <c r="K670" t="s">
        <v>530</v>
      </c>
      <c r="N670">
        <v>0</v>
      </c>
      <c r="O670">
        <v>0</v>
      </c>
      <c r="P670" t="str">
        <f t="shared" si="10"/>
        <v>N</v>
      </c>
      <c r="Q670" t="s">
        <v>6400</v>
      </c>
    </row>
    <row r="671" spans="1:17" x14ac:dyDescent="0.25">
      <c r="A671" t="s">
        <v>4162</v>
      </c>
      <c r="B671" t="s">
        <v>916</v>
      </c>
      <c r="C671">
        <v>2027</v>
      </c>
      <c r="D671" t="s">
        <v>528</v>
      </c>
      <c r="E671" t="s">
        <v>828</v>
      </c>
      <c r="F671" s="32">
        <v>46374</v>
      </c>
      <c r="G671" t="s">
        <v>514</v>
      </c>
      <c r="H671">
        <v>47129548</v>
      </c>
      <c r="I671" t="s">
        <v>1340</v>
      </c>
      <c r="J671" t="s">
        <v>1339</v>
      </c>
      <c r="K671" t="s">
        <v>530</v>
      </c>
      <c r="N671">
        <v>40</v>
      </c>
      <c r="O671">
        <v>40</v>
      </c>
      <c r="P671" t="str">
        <f t="shared" si="10"/>
        <v>N</v>
      </c>
      <c r="Q671" t="s">
        <v>6401</v>
      </c>
    </row>
    <row r="672" spans="1:17" x14ac:dyDescent="0.25">
      <c r="A672" t="s">
        <v>4468</v>
      </c>
      <c r="B672" t="s">
        <v>4445</v>
      </c>
      <c r="C672">
        <v>2027</v>
      </c>
      <c r="D672" t="s">
        <v>528</v>
      </c>
      <c r="E672" t="s">
        <v>828</v>
      </c>
      <c r="F672" s="32">
        <v>46374</v>
      </c>
      <c r="G672" t="s">
        <v>514</v>
      </c>
      <c r="H672">
        <v>47129711</v>
      </c>
      <c r="I672" t="s">
        <v>4446</v>
      </c>
      <c r="J672" t="s">
        <v>4447</v>
      </c>
      <c r="K672" t="s">
        <v>530</v>
      </c>
      <c r="N672">
        <v>20</v>
      </c>
      <c r="O672">
        <v>20</v>
      </c>
      <c r="P672" t="str">
        <f t="shared" si="10"/>
        <v>N</v>
      </c>
      <c r="Q672" t="s">
        <v>6402</v>
      </c>
    </row>
    <row r="673" spans="1:17" x14ac:dyDescent="0.25">
      <c r="A673" t="s">
        <v>4469</v>
      </c>
      <c r="B673" t="s">
        <v>4445</v>
      </c>
      <c r="C673">
        <v>2027</v>
      </c>
      <c r="D673" t="s">
        <v>528</v>
      </c>
      <c r="E673" t="s">
        <v>828</v>
      </c>
      <c r="F673" s="32">
        <v>46374</v>
      </c>
      <c r="G673" t="s">
        <v>514</v>
      </c>
      <c r="H673">
        <v>47129228</v>
      </c>
      <c r="I673" t="s">
        <v>4449</v>
      </c>
      <c r="J673" t="s">
        <v>4450</v>
      </c>
      <c r="K673" t="s">
        <v>530</v>
      </c>
      <c r="N673">
        <v>20</v>
      </c>
      <c r="O673">
        <v>20</v>
      </c>
      <c r="P673" t="str">
        <f t="shared" si="10"/>
        <v>N</v>
      </c>
      <c r="Q673" t="s">
        <v>6403</v>
      </c>
    </row>
    <row r="674" spans="1:17" x14ac:dyDescent="0.25">
      <c r="A674" t="s">
        <v>4547</v>
      </c>
      <c r="B674" t="s">
        <v>1044</v>
      </c>
      <c r="C674">
        <v>2027</v>
      </c>
      <c r="D674" t="s">
        <v>528</v>
      </c>
      <c r="E674" t="s">
        <v>828</v>
      </c>
      <c r="F674" s="32">
        <v>46374</v>
      </c>
      <c r="G674" t="s">
        <v>514</v>
      </c>
      <c r="H674">
        <v>47133720</v>
      </c>
      <c r="I674" t="s">
        <v>1217</v>
      </c>
      <c r="J674" t="s">
        <v>1216</v>
      </c>
      <c r="K674" t="s">
        <v>530</v>
      </c>
      <c r="N674">
        <v>40</v>
      </c>
      <c r="O674">
        <v>40</v>
      </c>
      <c r="P674" t="str">
        <f t="shared" si="10"/>
        <v>N</v>
      </c>
      <c r="Q674" t="s">
        <v>6404</v>
      </c>
    </row>
    <row r="675" spans="1:17" x14ac:dyDescent="0.25">
      <c r="A675" t="s">
        <v>4548</v>
      </c>
      <c r="B675" t="s">
        <v>1044</v>
      </c>
      <c r="C675">
        <v>2027</v>
      </c>
      <c r="D675" t="s">
        <v>528</v>
      </c>
      <c r="E675" t="s">
        <v>828</v>
      </c>
      <c r="F675" s="32">
        <v>46374</v>
      </c>
      <c r="G675" t="s">
        <v>514</v>
      </c>
      <c r="H675">
        <v>47129473</v>
      </c>
      <c r="I675" t="s">
        <v>1430</v>
      </c>
      <c r="J675" t="s">
        <v>1429</v>
      </c>
      <c r="K675" t="s">
        <v>530</v>
      </c>
      <c r="N675">
        <v>0</v>
      </c>
      <c r="O675">
        <v>0</v>
      </c>
      <c r="P675" t="str">
        <f t="shared" si="10"/>
        <v>N</v>
      </c>
      <c r="Q675" t="s">
        <v>6405</v>
      </c>
    </row>
    <row r="676" spans="1:17" x14ac:dyDescent="0.25">
      <c r="A676" t="s">
        <v>4549</v>
      </c>
      <c r="B676" t="s">
        <v>1044</v>
      </c>
      <c r="C676">
        <v>2027</v>
      </c>
      <c r="D676" t="s">
        <v>528</v>
      </c>
      <c r="E676" t="s">
        <v>828</v>
      </c>
      <c r="F676" s="32">
        <v>46374</v>
      </c>
      <c r="G676" t="s">
        <v>514</v>
      </c>
      <c r="H676">
        <v>47128490</v>
      </c>
      <c r="I676" t="s">
        <v>1254</v>
      </c>
      <c r="J676" t="s">
        <v>1253</v>
      </c>
      <c r="K676" t="s">
        <v>530</v>
      </c>
      <c r="N676">
        <v>4</v>
      </c>
      <c r="O676">
        <v>4</v>
      </c>
      <c r="P676" t="str">
        <f t="shared" si="10"/>
        <v>N</v>
      </c>
      <c r="Q676" t="s">
        <v>6406</v>
      </c>
    </row>
    <row r="677" spans="1:17" x14ac:dyDescent="0.25">
      <c r="A677" t="s">
        <v>4550</v>
      </c>
      <c r="B677" t="s">
        <v>1044</v>
      </c>
      <c r="C677">
        <v>2027</v>
      </c>
      <c r="D677" t="s">
        <v>528</v>
      </c>
      <c r="E677" t="s">
        <v>828</v>
      </c>
      <c r="F677" s="32">
        <v>46374</v>
      </c>
      <c r="G677" t="s">
        <v>514</v>
      </c>
      <c r="H677">
        <v>47127948</v>
      </c>
      <c r="I677" t="s">
        <v>1247</v>
      </c>
      <c r="J677" t="s">
        <v>1246</v>
      </c>
      <c r="K677" t="s">
        <v>530</v>
      </c>
      <c r="N677">
        <v>0</v>
      </c>
      <c r="O677">
        <v>0</v>
      </c>
      <c r="P677" t="str">
        <f t="shared" si="10"/>
        <v>N</v>
      </c>
      <c r="Q677" t="s">
        <v>6407</v>
      </c>
    </row>
    <row r="678" spans="1:17" x14ac:dyDescent="0.25">
      <c r="A678" t="s">
        <v>4551</v>
      </c>
      <c r="B678" t="s">
        <v>1044</v>
      </c>
      <c r="C678">
        <v>2027</v>
      </c>
      <c r="D678" t="s">
        <v>528</v>
      </c>
      <c r="E678" t="s">
        <v>828</v>
      </c>
      <c r="F678" s="32">
        <v>46374</v>
      </c>
      <c r="G678" t="s">
        <v>514</v>
      </c>
      <c r="H678">
        <v>47128710</v>
      </c>
      <c r="I678" t="s">
        <v>1189</v>
      </c>
      <c r="J678" t="s">
        <v>1188</v>
      </c>
      <c r="K678" t="s">
        <v>530</v>
      </c>
      <c r="N678">
        <v>0</v>
      </c>
      <c r="O678">
        <v>0</v>
      </c>
      <c r="P678" t="str">
        <f t="shared" si="10"/>
        <v>N</v>
      </c>
      <c r="Q678" t="s">
        <v>6408</v>
      </c>
    </row>
    <row r="679" spans="1:17" x14ac:dyDescent="0.25">
      <c r="A679" t="s">
        <v>4552</v>
      </c>
      <c r="B679" t="s">
        <v>1044</v>
      </c>
      <c r="C679">
        <v>2027</v>
      </c>
      <c r="D679" t="s">
        <v>528</v>
      </c>
      <c r="E679" t="s">
        <v>828</v>
      </c>
      <c r="F679" s="32">
        <v>46374</v>
      </c>
      <c r="G679" t="s">
        <v>514</v>
      </c>
      <c r="H679">
        <v>47128833</v>
      </c>
      <c r="I679" t="s">
        <v>1193</v>
      </c>
      <c r="J679" t="s">
        <v>1192</v>
      </c>
      <c r="K679" t="s">
        <v>530</v>
      </c>
      <c r="N679">
        <v>20</v>
      </c>
      <c r="O679">
        <v>20</v>
      </c>
      <c r="P679" t="str">
        <f t="shared" si="10"/>
        <v>N</v>
      </c>
      <c r="Q679" t="s">
        <v>6409</v>
      </c>
    </row>
    <row r="680" spans="1:17" x14ac:dyDescent="0.25">
      <c r="A680" t="s">
        <v>4553</v>
      </c>
      <c r="B680" t="s">
        <v>1044</v>
      </c>
      <c r="C680">
        <v>2027</v>
      </c>
      <c r="D680" t="s">
        <v>528</v>
      </c>
      <c r="E680" t="s">
        <v>828</v>
      </c>
      <c r="F680" s="32">
        <v>46374</v>
      </c>
      <c r="G680" t="s">
        <v>514</v>
      </c>
      <c r="H680">
        <v>47128784</v>
      </c>
      <c r="I680" t="s">
        <v>1426</v>
      </c>
      <c r="J680" t="s">
        <v>1425</v>
      </c>
      <c r="K680" t="s">
        <v>530</v>
      </c>
      <c r="N680">
        <v>0</v>
      </c>
      <c r="O680">
        <v>0</v>
      </c>
      <c r="P680" t="str">
        <f t="shared" si="10"/>
        <v>N</v>
      </c>
      <c r="Q680" t="s">
        <v>6410</v>
      </c>
    </row>
    <row r="681" spans="1:17" x14ac:dyDescent="0.25">
      <c r="A681" t="s">
        <v>4554</v>
      </c>
      <c r="B681" t="s">
        <v>1044</v>
      </c>
      <c r="C681">
        <v>2027</v>
      </c>
      <c r="D681" t="s">
        <v>528</v>
      </c>
      <c r="E681" t="s">
        <v>828</v>
      </c>
      <c r="F681" s="32">
        <v>46374</v>
      </c>
      <c r="G681" t="s">
        <v>514</v>
      </c>
      <c r="H681">
        <v>47129020</v>
      </c>
      <c r="I681" t="s">
        <v>1058</v>
      </c>
      <c r="J681" t="s">
        <v>1057</v>
      </c>
      <c r="K681" t="s">
        <v>530</v>
      </c>
      <c r="N681">
        <v>40</v>
      </c>
      <c r="O681">
        <v>40</v>
      </c>
      <c r="P681" t="str">
        <f t="shared" si="10"/>
        <v>N</v>
      </c>
      <c r="Q681" t="s">
        <v>6411</v>
      </c>
    </row>
    <row r="682" spans="1:17" x14ac:dyDescent="0.25">
      <c r="A682" t="s">
        <v>4814</v>
      </c>
      <c r="B682" t="s">
        <v>1090</v>
      </c>
      <c r="C682">
        <v>2027</v>
      </c>
      <c r="D682" t="s">
        <v>528</v>
      </c>
      <c r="E682" t="s">
        <v>828</v>
      </c>
      <c r="F682" s="32">
        <v>46374</v>
      </c>
      <c r="G682" t="s">
        <v>514</v>
      </c>
      <c r="H682">
        <v>47128353</v>
      </c>
      <c r="I682" t="s">
        <v>982</v>
      </c>
      <c r="J682" t="s">
        <v>981</v>
      </c>
      <c r="K682" t="s">
        <v>530</v>
      </c>
      <c r="N682">
        <v>0</v>
      </c>
      <c r="O682">
        <v>0</v>
      </c>
      <c r="P682" t="str">
        <f t="shared" si="10"/>
        <v>N</v>
      </c>
      <c r="Q682" t="s">
        <v>6412</v>
      </c>
    </row>
    <row r="683" spans="1:17" x14ac:dyDescent="0.25">
      <c r="A683" t="s">
        <v>4815</v>
      </c>
      <c r="B683" t="s">
        <v>1090</v>
      </c>
      <c r="C683">
        <v>2027</v>
      </c>
      <c r="D683" t="s">
        <v>528</v>
      </c>
      <c r="E683" t="s">
        <v>828</v>
      </c>
      <c r="F683" s="32">
        <v>46374</v>
      </c>
      <c r="G683" t="s">
        <v>514</v>
      </c>
      <c r="H683">
        <v>47128350</v>
      </c>
      <c r="I683" t="s">
        <v>1032</v>
      </c>
      <c r="J683" t="s">
        <v>1031</v>
      </c>
      <c r="K683" t="s">
        <v>530</v>
      </c>
      <c r="N683">
        <v>0</v>
      </c>
      <c r="O683">
        <v>0</v>
      </c>
      <c r="P683" t="str">
        <f t="shared" si="10"/>
        <v>N</v>
      </c>
      <c r="Q683" t="s">
        <v>6413</v>
      </c>
    </row>
    <row r="684" spans="1:17" x14ac:dyDescent="0.25">
      <c r="A684" t="s">
        <v>4816</v>
      </c>
      <c r="B684" t="s">
        <v>1090</v>
      </c>
      <c r="C684">
        <v>2027</v>
      </c>
      <c r="D684" t="s">
        <v>528</v>
      </c>
      <c r="E684" t="s">
        <v>828</v>
      </c>
      <c r="F684" s="32">
        <v>46374</v>
      </c>
      <c r="G684" t="s">
        <v>514</v>
      </c>
      <c r="H684">
        <v>47128349</v>
      </c>
      <c r="I684" t="s">
        <v>975</v>
      </c>
      <c r="J684" t="s">
        <v>974</v>
      </c>
      <c r="K684" t="s">
        <v>530</v>
      </c>
      <c r="N684">
        <v>0</v>
      </c>
      <c r="O684">
        <v>0</v>
      </c>
      <c r="P684" t="str">
        <f t="shared" si="10"/>
        <v>N</v>
      </c>
      <c r="Q684" t="s">
        <v>6414</v>
      </c>
    </row>
    <row r="685" spans="1:17" x14ac:dyDescent="0.25">
      <c r="A685" t="s">
        <v>4817</v>
      </c>
      <c r="B685" t="s">
        <v>1090</v>
      </c>
      <c r="C685">
        <v>2027</v>
      </c>
      <c r="D685" t="s">
        <v>528</v>
      </c>
      <c r="E685" t="s">
        <v>828</v>
      </c>
      <c r="F685" s="32">
        <v>46374</v>
      </c>
      <c r="G685" t="s">
        <v>514</v>
      </c>
      <c r="H685">
        <v>47128824</v>
      </c>
      <c r="I685" t="s">
        <v>1296</v>
      </c>
      <c r="J685" t="s">
        <v>1295</v>
      </c>
      <c r="K685" t="s">
        <v>530</v>
      </c>
      <c r="N685">
        <v>18</v>
      </c>
      <c r="O685">
        <v>18</v>
      </c>
      <c r="P685" t="str">
        <f t="shared" si="10"/>
        <v>N</v>
      </c>
      <c r="Q685" t="s">
        <v>6415</v>
      </c>
    </row>
    <row r="686" spans="1:17" x14ac:dyDescent="0.25">
      <c r="A686" t="s">
        <v>4818</v>
      </c>
      <c r="B686" t="s">
        <v>1090</v>
      </c>
      <c r="C686">
        <v>2027</v>
      </c>
      <c r="D686" t="s">
        <v>528</v>
      </c>
      <c r="E686" t="s">
        <v>828</v>
      </c>
      <c r="F686" s="32">
        <v>46374</v>
      </c>
      <c r="G686" t="s">
        <v>514</v>
      </c>
      <c r="H686">
        <v>47128525</v>
      </c>
      <c r="I686" t="s">
        <v>1001</v>
      </c>
      <c r="J686" t="s">
        <v>1000</v>
      </c>
      <c r="K686" t="s">
        <v>530</v>
      </c>
      <c r="N686">
        <v>22</v>
      </c>
      <c r="O686">
        <v>22</v>
      </c>
      <c r="P686" t="str">
        <f t="shared" si="10"/>
        <v>N</v>
      </c>
      <c r="Q686" t="s">
        <v>6416</v>
      </c>
    </row>
    <row r="687" spans="1:17" x14ac:dyDescent="0.25">
      <c r="A687" t="s">
        <v>4819</v>
      </c>
      <c r="B687" t="s">
        <v>1090</v>
      </c>
      <c r="C687">
        <v>2027</v>
      </c>
      <c r="D687" t="s">
        <v>528</v>
      </c>
      <c r="E687" t="s">
        <v>828</v>
      </c>
      <c r="F687" s="32">
        <v>46374</v>
      </c>
      <c r="G687" t="s">
        <v>514</v>
      </c>
      <c r="H687">
        <v>47128477</v>
      </c>
      <c r="I687" t="s">
        <v>1029</v>
      </c>
      <c r="J687" t="s">
        <v>1028</v>
      </c>
      <c r="K687" t="s">
        <v>530</v>
      </c>
      <c r="N687">
        <v>0</v>
      </c>
      <c r="O687">
        <v>0</v>
      </c>
      <c r="P687" t="str">
        <f t="shared" si="10"/>
        <v>N</v>
      </c>
      <c r="Q687" t="s">
        <v>6417</v>
      </c>
    </row>
    <row r="688" spans="1:17" x14ac:dyDescent="0.25">
      <c r="A688" t="s">
        <v>5218</v>
      </c>
      <c r="B688" t="s">
        <v>1089</v>
      </c>
      <c r="C688">
        <v>2027</v>
      </c>
      <c r="D688" t="s">
        <v>528</v>
      </c>
      <c r="E688" t="s">
        <v>828</v>
      </c>
      <c r="F688" s="32">
        <v>46374</v>
      </c>
      <c r="G688" t="s">
        <v>514</v>
      </c>
      <c r="H688">
        <v>47128421</v>
      </c>
      <c r="I688" t="s">
        <v>1086</v>
      </c>
      <c r="J688" t="s">
        <v>1085</v>
      </c>
      <c r="K688" t="s">
        <v>530</v>
      </c>
      <c r="N688">
        <v>40</v>
      </c>
      <c r="O688">
        <v>40</v>
      </c>
      <c r="P688" t="str">
        <f t="shared" si="10"/>
        <v>N</v>
      </c>
      <c r="Q688" t="s">
        <v>6418</v>
      </c>
    </row>
    <row r="689" spans="1:17" x14ac:dyDescent="0.25">
      <c r="A689" t="s">
        <v>5219</v>
      </c>
      <c r="B689" t="s">
        <v>1089</v>
      </c>
      <c r="C689">
        <v>2027</v>
      </c>
      <c r="D689" t="s">
        <v>528</v>
      </c>
      <c r="E689" t="s">
        <v>828</v>
      </c>
      <c r="F689" s="32">
        <v>46374</v>
      </c>
      <c r="G689" t="s">
        <v>514</v>
      </c>
      <c r="H689">
        <v>47128706</v>
      </c>
      <c r="I689" t="s">
        <v>1201</v>
      </c>
      <c r="J689" t="s">
        <v>1200</v>
      </c>
      <c r="K689" t="s">
        <v>530</v>
      </c>
      <c r="N689">
        <v>0</v>
      </c>
      <c r="O689">
        <v>0</v>
      </c>
      <c r="P689" t="str">
        <f t="shared" si="10"/>
        <v>N</v>
      </c>
      <c r="Q689" t="s">
        <v>6419</v>
      </c>
    </row>
    <row r="690" spans="1:17" x14ac:dyDescent="0.25">
      <c r="A690" t="s">
        <v>5220</v>
      </c>
      <c r="B690" t="s">
        <v>1089</v>
      </c>
      <c r="C690">
        <v>2027</v>
      </c>
      <c r="D690" t="s">
        <v>528</v>
      </c>
      <c r="E690" t="s">
        <v>828</v>
      </c>
      <c r="F690" s="32">
        <v>46374</v>
      </c>
      <c r="G690" t="s">
        <v>514</v>
      </c>
      <c r="H690">
        <v>47128364</v>
      </c>
      <c r="I690" t="s">
        <v>1264</v>
      </c>
      <c r="J690" t="s">
        <v>1263</v>
      </c>
      <c r="K690" t="s">
        <v>530</v>
      </c>
      <c r="N690">
        <v>0</v>
      </c>
      <c r="O690">
        <v>0</v>
      </c>
      <c r="P690" t="str">
        <f t="shared" si="10"/>
        <v>N</v>
      </c>
      <c r="Q690" t="s">
        <v>6420</v>
      </c>
    </row>
    <row r="691" spans="1:17" x14ac:dyDescent="0.25">
      <c r="A691" t="s">
        <v>5221</v>
      </c>
      <c r="B691" t="s">
        <v>1089</v>
      </c>
      <c r="C691">
        <v>2027</v>
      </c>
      <c r="D691" t="s">
        <v>528</v>
      </c>
      <c r="E691" t="s">
        <v>828</v>
      </c>
      <c r="F691" s="32">
        <v>46374</v>
      </c>
      <c r="G691" t="s">
        <v>514</v>
      </c>
      <c r="H691">
        <v>47128633</v>
      </c>
      <c r="I691" t="s">
        <v>1164</v>
      </c>
      <c r="J691" t="s">
        <v>1163</v>
      </c>
      <c r="K691" t="s">
        <v>530</v>
      </c>
      <c r="N691">
        <v>0</v>
      </c>
      <c r="O691">
        <v>0</v>
      </c>
      <c r="P691" t="str">
        <f t="shared" si="10"/>
        <v>N</v>
      </c>
      <c r="Q691" t="s">
        <v>6421</v>
      </c>
    </row>
    <row r="692" spans="1:17" x14ac:dyDescent="0.25">
      <c r="A692" t="s">
        <v>5222</v>
      </c>
      <c r="B692" t="s">
        <v>1089</v>
      </c>
      <c r="C692">
        <v>2027</v>
      </c>
      <c r="D692" t="s">
        <v>528</v>
      </c>
      <c r="E692" t="s">
        <v>828</v>
      </c>
      <c r="F692" s="32">
        <v>46374</v>
      </c>
      <c r="G692" t="s">
        <v>514</v>
      </c>
      <c r="H692">
        <v>47128046</v>
      </c>
      <c r="I692" t="s">
        <v>1389</v>
      </c>
      <c r="J692" t="s">
        <v>1388</v>
      </c>
      <c r="K692" t="s">
        <v>530</v>
      </c>
      <c r="N692">
        <v>0</v>
      </c>
      <c r="O692">
        <v>0</v>
      </c>
      <c r="P692" t="str">
        <f t="shared" si="10"/>
        <v>N</v>
      </c>
      <c r="Q692" t="s">
        <v>6422</v>
      </c>
    </row>
    <row r="693" spans="1:17" x14ac:dyDescent="0.25">
      <c r="A693" t="s">
        <v>5223</v>
      </c>
      <c r="B693" t="s">
        <v>1089</v>
      </c>
      <c r="C693">
        <v>2027</v>
      </c>
      <c r="D693" t="s">
        <v>528</v>
      </c>
      <c r="E693" t="s">
        <v>828</v>
      </c>
      <c r="F693" s="32">
        <v>46374</v>
      </c>
      <c r="G693" t="s">
        <v>514</v>
      </c>
      <c r="H693">
        <v>47129548</v>
      </c>
      <c r="I693" t="s">
        <v>1340</v>
      </c>
      <c r="J693" t="s">
        <v>1339</v>
      </c>
      <c r="K693" t="s">
        <v>530</v>
      </c>
      <c r="N693">
        <v>40</v>
      </c>
      <c r="O693">
        <v>40</v>
      </c>
      <c r="P693" t="str">
        <f t="shared" si="10"/>
        <v>N</v>
      </c>
      <c r="Q693" t="s">
        <v>6423</v>
      </c>
    </row>
    <row r="694" spans="1:17" x14ac:dyDescent="0.25">
      <c r="A694" t="s">
        <v>5480</v>
      </c>
      <c r="B694" t="s">
        <v>5437</v>
      </c>
      <c r="C694">
        <v>2027</v>
      </c>
      <c r="D694" t="s">
        <v>528</v>
      </c>
      <c r="E694" t="s">
        <v>828</v>
      </c>
      <c r="F694" s="32">
        <v>46374</v>
      </c>
      <c r="G694" t="s">
        <v>514</v>
      </c>
      <c r="H694">
        <v>47129473</v>
      </c>
      <c r="I694" t="s">
        <v>1430</v>
      </c>
      <c r="J694" t="s">
        <v>1429</v>
      </c>
      <c r="K694" t="s">
        <v>530</v>
      </c>
      <c r="N694">
        <v>40</v>
      </c>
      <c r="O694">
        <v>40</v>
      </c>
      <c r="P694" t="str">
        <f t="shared" si="10"/>
        <v>N</v>
      </c>
      <c r="Q694" t="s">
        <v>6424</v>
      </c>
    </row>
    <row r="695" spans="1:17" x14ac:dyDescent="0.25">
      <c r="A695" t="s">
        <v>5481</v>
      </c>
      <c r="B695" t="s">
        <v>5437</v>
      </c>
      <c r="C695">
        <v>2027</v>
      </c>
      <c r="D695" t="s">
        <v>528</v>
      </c>
      <c r="E695" t="s">
        <v>828</v>
      </c>
      <c r="F695" s="32">
        <v>46374</v>
      </c>
      <c r="G695" t="s">
        <v>514</v>
      </c>
      <c r="H695">
        <v>47128490</v>
      </c>
      <c r="I695" t="s">
        <v>1254</v>
      </c>
      <c r="J695" t="s">
        <v>1253</v>
      </c>
      <c r="K695" t="s">
        <v>530</v>
      </c>
      <c r="N695">
        <v>20</v>
      </c>
      <c r="O695">
        <v>20</v>
      </c>
      <c r="P695" t="str">
        <f t="shared" si="10"/>
        <v>N</v>
      </c>
      <c r="Q695" t="s">
        <v>6425</v>
      </c>
    </row>
    <row r="696" spans="1:17" x14ac:dyDescent="0.25">
      <c r="A696" t="s">
        <v>5482</v>
      </c>
      <c r="B696" t="s">
        <v>5437</v>
      </c>
      <c r="C696">
        <v>2027</v>
      </c>
      <c r="D696" t="s">
        <v>528</v>
      </c>
      <c r="E696" t="s">
        <v>828</v>
      </c>
      <c r="F696" s="32">
        <v>46374</v>
      </c>
      <c r="G696" t="s">
        <v>514</v>
      </c>
      <c r="H696">
        <v>47127948</v>
      </c>
      <c r="I696" t="s">
        <v>1247</v>
      </c>
      <c r="J696" t="s">
        <v>1246</v>
      </c>
      <c r="K696" t="s">
        <v>530</v>
      </c>
      <c r="N696">
        <v>0</v>
      </c>
      <c r="O696">
        <v>0</v>
      </c>
      <c r="P696" t="str">
        <f t="shared" si="10"/>
        <v>N</v>
      </c>
      <c r="Q696" t="s">
        <v>6426</v>
      </c>
    </row>
    <row r="697" spans="1:17" x14ac:dyDescent="0.25">
      <c r="A697" t="s">
        <v>5483</v>
      </c>
      <c r="B697" t="s">
        <v>5437</v>
      </c>
      <c r="C697">
        <v>2027</v>
      </c>
      <c r="D697" t="s">
        <v>528</v>
      </c>
      <c r="E697" t="s">
        <v>828</v>
      </c>
      <c r="F697" s="32">
        <v>46374</v>
      </c>
      <c r="G697" t="s">
        <v>514</v>
      </c>
      <c r="H697">
        <v>47128710</v>
      </c>
      <c r="I697" t="s">
        <v>1189</v>
      </c>
      <c r="J697" t="s">
        <v>1188</v>
      </c>
      <c r="K697" t="s">
        <v>530</v>
      </c>
      <c r="N697">
        <v>0</v>
      </c>
      <c r="O697">
        <v>0</v>
      </c>
      <c r="P697" t="str">
        <f t="shared" si="10"/>
        <v>N</v>
      </c>
      <c r="Q697" t="s">
        <v>6427</v>
      </c>
    </row>
    <row r="698" spans="1:17" x14ac:dyDescent="0.25">
      <c r="A698" t="s">
        <v>5484</v>
      </c>
      <c r="B698" t="s">
        <v>5437</v>
      </c>
      <c r="C698">
        <v>2027</v>
      </c>
      <c r="D698" t="s">
        <v>528</v>
      </c>
      <c r="E698" t="s">
        <v>828</v>
      </c>
      <c r="F698" s="32">
        <v>46374</v>
      </c>
      <c r="G698" t="s">
        <v>514</v>
      </c>
      <c r="H698">
        <v>47128115</v>
      </c>
      <c r="I698" t="s">
        <v>1260</v>
      </c>
      <c r="J698" t="s">
        <v>1259</v>
      </c>
      <c r="K698" t="s">
        <v>530</v>
      </c>
      <c r="N698">
        <v>0</v>
      </c>
      <c r="O698">
        <v>0</v>
      </c>
      <c r="P698" t="str">
        <f t="shared" si="10"/>
        <v>N</v>
      </c>
      <c r="Q698" t="s">
        <v>6428</v>
      </c>
    </row>
    <row r="699" spans="1:17" x14ac:dyDescent="0.25">
      <c r="A699" t="s">
        <v>5485</v>
      </c>
      <c r="B699" t="s">
        <v>5437</v>
      </c>
      <c r="C699">
        <v>2027</v>
      </c>
      <c r="D699" t="s">
        <v>528</v>
      </c>
      <c r="E699" t="s">
        <v>828</v>
      </c>
      <c r="F699" s="32">
        <v>46374</v>
      </c>
      <c r="G699" t="s">
        <v>514</v>
      </c>
      <c r="H699">
        <v>47128833</v>
      </c>
      <c r="I699" t="s">
        <v>1193</v>
      </c>
      <c r="J699" t="s">
        <v>1192</v>
      </c>
      <c r="K699" t="s">
        <v>530</v>
      </c>
      <c r="N699">
        <v>0</v>
      </c>
      <c r="O699">
        <v>0</v>
      </c>
      <c r="P699" t="str">
        <f t="shared" si="10"/>
        <v>N</v>
      </c>
      <c r="Q699" t="s">
        <v>6429</v>
      </c>
    </row>
    <row r="700" spans="1:17" x14ac:dyDescent="0.25">
      <c r="A700" t="s">
        <v>5486</v>
      </c>
      <c r="B700" t="s">
        <v>5437</v>
      </c>
      <c r="C700">
        <v>2027</v>
      </c>
      <c r="D700" t="s">
        <v>528</v>
      </c>
      <c r="E700" t="s">
        <v>828</v>
      </c>
      <c r="F700" s="32">
        <v>46374</v>
      </c>
      <c r="G700" t="s">
        <v>514</v>
      </c>
      <c r="H700">
        <v>47128784</v>
      </c>
      <c r="I700" t="s">
        <v>1426</v>
      </c>
      <c r="J700" t="s">
        <v>1425</v>
      </c>
      <c r="K700" t="s">
        <v>530</v>
      </c>
      <c r="N700">
        <v>0</v>
      </c>
      <c r="O700">
        <v>0</v>
      </c>
      <c r="P700" t="str">
        <f t="shared" si="10"/>
        <v>N</v>
      </c>
      <c r="Q700" t="s">
        <v>6430</v>
      </c>
    </row>
    <row r="701" spans="1:17" x14ac:dyDescent="0.25">
      <c r="A701" t="s">
        <v>5487</v>
      </c>
      <c r="B701" t="s">
        <v>5437</v>
      </c>
      <c r="C701">
        <v>2027</v>
      </c>
      <c r="D701" t="s">
        <v>528</v>
      </c>
      <c r="E701" t="s">
        <v>828</v>
      </c>
      <c r="F701" s="32">
        <v>46374</v>
      </c>
      <c r="G701" t="s">
        <v>514</v>
      </c>
      <c r="H701">
        <v>47129020</v>
      </c>
      <c r="I701" t="s">
        <v>1058</v>
      </c>
      <c r="J701" t="s">
        <v>1057</v>
      </c>
      <c r="K701" t="s">
        <v>530</v>
      </c>
      <c r="N701">
        <v>0</v>
      </c>
      <c r="O701">
        <v>0</v>
      </c>
      <c r="P701" t="str">
        <f t="shared" si="10"/>
        <v>N</v>
      </c>
      <c r="Q701" t="s">
        <v>6431</v>
      </c>
    </row>
    <row r="702" spans="1:17" x14ac:dyDescent="0.25">
      <c r="A702" t="s">
        <v>1556</v>
      </c>
      <c r="B702" t="s">
        <v>1520</v>
      </c>
      <c r="C702">
        <v>2027</v>
      </c>
      <c r="D702" t="s">
        <v>532</v>
      </c>
      <c r="E702" t="s">
        <v>829</v>
      </c>
      <c r="F702" s="32">
        <v>46381</v>
      </c>
      <c r="G702" t="s">
        <v>514</v>
      </c>
      <c r="H702">
        <v>47128207</v>
      </c>
      <c r="I702" t="s">
        <v>1522</v>
      </c>
      <c r="J702" t="s">
        <v>1523</v>
      </c>
      <c r="K702" t="s">
        <v>530</v>
      </c>
      <c r="N702">
        <v>0</v>
      </c>
      <c r="O702">
        <v>0</v>
      </c>
      <c r="P702" t="str">
        <f t="shared" si="10"/>
        <v>N</v>
      </c>
      <c r="Q702" t="s">
        <v>6432</v>
      </c>
    </row>
    <row r="703" spans="1:17" x14ac:dyDescent="0.25">
      <c r="A703" t="s">
        <v>1557</v>
      </c>
      <c r="B703" t="s">
        <v>1520</v>
      </c>
      <c r="C703">
        <v>2027</v>
      </c>
      <c r="D703" t="s">
        <v>532</v>
      </c>
      <c r="E703" t="s">
        <v>829</v>
      </c>
      <c r="F703" s="32">
        <v>46381</v>
      </c>
      <c r="G703" t="s">
        <v>514</v>
      </c>
      <c r="H703">
        <v>47128581</v>
      </c>
      <c r="I703" t="s">
        <v>1525</v>
      </c>
      <c r="J703" t="s">
        <v>1526</v>
      </c>
      <c r="K703" t="s">
        <v>530</v>
      </c>
      <c r="N703">
        <v>0</v>
      </c>
      <c r="O703">
        <v>0</v>
      </c>
      <c r="P703" t="str">
        <f t="shared" si="10"/>
        <v>N</v>
      </c>
      <c r="Q703" t="s">
        <v>6433</v>
      </c>
    </row>
    <row r="704" spans="1:17" x14ac:dyDescent="0.25">
      <c r="A704" t="s">
        <v>1558</v>
      </c>
      <c r="B704" t="s">
        <v>1520</v>
      </c>
      <c r="C704">
        <v>2027</v>
      </c>
      <c r="D704" t="s">
        <v>532</v>
      </c>
      <c r="E704" t="s">
        <v>829</v>
      </c>
      <c r="F704" s="32">
        <v>46381</v>
      </c>
      <c r="G704" t="s">
        <v>514</v>
      </c>
      <c r="H704">
        <v>47127959</v>
      </c>
      <c r="I704" t="s">
        <v>1528</v>
      </c>
      <c r="J704" t="s">
        <v>1529</v>
      </c>
      <c r="K704" t="s">
        <v>530</v>
      </c>
      <c r="N704">
        <v>0</v>
      </c>
      <c r="O704">
        <v>0</v>
      </c>
      <c r="P704" t="str">
        <f t="shared" si="10"/>
        <v>N</v>
      </c>
      <c r="Q704" t="s">
        <v>6434</v>
      </c>
    </row>
    <row r="705" spans="1:17" x14ac:dyDescent="0.25">
      <c r="A705" t="s">
        <v>1559</v>
      </c>
      <c r="B705" t="s">
        <v>1520</v>
      </c>
      <c r="C705">
        <v>2027</v>
      </c>
      <c r="D705" t="s">
        <v>532</v>
      </c>
      <c r="E705" t="s">
        <v>829</v>
      </c>
      <c r="F705" s="32">
        <v>46381</v>
      </c>
      <c r="G705" t="s">
        <v>514</v>
      </c>
      <c r="H705">
        <v>47128204</v>
      </c>
      <c r="I705" t="s">
        <v>1531</v>
      </c>
      <c r="J705" t="s">
        <v>1532</v>
      </c>
      <c r="K705" t="s">
        <v>530</v>
      </c>
      <c r="N705">
        <v>40</v>
      </c>
      <c r="O705">
        <v>40</v>
      </c>
      <c r="P705" t="str">
        <f t="shared" si="10"/>
        <v>N</v>
      </c>
      <c r="Q705" t="s">
        <v>6435</v>
      </c>
    </row>
    <row r="706" spans="1:17" x14ac:dyDescent="0.25">
      <c r="A706" t="s">
        <v>1560</v>
      </c>
      <c r="B706" t="s">
        <v>1520</v>
      </c>
      <c r="C706">
        <v>2027</v>
      </c>
      <c r="D706" t="s">
        <v>532</v>
      </c>
      <c r="E706" t="s">
        <v>829</v>
      </c>
      <c r="F706" s="32">
        <v>46381</v>
      </c>
      <c r="G706" t="s">
        <v>514</v>
      </c>
      <c r="H706">
        <v>47128207</v>
      </c>
      <c r="I706" t="s">
        <v>1522</v>
      </c>
      <c r="J706" t="s">
        <v>1534</v>
      </c>
      <c r="K706" t="s">
        <v>530</v>
      </c>
      <c r="N706">
        <v>0</v>
      </c>
      <c r="O706">
        <v>0</v>
      </c>
      <c r="P706" t="str">
        <f t="shared" si="10"/>
        <v>N</v>
      </c>
      <c r="Q706" t="s">
        <v>6436</v>
      </c>
    </row>
    <row r="707" spans="1:17" x14ac:dyDescent="0.25">
      <c r="A707" t="s">
        <v>1561</v>
      </c>
      <c r="B707" t="s">
        <v>1520</v>
      </c>
      <c r="C707">
        <v>2027</v>
      </c>
      <c r="D707" t="s">
        <v>532</v>
      </c>
      <c r="E707" t="s">
        <v>829</v>
      </c>
      <c r="F707" s="32">
        <v>46381</v>
      </c>
      <c r="G707" t="s">
        <v>563</v>
      </c>
      <c r="H707">
        <v>10000015</v>
      </c>
      <c r="I707" t="s">
        <v>562</v>
      </c>
      <c r="K707" t="s">
        <v>530</v>
      </c>
      <c r="N707">
        <v>0</v>
      </c>
      <c r="O707">
        <v>0</v>
      </c>
      <c r="P707" t="str">
        <f t="shared" ref="P707:P770" si="11">IF(N707=O707,"N","Y")</f>
        <v>N</v>
      </c>
      <c r="Q707" t="s">
        <v>6437</v>
      </c>
    </row>
    <row r="708" spans="1:17" x14ac:dyDescent="0.25">
      <c r="A708" t="s">
        <v>1562</v>
      </c>
      <c r="B708" t="s">
        <v>1520</v>
      </c>
      <c r="C708">
        <v>2027</v>
      </c>
      <c r="D708" t="s">
        <v>532</v>
      </c>
      <c r="E708" t="s">
        <v>829</v>
      </c>
      <c r="F708" s="32">
        <v>46381</v>
      </c>
      <c r="G708" t="s">
        <v>514</v>
      </c>
      <c r="H708">
        <v>47127959</v>
      </c>
      <c r="I708" t="s">
        <v>1528</v>
      </c>
      <c r="J708" t="s">
        <v>1537</v>
      </c>
      <c r="K708" t="s">
        <v>530</v>
      </c>
      <c r="N708">
        <v>0</v>
      </c>
      <c r="O708">
        <v>0</v>
      </c>
      <c r="P708" t="str">
        <f t="shared" si="11"/>
        <v>N</v>
      </c>
      <c r="Q708" t="s">
        <v>6438</v>
      </c>
    </row>
    <row r="709" spans="1:17" x14ac:dyDescent="0.25">
      <c r="A709" t="s">
        <v>1563</v>
      </c>
      <c r="B709" t="s">
        <v>1520</v>
      </c>
      <c r="C709">
        <v>2027</v>
      </c>
      <c r="D709" t="s">
        <v>532</v>
      </c>
      <c r="E709" t="s">
        <v>829</v>
      </c>
      <c r="F709" s="32">
        <v>46381</v>
      </c>
      <c r="G709" t="s">
        <v>514</v>
      </c>
      <c r="H709">
        <v>47128581</v>
      </c>
      <c r="I709" t="s">
        <v>1525</v>
      </c>
      <c r="J709" t="s">
        <v>1539</v>
      </c>
      <c r="K709" t="s">
        <v>530</v>
      </c>
      <c r="N709">
        <v>0</v>
      </c>
      <c r="O709">
        <v>0</v>
      </c>
      <c r="P709" t="str">
        <f t="shared" si="11"/>
        <v>N</v>
      </c>
      <c r="Q709" t="s">
        <v>6439</v>
      </c>
    </row>
    <row r="710" spans="1:17" x14ac:dyDescent="0.25">
      <c r="A710" t="s">
        <v>1782</v>
      </c>
      <c r="B710" t="s">
        <v>1135</v>
      </c>
      <c r="C710">
        <v>2027</v>
      </c>
      <c r="D710" t="s">
        <v>532</v>
      </c>
      <c r="E710" t="s">
        <v>829</v>
      </c>
      <c r="F710" s="32">
        <v>46381</v>
      </c>
      <c r="G710" t="s">
        <v>514</v>
      </c>
      <c r="H710">
        <v>47147658</v>
      </c>
      <c r="I710" t="s">
        <v>1276</v>
      </c>
      <c r="J710" t="s">
        <v>1275</v>
      </c>
      <c r="K710" t="s">
        <v>530</v>
      </c>
      <c r="N710">
        <v>0</v>
      </c>
      <c r="O710">
        <v>0</v>
      </c>
      <c r="P710" t="str">
        <f t="shared" si="11"/>
        <v>N</v>
      </c>
      <c r="Q710" t="s">
        <v>6440</v>
      </c>
    </row>
    <row r="711" spans="1:17" x14ac:dyDescent="0.25">
      <c r="A711" t="s">
        <v>1783</v>
      </c>
      <c r="B711" t="s">
        <v>1135</v>
      </c>
      <c r="C711">
        <v>2027</v>
      </c>
      <c r="D711" t="s">
        <v>532</v>
      </c>
      <c r="E711" t="s">
        <v>829</v>
      </c>
      <c r="F711" s="32">
        <v>46381</v>
      </c>
      <c r="G711" t="s">
        <v>514</v>
      </c>
      <c r="H711">
        <v>47147546</v>
      </c>
      <c r="I711" t="s">
        <v>1077</v>
      </c>
      <c r="J711" t="s">
        <v>1171</v>
      </c>
      <c r="K711" t="s">
        <v>530</v>
      </c>
      <c r="N711">
        <v>0</v>
      </c>
      <c r="O711">
        <v>0</v>
      </c>
      <c r="P711" t="str">
        <f t="shared" si="11"/>
        <v>N</v>
      </c>
      <c r="Q711" t="s">
        <v>6441</v>
      </c>
    </row>
    <row r="712" spans="1:17" x14ac:dyDescent="0.25">
      <c r="A712" t="s">
        <v>1784</v>
      </c>
      <c r="B712" t="s">
        <v>1135</v>
      </c>
      <c r="C712">
        <v>2027</v>
      </c>
      <c r="D712" t="s">
        <v>532</v>
      </c>
      <c r="E712" t="s">
        <v>829</v>
      </c>
      <c r="F712" s="32">
        <v>46381</v>
      </c>
      <c r="G712" t="s">
        <v>514</v>
      </c>
      <c r="H712">
        <v>47128028</v>
      </c>
      <c r="I712" t="s">
        <v>1035</v>
      </c>
      <c r="J712" t="s">
        <v>1034</v>
      </c>
      <c r="K712" t="s">
        <v>530</v>
      </c>
      <c r="N712">
        <v>0</v>
      </c>
      <c r="O712">
        <v>0</v>
      </c>
      <c r="P712" t="str">
        <f t="shared" si="11"/>
        <v>N</v>
      </c>
      <c r="Q712" t="s">
        <v>6442</v>
      </c>
    </row>
    <row r="713" spans="1:17" x14ac:dyDescent="0.25">
      <c r="A713" t="s">
        <v>1785</v>
      </c>
      <c r="B713" t="s">
        <v>1135</v>
      </c>
      <c r="C713">
        <v>2027</v>
      </c>
      <c r="D713" t="s">
        <v>532</v>
      </c>
      <c r="E713" t="s">
        <v>829</v>
      </c>
      <c r="F713" s="32">
        <v>46381</v>
      </c>
      <c r="G713" t="s">
        <v>514</v>
      </c>
      <c r="H713">
        <v>47128465</v>
      </c>
      <c r="I713" t="s">
        <v>1333</v>
      </c>
      <c r="J713" t="s">
        <v>1332</v>
      </c>
      <c r="K713" t="s">
        <v>530</v>
      </c>
      <c r="N713">
        <v>0</v>
      </c>
      <c r="O713">
        <v>0</v>
      </c>
      <c r="P713" t="str">
        <f t="shared" si="11"/>
        <v>N</v>
      </c>
      <c r="Q713" t="s">
        <v>6443</v>
      </c>
    </row>
    <row r="714" spans="1:17" x14ac:dyDescent="0.25">
      <c r="A714" t="s">
        <v>1786</v>
      </c>
      <c r="B714" t="s">
        <v>1135</v>
      </c>
      <c r="C714">
        <v>2027</v>
      </c>
      <c r="D714" t="s">
        <v>532</v>
      </c>
      <c r="E714" t="s">
        <v>829</v>
      </c>
      <c r="F714" s="32">
        <v>46381</v>
      </c>
      <c r="G714" t="s">
        <v>514</v>
      </c>
      <c r="H714">
        <v>47128548</v>
      </c>
      <c r="I714" t="s">
        <v>958</v>
      </c>
      <c r="J714" t="s">
        <v>957</v>
      </c>
      <c r="K714" t="s">
        <v>530</v>
      </c>
      <c r="N714">
        <v>0</v>
      </c>
      <c r="O714">
        <v>0</v>
      </c>
      <c r="P714" t="str">
        <f t="shared" si="11"/>
        <v>N</v>
      </c>
      <c r="Q714" t="s">
        <v>6444</v>
      </c>
    </row>
    <row r="715" spans="1:17" x14ac:dyDescent="0.25">
      <c r="A715" t="s">
        <v>1787</v>
      </c>
      <c r="B715" t="s">
        <v>1135</v>
      </c>
      <c r="C715">
        <v>2027</v>
      </c>
      <c r="D715" t="s">
        <v>532</v>
      </c>
      <c r="E715" t="s">
        <v>829</v>
      </c>
      <c r="F715" s="32">
        <v>46381</v>
      </c>
      <c r="G715" t="s">
        <v>514</v>
      </c>
      <c r="H715">
        <v>47146464</v>
      </c>
      <c r="I715" t="s">
        <v>1438</v>
      </c>
      <c r="J715" t="s">
        <v>1437</v>
      </c>
      <c r="K715" t="s">
        <v>530</v>
      </c>
      <c r="N715">
        <v>0</v>
      </c>
      <c r="O715">
        <v>0</v>
      </c>
      <c r="P715" t="str">
        <f t="shared" si="11"/>
        <v>N</v>
      </c>
      <c r="Q715" t="s">
        <v>6445</v>
      </c>
    </row>
    <row r="716" spans="1:17" x14ac:dyDescent="0.25">
      <c r="A716" t="s">
        <v>1788</v>
      </c>
      <c r="B716" t="s">
        <v>1135</v>
      </c>
      <c r="C716">
        <v>2027</v>
      </c>
      <c r="D716" t="s">
        <v>532</v>
      </c>
      <c r="E716" t="s">
        <v>829</v>
      </c>
      <c r="F716" s="32">
        <v>46381</v>
      </c>
      <c r="G716" t="s">
        <v>514</v>
      </c>
      <c r="H716">
        <v>47146463</v>
      </c>
      <c r="I716" t="s">
        <v>1441</v>
      </c>
      <c r="J716" t="s">
        <v>1440</v>
      </c>
      <c r="K716" t="s">
        <v>530</v>
      </c>
      <c r="N716">
        <v>0</v>
      </c>
      <c r="O716">
        <v>0</v>
      </c>
      <c r="P716" t="str">
        <f t="shared" si="11"/>
        <v>N</v>
      </c>
      <c r="Q716" t="s">
        <v>6446</v>
      </c>
    </row>
    <row r="717" spans="1:17" x14ac:dyDescent="0.25">
      <c r="A717" t="s">
        <v>1789</v>
      </c>
      <c r="B717" t="s">
        <v>1135</v>
      </c>
      <c r="C717">
        <v>2027</v>
      </c>
      <c r="D717" t="s">
        <v>532</v>
      </c>
      <c r="E717" t="s">
        <v>829</v>
      </c>
      <c r="F717" s="32">
        <v>46381</v>
      </c>
      <c r="G717" t="s">
        <v>514</v>
      </c>
      <c r="H717">
        <v>47128729</v>
      </c>
      <c r="I717" t="s">
        <v>1149</v>
      </c>
      <c r="J717" t="s">
        <v>1148</v>
      </c>
      <c r="K717" t="s">
        <v>530</v>
      </c>
      <c r="N717">
        <v>0</v>
      </c>
      <c r="O717">
        <v>0</v>
      </c>
      <c r="P717" t="str">
        <f t="shared" si="11"/>
        <v>N</v>
      </c>
      <c r="Q717" t="s">
        <v>6447</v>
      </c>
    </row>
    <row r="718" spans="1:17" x14ac:dyDescent="0.25">
      <c r="A718" t="s">
        <v>1790</v>
      </c>
      <c r="B718" t="s">
        <v>1135</v>
      </c>
      <c r="C718">
        <v>2027</v>
      </c>
      <c r="D718" t="s">
        <v>532</v>
      </c>
      <c r="E718" t="s">
        <v>829</v>
      </c>
      <c r="F718" s="32">
        <v>46381</v>
      </c>
      <c r="G718" t="s">
        <v>514</v>
      </c>
      <c r="H718">
        <v>47128413</v>
      </c>
      <c r="I718" t="s">
        <v>1397</v>
      </c>
      <c r="J718" t="s">
        <v>1396</v>
      </c>
      <c r="K718" t="s">
        <v>530</v>
      </c>
      <c r="N718">
        <v>0</v>
      </c>
      <c r="O718">
        <v>0</v>
      </c>
      <c r="P718" t="str">
        <f t="shared" si="11"/>
        <v>N</v>
      </c>
      <c r="Q718" t="s">
        <v>6448</v>
      </c>
    </row>
    <row r="719" spans="1:17" x14ac:dyDescent="0.25">
      <c r="A719" t="s">
        <v>1791</v>
      </c>
      <c r="B719" t="s">
        <v>1135</v>
      </c>
      <c r="C719">
        <v>2027</v>
      </c>
      <c r="D719" t="s">
        <v>532</v>
      </c>
      <c r="E719" t="s">
        <v>829</v>
      </c>
      <c r="F719" s="32">
        <v>46381</v>
      </c>
      <c r="G719" t="s">
        <v>514</v>
      </c>
      <c r="H719">
        <v>47128783</v>
      </c>
      <c r="I719" t="s">
        <v>1280</v>
      </c>
      <c r="J719" t="s">
        <v>1279</v>
      </c>
      <c r="K719" t="s">
        <v>530</v>
      </c>
      <c r="N719">
        <v>0</v>
      </c>
      <c r="O719">
        <v>0</v>
      </c>
      <c r="P719" t="str">
        <f t="shared" si="11"/>
        <v>N</v>
      </c>
      <c r="Q719" t="s">
        <v>6449</v>
      </c>
    </row>
    <row r="720" spans="1:17" x14ac:dyDescent="0.25">
      <c r="A720" t="s">
        <v>1792</v>
      </c>
      <c r="B720" t="s">
        <v>1135</v>
      </c>
      <c r="C720">
        <v>2027</v>
      </c>
      <c r="D720" t="s">
        <v>532</v>
      </c>
      <c r="E720" t="s">
        <v>829</v>
      </c>
      <c r="F720" s="32">
        <v>46381</v>
      </c>
      <c r="G720" t="s">
        <v>514</v>
      </c>
      <c r="H720">
        <v>47128944</v>
      </c>
      <c r="I720" t="s">
        <v>1137</v>
      </c>
      <c r="J720" t="s">
        <v>1136</v>
      </c>
      <c r="K720" t="s">
        <v>530</v>
      </c>
      <c r="N720">
        <v>0</v>
      </c>
      <c r="O720">
        <v>0</v>
      </c>
      <c r="P720" t="str">
        <f t="shared" si="11"/>
        <v>N</v>
      </c>
      <c r="Q720" t="s">
        <v>6450</v>
      </c>
    </row>
    <row r="721" spans="1:17" x14ac:dyDescent="0.25">
      <c r="A721" t="s">
        <v>1793</v>
      </c>
      <c r="B721" t="s">
        <v>1135</v>
      </c>
      <c r="C721">
        <v>2027</v>
      </c>
      <c r="D721" t="s">
        <v>532</v>
      </c>
      <c r="E721" t="s">
        <v>829</v>
      </c>
      <c r="F721" s="32">
        <v>46381</v>
      </c>
      <c r="G721" t="s">
        <v>514</v>
      </c>
      <c r="H721">
        <v>47129547</v>
      </c>
      <c r="I721" t="s">
        <v>1128</v>
      </c>
      <c r="J721" t="s">
        <v>1352</v>
      </c>
      <c r="K721" t="s">
        <v>530</v>
      </c>
      <c r="N721">
        <v>0</v>
      </c>
      <c r="O721">
        <v>0</v>
      </c>
      <c r="P721" t="str">
        <f t="shared" si="11"/>
        <v>N</v>
      </c>
      <c r="Q721" t="s">
        <v>6451</v>
      </c>
    </row>
    <row r="722" spans="1:17" x14ac:dyDescent="0.25">
      <c r="A722" t="s">
        <v>1794</v>
      </c>
      <c r="B722" t="s">
        <v>1135</v>
      </c>
      <c r="C722">
        <v>2027</v>
      </c>
      <c r="D722" t="s">
        <v>532</v>
      </c>
      <c r="E722" t="s">
        <v>829</v>
      </c>
      <c r="F722" s="32">
        <v>46381</v>
      </c>
      <c r="G722" t="s">
        <v>514</v>
      </c>
      <c r="H722">
        <v>47128518</v>
      </c>
      <c r="I722" t="s">
        <v>1232</v>
      </c>
      <c r="J722" t="s">
        <v>1493</v>
      </c>
      <c r="K722" t="s">
        <v>530</v>
      </c>
      <c r="N722">
        <v>100</v>
      </c>
      <c r="O722">
        <v>100</v>
      </c>
      <c r="P722" t="str">
        <f t="shared" si="11"/>
        <v>N</v>
      </c>
      <c r="Q722" t="s">
        <v>6452</v>
      </c>
    </row>
    <row r="723" spans="1:17" x14ac:dyDescent="0.25">
      <c r="A723" t="s">
        <v>1795</v>
      </c>
      <c r="B723" t="s">
        <v>1135</v>
      </c>
      <c r="C723">
        <v>2027</v>
      </c>
      <c r="D723" t="s">
        <v>532</v>
      </c>
      <c r="E723" t="s">
        <v>829</v>
      </c>
      <c r="F723" s="32">
        <v>46381</v>
      </c>
      <c r="G723" t="s">
        <v>514</v>
      </c>
      <c r="H723">
        <v>47128168</v>
      </c>
      <c r="I723" t="s">
        <v>1100</v>
      </c>
      <c r="J723" t="s">
        <v>1099</v>
      </c>
      <c r="K723" t="s">
        <v>530</v>
      </c>
      <c r="N723">
        <v>0</v>
      </c>
      <c r="O723">
        <v>0</v>
      </c>
      <c r="P723" t="str">
        <f t="shared" si="11"/>
        <v>N</v>
      </c>
      <c r="Q723" t="s">
        <v>6453</v>
      </c>
    </row>
    <row r="724" spans="1:17" x14ac:dyDescent="0.25">
      <c r="A724" t="s">
        <v>1796</v>
      </c>
      <c r="B724" t="s">
        <v>1135</v>
      </c>
      <c r="C724">
        <v>2027</v>
      </c>
      <c r="D724" t="s">
        <v>532</v>
      </c>
      <c r="E724" t="s">
        <v>829</v>
      </c>
      <c r="F724" s="32">
        <v>46381</v>
      </c>
      <c r="G724" t="s">
        <v>514</v>
      </c>
      <c r="H724">
        <v>47128687</v>
      </c>
      <c r="I724" t="s">
        <v>1153</v>
      </c>
      <c r="J724" t="s">
        <v>1152</v>
      </c>
      <c r="K724" t="s">
        <v>530</v>
      </c>
      <c r="N724">
        <v>0</v>
      </c>
      <c r="O724">
        <v>0</v>
      </c>
      <c r="P724" t="str">
        <f t="shared" si="11"/>
        <v>N</v>
      </c>
      <c r="Q724" t="s">
        <v>6454</v>
      </c>
    </row>
    <row r="725" spans="1:17" x14ac:dyDescent="0.25">
      <c r="A725" t="s">
        <v>1797</v>
      </c>
      <c r="B725" t="s">
        <v>1135</v>
      </c>
      <c r="C725">
        <v>2027</v>
      </c>
      <c r="D725" t="s">
        <v>532</v>
      </c>
      <c r="E725" t="s">
        <v>829</v>
      </c>
      <c r="F725" s="32">
        <v>46381</v>
      </c>
      <c r="G725" t="s">
        <v>514</v>
      </c>
      <c r="H725">
        <v>47128585</v>
      </c>
      <c r="I725" t="s">
        <v>1141</v>
      </c>
      <c r="J725" t="s">
        <v>1140</v>
      </c>
      <c r="K725" t="s">
        <v>530</v>
      </c>
      <c r="N725">
        <v>0</v>
      </c>
      <c r="O725">
        <v>0</v>
      </c>
      <c r="P725" t="str">
        <f t="shared" si="11"/>
        <v>N</v>
      </c>
      <c r="Q725" t="s">
        <v>6455</v>
      </c>
    </row>
    <row r="726" spans="1:17" x14ac:dyDescent="0.25">
      <c r="A726" t="s">
        <v>1798</v>
      </c>
      <c r="B726" t="s">
        <v>1135</v>
      </c>
      <c r="C726">
        <v>2027</v>
      </c>
      <c r="D726" t="s">
        <v>532</v>
      </c>
      <c r="E726" t="s">
        <v>829</v>
      </c>
      <c r="F726" s="32">
        <v>46381</v>
      </c>
      <c r="G726" t="s">
        <v>514</v>
      </c>
      <c r="H726">
        <v>47128906</v>
      </c>
      <c r="I726" t="s">
        <v>1349</v>
      </c>
      <c r="J726" t="s">
        <v>1348</v>
      </c>
      <c r="K726" t="s">
        <v>530</v>
      </c>
      <c r="N726">
        <v>0</v>
      </c>
      <c r="O726">
        <v>0</v>
      </c>
      <c r="P726" t="str">
        <f t="shared" si="11"/>
        <v>N</v>
      </c>
      <c r="Q726" t="s">
        <v>6456</v>
      </c>
    </row>
    <row r="727" spans="1:17" x14ac:dyDescent="0.25">
      <c r="A727" t="s">
        <v>1799</v>
      </c>
      <c r="B727" t="s">
        <v>1135</v>
      </c>
      <c r="C727">
        <v>2027</v>
      </c>
      <c r="D727" t="s">
        <v>532</v>
      </c>
      <c r="E727" t="s">
        <v>829</v>
      </c>
      <c r="F727" s="32">
        <v>46381</v>
      </c>
      <c r="G727" t="s">
        <v>514</v>
      </c>
      <c r="H727">
        <v>47128585</v>
      </c>
      <c r="I727" t="s">
        <v>1141</v>
      </c>
      <c r="J727" t="s">
        <v>1408</v>
      </c>
      <c r="K727" t="s">
        <v>530</v>
      </c>
      <c r="N727">
        <v>0</v>
      </c>
      <c r="O727">
        <v>0</v>
      </c>
      <c r="P727" t="str">
        <f t="shared" si="11"/>
        <v>N</v>
      </c>
      <c r="Q727" t="s">
        <v>6457</v>
      </c>
    </row>
    <row r="728" spans="1:17" x14ac:dyDescent="0.25">
      <c r="A728" t="s">
        <v>1800</v>
      </c>
      <c r="B728" t="s">
        <v>1135</v>
      </c>
      <c r="C728">
        <v>2027</v>
      </c>
      <c r="D728" t="s">
        <v>532</v>
      </c>
      <c r="E728" t="s">
        <v>829</v>
      </c>
      <c r="F728" s="32">
        <v>46381</v>
      </c>
      <c r="G728" t="s">
        <v>514</v>
      </c>
      <c r="H728">
        <v>47128518</v>
      </c>
      <c r="I728" t="s">
        <v>1232</v>
      </c>
      <c r="J728" t="s">
        <v>1231</v>
      </c>
      <c r="K728" t="s">
        <v>530</v>
      </c>
      <c r="N728">
        <v>0</v>
      </c>
      <c r="O728">
        <v>0</v>
      </c>
      <c r="P728" t="str">
        <f t="shared" si="11"/>
        <v>N</v>
      </c>
      <c r="Q728" t="s">
        <v>6458</v>
      </c>
    </row>
    <row r="729" spans="1:17" x14ac:dyDescent="0.25">
      <c r="A729" t="s">
        <v>1801</v>
      </c>
      <c r="B729" t="s">
        <v>1135</v>
      </c>
      <c r="C729">
        <v>2027</v>
      </c>
      <c r="D729" t="s">
        <v>532</v>
      </c>
      <c r="E729" t="s">
        <v>829</v>
      </c>
      <c r="F729" s="32">
        <v>46381</v>
      </c>
      <c r="G729" t="s">
        <v>514</v>
      </c>
      <c r="H729">
        <v>47128024</v>
      </c>
      <c r="I729" t="s">
        <v>1108</v>
      </c>
      <c r="J729" t="s">
        <v>1107</v>
      </c>
      <c r="K729" t="s">
        <v>530</v>
      </c>
      <c r="N729">
        <v>0</v>
      </c>
      <c r="O729">
        <v>0</v>
      </c>
      <c r="P729" t="str">
        <f t="shared" si="11"/>
        <v>N</v>
      </c>
      <c r="Q729" t="s">
        <v>6459</v>
      </c>
    </row>
    <row r="730" spans="1:17" x14ac:dyDescent="0.25">
      <c r="A730" t="s">
        <v>1802</v>
      </c>
      <c r="B730" t="s">
        <v>1135</v>
      </c>
      <c r="C730">
        <v>2027</v>
      </c>
      <c r="D730" t="s">
        <v>532</v>
      </c>
      <c r="E730" t="s">
        <v>829</v>
      </c>
      <c r="F730" s="32">
        <v>46381</v>
      </c>
      <c r="G730" t="s">
        <v>514</v>
      </c>
      <c r="H730">
        <v>47128680</v>
      </c>
      <c r="I730" t="s">
        <v>1284</v>
      </c>
      <c r="J730" t="s">
        <v>1283</v>
      </c>
      <c r="K730" t="s">
        <v>530</v>
      </c>
      <c r="N730">
        <v>0</v>
      </c>
      <c r="O730">
        <v>0</v>
      </c>
      <c r="P730" t="str">
        <f t="shared" si="11"/>
        <v>N</v>
      </c>
      <c r="Q730" t="s">
        <v>6460</v>
      </c>
    </row>
    <row r="731" spans="1:17" x14ac:dyDescent="0.25">
      <c r="A731" t="s">
        <v>1803</v>
      </c>
      <c r="B731" t="s">
        <v>1135</v>
      </c>
      <c r="C731">
        <v>2027</v>
      </c>
      <c r="D731" t="s">
        <v>532</v>
      </c>
      <c r="E731" t="s">
        <v>829</v>
      </c>
      <c r="F731" s="32">
        <v>46381</v>
      </c>
      <c r="G731" t="s">
        <v>514</v>
      </c>
      <c r="H731">
        <v>47128944</v>
      </c>
      <c r="I731" t="s">
        <v>1137</v>
      </c>
      <c r="J731" t="s">
        <v>1513</v>
      </c>
      <c r="K731" t="s">
        <v>530</v>
      </c>
      <c r="N731">
        <v>0</v>
      </c>
      <c r="O731">
        <v>0</v>
      </c>
      <c r="P731" t="str">
        <f t="shared" si="11"/>
        <v>N</v>
      </c>
      <c r="Q731" t="s">
        <v>6461</v>
      </c>
    </row>
    <row r="732" spans="1:17" x14ac:dyDescent="0.25">
      <c r="A732" t="s">
        <v>1804</v>
      </c>
      <c r="B732" t="s">
        <v>1135</v>
      </c>
      <c r="C732">
        <v>2027</v>
      </c>
      <c r="D732" t="s">
        <v>532</v>
      </c>
      <c r="E732" t="s">
        <v>829</v>
      </c>
      <c r="F732" s="32">
        <v>46381</v>
      </c>
      <c r="G732" t="s">
        <v>514</v>
      </c>
      <c r="H732">
        <v>47147546</v>
      </c>
      <c r="I732" t="s">
        <v>1077</v>
      </c>
      <c r="J732" t="s">
        <v>1076</v>
      </c>
      <c r="K732" t="s">
        <v>530</v>
      </c>
      <c r="N732">
        <v>0</v>
      </c>
      <c r="O732">
        <v>0</v>
      </c>
      <c r="P732" t="str">
        <f t="shared" si="11"/>
        <v>N</v>
      </c>
      <c r="Q732" t="s">
        <v>6462</v>
      </c>
    </row>
    <row r="733" spans="1:17" x14ac:dyDescent="0.25">
      <c r="A733" t="s">
        <v>1805</v>
      </c>
      <c r="B733" t="s">
        <v>1135</v>
      </c>
      <c r="C733">
        <v>2027</v>
      </c>
      <c r="D733" t="s">
        <v>532</v>
      </c>
      <c r="E733" t="s">
        <v>829</v>
      </c>
      <c r="F733" s="32">
        <v>46381</v>
      </c>
      <c r="G733" t="s">
        <v>514</v>
      </c>
      <c r="H733">
        <v>47128346</v>
      </c>
      <c r="I733" t="s">
        <v>1157</v>
      </c>
      <c r="J733" t="s">
        <v>1156</v>
      </c>
      <c r="K733" t="s">
        <v>530</v>
      </c>
      <c r="N733">
        <v>0</v>
      </c>
      <c r="O733">
        <v>0</v>
      </c>
      <c r="P733" t="str">
        <f t="shared" si="11"/>
        <v>N</v>
      </c>
      <c r="Q733" t="s">
        <v>6463</v>
      </c>
    </row>
    <row r="734" spans="1:17" x14ac:dyDescent="0.25">
      <c r="A734" t="s">
        <v>1806</v>
      </c>
      <c r="B734" t="s">
        <v>1135</v>
      </c>
      <c r="C734">
        <v>2027</v>
      </c>
      <c r="D734" t="s">
        <v>532</v>
      </c>
      <c r="E734" t="s">
        <v>829</v>
      </c>
      <c r="F734" s="32">
        <v>46381</v>
      </c>
      <c r="G734" t="s">
        <v>514</v>
      </c>
      <c r="H734">
        <v>47128800</v>
      </c>
      <c r="I734" t="s">
        <v>1145</v>
      </c>
      <c r="J734" t="s">
        <v>1144</v>
      </c>
      <c r="K734" t="s">
        <v>530</v>
      </c>
      <c r="N734">
        <v>0</v>
      </c>
      <c r="O734">
        <v>0</v>
      </c>
      <c r="P734" t="str">
        <f t="shared" si="11"/>
        <v>N</v>
      </c>
      <c r="Q734" t="s">
        <v>6464</v>
      </c>
    </row>
    <row r="735" spans="1:17" x14ac:dyDescent="0.25">
      <c r="A735" t="s">
        <v>1807</v>
      </c>
      <c r="B735" t="s">
        <v>1135</v>
      </c>
      <c r="C735">
        <v>2027</v>
      </c>
      <c r="D735" t="s">
        <v>532</v>
      </c>
      <c r="E735" t="s">
        <v>829</v>
      </c>
      <c r="F735" s="32">
        <v>46381</v>
      </c>
      <c r="G735" t="s">
        <v>514</v>
      </c>
      <c r="H735">
        <v>47128109</v>
      </c>
      <c r="I735" t="s">
        <v>1336</v>
      </c>
      <c r="J735" t="s">
        <v>1335</v>
      </c>
      <c r="K735" t="s">
        <v>530</v>
      </c>
      <c r="N735">
        <v>0</v>
      </c>
      <c r="O735">
        <v>0</v>
      </c>
      <c r="P735" t="str">
        <f t="shared" si="11"/>
        <v>N</v>
      </c>
      <c r="Q735" t="s">
        <v>6465</v>
      </c>
    </row>
    <row r="736" spans="1:17" x14ac:dyDescent="0.25">
      <c r="A736" t="s">
        <v>1808</v>
      </c>
      <c r="B736" t="s">
        <v>1135</v>
      </c>
      <c r="C736">
        <v>2027</v>
      </c>
      <c r="D736" t="s">
        <v>532</v>
      </c>
      <c r="E736" t="s">
        <v>829</v>
      </c>
      <c r="F736" s="32">
        <v>46381</v>
      </c>
      <c r="G736" t="s">
        <v>514</v>
      </c>
      <c r="H736">
        <v>47128430</v>
      </c>
      <c r="I736" t="s">
        <v>1401</v>
      </c>
      <c r="J736" t="s">
        <v>1400</v>
      </c>
      <c r="K736" t="s">
        <v>530</v>
      </c>
      <c r="N736">
        <v>0</v>
      </c>
      <c r="O736">
        <v>0</v>
      </c>
      <c r="P736" t="str">
        <f t="shared" si="11"/>
        <v>N</v>
      </c>
      <c r="Q736" t="s">
        <v>6466</v>
      </c>
    </row>
    <row r="737" spans="1:17" x14ac:dyDescent="0.25">
      <c r="A737" t="s">
        <v>1809</v>
      </c>
      <c r="B737" t="s">
        <v>1135</v>
      </c>
      <c r="C737">
        <v>2027</v>
      </c>
      <c r="D737" t="s">
        <v>532</v>
      </c>
      <c r="E737" t="s">
        <v>829</v>
      </c>
      <c r="F737" s="32">
        <v>46381</v>
      </c>
      <c r="G737" t="s">
        <v>514</v>
      </c>
      <c r="H737">
        <v>47128522</v>
      </c>
      <c r="I737" t="s">
        <v>1092</v>
      </c>
      <c r="J737" t="s">
        <v>1091</v>
      </c>
      <c r="K737" t="s">
        <v>530</v>
      </c>
      <c r="N737">
        <v>0</v>
      </c>
      <c r="O737">
        <v>0</v>
      </c>
      <c r="P737" t="str">
        <f t="shared" si="11"/>
        <v>N</v>
      </c>
      <c r="Q737" t="s">
        <v>6467</v>
      </c>
    </row>
    <row r="738" spans="1:17" x14ac:dyDescent="0.25">
      <c r="A738" t="s">
        <v>1810</v>
      </c>
      <c r="B738" t="s">
        <v>1135</v>
      </c>
      <c r="C738">
        <v>2027</v>
      </c>
      <c r="D738" t="s">
        <v>532</v>
      </c>
      <c r="E738" t="s">
        <v>829</v>
      </c>
      <c r="F738" s="32">
        <v>46381</v>
      </c>
      <c r="G738" t="s">
        <v>514</v>
      </c>
      <c r="H738">
        <v>47147546</v>
      </c>
      <c r="I738" t="s">
        <v>1077</v>
      </c>
      <c r="J738" t="s">
        <v>1381</v>
      </c>
      <c r="K738" t="s">
        <v>530</v>
      </c>
      <c r="N738">
        <v>0</v>
      </c>
      <c r="O738">
        <v>0</v>
      </c>
      <c r="P738" t="str">
        <f t="shared" si="11"/>
        <v>N</v>
      </c>
      <c r="Q738" t="s">
        <v>6468</v>
      </c>
    </row>
    <row r="739" spans="1:17" x14ac:dyDescent="0.25">
      <c r="A739" t="s">
        <v>1811</v>
      </c>
      <c r="B739" t="s">
        <v>1135</v>
      </c>
      <c r="C739">
        <v>2027</v>
      </c>
      <c r="D739" t="s">
        <v>532</v>
      </c>
      <c r="E739" t="s">
        <v>829</v>
      </c>
      <c r="F739" s="32">
        <v>46381</v>
      </c>
      <c r="G739" t="s">
        <v>514</v>
      </c>
      <c r="H739">
        <v>47128570</v>
      </c>
      <c r="I739" t="s">
        <v>1491</v>
      </c>
      <c r="J739" t="s">
        <v>1490</v>
      </c>
      <c r="K739" t="s">
        <v>530</v>
      </c>
      <c r="N739">
        <v>0</v>
      </c>
      <c r="O739">
        <v>0</v>
      </c>
      <c r="P739" t="str">
        <f t="shared" si="11"/>
        <v>N</v>
      </c>
      <c r="Q739" t="s">
        <v>6469</v>
      </c>
    </row>
    <row r="740" spans="1:17" x14ac:dyDescent="0.25">
      <c r="A740" t="s">
        <v>2380</v>
      </c>
      <c r="B740" t="s">
        <v>2344</v>
      </c>
      <c r="C740">
        <v>2027</v>
      </c>
      <c r="D740" t="s">
        <v>532</v>
      </c>
      <c r="E740" t="s">
        <v>829</v>
      </c>
      <c r="F740" s="32">
        <v>46381</v>
      </c>
      <c r="G740" t="s">
        <v>514</v>
      </c>
      <c r="H740">
        <v>47140037</v>
      </c>
      <c r="I740" t="s">
        <v>2347</v>
      </c>
      <c r="J740" t="s">
        <v>2348</v>
      </c>
      <c r="K740" t="s">
        <v>530</v>
      </c>
      <c r="N740">
        <v>0</v>
      </c>
      <c r="O740">
        <v>0</v>
      </c>
      <c r="P740" t="str">
        <f t="shared" si="11"/>
        <v>N</v>
      </c>
      <c r="Q740" t="s">
        <v>6470</v>
      </c>
    </row>
    <row r="741" spans="1:17" x14ac:dyDescent="0.25">
      <c r="A741" t="s">
        <v>2381</v>
      </c>
      <c r="B741" t="s">
        <v>2344</v>
      </c>
      <c r="C741">
        <v>2027</v>
      </c>
      <c r="D741" t="s">
        <v>532</v>
      </c>
      <c r="E741" t="s">
        <v>829</v>
      </c>
      <c r="F741" s="32">
        <v>46381</v>
      </c>
      <c r="G741" t="s">
        <v>514</v>
      </c>
      <c r="H741">
        <v>47128216</v>
      </c>
      <c r="I741" t="s">
        <v>2350</v>
      </c>
      <c r="J741" t="s">
        <v>2351</v>
      </c>
      <c r="K741" t="s">
        <v>530</v>
      </c>
      <c r="N741">
        <v>0</v>
      </c>
      <c r="O741">
        <v>0</v>
      </c>
      <c r="P741" t="str">
        <f t="shared" si="11"/>
        <v>N</v>
      </c>
      <c r="Q741" t="s">
        <v>6471</v>
      </c>
    </row>
    <row r="742" spans="1:17" x14ac:dyDescent="0.25">
      <c r="A742" t="s">
        <v>2382</v>
      </c>
      <c r="B742" t="s">
        <v>2344</v>
      </c>
      <c r="C742">
        <v>2027</v>
      </c>
      <c r="D742" t="s">
        <v>532</v>
      </c>
      <c r="E742" t="s">
        <v>829</v>
      </c>
      <c r="F742" s="32">
        <v>46381</v>
      </c>
      <c r="G742" t="s">
        <v>514</v>
      </c>
      <c r="H742">
        <v>47128208</v>
      </c>
      <c r="I742" t="s">
        <v>2353</v>
      </c>
      <c r="J742" t="s">
        <v>2354</v>
      </c>
      <c r="K742" t="s">
        <v>530</v>
      </c>
      <c r="N742">
        <v>0</v>
      </c>
      <c r="O742">
        <v>0</v>
      </c>
      <c r="P742" t="str">
        <f t="shared" si="11"/>
        <v>N</v>
      </c>
      <c r="Q742" t="s">
        <v>6472</v>
      </c>
    </row>
    <row r="743" spans="1:17" x14ac:dyDescent="0.25">
      <c r="A743" t="s">
        <v>2383</v>
      </c>
      <c r="B743" t="s">
        <v>2344</v>
      </c>
      <c r="C743">
        <v>2027</v>
      </c>
      <c r="D743" t="s">
        <v>532</v>
      </c>
      <c r="E743" t="s">
        <v>829</v>
      </c>
      <c r="F743" s="32">
        <v>46381</v>
      </c>
      <c r="G743" t="s">
        <v>514</v>
      </c>
      <c r="H743">
        <v>47128377</v>
      </c>
      <c r="I743" t="s">
        <v>2362</v>
      </c>
      <c r="J743" t="s">
        <v>2363</v>
      </c>
      <c r="K743" t="s">
        <v>530</v>
      </c>
      <c r="N743">
        <v>40</v>
      </c>
      <c r="O743">
        <v>40</v>
      </c>
      <c r="P743" t="str">
        <f t="shared" si="11"/>
        <v>N</v>
      </c>
      <c r="Q743" t="s">
        <v>6473</v>
      </c>
    </row>
    <row r="744" spans="1:17" x14ac:dyDescent="0.25">
      <c r="A744" t="s">
        <v>2526</v>
      </c>
      <c r="B744" t="s">
        <v>2444</v>
      </c>
      <c r="C744">
        <v>2027</v>
      </c>
      <c r="D744" t="s">
        <v>532</v>
      </c>
      <c r="E744" t="s">
        <v>829</v>
      </c>
      <c r="F744" s="32">
        <v>46381</v>
      </c>
      <c r="G744" t="s">
        <v>514</v>
      </c>
      <c r="H744">
        <v>47128006</v>
      </c>
      <c r="I744" t="s">
        <v>2447</v>
      </c>
      <c r="J744" t="s">
        <v>2448</v>
      </c>
      <c r="K744" t="s">
        <v>530</v>
      </c>
      <c r="N744">
        <v>40</v>
      </c>
      <c r="O744">
        <v>40</v>
      </c>
      <c r="P744" t="str">
        <f t="shared" si="11"/>
        <v>N</v>
      </c>
      <c r="Q744" t="s">
        <v>6474</v>
      </c>
    </row>
    <row r="745" spans="1:17" x14ac:dyDescent="0.25">
      <c r="A745" t="s">
        <v>2527</v>
      </c>
      <c r="B745" t="s">
        <v>2444</v>
      </c>
      <c r="C745">
        <v>2027</v>
      </c>
      <c r="D745" t="s">
        <v>532</v>
      </c>
      <c r="E745" t="s">
        <v>829</v>
      </c>
      <c r="F745" s="32">
        <v>46381</v>
      </c>
      <c r="G745" t="s">
        <v>514</v>
      </c>
      <c r="H745">
        <v>47128667</v>
      </c>
      <c r="I745" t="s">
        <v>2450</v>
      </c>
      <c r="J745" t="s">
        <v>2451</v>
      </c>
      <c r="K745" t="s">
        <v>530</v>
      </c>
      <c r="N745">
        <v>0</v>
      </c>
      <c r="O745">
        <v>0</v>
      </c>
      <c r="P745" t="str">
        <f t="shared" si="11"/>
        <v>N</v>
      </c>
      <c r="Q745" t="s">
        <v>6475</v>
      </c>
    </row>
    <row r="746" spans="1:17" x14ac:dyDescent="0.25">
      <c r="A746" t="s">
        <v>2528</v>
      </c>
      <c r="B746" t="s">
        <v>2444</v>
      </c>
      <c r="C746">
        <v>2027</v>
      </c>
      <c r="D746" t="s">
        <v>532</v>
      </c>
      <c r="E746" t="s">
        <v>829</v>
      </c>
      <c r="F746" s="32">
        <v>46381</v>
      </c>
      <c r="G746" t="s">
        <v>514</v>
      </c>
      <c r="H746">
        <v>47129262</v>
      </c>
      <c r="I746" t="s">
        <v>2453</v>
      </c>
      <c r="J746" t="s">
        <v>2454</v>
      </c>
      <c r="K746" t="s">
        <v>530</v>
      </c>
      <c r="N746">
        <v>0</v>
      </c>
      <c r="O746">
        <v>0</v>
      </c>
      <c r="P746" t="str">
        <f t="shared" si="11"/>
        <v>N</v>
      </c>
      <c r="Q746" t="s">
        <v>6476</v>
      </c>
    </row>
    <row r="747" spans="1:17" x14ac:dyDescent="0.25">
      <c r="A747" t="s">
        <v>2529</v>
      </c>
      <c r="B747" t="s">
        <v>2444</v>
      </c>
      <c r="C747">
        <v>2027</v>
      </c>
      <c r="D747" t="s">
        <v>532</v>
      </c>
      <c r="E747" t="s">
        <v>829</v>
      </c>
      <c r="F747" s="32">
        <v>46381</v>
      </c>
      <c r="G747" t="s">
        <v>514</v>
      </c>
      <c r="H747">
        <v>47128213</v>
      </c>
      <c r="I747" t="s">
        <v>2456</v>
      </c>
      <c r="J747" t="s">
        <v>2457</v>
      </c>
      <c r="K747" t="s">
        <v>530</v>
      </c>
      <c r="N747">
        <v>0</v>
      </c>
      <c r="O747">
        <v>0</v>
      </c>
      <c r="P747" t="str">
        <f t="shared" si="11"/>
        <v>N</v>
      </c>
      <c r="Q747" t="s">
        <v>6477</v>
      </c>
    </row>
    <row r="748" spans="1:17" x14ac:dyDescent="0.25">
      <c r="A748" t="s">
        <v>2530</v>
      </c>
      <c r="B748" t="s">
        <v>2444</v>
      </c>
      <c r="C748">
        <v>2027</v>
      </c>
      <c r="D748" t="s">
        <v>532</v>
      </c>
      <c r="E748" t="s">
        <v>829</v>
      </c>
      <c r="F748" s="32">
        <v>46381</v>
      </c>
      <c r="G748" t="s">
        <v>514</v>
      </c>
      <c r="H748">
        <v>47129222</v>
      </c>
      <c r="I748" t="s">
        <v>2459</v>
      </c>
      <c r="J748" t="s">
        <v>2460</v>
      </c>
      <c r="K748" t="s">
        <v>530</v>
      </c>
      <c r="N748">
        <v>0</v>
      </c>
      <c r="O748">
        <v>0</v>
      </c>
      <c r="P748" t="str">
        <f t="shared" si="11"/>
        <v>N</v>
      </c>
      <c r="Q748" t="s">
        <v>6478</v>
      </c>
    </row>
    <row r="749" spans="1:17" x14ac:dyDescent="0.25">
      <c r="A749" t="s">
        <v>2531</v>
      </c>
      <c r="B749" t="s">
        <v>2444</v>
      </c>
      <c r="C749">
        <v>2027</v>
      </c>
      <c r="D749" t="s">
        <v>532</v>
      </c>
      <c r="E749" t="s">
        <v>829</v>
      </c>
      <c r="F749" s="32">
        <v>46381</v>
      </c>
      <c r="G749" t="s">
        <v>514</v>
      </c>
      <c r="H749">
        <v>47128561</v>
      </c>
      <c r="I749" t="s">
        <v>2462</v>
      </c>
      <c r="J749" t="s">
        <v>2463</v>
      </c>
      <c r="K749" t="s">
        <v>530</v>
      </c>
      <c r="N749">
        <v>0</v>
      </c>
      <c r="O749">
        <v>0</v>
      </c>
      <c r="P749" t="str">
        <f t="shared" si="11"/>
        <v>N</v>
      </c>
      <c r="Q749" t="s">
        <v>6479</v>
      </c>
    </row>
    <row r="750" spans="1:17" x14ac:dyDescent="0.25">
      <c r="A750" t="s">
        <v>2532</v>
      </c>
      <c r="B750" t="s">
        <v>2444</v>
      </c>
      <c r="C750">
        <v>2027</v>
      </c>
      <c r="D750" t="s">
        <v>532</v>
      </c>
      <c r="E750" t="s">
        <v>829</v>
      </c>
      <c r="F750" s="32">
        <v>46381</v>
      </c>
      <c r="G750" t="s">
        <v>514</v>
      </c>
      <c r="H750">
        <v>47129727</v>
      </c>
      <c r="I750" t="s">
        <v>2465</v>
      </c>
      <c r="J750" t="s">
        <v>2466</v>
      </c>
      <c r="K750" t="s">
        <v>530</v>
      </c>
      <c r="N750">
        <v>0</v>
      </c>
      <c r="O750">
        <v>0</v>
      </c>
      <c r="P750" t="str">
        <f t="shared" si="11"/>
        <v>N</v>
      </c>
      <c r="Q750" t="s">
        <v>6480</v>
      </c>
    </row>
    <row r="751" spans="1:17" x14ac:dyDescent="0.25">
      <c r="A751" t="s">
        <v>2533</v>
      </c>
      <c r="B751" t="s">
        <v>2444</v>
      </c>
      <c r="C751">
        <v>2027</v>
      </c>
      <c r="D751" t="s">
        <v>532</v>
      </c>
      <c r="E751" t="s">
        <v>829</v>
      </c>
      <c r="F751" s="32">
        <v>46381</v>
      </c>
      <c r="G751" t="s">
        <v>514</v>
      </c>
      <c r="H751">
        <v>47132096</v>
      </c>
      <c r="I751" t="s">
        <v>2468</v>
      </c>
      <c r="J751" t="s">
        <v>2469</v>
      </c>
      <c r="K751" t="s">
        <v>530</v>
      </c>
      <c r="N751">
        <v>0</v>
      </c>
      <c r="O751">
        <v>0</v>
      </c>
      <c r="P751" t="str">
        <f t="shared" si="11"/>
        <v>N</v>
      </c>
      <c r="Q751" t="s">
        <v>6481</v>
      </c>
    </row>
    <row r="752" spans="1:17" x14ac:dyDescent="0.25">
      <c r="A752" t="s">
        <v>2534</v>
      </c>
      <c r="B752" t="s">
        <v>2444</v>
      </c>
      <c r="C752">
        <v>2027</v>
      </c>
      <c r="D752" t="s">
        <v>532</v>
      </c>
      <c r="E752" t="s">
        <v>829</v>
      </c>
      <c r="F752" s="32">
        <v>46381</v>
      </c>
      <c r="G752" t="s">
        <v>514</v>
      </c>
      <c r="H752">
        <v>47128300</v>
      </c>
      <c r="I752" t="s">
        <v>2471</v>
      </c>
      <c r="J752" t="s">
        <v>2472</v>
      </c>
      <c r="K752" t="s">
        <v>530</v>
      </c>
      <c r="N752">
        <v>0</v>
      </c>
      <c r="O752">
        <v>0</v>
      </c>
      <c r="P752" t="str">
        <f t="shared" si="11"/>
        <v>N</v>
      </c>
      <c r="Q752" t="s">
        <v>6482</v>
      </c>
    </row>
    <row r="753" spans="1:17" x14ac:dyDescent="0.25">
      <c r="A753" t="s">
        <v>2535</v>
      </c>
      <c r="B753" t="s">
        <v>2444</v>
      </c>
      <c r="C753">
        <v>2027</v>
      </c>
      <c r="D753" t="s">
        <v>532</v>
      </c>
      <c r="E753" t="s">
        <v>829</v>
      </c>
      <c r="F753" s="32">
        <v>46381</v>
      </c>
      <c r="G753" t="s">
        <v>514</v>
      </c>
      <c r="H753">
        <v>47128655</v>
      </c>
      <c r="I753" t="s">
        <v>2474</v>
      </c>
      <c r="J753" t="s">
        <v>2475</v>
      </c>
      <c r="K753" t="s">
        <v>530</v>
      </c>
      <c r="N753">
        <v>0</v>
      </c>
      <c r="O753">
        <v>0</v>
      </c>
      <c r="P753" t="str">
        <f t="shared" si="11"/>
        <v>N</v>
      </c>
      <c r="Q753" t="s">
        <v>6483</v>
      </c>
    </row>
    <row r="754" spans="1:17" x14ac:dyDescent="0.25">
      <c r="A754" t="s">
        <v>2536</v>
      </c>
      <c r="B754" t="s">
        <v>2444</v>
      </c>
      <c r="C754">
        <v>2027</v>
      </c>
      <c r="D754" t="s">
        <v>532</v>
      </c>
      <c r="E754" t="s">
        <v>829</v>
      </c>
      <c r="F754" s="32">
        <v>46381</v>
      </c>
      <c r="G754" t="s">
        <v>514</v>
      </c>
      <c r="H754">
        <v>47128179</v>
      </c>
      <c r="I754" t="s">
        <v>2477</v>
      </c>
      <c r="J754" t="s">
        <v>2478</v>
      </c>
      <c r="K754" t="s">
        <v>530</v>
      </c>
      <c r="N754">
        <v>0</v>
      </c>
      <c r="O754">
        <v>0</v>
      </c>
      <c r="P754" t="str">
        <f t="shared" si="11"/>
        <v>N</v>
      </c>
      <c r="Q754" t="s">
        <v>6484</v>
      </c>
    </row>
    <row r="755" spans="1:17" x14ac:dyDescent="0.25">
      <c r="A755" t="s">
        <v>2537</v>
      </c>
      <c r="B755" t="s">
        <v>2444</v>
      </c>
      <c r="C755">
        <v>2027</v>
      </c>
      <c r="D755" t="s">
        <v>532</v>
      </c>
      <c r="E755" t="s">
        <v>829</v>
      </c>
      <c r="F755" s="32">
        <v>46381</v>
      </c>
      <c r="G755" t="s">
        <v>514</v>
      </c>
      <c r="H755">
        <v>47129558</v>
      </c>
      <c r="I755" t="s">
        <v>2480</v>
      </c>
      <c r="J755" t="s">
        <v>2481</v>
      </c>
      <c r="K755" t="s">
        <v>530</v>
      </c>
      <c r="N755">
        <v>0</v>
      </c>
      <c r="O755">
        <v>0</v>
      </c>
      <c r="P755" t="str">
        <f t="shared" si="11"/>
        <v>N</v>
      </c>
      <c r="Q755" t="s">
        <v>6485</v>
      </c>
    </row>
    <row r="756" spans="1:17" x14ac:dyDescent="0.25">
      <c r="A756" t="s">
        <v>2538</v>
      </c>
      <c r="B756" t="s">
        <v>2444</v>
      </c>
      <c r="C756">
        <v>2027</v>
      </c>
      <c r="D756" t="s">
        <v>532</v>
      </c>
      <c r="E756" t="s">
        <v>829</v>
      </c>
      <c r="F756" s="32">
        <v>46381</v>
      </c>
      <c r="G756" t="s">
        <v>514</v>
      </c>
      <c r="H756">
        <v>47129273</v>
      </c>
      <c r="I756" t="s">
        <v>2483</v>
      </c>
      <c r="J756" t="s">
        <v>2484</v>
      </c>
      <c r="K756" t="s">
        <v>530</v>
      </c>
      <c r="N756">
        <v>0</v>
      </c>
      <c r="O756">
        <v>0</v>
      </c>
      <c r="P756" t="str">
        <f t="shared" si="11"/>
        <v>N</v>
      </c>
      <c r="Q756" t="s">
        <v>6486</v>
      </c>
    </row>
    <row r="757" spans="1:17" x14ac:dyDescent="0.25">
      <c r="A757" t="s">
        <v>2539</v>
      </c>
      <c r="B757" t="s">
        <v>2444</v>
      </c>
      <c r="C757">
        <v>2027</v>
      </c>
      <c r="D757" t="s">
        <v>532</v>
      </c>
      <c r="E757" t="s">
        <v>829</v>
      </c>
      <c r="F757" s="32">
        <v>46381</v>
      </c>
      <c r="G757" t="s">
        <v>514</v>
      </c>
      <c r="H757">
        <v>47129274</v>
      </c>
      <c r="I757" t="s">
        <v>2486</v>
      </c>
      <c r="J757" t="s">
        <v>2487</v>
      </c>
      <c r="K757" t="s">
        <v>530</v>
      </c>
      <c r="N757">
        <v>0</v>
      </c>
      <c r="O757">
        <v>0</v>
      </c>
      <c r="P757" t="str">
        <f t="shared" si="11"/>
        <v>N</v>
      </c>
      <c r="Q757" t="s">
        <v>6487</v>
      </c>
    </row>
    <row r="758" spans="1:17" x14ac:dyDescent="0.25">
      <c r="A758" t="s">
        <v>2540</v>
      </c>
      <c r="B758" t="s">
        <v>2444</v>
      </c>
      <c r="C758">
        <v>2027</v>
      </c>
      <c r="D758" t="s">
        <v>532</v>
      </c>
      <c r="E758" t="s">
        <v>829</v>
      </c>
      <c r="F758" s="32">
        <v>46381</v>
      </c>
      <c r="G758" t="s">
        <v>514</v>
      </c>
      <c r="H758">
        <v>47128247</v>
      </c>
      <c r="I758" t="s">
        <v>2492</v>
      </c>
      <c r="J758" t="s">
        <v>2493</v>
      </c>
      <c r="K758" t="s">
        <v>530</v>
      </c>
      <c r="N758">
        <v>0</v>
      </c>
      <c r="O758">
        <v>0</v>
      </c>
      <c r="P758" t="str">
        <f t="shared" si="11"/>
        <v>N</v>
      </c>
      <c r="Q758" t="s">
        <v>6488</v>
      </c>
    </row>
    <row r="759" spans="1:17" x14ac:dyDescent="0.25">
      <c r="A759" t="s">
        <v>2541</v>
      </c>
      <c r="B759" t="s">
        <v>2444</v>
      </c>
      <c r="C759">
        <v>2027</v>
      </c>
      <c r="D759" t="s">
        <v>532</v>
      </c>
      <c r="E759" t="s">
        <v>829</v>
      </c>
      <c r="F759" s="32">
        <v>46381</v>
      </c>
      <c r="G759" t="s">
        <v>514</v>
      </c>
      <c r="H759">
        <v>47128587</v>
      </c>
      <c r="I759" t="s">
        <v>2489</v>
      </c>
      <c r="J759" t="s">
        <v>2490</v>
      </c>
      <c r="K759" t="s">
        <v>530</v>
      </c>
      <c r="N759">
        <v>0</v>
      </c>
      <c r="O759">
        <v>0</v>
      </c>
      <c r="P759" t="str">
        <f t="shared" si="11"/>
        <v>N</v>
      </c>
      <c r="Q759" t="s">
        <v>6489</v>
      </c>
    </row>
    <row r="760" spans="1:17" x14ac:dyDescent="0.25">
      <c r="A760" t="s">
        <v>2832</v>
      </c>
      <c r="B760" t="s">
        <v>2783</v>
      </c>
      <c r="C760">
        <v>2027</v>
      </c>
      <c r="D760" t="s">
        <v>532</v>
      </c>
      <c r="E760" t="s">
        <v>829</v>
      </c>
      <c r="F760" s="32">
        <v>46381</v>
      </c>
      <c r="G760" t="s">
        <v>514</v>
      </c>
      <c r="H760">
        <v>47128006</v>
      </c>
      <c r="I760" t="s">
        <v>2447</v>
      </c>
      <c r="J760" t="s">
        <v>2448</v>
      </c>
      <c r="K760" t="s">
        <v>530</v>
      </c>
      <c r="N760">
        <v>40</v>
      </c>
      <c r="O760">
        <v>40</v>
      </c>
      <c r="P760" t="str">
        <f t="shared" si="11"/>
        <v>N</v>
      </c>
      <c r="Q760" t="s">
        <v>6490</v>
      </c>
    </row>
    <row r="761" spans="1:17" x14ac:dyDescent="0.25">
      <c r="A761" t="s">
        <v>2833</v>
      </c>
      <c r="B761" t="s">
        <v>2783</v>
      </c>
      <c r="C761">
        <v>2027</v>
      </c>
      <c r="D761" t="s">
        <v>532</v>
      </c>
      <c r="E761" t="s">
        <v>829</v>
      </c>
      <c r="F761" s="32">
        <v>46381</v>
      </c>
      <c r="G761" t="s">
        <v>514</v>
      </c>
      <c r="H761">
        <v>47128667</v>
      </c>
      <c r="I761" t="s">
        <v>2450</v>
      </c>
      <c r="J761" t="s">
        <v>2451</v>
      </c>
      <c r="K761" t="s">
        <v>530</v>
      </c>
      <c r="N761">
        <v>0</v>
      </c>
      <c r="O761">
        <v>0</v>
      </c>
      <c r="P761" t="str">
        <f t="shared" si="11"/>
        <v>N</v>
      </c>
      <c r="Q761" t="s">
        <v>6491</v>
      </c>
    </row>
    <row r="762" spans="1:17" x14ac:dyDescent="0.25">
      <c r="A762" t="s">
        <v>2834</v>
      </c>
      <c r="B762" t="s">
        <v>2783</v>
      </c>
      <c r="C762">
        <v>2027</v>
      </c>
      <c r="D762" t="s">
        <v>532</v>
      </c>
      <c r="E762" t="s">
        <v>829</v>
      </c>
      <c r="F762" s="32">
        <v>46381</v>
      </c>
      <c r="G762" t="s">
        <v>514</v>
      </c>
      <c r="H762">
        <v>47129262</v>
      </c>
      <c r="I762" t="s">
        <v>2453</v>
      </c>
      <c r="J762" t="s">
        <v>2454</v>
      </c>
      <c r="K762" t="s">
        <v>530</v>
      </c>
      <c r="N762">
        <v>0</v>
      </c>
      <c r="O762">
        <v>0</v>
      </c>
      <c r="P762" t="str">
        <f t="shared" si="11"/>
        <v>N</v>
      </c>
      <c r="Q762" t="s">
        <v>6492</v>
      </c>
    </row>
    <row r="763" spans="1:17" x14ac:dyDescent="0.25">
      <c r="A763" t="s">
        <v>2835</v>
      </c>
      <c r="B763" t="s">
        <v>2783</v>
      </c>
      <c r="C763">
        <v>2027</v>
      </c>
      <c r="D763" t="s">
        <v>532</v>
      </c>
      <c r="E763" t="s">
        <v>829</v>
      </c>
      <c r="F763" s="32">
        <v>46381</v>
      </c>
      <c r="G763" t="s">
        <v>514</v>
      </c>
      <c r="H763">
        <v>47128213</v>
      </c>
      <c r="I763" t="s">
        <v>2456</v>
      </c>
      <c r="J763" t="s">
        <v>2457</v>
      </c>
      <c r="K763" t="s">
        <v>530</v>
      </c>
      <c r="N763">
        <v>0</v>
      </c>
      <c r="O763">
        <v>0</v>
      </c>
      <c r="P763" t="str">
        <f t="shared" si="11"/>
        <v>N</v>
      </c>
      <c r="Q763" t="s">
        <v>6493</v>
      </c>
    </row>
    <row r="764" spans="1:17" x14ac:dyDescent="0.25">
      <c r="A764" t="s">
        <v>2836</v>
      </c>
      <c r="B764" t="s">
        <v>2783</v>
      </c>
      <c r="C764">
        <v>2027</v>
      </c>
      <c r="D764" t="s">
        <v>532</v>
      </c>
      <c r="E764" t="s">
        <v>829</v>
      </c>
      <c r="F764" s="32">
        <v>46381</v>
      </c>
      <c r="G764" t="s">
        <v>514</v>
      </c>
      <c r="H764">
        <v>47129222</v>
      </c>
      <c r="I764" t="s">
        <v>2459</v>
      </c>
      <c r="J764" t="s">
        <v>2460</v>
      </c>
      <c r="K764" t="s">
        <v>530</v>
      </c>
      <c r="N764">
        <v>0</v>
      </c>
      <c r="O764">
        <v>0</v>
      </c>
      <c r="P764" t="str">
        <f t="shared" si="11"/>
        <v>N</v>
      </c>
      <c r="Q764" t="s">
        <v>6494</v>
      </c>
    </row>
    <row r="765" spans="1:17" x14ac:dyDescent="0.25">
      <c r="A765" t="s">
        <v>2837</v>
      </c>
      <c r="B765" t="s">
        <v>2783</v>
      </c>
      <c r="C765">
        <v>2027</v>
      </c>
      <c r="D765" t="s">
        <v>532</v>
      </c>
      <c r="E765" t="s">
        <v>829</v>
      </c>
      <c r="F765" s="32">
        <v>46381</v>
      </c>
      <c r="G765" t="s">
        <v>514</v>
      </c>
      <c r="H765">
        <v>47128561</v>
      </c>
      <c r="I765" t="s">
        <v>2462</v>
      </c>
      <c r="J765" t="s">
        <v>2463</v>
      </c>
      <c r="K765" t="s">
        <v>530</v>
      </c>
      <c r="N765">
        <v>0</v>
      </c>
      <c r="O765">
        <v>0</v>
      </c>
      <c r="P765" t="str">
        <f t="shared" si="11"/>
        <v>N</v>
      </c>
      <c r="Q765" t="s">
        <v>6495</v>
      </c>
    </row>
    <row r="766" spans="1:17" x14ac:dyDescent="0.25">
      <c r="A766" t="s">
        <v>2838</v>
      </c>
      <c r="B766" t="s">
        <v>2783</v>
      </c>
      <c r="C766">
        <v>2027</v>
      </c>
      <c r="D766" t="s">
        <v>532</v>
      </c>
      <c r="E766" t="s">
        <v>829</v>
      </c>
      <c r="F766" s="32">
        <v>46381</v>
      </c>
      <c r="G766" t="s">
        <v>514</v>
      </c>
      <c r="H766">
        <v>47129727</v>
      </c>
      <c r="I766" t="s">
        <v>2465</v>
      </c>
      <c r="J766" t="s">
        <v>2466</v>
      </c>
      <c r="K766" t="s">
        <v>530</v>
      </c>
      <c r="N766">
        <v>0</v>
      </c>
      <c r="O766">
        <v>0</v>
      </c>
      <c r="P766" t="str">
        <f t="shared" si="11"/>
        <v>N</v>
      </c>
      <c r="Q766" t="s">
        <v>6496</v>
      </c>
    </row>
    <row r="767" spans="1:17" x14ac:dyDescent="0.25">
      <c r="A767" t="s">
        <v>2839</v>
      </c>
      <c r="B767" t="s">
        <v>2783</v>
      </c>
      <c r="C767">
        <v>2027</v>
      </c>
      <c r="D767" t="s">
        <v>532</v>
      </c>
      <c r="E767" t="s">
        <v>829</v>
      </c>
      <c r="F767" s="32">
        <v>46381</v>
      </c>
      <c r="G767" t="s">
        <v>514</v>
      </c>
      <c r="H767">
        <v>47132096</v>
      </c>
      <c r="I767" t="s">
        <v>2468</v>
      </c>
      <c r="J767" t="s">
        <v>2469</v>
      </c>
      <c r="K767" t="s">
        <v>530</v>
      </c>
      <c r="N767">
        <v>0</v>
      </c>
      <c r="O767">
        <v>0</v>
      </c>
      <c r="P767" t="str">
        <f t="shared" si="11"/>
        <v>N</v>
      </c>
      <c r="Q767" t="s">
        <v>6497</v>
      </c>
    </row>
    <row r="768" spans="1:17" x14ac:dyDescent="0.25">
      <c r="A768" t="s">
        <v>2840</v>
      </c>
      <c r="B768" t="s">
        <v>2783</v>
      </c>
      <c r="C768">
        <v>2027</v>
      </c>
      <c r="D768" t="s">
        <v>532</v>
      </c>
      <c r="E768" t="s">
        <v>829</v>
      </c>
      <c r="F768" s="32">
        <v>46381</v>
      </c>
      <c r="G768" t="s">
        <v>514</v>
      </c>
      <c r="H768">
        <v>47128300</v>
      </c>
      <c r="I768" t="s">
        <v>2471</v>
      </c>
      <c r="J768" t="s">
        <v>2472</v>
      </c>
      <c r="K768" t="s">
        <v>530</v>
      </c>
      <c r="N768">
        <v>0</v>
      </c>
      <c r="O768">
        <v>0</v>
      </c>
      <c r="P768" t="str">
        <f t="shared" si="11"/>
        <v>N</v>
      </c>
      <c r="Q768" t="s">
        <v>6498</v>
      </c>
    </row>
    <row r="769" spans="1:17" x14ac:dyDescent="0.25">
      <c r="A769" t="s">
        <v>2841</v>
      </c>
      <c r="B769" t="s">
        <v>2783</v>
      </c>
      <c r="C769">
        <v>2027</v>
      </c>
      <c r="D769" t="s">
        <v>532</v>
      </c>
      <c r="E769" t="s">
        <v>829</v>
      </c>
      <c r="F769" s="32">
        <v>46381</v>
      </c>
      <c r="G769" t="s">
        <v>514</v>
      </c>
      <c r="H769">
        <v>47128655</v>
      </c>
      <c r="I769" t="s">
        <v>2474</v>
      </c>
      <c r="J769" t="s">
        <v>2475</v>
      </c>
      <c r="K769" t="s">
        <v>530</v>
      </c>
      <c r="N769">
        <v>0</v>
      </c>
      <c r="O769">
        <v>0</v>
      </c>
      <c r="P769" t="str">
        <f t="shared" si="11"/>
        <v>N</v>
      </c>
      <c r="Q769" t="s">
        <v>6499</v>
      </c>
    </row>
    <row r="770" spans="1:17" x14ac:dyDescent="0.25">
      <c r="A770" t="s">
        <v>2842</v>
      </c>
      <c r="B770" t="s">
        <v>2783</v>
      </c>
      <c r="C770">
        <v>2027</v>
      </c>
      <c r="D770" t="s">
        <v>532</v>
      </c>
      <c r="E770" t="s">
        <v>829</v>
      </c>
      <c r="F770" s="32">
        <v>46381</v>
      </c>
      <c r="G770" t="s">
        <v>514</v>
      </c>
      <c r="H770">
        <v>47128179</v>
      </c>
      <c r="I770" t="s">
        <v>2477</v>
      </c>
      <c r="J770" t="s">
        <v>2478</v>
      </c>
      <c r="K770" t="s">
        <v>530</v>
      </c>
      <c r="N770">
        <v>0</v>
      </c>
      <c r="O770">
        <v>0</v>
      </c>
      <c r="P770" t="str">
        <f t="shared" si="11"/>
        <v>N</v>
      </c>
      <c r="Q770" t="s">
        <v>6500</v>
      </c>
    </row>
    <row r="771" spans="1:17" x14ac:dyDescent="0.25">
      <c r="A771" t="s">
        <v>2843</v>
      </c>
      <c r="B771" t="s">
        <v>2783</v>
      </c>
      <c r="C771">
        <v>2027</v>
      </c>
      <c r="D771" t="s">
        <v>532</v>
      </c>
      <c r="E771" t="s">
        <v>829</v>
      </c>
      <c r="F771" s="32">
        <v>46381</v>
      </c>
      <c r="G771" t="s">
        <v>514</v>
      </c>
      <c r="H771">
        <v>47129558</v>
      </c>
      <c r="I771" t="s">
        <v>2480</v>
      </c>
      <c r="J771" t="s">
        <v>2481</v>
      </c>
      <c r="K771" t="s">
        <v>530</v>
      </c>
      <c r="N771">
        <v>0</v>
      </c>
      <c r="O771">
        <v>0</v>
      </c>
      <c r="P771" t="str">
        <f t="shared" ref="P771:P834" si="12">IF(N771=O771,"N","Y")</f>
        <v>N</v>
      </c>
      <c r="Q771" t="s">
        <v>6501</v>
      </c>
    </row>
    <row r="772" spans="1:17" x14ac:dyDescent="0.25">
      <c r="A772" t="s">
        <v>2844</v>
      </c>
      <c r="B772" t="s">
        <v>2783</v>
      </c>
      <c r="C772">
        <v>2027</v>
      </c>
      <c r="D772" t="s">
        <v>532</v>
      </c>
      <c r="E772" t="s">
        <v>829</v>
      </c>
      <c r="F772" s="32">
        <v>46381</v>
      </c>
      <c r="G772" t="s">
        <v>514</v>
      </c>
      <c r="H772">
        <v>47129273</v>
      </c>
      <c r="I772" t="s">
        <v>2483</v>
      </c>
      <c r="J772" t="s">
        <v>2484</v>
      </c>
      <c r="K772" t="s">
        <v>530</v>
      </c>
      <c r="N772">
        <v>0</v>
      </c>
      <c r="O772">
        <v>0</v>
      </c>
      <c r="P772" t="str">
        <f t="shared" si="12"/>
        <v>N</v>
      </c>
      <c r="Q772" t="s">
        <v>6502</v>
      </c>
    </row>
    <row r="773" spans="1:17" x14ac:dyDescent="0.25">
      <c r="A773" t="s">
        <v>2845</v>
      </c>
      <c r="B773" t="s">
        <v>2783</v>
      </c>
      <c r="C773">
        <v>2027</v>
      </c>
      <c r="D773" t="s">
        <v>532</v>
      </c>
      <c r="E773" t="s">
        <v>829</v>
      </c>
      <c r="F773" s="32">
        <v>46381</v>
      </c>
      <c r="G773" t="s">
        <v>514</v>
      </c>
      <c r="H773">
        <v>47129274</v>
      </c>
      <c r="I773" t="s">
        <v>2486</v>
      </c>
      <c r="J773" t="s">
        <v>2487</v>
      </c>
      <c r="K773" t="s">
        <v>530</v>
      </c>
      <c r="N773">
        <v>0</v>
      </c>
      <c r="O773">
        <v>0</v>
      </c>
      <c r="P773" t="str">
        <f t="shared" si="12"/>
        <v>N</v>
      </c>
      <c r="Q773" t="s">
        <v>6503</v>
      </c>
    </row>
    <row r="774" spans="1:17" x14ac:dyDescent="0.25">
      <c r="A774" t="s">
        <v>2846</v>
      </c>
      <c r="B774" t="s">
        <v>2783</v>
      </c>
      <c r="C774">
        <v>2027</v>
      </c>
      <c r="D774" t="s">
        <v>532</v>
      </c>
      <c r="E774" t="s">
        <v>829</v>
      </c>
      <c r="F774" s="32">
        <v>46381</v>
      </c>
      <c r="G774" t="s">
        <v>514</v>
      </c>
      <c r="H774">
        <v>47128587</v>
      </c>
      <c r="I774" t="s">
        <v>2489</v>
      </c>
      <c r="J774" t="s">
        <v>2490</v>
      </c>
      <c r="K774" t="s">
        <v>530</v>
      </c>
      <c r="N774">
        <v>0</v>
      </c>
      <c r="O774">
        <v>0</v>
      </c>
      <c r="P774" t="str">
        <f t="shared" si="12"/>
        <v>N</v>
      </c>
      <c r="Q774" t="s">
        <v>6504</v>
      </c>
    </row>
    <row r="775" spans="1:17" x14ac:dyDescent="0.25">
      <c r="A775" t="s">
        <v>2847</v>
      </c>
      <c r="B775" t="s">
        <v>2783</v>
      </c>
      <c r="C775">
        <v>2027</v>
      </c>
      <c r="D775" t="s">
        <v>532</v>
      </c>
      <c r="E775" t="s">
        <v>829</v>
      </c>
      <c r="F775" s="32">
        <v>46381</v>
      </c>
      <c r="G775" t="s">
        <v>514</v>
      </c>
      <c r="H775">
        <v>47128247</v>
      </c>
      <c r="I775" t="s">
        <v>2492</v>
      </c>
      <c r="J775" t="s">
        <v>2493</v>
      </c>
      <c r="K775" t="s">
        <v>530</v>
      </c>
      <c r="N775">
        <v>0</v>
      </c>
      <c r="O775">
        <v>0</v>
      </c>
      <c r="P775" t="str">
        <f t="shared" si="12"/>
        <v>N</v>
      </c>
      <c r="Q775" t="s">
        <v>6505</v>
      </c>
    </row>
    <row r="776" spans="1:17" x14ac:dyDescent="0.25">
      <c r="A776" t="s">
        <v>3196</v>
      </c>
      <c r="B776" t="s">
        <v>1080</v>
      </c>
      <c r="C776">
        <v>2027</v>
      </c>
      <c r="D776" t="s">
        <v>532</v>
      </c>
      <c r="E776" t="s">
        <v>829</v>
      </c>
      <c r="F776" s="32">
        <v>46381</v>
      </c>
      <c r="G776" t="s">
        <v>514</v>
      </c>
      <c r="H776">
        <v>47147658</v>
      </c>
      <c r="I776" t="s">
        <v>1276</v>
      </c>
      <c r="J776" t="s">
        <v>1275</v>
      </c>
      <c r="K776" t="s">
        <v>530</v>
      </c>
      <c r="N776">
        <v>0</v>
      </c>
      <c r="O776">
        <v>0</v>
      </c>
      <c r="P776" t="str">
        <f t="shared" si="12"/>
        <v>N</v>
      </c>
      <c r="Q776" t="s">
        <v>6506</v>
      </c>
    </row>
    <row r="777" spans="1:17" x14ac:dyDescent="0.25">
      <c r="A777" t="s">
        <v>3197</v>
      </c>
      <c r="B777" t="s">
        <v>1080</v>
      </c>
      <c r="C777">
        <v>2027</v>
      </c>
      <c r="D777" t="s">
        <v>532</v>
      </c>
      <c r="E777" t="s">
        <v>829</v>
      </c>
      <c r="F777" s="32">
        <v>46381</v>
      </c>
      <c r="G777" t="s">
        <v>514</v>
      </c>
      <c r="H777">
        <v>47147546</v>
      </c>
      <c r="I777" t="s">
        <v>1077</v>
      </c>
      <c r="J777" t="s">
        <v>1171</v>
      </c>
      <c r="K777" t="s">
        <v>530</v>
      </c>
      <c r="N777">
        <v>0</v>
      </c>
      <c r="O777">
        <v>0</v>
      </c>
      <c r="P777" t="str">
        <f t="shared" si="12"/>
        <v>N</v>
      </c>
      <c r="Q777" t="s">
        <v>6507</v>
      </c>
    </row>
    <row r="778" spans="1:17" x14ac:dyDescent="0.25">
      <c r="A778" t="s">
        <v>3198</v>
      </c>
      <c r="B778" t="s">
        <v>1080</v>
      </c>
      <c r="C778">
        <v>2027</v>
      </c>
      <c r="D778" t="s">
        <v>532</v>
      </c>
      <c r="E778" t="s">
        <v>829</v>
      </c>
      <c r="F778" s="32">
        <v>46381</v>
      </c>
      <c r="G778" t="s">
        <v>514</v>
      </c>
      <c r="H778">
        <v>47128028</v>
      </c>
      <c r="I778" t="s">
        <v>1035</v>
      </c>
      <c r="J778" t="s">
        <v>1034</v>
      </c>
      <c r="K778" t="s">
        <v>530</v>
      </c>
      <c r="N778">
        <v>0</v>
      </c>
      <c r="O778">
        <v>0</v>
      </c>
      <c r="P778" t="str">
        <f t="shared" si="12"/>
        <v>N</v>
      </c>
      <c r="Q778" t="s">
        <v>6508</v>
      </c>
    </row>
    <row r="779" spans="1:17" x14ac:dyDescent="0.25">
      <c r="A779" t="s">
        <v>3199</v>
      </c>
      <c r="B779" t="s">
        <v>1080</v>
      </c>
      <c r="C779">
        <v>2027</v>
      </c>
      <c r="D779" t="s">
        <v>532</v>
      </c>
      <c r="E779" t="s">
        <v>829</v>
      </c>
      <c r="F779" s="32">
        <v>46381</v>
      </c>
      <c r="G779" t="s">
        <v>514</v>
      </c>
      <c r="H779">
        <v>47128465</v>
      </c>
      <c r="I779" t="s">
        <v>1333</v>
      </c>
      <c r="J779" t="s">
        <v>1332</v>
      </c>
      <c r="K779" t="s">
        <v>530</v>
      </c>
      <c r="N779">
        <v>0</v>
      </c>
      <c r="O779">
        <v>0</v>
      </c>
      <c r="P779" t="str">
        <f t="shared" si="12"/>
        <v>N</v>
      </c>
      <c r="Q779" t="s">
        <v>6509</v>
      </c>
    </row>
    <row r="780" spans="1:17" x14ac:dyDescent="0.25">
      <c r="A780" t="s">
        <v>3200</v>
      </c>
      <c r="B780" t="s">
        <v>1080</v>
      </c>
      <c r="C780">
        <v>2027</v>
      </c>
      <c r="D780" t="s">
        <v>532</v>
      </c>
      <c r="E780" t="s">
        <v>829</v>
      </c>
      <c r="F780" s="32">
        <v>46381</v>
      </c>
      <c r="G780" t="s">
        <v>514</v>
      </c>
      <c r="H780">
        <v>47128548</v>
      </c>
      <c r="I780" t="s">
        <v>958</v>
      </c>
      <c r="J780" t="s">
        <v>957</v>
      </c>
      <c r="K780" t="s">
        <v>530</v>
      </c>
      <c r="N780">
        <v>0</v>
      </c>
      <c r="O780">
        <v>0</v>
      </c>
      <c r="P780" t="str">
        <f t="shared" si="12"/>
        <v>N</v>
      </c>
      <c r="Q780" t="s">
        <v>6510</v>
      </c>
    </row>
    <row r="781" spans="1:17" x14ac:dyDescent="0.25">
      <c r="A781" t="s">
        <v>3201</v>
      </c>
      <c r="B781" t="s">
        <v>1080</v>
      </c>
      <c r="C781">
        <v>2027</v>
      </c>
      <c r="D781" t="s">
        <v>532</v>
      </c>
      <c r="E781" t="s">
        <v>829</v>
      </c>
      <c r="F781" s="32">
        <v>46381</v>
      </c>
      <c r="G781" t="s">
        <v>514</v>
      </c>
      <c r="H781">
        <v>47128787</v>
      </c>
      <c r="I781" t="s">
        <v>1453</v>
      </c>
      <c r="J781" t="s">
        <v>1452</v>
      </c>
      <c r="K781" t="s">
        <v>530</v>
      </c>
      <c r="N781">
        <v>0</v>
      </c>
      <c r="O781">
        <v>0</v>
      </c>
      <c r="P781" t="str">
        <f t="shared" si="12"/>
        <v>N</v>
      </c>
      <c r="Q781" t="s">
        <v>6511</v>
      </c>
    </row>
    <row r="782" spans="1:17" x14ac:dyDescent="0.25">
      <c r="A782" t="s">
        <v>3202</v>
      </c>
      <c r="B782" t="s">
        <v>1080</v>
      </c>
      <c r="C782">
        <v>2027</v>
      </c>
      <c r="D782" t="s">
        <v>532</v>
      </c>
      <c r="E782" t="s">
        <v>829</v>
      </c>
      <c r="F782" s="32">
        <v>46381</v>
      </c>
      <c r="G782" t="s">
        <v>514</v>
      </c>
      <c r="H782">
        <v>47146464</v>
      </c>
      <c r="I782" t="s">
        <v>1438</v>
      </c>
      <c r="J782" t="s">
        <v>1437</v>
      </c>
      <c r="K782" t="s">
        <v>530</v>
      </c>
      <c r="N782">
        <v>0</v>
      </c>
      <c r="O782">
        <v>0</v>
      </c>
      <c r="P782" t="str">
        <f t="shared" si="12"/>
        <v>N</v>
      </c>
      <c r="Q782" t="s">
        <v>6512</v>
      </c>
    </row>
    <row r="783" spans="1:17" x14ac:dyDescent="0.25">
      <c r="A783" t="s">
        <v>3203</v>
      </c>
      <c r="B783" t="s">
        <v>1080</v>
      </c>
      <c r="C783">
        <v>2027</v>
      </c>
      <c r="D783" t="s">
        <v>532</v>
      </c>
      <c r="E783" t="s">
        <v>829</v>
      </c>
      <c r="F783" s="32">
        <v>46381</v>
      </c>
      <c r="G783" t="s">
        <v>514</v>
      </c>
      <c r="H783">
        <v>47146463</v>
      </c>
      <c r="I783" t="s">
        <v>1441</v>
      </c>
      <c r="J783" t="s">
        <v>1440</v>
      </c>
      <c r="K783" t="s">
        <v>530</v>
      </c>
      <c r="N783">
        <v>0</v>
      </c>
      <c r="O783">
        <v>0</v>
      </c>
      <c r="P783" t="str">
        <f t="shared" si="12"/>
        <v>N</v>
      </c>
      <c r="Q783" t="s">
        <v>6513</v>
      </c>
    </row>
    <row r="784" spans="1:17" x14ac:dyDescent="0.25">
      <c r="A784" t="s">
        <v>3204</v>
      </c>
      <c r="B784" t="s">
        <v>1080</v>
      </c>
      <c r="C784">
        <v>2027</v>
      </c>
      <c r="D784" t="s">
        <v>532</v>
      </c>
      <c r="E784" t="s">
        <v>829</v>
      </c>
      <c r="F784" s="32">
        <v>46381</v>
      </c>
      <c r="G784" t="s">
        <v>514</v>
      </c>
      <c r="H784">
        <v>47128729</v>
      </c>
      <c r="I784" t="s">
        <v>1149</v>
      </c>
      <c r="J784" t="s">
        <v>1148</v>
      </c>
      <c r="K784" t="s">
        <v>530</v>
      </c>
      <c r="N784">
        <v>0</v>
      </c>
      <c r="O784">
        <v>0</v>
      </c>
      <c r="P784" t="str">
        <f t="shared" si="12"/>
        <v>N</v>
      </c>
      <c r="Q784" t="s">
        <v>6514</v>
      </c>
    </row>
    <row r="785" spans="1:17" x14ac:dyDescent="0.25">
      <c r="A785" t="s">
        <v>3205</v>
      </c>
      <c r="B785" t="s">
        <v>1080</v>
      </c>
      <c r="C785">
        <v>2027</v>
      </c>
      <c r="D785" t="s">
        <v>532</v>
      </c>
      <c r="E785" t="s">
        <v>829</v>
      </c>
      <c r="F785" s="32">
        <v>46381</v>
      </c>
      <c r="G785" t="s">
        <v>514</v>
      </c>
      <c r="H785">
        <v>47128413</v>
      </c>
      <c r="I785" t="s">
        <v>1397</v>
      </c>
      <c r="J785" t="s">
        <v>1396</v>
      </c>
      <c r="K785" t="s">
        <v>530</v>
      </c>
      <c r="N785">
        <v>0</v>
      </c>
      <c r="O785">
        <v>0</v>
      </c>
      <c r="P785" t="str">
        <f t="shared" si="12"/>
        <v>N</v>
      </c>
      <c r="Q785" t="s">
        <v>6515</v>
      </c>
    </row>
    <row r="786" spans="1:17" x14ac:dyDescent="0.25">
      <c r="A786" t="s">
        <v>3206</v>
      </c>
      <c r="B786" t="s">
        <v>1080</v>
      </c>
      <c r="C786">
        <v>2027</v>
      </c>
      <c r="D786" t="s">
        <v>532</v>
      </c>
      <c r="E786" t="s">
        <v>829</v>
      </c>
      <c r="F786" s="32">
        <v>46381</v>
      </c>
      <c r="G786" t="s">
        <v>514</v>
      </c>
      <c r="H786">
        <v>47128783</v>
      </c>
      <c r="I786" t="s">
        <v>1280</v>
      </c>
      <c r="J786" t="s">
        <v>1279</v>
      </c>
      <c r="K786" t="s">
        <v>530</v>
      </c>
      <c r="N786">
        <v>0</v>
      </c>
      <c r="O786">
        <v>0</v>
      </c>
      <c r="P786" t="str">
        <f t="shared" si="12"/>
        <v>N</v>
      </c>
      <c r="Q786" t="s">
        <v>6516</v>
      </c>
    </row>
    <row r="787" spans="1:17" x14ac:dyDescent="0.25">
      <c r="A787" t="s">
        <v>3207</v>
      </c>
      <c r="B787" t="s">
        <v>1080</v>
      </c>
      <c r="C787">
        <v>2027</v>
      </c>
      <c r="D787" t="s">
        <v>532</v>
      </c>
      <c r="E787" t="s">
        <v>829</v>
      </c>
      <c r="F787" s="32">
        <v>46381</v>
      </c>
      <c r="G787" t="s">
        <v>514</v>
      </c>
      <c r="H787">
        <v>47128944</v>
      </c>
      <c r="I787" t="s">
        <v>1137</v>
      </c>
      <c r="J787" t="s">
        <v>1136</v>
      </c>
      <c r="K787" t="s">
        <v>530</v>
      </c>
      <c r="N787">
        <v>0</v>
      </c>
      <c r="O787">
        <v>0</v>
      </c>
      <c r="P787" t="str">
        <f t="shared" si="12"/>
        <v>N</v>
      </c>
      <c r="Q787" t="s">
        <v>6517</v>
      </c>
    </row>
    <row r="788" spans="1:17" x14ac:dyDescent="0.25">
      <c r="A788" t="s">
        <v>3208</v>
      </c>
      <c r="B788" t="s">
        <v>1080</v>
      </c>
      <c r="C788">
        <v>2027</v>
      </c>
      <c r="D788" t="s">
        <v>532</v>
      </c>
      <c r="E788" t="s">
        <v>829</v>
      </c>
      <c r="F788" s="32">
        <v>46381</v>
      </c>
      <c r="G788" t="s">
        <v>514</v>
      </c>
      <c r="H788">
        <v>47129547</v>
      </c>
      <c r="I788" t="s">
        <v>1128</v>
      </c>
      <c r="J788" t="s">
        <v>1352</v>
      </c>
      <c r="K788" t="s">
        <v>530</v>
      </c>
      <c r="N788">
        <v>0</v>
      </c>
      <c r="O788">
        <v>0</v>
      </c>
      <c r="P788" t="str">
        <f t="shared" si="12"/>
        <v>N</v>
      </c>
      <c r="Q788" t="s">
        <v>6518</v>
      </c>
    </row>
    <row r="789" spans="1:17" x14ac:dyDescent="0.25">
      <c r="A789" t="s">
        <v>3209</v>
      </c>
      <c r="B789" t="s">
        <v>1080</v>
      </c>
      <c r="C789">
        <v>2027</v>
      </c>
      <c r="D789" t="s">
        <v>532</v>
      </c>
      <c r="E789" t="s">
        <v>829</v>
      </c>
      <c r="F789" s="32">
        <v>46381</v>
      </c>
      <c r="G789" t="s">
        <v>514</v>
      </c>
      <c r="H789">
        <v>47128518</v>
      </c>
      <c r="I789" t="s">
        <v>1232</v>
      </c>
      <c r="J789" t="s">
        <v>1493</v>
      </c>
      <c r="K789" t="s">
        <v>530</v>
      </c>
      <c r="N789">
        <v>0</v>
      </c>
      <c r="O789">
        <v>0</v>
      </c>
      <c r="P789" t="str">
        <f t="shared" si="12"/>
        <v>N</v>
      </c>
      <c r="Q789" t="s">
        <v>6519</v>
      </c>
    </row>
    <row r="790" spans="1:17" x14ac:dyDescent="0.25">
      <c r="A790" t="s">
        <v>3210</v>
      </c>
      <c r="B790" t="s">
        <v>1080</v>
      </c>
      <c r="C790">
        <v>2027</v>
      </c>
      <c r="D790" t="s">
        <v>532</v>
      </c>
      <c r="E790" t="s">
        <v>829</v>
      </c>
      <c r="F790" s="32">
        <v>46381</v>
      </c>
      <c r="G790" t="s">
        <v>514</v>
      </c>
      <c r="H790">
        <v>47128977</v>
      </c>
      <c r="I790" t="s">
        <v>1449</v>
      </c>
      <c r="J790" t="s">
        <v>1448</v>
      </c>
      <c r="K790" t="s">
        <v>530</v>
      </c>
      <c r="N790">
        <v>0</v>
      </c>
      <c r="O790">
        <v>0</v>
      </c>
      <c r="P790" t="str">
        <f t="shared" si="12"/>
        <v>N</v>
      </c>
      <c r="Q790" t="s">
        <v>6520</v>
      </c>
    </row>
    <row r="791" spans="1:17" x14ac:dyDescent="0.25">
      <c r="A791" t="s">
        <v>3211</v>
      </c>
      <c r="B791" t="s">
        <v>1080</v>
      </c>
      <c r="C791">
        <v>2027</v>
      </c>
      <c r="D791" t="s">
        <v>532</v>
      </c>
      <c r="E791" t="s">
        <v>829</v>
      </c>
      <c r="F791" s="32">
        <v>46381</v>
      </c>
      <c r="G791" t="s">
        <v>514</v>
      </c>
      <c r="H791">
        <v>47128168</v>
      </c>
      <c r="I791" t="s">
        <v>1100</v>
      </c>
      <c r="J791" t="s">
        <v>1099</v>
      </c>
      <c r="K791" t="s">
        <v>530</v>
      </c>
      <c r="N791">
        <v>0</v>
      </c>
      <c r="O791">
        <v>0</v>
      </c>
      <c r="P791" t="str">
        <f t="shared" si="12"/>
        <v>N</v>
      </c>
      <c r="Q791" t="s">
        <v>6521</v>
      </c>
    </row>
    <row r="792" spans="1:17" x14ac:dyDescent="0.25">
      <c r="A792" t="s">
        <v>3212</v>
      </c>
      <c r="B792" t="s">
        <v>1080</v>
      </c>
      <c r="C792">
        <v>2027</v>
      </c>
      <c r="D792" t="s">
        <v>532</v>
      </c>
      <c r="E792" t="s">
        <v>829</v>
      </c>
      <c r="F792" s="32">
        <v>46381</v>
      </c>
      <c r="G792" t="s">
        <v>514</v>
      </c>
      <c r="H792">
        <v>47128687</v>
      </c>
      <c r="I792" t="s">
        <v>1153</v>
      </c>
      <c r="J792" t="s">
        <v>1152</v>
      </c>
      <c r="K792" t="s">
        <v>530</v>
      </c>
      <c r="N792">
        <v>0</v>
      </c>
      <c r="O792">
        <v>0</v>
      </c>
      <c r="P792" t="str">
        <f t="shared" si="12"/>
        <v>N</v>
      </c>
      <c r="Q792" t="s">
        <v>6522</v>
      </c>
    </row>
    <row r="793" spans="1:17" x14ac:dyDescent="0.25">
      <c r="A793" t="s">
        <v>3213</v>
      </c>
      <c r="B793" t="s">
        <v>1080</v>
      </c>
      <c r="C793">
        <v>2027</v>
      </c>
      <c r="D793" t="s">
        <v>532</v>
      </c>
      <c r="E793" t="s">
        <v>829</v>
      </c>
      <c r="F793" s="32">
        <v>46381</v>
      </c>
      <c r="G793" t="s">
        <v>514</v>
      </c>
      <c r="H793">
        <v>47128585</v>
      </c>
      <c r="I793" t="s">
        <v>1141</v>
      </c>
      <c r="J793" t="s">
        <v>1140</v>
      </c>
      <c r="K793" t="s">
        <v>530</v>
      </c>
      <c r="N793">
        <v>0</v>
      </c>
      <c r="O793">
        <v>0</v>
      </c>
      <c r="P793" t="str">
        <f t="shared" si="12"/>
        <v>N</v>
      </c>
      <c r="Q793" t="s">
        <v>6523</v>
      </c>
    </row>
    <row r="794" spans="1:17" x14ac:dyDescent="0.25">
      <c r="A794" t="s">
        <v>3214</v>
      </c>
      <c r="B794" t="s">
        <v>1080</v>
      </c>
      <c r="C794">
        <v>2027</v>
      </c>
      <c r="D794" t="s">
        <v>532</v>
      </c>
      <c r="E794" t="s">
        <v>829</v>
      </c>
      <c r="F794" s="32">
        <v>46381</v>
      </c>
      <c r="G794" t="s">
        <v>514</v>
      </c>
      <c r="H794">
        <v>47128906</v>
      </c>
      <c r="I794" t="s">
        <v>1349</v>
      </c>
      <c r="J794" t="s">
        <v>1348</v>
      </c>
      <c r="K794" t="s">
        <v>530</v>
      </c>
      <c r="N794">
        <v>0</v>
      </c>
      <c r="O794">
        <v>0</v>
      </c>
      <c r="P794" t="str">
        <f t="shared" si="12"/>
        <v>N</v>
      </c>
      <c r="Q794" t="s">
        <v>6524</v>
      </c>
    </row>
    <row r="795" spans="1:17" x14ac:dyDescent="0.25">
      <c r="A795" t="s">
        <v>3215</v>
      </c>
      <c r="B795" t="s">
        <v>1080</v>
      </c>
      <c r="C795">
        <v>2027</v>
      </c>
      <c r="D795" t="s">
        <v>532</v>
      </c>
      <c r="E795" t="s">
        <v>829</v>
      </c>
      <c r="F795" s="32">
        <v>46381</v>
      </c>
      <c r="G795" t="s">
        <v>514</v>
      </c>
      <c r="H795">
        <v>47128585</v>
      </c>
      <c r="I795" t="s">
        <v>1141</v>
      </c>
      <c r="J795" t="s">
        <v>1408</v>
      </c>
      <c r="K795" t="s">
        <v>530</v>
      </c>
      <c r="N795">
        <v>0</v>
      </c>
      <c r="O795">
        <v>0</v>
      </c>
      <c r="P795" t="str">
        <f t="shared" si="12"/>
        <v>N</v>
      </c>
      <c r="Q795" t="s">
        <v>6525</v>
      </c>
    </row>
    <row r="796" spans="1:17" x14ac:dyDescent="0.25">
      <c r="A796" t="s">
        <v>3216</v>
      </c>
      <c r="B796" t="s">
        <v>1080</v>
      </c>
      <c r="C796">
        <v>2027</v>
      </c>
      <c r="D796" t="s">
        <v>532</v>
      </c>
      <c r="E796" t="s">
        <v>829</v>
      </c>
      <c r="F796" s="32">
        <v>46381</v>
      </c>
      <c r="G796" t="s">
        <v>514</v>
      </c>
      <c r="H796">
        <v>47128518</v>
      </c>
      <c r="I796" t="s">
        <v>1232</v>
      </c>
      <c r="J796" t="s">
        <v>1231</v>
      </c>
      <c r="K796" t="s">
        <v>530</v>
      </c>
      <c r="N796">
        <v>0</v>
      </c>
      <c r="O796">
        <v>0</v>
      </c>
      <c r="P796" t="str">
        <f t="shared" si="12"/>
        <v>N</v>
      </c>
      <c r="Q796" t="s">
        <v>6526</v>
      </c>
    </row>
    <row r="797" spans="1:17" x14ac:dyDescent="0.25">
      <c r="A797" t="s">
        <v>3217</v>
      </c>
      <c r="B797" t="s">
        <v>1080</v>
      </c>
      <c r="C797">
        <v>2027</v>
      </c>
      <c r="D797" t="s">
        <v>532</v>
      </c>
      <c r="E797" t="s">
        <v>829</v>
      </c>
      <c r="F797" s="32">
        <v>46381</v>
      </c>
      <c r="G797" t="s">
        <v>514</v>
      </c>
      <c r="H797">
        <v>47128680</v>
      </c>
      <c r="I797" t="s">
        <v>1284</v>
      </c>
      <c r="J797" t="s">
        <v>1283</v>
      </c>
      <c r="K797" t="s">
        <v>530</v>
      </c>
      <c r="N797">
        <v>0</v>
      </c>
      <c r="O797">
        <v>0</v>
      </c>
      <c r="P797" t="str">
        <f t="shared" si="12"/>
        <v>N</v>
      </c>
      <c r="Q797" t="s">
        <v>6527</v>
      </c>
    </row>
    <row r="798" spans="1:17" x14ac:dyDescent="0.25">
      <c r="A798" t="s">
        <v>3218</v>
      </c>
      <c r="B798" t="s">
        <v>1080</v>
      </c>
      <c r="C798">
        <v>2027</v>
      </c>
      <c r="D798" t="s">
        <v>532</v>
      </c>
      <c r="E798" t="s">
        <v>829</v>
      </c>
      <c r="F798" s="32">
        <v>46381</v>
      </c>
      <c r="G798" t="s">
        <v>514</v>
      </c>
      <c r="H798">
        <v>47128024</v>
      </c>
      <c r="I798" t="s">
        <v>1108</v>
      </c>
      <c r="J798" t="s">
        <v>1107</v>
      </c>
      <c r="K798" t="s">
        <v>530</v>
      </c>
      <c r="N798">
        <v>0</v>
      </c>
      <c r="O798">
        <v>0</v>
      </c>
      <c r="P798" t="str">
        <f t="shared" si="12"/>
        <v>N</v>
      </c>
      <c r="Q798" t="s">
        <v>6528</v>
      </c>
    </row>
    <row r="799" spans="1:17" x14ac:dyDescent="0.25">
      <c r="A799" t="s">
        <v>3219</v>
      </c>
      <c r="B799" t="s">
        <v>1080</v>
      </c>
      <c r="C799">
        <v>2027</v>
      </c>
      <c r="D799" t="s">
        <v>532</v>
      </c>
      <c r="E799" t="s">
        <v>829</v>
      </c>
      <c r="F799" s="32">
        <v>46381</v>
      </c>
      <c r="G799" t="s">
        <v>514</v>
      </c>
      <c r="H799">
        <v>47128944</v>
      </c>
      <c r="I799" t="s">
        <v>1137</v>
      </c>
      <c r="J799" t="s">
        <v>1513</v>
      </c>
      <c r="K799" t="s">
        <v>530</v>
      </c>
      <c r="N799">
        <v>0</v>
      </c>
      <c r="O799">
        <v>0</v>
      </c>
      <c r="P799" t="str">
        <f t="shared" si="12"/>
        <v>N</v>
      </c>
      <c r="Q799" t="s">
        <v>6529</v>
      </c>
    </row>
    <row r="800" spans="1:17" x14ac:dyDescent="0.25">
      <c r="A800" t="s">
        <v>3220</v>
      </c>
      <c r="B800" t="s">
        <v>1080</v>
      </c>
      <c r="C800">
        <v>2027</v>
      </c>
      <c r="D800" t="s">
        <v>532</v>
      </c>
      <c r="E800" t="s">
        <v>829</v>
      </c>
      <c r="F800" s="32">
        <v>46381</v>
      </c>
      <c r="G800" t="s">
        <v>514</v>
      </c>
      <c r="H800">
        <v>47147546</v>
      </c>
      <c r="I800" t="s">
        <v>1077</v>
      </c>
      <c r="J800" t="s">
        <v>1076</v>
      </c>
      <c r="K800" t="s">
        <v>530</v>
      </c>
      <c r="N800">
        <v>0</v>
      </c>
      <c r="O800">
        <v>0</v>
      </c>
      <c r="P800" t="str">
        <f t="shared" si="12"/>
        <v>N</v>
      </c>
      <c r="Q800" t="s">
        <v>6530</v>
      </c>
    </row>
    <row r="801" spans="1:17" x14ac:dyDescent="0.25">
      <c r="A801" t="s">
        <v>3221</v>
      </c>
      <c r="B801" t="s">
        <v>1080</v>
      </c>
      <c r="C801">
        <v>2027</v>
      </c>
      <c r="D801" t="s">
        <v>532</v>
      </c>
      <c r="E801" t="s">
        <v>829</v>
      </c>
      <c r="F801" s="32">
        <v>46381</v>
      </c>
      <c r="G801" t="s">
        <v>514</v>
      </c>
      <c r="H801">
        <v>47128346</v>
      </c>
      <c r="I801" t="s">
        <v>1157</v>
      </c>
      <c r="J801" t="s">
        <v>1156</v>
      </c>
      <c r="K801" t="s">
        <v>530</v>
      </c>
      <c r="N801">
        <v>0</v>
      </c>
      <c r="O801">
        <v>0</v>
      </c>
      <c r="P801" t="str">
        <f t="shared" si="12"/>
        <v>N</v>
      </c>
      <c r="Q801" t="s">
        <v>6531</v>
      </c>
    </row>
    <row r="802" spans="1:17" x14ac:dyDescent="0.25">
      <c r="A802" t="s">
        <v>3222</v>
      </c>
      <c r="B802" t="s">
        <v>1080</v>
      </c>
      <c r="C802">
        <v>2027</v>
      </c>
      <c r="D802" t="s">
        <v>532</v>
      </c>
      <c r="E802" t="s">
        <v>829</v>
      </c>
      <c r="F802" s="32">
        <v>46381</v>
      </c>
      <c r="G802" t="s">
        <v>514</v>
      </c>
      <c r="H802">
        <v>47128800</v>
      </c>
      <c r="I802" t="s">
        <v>1145</v>
      </c>
      <c r="J802" t="s">
        <v>1144</v>
      </c>
      <c r="K802" t="s">
        <v>530</v>
      </c>
      <c r="N802">
        <v>0</v>
      </c>
      <c r="O802">
        <v>0</v>
      </c>
      <c r="P802" t="str">
        <f t="shared" si="12"/>
        <v>N</v>
      </c>
      <c r="Q802" t="s">
        <v>6532</v>
      </c>
    </row>
    <row r="803" spans="1:17" x14ac:dyDescent="0.25">
      <c r="A803" t="s">
        <v>3223</v>
      </c>
      <c r="B803" t="s">
        <v>1080</v>
      </c>
      <c r="C803">
        <v>2027</v>
      </c>
      <c r="D803" t="s">
        <v>532</v>
      </c>
      <c r="E803" t="s">
        <v>829</v>
      </c>
      <c r="F803" s="32">
        <v>46381</v>
      </c>
      <c r="G803" t="s">
        <v>514</v>
      </c>
      <c r="H803">
        <v>47128109</v>
      </c>
      <c r="I803" t="s">
        <v>1336</v>
      </c>
      <c r="J803" t="s">
        <v>1335</v>
      </c>
      <c r="K803" t="s">
        <v>530</v>
      </c>
      <c r="N803">
        <v>0</v>
      </c>
      <c r="O803">
        <v>0</v>
      </c>
      <c r="P803" t="str">
        <f t="shared" si="12"/>
        <v>N</v>
      </c>
      <c r="Q803" t="s">
        <v>6533</v>
      </c>
    </row>
    <row r="804" spans="1:17" x14ac:dyDescent="0.25">
      <c r="A804" t="s">
        <v>3224</v>
      </c>
      <c r="B804" t="s">
        <v>1080</v>
      </c>
      <c r="C804">
        <v>2027</v>
      </c>
      <c r="D804" t="s">
        <v>532</v>
      </c>
      <c r="E804" t="s">
        <v>829</v>
      </c>
      <c r="F804" s="32">
        <v>46381</v>
      </c>
      <c r="G804" t="s">
        <v>514</v>
      </c>
      <c r="H804">
        <v>47128430</v>
      </c>
      <c r="I804" t="s">
        <v>1401</v>
      </c>
      <c r="J804" t="s">
        <v>1400</v>
      </c>
      <c r="K804" t="s">
        <v>530</v>
      </c>
      <c r="N804">
        <v>0</v>
      </c>
      <c r="O804">
        <v>0</v>
      </c>
      <c r="P804" t="str">
        <f t="shared" si="12"/>
        <v>N</v>
      </c>
      <c r="Q804" t="s">
        <v>6534</v>
      </c>
    </row>
    <row r="805" spans="1:17" x14ac:dyDescent="0.25">
      <c r="A805" t="s">
        <v>3225</v>
      </c>
      <c r="B805" t="s">
        <v>1080</v>
      </c>
      <c r="C805">
        <v>2027</v>
      </c>
      <c r="D805" t="s">
        <v>532</v>
      </c>
      <c r="E805" t="s">
        <v>829</v>
      </c>
      <c r="F805" s="32">
        <v>46381</v>
      </c>
      <c r="G805" t="s">
        <v>514</v>
      </c>
      <c r="H805">
        <v>47128522</v>
      </c>
      <c r="I805" t="s">
        <v>1092</v>
      </c>
      <c r="J805" t="s">
        <v>1091</v>
      </c>
      <c r="K805" t="s">
        <v>530</v>
      </c>
      <c r="N805">
        <v>0</v>
      </c>
      <c r="O805">
        <v>0</v>
      </c>
      <c r="P805" t="str">
        <f t="shared" si="12"/>
        <v>N</v>
      </c>
      <c r="Q805" t="s">
        <v>6535</v>
      </c>
    </row>
    <row r="806" spans="1:17" x14ac:dyDescent="0.25">
      <c r="A806" t="s">
        <v>3226</v>
      </c>
      <c r="B806" t="s">
        <v>1080</v>
      </c>
      <c r="C806">
        <v>2027</v>
      </c>
      <c r="D806" t="s">
        <v>532</v>
      </c>
      <c r="E806" t="s">
        <v>829</v>
      </c>
      <c r="F806" s="32">
        <v>46381</v>
      </c>
      <c r="G806" t="s">
        <v>514</v>
      </c>
      <c r="H806">
        <v>47147546</v>
      </c>
      <c r="I806" t="s">
        <v>1077</v>
      </c>
      <c r="J806" t="s">
        <v>1381</v>
      </c>
      <c r="K806" t="s">
        <v>530</v>
      </c>
      <c r="N806">
        <v>0</v>
      </c>
      <c r="O806">
        <v>0</v>
      </c>
      <c r="P806" t="str">
        <f t="shared" si="12"/>
        <v>N</v>
      </c>
      <c r="Q806" t="s">
        <v>6536</v>
      </c>
    </row>
    <row r="807" spans="1:17" x14ac:dyDescent="0.25">
      <c r="A807" t="s">
        <v>3820</v>
      </c>
      <c r="B807" t="s">
        <v>912</v>
      </c>
      <c r="C807">
        <v>2027</v>
      </c>
      <c r="D807" t="s">
        <v>532</v>
      </c>
      <c r="E807" t="s">
        <v>829</v>
      </c>
      <c r="F807" s="32">
        <v>46381</v>
      </c>
      <c r="G807" t="s">
        <v>514</v>
      </c>
      <c r="H807">
        <v>47140037</v>
      </c>
      <c r="I807" t="s">
        <v>2347</v>
      </c>
      <c r="J807" t="s">
        <v>2348</v>
      </c>
      <c r="K807" t="s">
        <v>530</v>
      </c>
      <c r="N807">
        <v>0</v>
      </c>
      <c r="O807">
        <v>0</v>
      </c>
      <c r="P807" t="str">
        <f t="shared" si="12"/>
        <v>N</v>
      </c>
      <c r="Q807" t="s">
        <v>6537</v>
      </c>
    </row>
    <row r="808" spans="1:17" x14ac:dyDescent="0.25">
      <c r="A808" t="s">
        <v>3821</v>
      </c>
      <c r="B808" t="s">
        <v>912</v>
      </c>
      <c r="C808">
        <v>2027</v>
      </c>
      <c r="D808" t="s">
        <v>532</v>
      </c>
      <c r="E808" t="s">
        <v>829</v>
      </c>
      <c r="F808" s="32">
        <v>46381</v>
      </c>
      <c r="G808" t="s">
        <v>514</v>
      </c>
      <c r="H808">
        <v>47128216</v>
      </c>
      <c r="I808" t="s">
        <v>2350</v>
      </c>
      <c r="J808" t="s">
        <v>2351</v>
      </c>
      <c r="K808" t="s">
        <v>530</v>
      </c>
      <c r="N808">
        <v>0</v>
      </c>
      <c r="O808">
        <v>0</v>
      </c>
      <c r="P808" t="str">
        <f t="shared" si="12"/>
        <v>N</v>
      </c>
      <c r="Q808" t="s">
        <v>6538</v>
      </c>
    </row>
    <row r="809" spans="1:17" x14ac:dyDescent="0.25">
      <c r="A809" t="s">
        <v>3822</v>
      </c>
      <c r="B809" t="s">
        <v>912</v>
      </c>
      <c r="C809">
        <v>2027</v>
      </c>
      <c r="D809" t="s">
        <v>532</v>
      </c>
      <c r="E809" t="s">
        <v>829</v>
      </c>
      <c r="F809" s="32">
        <v>46381</v>
      </c>
      <c r="G809" t="s">
        <v>514</v>
      </c>
      <c r="H809">
        <v>47128208</v>
      </c>
      <c r="I809" t="s">
        <v>2353</v>
      </c>
      <c r="J809" t="s">
        <v>2354</v>
      </c>
      <c r="K809" t="s">
        <v>530</v>
      </c>
      <c r="N809">
        <v>0</v>
      </c>
      <c r="O809">
        <v>0</v>
      </c>
      <c r="P809" t="str">
        <f t="shared" si="12"/>
        <v>N</v>
      </c>
      <c r="Q809" t="s">
        <v>6539</v>
      </c>
    </row>
    <row r="810" spans="1:17" x14ac:dyDescent="0.25">
      <c r="A810" t="s">
        <v>3823</v>
      </c>
      <c r="B810" t="s">
        <v>912</v>
      </c>
      <c r="C810">
        <v>2027</v>
      </c>
      <c r="D810" t="s">
        <v>532</v>
      </c>
      <c r="E810" t="s">
        <v>829</v>
      </c>
      <c r="F810" s="32">
        <v>46381</v>
      </c>
      <c r="G810" t="s">
        <v>514</v>
      </c>
      <c r="H810">
        <v>47128377</v>
      </c>
      <c r="I810" t="s">
        <v>2362</v>
      </c>
      <c r="J810" t="s">
        <v>2363</v>
      </c>
      <c r="K810" t="s">
        <v>530</v>
      </c>
      <c r="N810">
        <v>40</v>
      </c>
      <c r="O810">
        <v>40</v>
      </c>
      <c r="P810" t="str">
        <f t="shared" si="12"/>
        <v>N</v>
      </c>
      <c r="Q810" t="s">
        <v>6540</v>
      </c>
    </row>
    <row r="811" spans="1:17" x14ac:dyDescent="0.25">
      <c r="A811" t="s">
        <v>3881</v>
      </c>
      <c r="B811" t="s">
        <v>1043</v>
      </c>
      <c r="C811">
        <v>2027</v>
      </c>
      <c r="D811" t="s">
        <v>532</v>
      </c>
      <c r="E811" t="s">
        <v>829</v>
      </c>
      <c r="F811" s="32">
        <v>46381</v>
      </c>
      <c r="G811" t="s">
        <v>514</v>
      </c>
      <c r="H811">
        <v>47128706</v>
      </c>
      <c r="I811" t="s">
        <v>1201</v>
      </c>
      <c r="J811" t="s">
        <v>1200</v>
      </c>
      <c r="K811" t="s">
        <v>530</v>
      </c>
      <c r="N811">
        <v>0</v>
      </c>
      <c r="O811">
        <v>0</v>
      </c>
      <c r="P811" t="str">
        <f t="shared" si="12"/>
        <v>N</v>
      </c>
      <c r="Q811" t="s">
        <v>6541</v>
      </c>
    </row>
    <row r="812" spans="1:17" x14ac:dyDescent="0.25">
      <c r="A812" t="s">
        <v>3882</v>
      </c>
      <c r="B812" t="s">
        <v>1043</v>
      </c>
      <c r="C812">
        <v>2027</v>
      </c>
      <c r="D812" t="s">
        <v>532</v>
      </c>
      <c r="E812" t="s">
        <v>829</v>
      </c>
      <c r="F812" s="32">
        <v>46381</v>
      </c>
      <c r="G812" t="s">
        <v>514</v>
      </c>
      <c r="H812">
        <v>47128421</v>
      </c>
      <c r="I812" t="s">
        <v>1086</v>
      </c>
      <c r="J812" t="s">
        <v>1085</v>
      </c>
      <c r="K812" t="s">
        <v>530</v>
      </c>
      <c r="N812">
        <v>0</v>
      </c>
      <c r="O812">
        <v>0</v>
      </c>
      <c r="P812" t="str">
        <f t="shared" si="12"/>
        <v>N</v>
      </c>
      <c r="Q812" t="s">
        <v>6542</v>
      </c>
    </row>
    <row r="813" spans="1:17" x14ac:dyDescent="0.25">
      <c r="A813" t="s">
        <v>3883</v>
      </c>
      <c r="B813" t="s">
        <v>1043</v>
      </c>
      <c r="C813">
        <v>2027</v>
      </c>
      <c r="D813" t="s">
        <v>532</v>
      </c>
      <c r="E813" t="s">
        <v>829</v>
      </c>
      <c r="F813" s="32">
        <v>46381</v>
      </c>
      <c r="G813" t="s">
        <v>514</v>
      </c>
      <c r="H813">
        <v>47128364</v>
      </c>
      <c r="I813" t="s">
        <v>1264</v>
      </c>
      <c r="J813" t="s">
        <v>1263</v>
      </c>
      <c r="K813" t="s">
        <v>530</v>
      </c>
      <c r="N813">
        <v>0</v>
      </c>
      <c r="O813">
        <v>0</v>
      </c>
      <c r="P813" t="str">
        <f t="shared" si="12"/>
        <v>N</v>
      </c>
      <c r="Q813" t="s">
        <v>6543</v>
      </c>
    </row>
    <row r="814" spans="1:17" x14ac:dyDescent="0.25">
      <c r="A814" t="s">
        <v>3967</v>
      </c>
      <c r="B814" t="s">
        <v>3939</v>
      </c>
      <c r="C814">
        <v>2027</v>
      </c>
      <c r="D814" t="s">
        <v>532</v>
      </c>
      <c r="E814" t="s">
        <v>829</v>
      </c>
      <c r="F814" s="32">
        <v>46381</v>
      </c>
      <c r="G814" t="s">
        <v>514</v>
      </c>
      <c r="H814">
        <v>47140037</v>
      </c>
      <c r="I814" t="s">
        <v>2347</v>
      </c>
      <c r="J814" t="s">
        <v>2348</v>
      </c>
      <c r="K814" t="s">
        <v>530</v>
      </c>
      <c r="N814">
        <v>0</v>
      </c>
      <c r="O814">
        <v>0</v>
      </c>
      <c r="P814" t="str">
        <f t="shared" si="12"/>
        <v>N</v>
      </c>
      <c r="Q814" t="s">
        <v>6544</v>
      </c>
    </row>
    <row r="815" spans="1:17" x14ac:dyDescent="0.25">
      <c r="A815" t="s">
        <v>3968</v>
      </c>
      <c r="B815" t="s">
        <v>3939</v>
      </c>
      <c r="C815">
        <v>2027</v>
      </c>
      <c r="D815" t="s">
        <v>532</v>
      </c>
      <c r="E815" t="s">
        <v>829</v>
      </c>
      <c r="F815" s="32">
        <v>46381</v>
      </c>
      <c r="G815" t="s">
        <v>514</v>
      </c>
      <c r="H815">
        <v>47128216</v>
      </c>
      <c r="I815" t="s">
        <v>2350</v>
      </c>
      <c r="J815" t="s">
        <v>2351</v>
      </c>
      <c r="K815" t="s">
        <v>530</v>
      </c>
      <c r="N815">
        <v>0</v>
      </c>
      <c r="O815">
        <v>0</v>
      </c>
      <c r="P815" t="str">
        <f t="shared" si="12"/>
        <v>N</v>
      </c>
      <c r="Q815" t="s">
        <v>6545</v>
      </c>
    </row>
    <row r="816" spans="1:17" x14ac:dyDescent="0.25">
      <c r="A816" t="s">
        <v>3969</v>
      </c>
      <c r="B816" t="s">
        <v>3939</v>
      </c>
      <c r="C816">
        <v>2027</v>
      </c>
      <c r="D816" t="s">
        <v>532</v>
      </c>
      <c r="E816" t="s">
        <v>829</v>
      </c>
      <c r="F816" s="32">
        <v>46381</v>
      </c>
      <c r="G816" t="s">
        <v>514</v>
      </c>
      <c r="H816">
        <v>47128208</v>
      </c>
      <c r="I816" t="s">
        <v>2353</v>
      </c>
      <c r="J816" t="s">
        <v>2354</v>
      </c>
      <c r="K816" t="s">
        <v>530</v>
      </c>
      <c r="N816">
        <v>0</v>
      </c>
      <c r="O816">
        <v>0</v>
      </c>
      <c r="P816" t="str">
        <f t="shared" si="12"/>
        <v>N</v>
      </c>
      <c r="Q816" t="s">
        <v>6546</v>
      </c>
    </row>
    <row r="817" spans="1:17" x14ac:dyDescent="0.25">
      <c r="A817" t="s">
        <v>3970</v>
      </c>
      <c r="B817" t="s">
        <v>3939</v>
      </c>
      <c r="C817">
        <v>2027</v>
      </c>
      <c r="D817" t="s">
        <v>532</v>
      </c>
      <c r="E817" t="s">
        <v>829</v>
      </c>
      <c r="F817" s="32">
        <v>46381</v>
      </c>
      <c r="G817" t="s">
        <v>514</v>
      </c>
      <c r="H817">
        <v>47128377</v>
      </c>
      <c r="I817" t="s">
        <v>2362</v>
      </c>
      <c r="J817" t="s">
        <v>2363</v>
      </c>
      <c r="K817" t="s">
        <v>530</v>
      </c>
      <c r="N817">
        <v>40</v>
      </c>
      <c r="O817">
        <v>40</v>
      </c>
      <c r="P817" t="str">
        <f t="shared" si="12"/>
        <v>N</v>
      </c>
      <c r="Q817" t="s">
        <v>6547</v>
      </c>
    </row>
    <row r="818" spans="1:17" x14ac:dyDescent="0.25">
      <c r="A818" t="s">
        <v>4056</v>
      </c>
      <c r="B818" t="s">
        <v>1489</v>
      </c>
      <c r="C818">
        <v>2027</v>
      </c>
      <c r="D818" t="s">
        <v>532</v>
      </c>
      <c r="E818" t="s">
        <v>829</v>
      </c>
      <c r="F818" s="32">
        <v>46381</v>
      </c>
      <c r="G818" t="s">
        <v>514</v>
      </c>
      <c r="H818">
        <v>47133720</v>
      </c>
      <c r="I818" t="s">
        <v>1217</v>
      </c>
      <c r="J818" t="s">
        <v>1216</v>
      </c>
      <c r="K818" t="s">
        <v>530</v>
      </c>
      <c r="N818">
        <v>0</v>
      </c>
      <c r="O818">
        <v>0</v>
      </c>
      <c r="P818" t="str">
        <f t="shared" si="12"/>
        <v>N</v>
      </c>
      <c r="Q818" t="s">
        <v>6548</v>
      </c>
    </row>
    <row r="819" spans="1:17" x14ac:dyDescent="0.25">
      <c r="A819" t="s">
        <v>4057</v>
      </c>
      <c r="B819" t="s">
        <v>1489</v>
      </c>
      <c r="C819">
        <v>2027</v>
      </c>
      <c r="D819" t="s">
        <v>532</v>
      </c>
      <c r="E819" t="s">
        <v>829</v>
      </c>
      <c r="F819" s="32">
        <v>46381</v>
      </c>
      <c r="G819" t="s">
        <v>514</v>
      </c>
      <c r="H819">
        <v>47129473</v>
      </c>
      <c r="I819" t="s">
        <v>1430</v>
      </c>
      <c r="J819" t="s">
        <v>1429</v>
      </c>
      <c r="K819" t="s">
        <v>530</v>
      </c>
      <c r="N819">
        <v>0</v>
      </c>
      <c r="O819">
        <v>0</v>
      </c>
      <c r="P819" t="str">
        <f t="shared" si="12"/>
        <v>N</v>
      </c>
      <c r="Q819" t="s">
        <v>6549</v>
      </c>
    </row>
    <row r="820" spans="1:17" x14ac:dyDescent="0.25">
      <c r="A820" t="s">
        <v>4058</v>
      </c>
      <c r="B820" t="s">
        <v>1489</v>
      </c>
      <c r="C820">
        <v>2027</v>
      </c>
      <c r="D820" t="s">
        <v>532</v>
      </c>
      <c r="E820" t="s">
        <v>829</v>
      </c>
      <c r="F820" s="32">
        <v>46381</v>
      </c>
      <c r="G820" t="s">
        <v>514</v>
      </c>
      <c r="H820">
        <v>47127948</v>
      </c>
      <c r="I820" t="s">
        <v>1247</v>
      </c>
      <c r="J820" t="s">
        <v>1246</v>
      </c>
      <c r="K820" t="s">
        <v>530</v>
      </c>
      <c r="N820">
        <v>0</v>
      </c>
      <c r="O820">
        <v>0</v>
      </c>
      <c r="P820" t="str">
        <f t="shared" si="12"/>
        <v>N</v>
      </c>
      <c r="Q820" t="s">
        <v>6550</v>
      </c>
    </row>
    <row r="821" spans="1:17" x14ac:dyDescent="0.25">
      <c r="A821" t="s">
        <v>4059</v>
      </c>
      <c r="B821" t="s">
        <v>1489</v>
      </c>
      <c r="C821">
        <v>2027</v>
      </c>
      <c r="D821" t="s">
        <v>532</v>
      </c>
      <c r="E821" t="s">
        <v>829</v>
      </c>
      <c r="F821" s="32">
        <v>46381</v>
      </c>
      <c r="G821" t="s">
        <v>514</v>
      </c>
      <c r="H821">
        <v>47128977</v>
      </c>
      <c r="I821" t="s">
        <v>1449</v>
      </c>
      <c r="J821" t="s">
        <v>1448</v>
      </c>
      <c r="K821" t="s">
        <v>530</v>
      </c>
      <c r="N821">
        <v>0</v>
      </c>
      <c r="O821">
        <v>0</v>
      </c>
      <c r="P821" t="str">
        <f t="shared" si="12"/>
        <v>N</v>
      </c>
      <c r="Q821" t="s">
        <v>6551</v>
      </c>
    </row>
    <row r="822" spans="1:17" x14ac:dyDescent="0.25">
      <c r="A822" t="s">
        <v>4060</v>
      </c>
      <c r="B822" t="s">
        <v>1489</v>
      </c>
      <c r="C822">
        <v>2027</v>
      </c>
      <c r="D822" t="s">
        <v>532</v>
      </c>
      <c r="E822" t="s">
        <v>829</v>
      </c>
      <c r="F822" s="32">
        <v>46381</v>
      </c>
      <c r="G822" t="s">
        <v>514</v>
      </c>
      <c r="H822">
        <v>47128787</v>
      </c>
      <c r="I822" t="s">
        <v>1453</v>
      </c>
      <c r="J822" t="s">
        <v>1452</v>
      </c>
      <c r="K822" t="s">
        <v>530</v>
      </c>
      <c r="N822">
        <v>0</v>
      </c>
      <c r="O822">
        <v>0</v>
      </c>
      <c r="P822" t="str">
        <f t="shared" si="12"/>
        <v>N</v>
      </c>
      <c r="Q822" t="s">
        <v>6552</v>
      </c>
    </row>
    <row r="823" spans="1:17" x14ac:dyDescent="0.25">
      <c r="A823" t="s">
        <v>4163</v>
      </c>
      <c r="B823" t="s">
        <v>916</v>
      </c>
      <c r="C823">
        <v>2027</v>
      </c>
      <c r="D823" t="s">
        <v>532</v>
      </c>
      <c r="E823" t="s">
        <v>829</v>
      </c>
      <c r="F823" s="32">
        <v>46381</v>
      </c>
      <c r="G823" t="s">
        <v>514</v>
      </c>
      <c r="H823">
        <v>47128421</v>
      </c>
      <c r="I823" t="s">
        <v>1086</v>
      </c>
      <c r="J823" t="s">
        <v>1085</v>
      </c>
      <c r="K823" t="s">
        <v>530</v>
      </c>
      <c r="N823">
        <v>40</v>
      </c>
      <c r="O823">
        <v>40</v>
      </c>
      <c r="P823" t="str">
        <f t="shared" si="12"/>
        <v>N</v>
      </c>
      <c r="Q823" t="s">
        <v>6553</v>
      </c>
    </row>
    <row r="824" spans="1:17" x14ac:dyDescent="0.25">
      <c r="A824" t="s">
        <v>4164</v>
      </c>
      <c r="B824" t="s">
        <v>916</v>
      </c>
      <c r="C824">
        <v>2027</v>
      </c>
      <c r="D824" t="s">
        <v>532</v>
      </c>
      <c r="E824" t="s">
        <v>829</v>
      </c>
      <c r="F824" s="32">
        <v>46381</v>
      </c>
      <c r="G824" t="s">
        <v>514</v>
      </c>
      <c r="H824">
        <v>47128706</v>
      </c>
      <c r="I824" t="s">
        <v>1201</v>
      </c>
      <c r="J824" t="s">
        <v>1200</v>
      </c>
      <c r="K824" t="s">
        <v>530</v>
      </c>
      <c r="N824">
        <v>0</v>
      </c>
      <c r="O824">
        <v>0</v>
      </c>
      <c r="P824" t="str">
        <f t="shared" si="12"/>
        <v>N</v>
      </c>
      <c r="Q824" t="s">
        <v>6554</v>
      </c>
    </row>
    <row r="825" spans="1:17" x14ac:dyDescent="0.25">
      <c r="A825" t="s">
        <v>4165</v>
      </c>
      <c r="B825" t="s">
        <v>916</v>
      </c>
      <c r="C825">
        <v>2027</v>
      </c>
      <c r="D825" t="s">
        <v>532</v>
      </c>
      <c r="E825" t="s">
        <v>829</v>
      </c>
      <c r="F825" s="32">
        <v>46381</v>
      </c>
      <c r="G825" t="s">
        <v>514</v>
      </c>
      <c r="H825">
        <v>47128364</v>
      </c>
      <c r="I825" t="s">
        <v>1264</v>
      </c>
      <c r="J825" t="s">
        <v>1263</v>
      </c>
      <c r="K825" t="s">
        <v>530</v>
      </c>
      <c r="N825">
        <v>0</v>
      </c>
      <c r="O825">
        <v>0</v>
      </c>
      <c r="P825" t="str">
        <f t="shared" si="12"/>
        <v>N</v>
      </c>
      <c r="Q825" t="s">
        <v>6555</v>
      </c>
    </row>
    <row r="826" spans="1:17" x14ac:dyDescent="0.25">
      <c r="A826" t="s">
        <v>4166</v>
      </c>
      <c r="B826" t="s">
        <v>916</v>
      </c>
      <c r="C826">
        <v>2027</v>
      </c>
      <c r="D826" t="s">
        <v>532</v>
      </c>
      <c r="E826" t="s">
        <v>829</v>
      </c>
      <c r="F826" s="32">
        <v>46381</v>
      </c>
      <c r="G826" t="s">
        <v>514</v>
      </c>
      <c r="H826">
        <v>47128633</v>
      </c>
      <c r="I826" t="s">
        <v>1164</v>
      </c>
      <c r="J826" t="s">
        <v>1163</v>
      </c>
      <c r="K826" t="s">
        <v>530</v>
      </c>
      <c r="N826">
        <v>0</v>
      </c>
      <c r="O826">
        <v>0</v>
      </c>
      <c r="P826" t="str">
        <f t="shared" si="12"/>
        <v>N</v>
      </c>
      <c r="Q826" t="s">
        <v>6556</v>
      </c>
    </row>
    <row r="827" spans="1:17" x14ac:dyDescent="0.25">
      <c r="A827" t="s">
        <v>4167</v>
      </c>
      <c r="B827" t="s">
        <v>916</v>
      </c>
      <c r="C827">
        <v>2027</v>
      </c>
      <c r="D827" t="s">
        <v>532</v>
      </c>
      <c r="E827" t="s">
        <v>829</v>
      </c>
      <c r="F827" s="32">
        <v>46381</v>
      </c>
      <c r="G827" t="s">
        <v>514</v>
      </c>
      <c r="H827">
        <v>47128046</v>
      </c>
      <c r="I827" t="s">
        <v>1389</v>
      </c>
      <c r="J827" t="s">
        <v>1388</v>
      </c>
      <c r="K827" t="s">
        <v>530</v>
      </c>
      <c r="N827">
        <v>0</v>
      </c>
      <c r="O827">
        <v>0</v>
      </c>
      <c r="P827" t="str">
        <f t="shared" si="12"/>
        <v>N</v>
      </c>
      <c r="Q827" t="s">
        <v>6557</v>
      </c>
    </row>
    <row r="828" spans="1:17" x14ac:dyDescent="0.25">
      <c r="A828" t="s">
        <v>4168</v>
      </c>
      <c r="B828" t="s">
        <v>916</v>
      </c>
      <c r="C828">
        <v>2027</v>
      </c>
      <c r="D828" t="s">
        <v>532</v>
      </c>
      <c r="E828" t="s">
        <v>829</v>
      </c>
      <c r="F828" s="32">
        <v>46381</v>
      </c>
      <c r="G828" t="s">
        <v>514</v>
      </c>
      <c r="H828">
        <v>47128570</v>
      </c>
      <c r="I828" t="s">
        <v>1491</v>
      </c>
      <c r="J828" t="s">
        <v>1490</v>
      </c>
      <c r="K828" t="s">
        <v>530</v>
      </c>
      <c r="N828">
        <v>0</v>
      </c>
      <c r="O828">
        <v>0</v>
      </c>
      <c r="P828" t="str">
        <f t="shared" si="12"/>
        <v>N</v>
      </c>
      <c r="Q828" t="s">
        <v>6558</v>
      </c>
    </row>
    <row r="829" spans="1:17" x14ac:dyDescent="0.25">
      <c r="A829" t="s">
        <v>4169</v>
      </c>
      <c r="B829" t="s">
        <v>916</v>
      </c>
      <c r="C829">
        <v>2027</v>
      </c>
      <c r="D829" t="s">
        <v>532</v>
      </c>
      <c r="E829" t="s">
        <v>829</v>
      </c>
      <c r="F829" s="32">
        <v>46381</v>
      </c>
      <c r="G829" t="s">
        <v>514</v>
      </c>
      <c r="H829">
        <v>47128355</v>
      </c>
      <c r="I829" t="s">
        <v>964</v>
      </c>
      <c r="J829" t="s">
        <v>963</v>
      </c>
      <c r="K829" t="s">
        <v>530</v>
      </c>
      <c r="N829">
        <v>0</v>
      </c>
      <c r="O829">
        <v>0</v>
      </c>
      <c r="P829" t="str">
        <f t="shared" si="12"/>
        <v>N</v>
      </c>
      <c r="Q829" t="s">
        <v>6559</v>
      </c>
    </row>
    <row r="830" spans="1:17" x14ac:dyDescent="0.25">
      <c r="A830" t="s">
        <v>4170</v>
      </c>
      <c r="B830" t="s">
        <v>916</v>
      </c>
      <c r="C830">
        <v>2027</v>
      </c>
      <c r="D830" t="s">
        <v>532</v>
      </c>
      <c r="E830" t="s">
        <v>829</v>
      </c>
      <c r="F830" s="32">
        <v>46381</v>
      </c>
      <c r="G830" t="s">
        <v>514</v>
      </c>
      <c r="H830">
        <v>47129548</v>
      </c>
      <c r="I830" t="s">
        <v>1340</v>
      </c>
      <c r="J830" t="s">
        <v>1339</v>
      </c>
      <c r="K830" t="s">
        <v>530</v>
      </c>
      <c r="N830">
        <v>40</v>
      </c>
      <c r="O830">
        <v>40</v>
      </c>
      <c r="P830" t="str">
        <f t="shared" si="12"/>
        <v>N</v>
      </c>
      <c r="Q830" t="s">
        <v>6560</v>
      </c>
    </row>
    <row r="831" spans="1:17" x14ac:dyDescent="0.25">
      <c r="A831" t="s">
        <v>4470</v>
      </c>
      <c r="B831" t="s">
        <v>4445</v>
      </c>
      <c r="C831">
        <v>2027</v>
      </c>
      <c r="D831" t="s">
        <v>532</v>
      </c>
      <c r="E831" t="s">
        <v>829</v>
      </c>
      <c r="F831" s="32">
        <v>46381</v>
      </c>
      <c r="G831" t="s">
        <v>514</v>
      </c>
      <c r="H831">
        <v>47129711</v>
      </c>
      <c r="I831" t="s">
        <v>4446</v>
      </c>
      <c r="J831" t="s">
        <v>4447</v>
      </c>
      <c r="K831" t="s">
        <v>530</v>
      </c>
      <c r="N831">
        <v>20</v>
      </c>
      <c r="O831">
        <v>20</v>
      </c>
      <c r="P831" t="str">
        <f t="shared" si="12"/>
        <v>N</v>
      </c>
      <c r="Q831" t="s">
        <v>6561</v>
      </c>
    </row>
    <row r="832" spans="1:17" x14ac:dyDescent="0.25">
      <c r="A832" t="s">
        <v>4471</v>
      </c>
      <c r="B832" t="s">
        <v>4445</v>
      </c>
      <c r="C832">
        <v>2027</v>
      </c>
      <c r="D832" t="s">
        <v>532</v>
      </c>
      <c r="E832" t="s">
        <v>829</v>
      </c>
      <c r="F832" s="32">
        <v>46381</v>
      </c>
      <c r="G832" t="s">
        <v>514</v>
      </c>
      <c r="H832">
        <v>47129228</v>
      </c>
      <c r="I832" t="s">
        <v>4449</v>
      </c>
      <c r="J832" t="s">
        <v>4450</v>
      </c>
      <c r="K832" t="s">
        <v>530</v>
      </c>
      <c r="N832">
        <v>32</v>
      </c>
      <c r="O832">
        <v>32</v>
      </c>
      <c r="P832" t="str">
        <f t="shared" si="12"/>
        <v>N</v>
      </c>
      <c r="Q832" t="s">
        <v>6562</v>
      </c>
    </row>
    <row r="833" spans="1:17" x14ac:dyDescent="0.25">
      <c r="A833" t="s">
        <v>4555</v>
      </c>
      <c r="B833" t="s">
        <v>1044</v>
      </c>
      <c r="C833">
        <v>2027</v>
      </c>
      <c r="D833" t="s">
        <v>532</v>
      </c>
      <c r="E833" t="s">
        <v>829</v>
      </c>
      <c r="F833" s="32">
        <v>46381</v>
      </c>
      <c r="G833" t="s">
        <v>514</v>
      </c>
      <c r="H833">
        <v>47133720</v>
      </c>
      <c r="I833" t="s">
        <v>1217</v>
      </c>
      <c r="J833" t="s">
        <v>1216</v>
      </c>
      <c r="K833" t="s">
        <v>530</v>
      </c>
      <c r="N833">
        <v>40</v>
      </c>
      <c r="O833">
        <v>40</v>
      </c>
      <c r="P833" t="str">
        <f t="shared" si="12"/>
        <v>N</v>
      </c>
      <c r="Q833" t="s">
        <v>6563</v>
      </c>
    </row>
    <row r="834" spans="1:17" x14ac:dyDescent="0.25">
      <c r="A834" t="s">
        <v>4556</v>
      </c>
      <c r="B834" t="s">
        <v>1044</v>
      </c>
      <c r="C834">
        <v>2027</v>
      </c>
      <c r="D834" t="s">
        <v>532</v>
      </c>
      <c r="E834" t="s">
        <v>829</v>
      </c>
      <c r="F834" s="32">
        <v>46381</v>
      </c>
      <c r="G834" t="s">
        <v>514</v>
      </c>
      <c r="H834">
        <v>47129473</v>
      </c>
      <c r="I834" t="s">
        <v>1430</v>
      </c>
      <c r="J834" t="s">
        <v>1429</v>
      </c>
      <c r="K834" t="s">
        <v>530</v>
      </c>
      <c r="N834">
        <v>0</v>
      </c>
      <c r="O834">
        <v>0</v>
      </c>
      <c r="P834" t="str">
        <f t="shared" si="12"/>
        <v>N</v>
      </c>
      <c r="Q834" t="s">
        <v>6564</v>
      </c>
    </row>
    <row r="835" spans="1:17" x14ac:dyDescent="0.25">
      <c r="A835" t="s">
        <v>4557</v>
      </c>
      <c r="B835" t="s">
        <v>1044</v>
      </c>
      <c r="C835">
        <v>2027</v>
      </c>
      <c r="D835" t="s">
        <v>532</v>
      </c>
      <c r="E835" t="s">
        <v>829</v>
      </c>
      <c r="F835" s="32">
        <v>46381</v>
      </c>
      <c r="G835" t="s">
        <v>514</v>
      </c>
      <c r="H835">
        <v>47128490</v>
      </c>
      <c r="I835" t="s">
        <v>1254</v>
      </c>
      <c r="J835" t="s">
        <v>1253</v>
      </c>
      <c r="K835" t="s">
        <v>530</v>
      </c>
      <c r="N835">
        <v>0</v>
      </c>
      <c r="O835">
        <v>0</v>
      </c>
      <c r="P835" t="str">
        <f t="shared" ref="P835:P898" si="13">IF(N835=O835,"N","Y")</f>
        <v>N</v>
      </c>
      <c r="Q835" t="s">
        <v>6565</v>
      </c>
    </row>
    <row r="836" spans="1:17" x14ac:dyDescent="0.25">
      <c r="A836" t="s">
        <v>4558</v>
      </c>
      <c r="B836" t="s">
        <v>1044</v>
      </c>
      <c r="C836">
        <v>2027</v>
      </c>
      <c r="D836" t="s">
        <v>532</v>
      </c>
      <c r="E836" t="s">
        <v>829</v>
      </c>
      <c r="F836" s="32">
        <v>46381</v>
      </c>
      <c r="G836" t="s">
        <v>514</v>
      </c>
      <c r="H836">
        <v>47127948</v>
      </c>
      <c r="I836" t="s">
        <v>1247</v>
      </c>
      <c r="J836" t="s">
        <v>1246</v>
      </c>
      <c r="K836" t="s">
        <v>530</v>
      </c>
      <c r="N836">
        <v>0</v>
      </c>
      <c r="O836">
        <v>0</v>
      </c>
      <c r="P836" t="str">
        <f t="shared" si="13"/>
        <v>N</v>
      </c>
      <c r="Q836" t="s">
        <v>6566</v>
      </c>
    </row>
    <row r="837" spans="1:17" x14ac:dyDescent="0.25">
      <c r="A837" t="s">
        <v>4559</v>
      </c>
      <c r="B837" t="s">
        <v>1044</v>
      </c>
      <c r="C837">
        <v>2027</v>
      </c>
      <c r="D837" t="s">
        <v>532</v>
      </c>
      <c r="E837" t="s">
        <v>829</v>
      </c>
      <c r="F837" s="32">
        <v>46381</v>
      </c>
      <c r="G837" t="s">
        <v>514</v>
      </c>
      <c r="H837">
        <v>47128710</v>
      </c>
      <c r="I837" t="s">
        <v>1189</v>
      </c>
      <c r="J837" t="s">
        <v>1188</v>
      </c>
      <c r="K837" t="s">
        <v>530</v>
      </c>
      <c r="N837">
        <v>0</v>
      </c>
      <c r="O837">
        <v>0</v>
      </c>
      <c r="P837" t="str">
        <f t="shared" si="13"/>
        <v>N</v>
      </c>
      <c r="Q837" t="s">
        <v>6567</v>
      </c>
    </row>
    <row r="838" spans="1:17" x14ac:dyDescent="0.25">
      <c r="A838" t="s">
        <v>4560</v>
      </c>
      <c r="B838" t="s">
        <v>1044</v>
      </c>
      <c r="C838">
        <v>2027</v>
      </c>
      <c r="D838" t="s">
        <v>532</v>
      </c>
      <c r="E838" t="s">
        <v>829</v>
      </c>
      <c r="F838" s="32">
        <v>46381</v>
      </c>
      <c r="G838" t="s">
        <v>514</v>
      </c>
      <c r="H838">
        <v>47128833</v>
      </c>
      <c r="I838" t="s">
        <v>1193</v>
      </c>
      <c r="J838" t="s">
        <v>1192</v>
      </c>
      <c r="K838" t="s">
        <v>530</v>
      </c>
      <c r="N838">
        <v>40</v>
      </c>
      <c r="O838">
        <v>40</v>
      </c>
      <c r="P838" t="str">
        <f t="shared" si="13"/>
        <v>N</v>
      </c>
      <c r="Q838" t="s">
        <v>6568</v>
      </c>
    </row>
    <row r="839" spans="1:17" x14ac:dyDescent="0.25">
      <c r="A839" t="s">
        <v>4561</v>
      </c>
      <c r="B839" t="s">
        <v>1044</v>
      </c>
      <c r="C839">
        <v>2027</v>
      </c>
      <c r="D839" t="s">
        <v>532</v>
      </c>
      <c r="E839" t="s">
        <v>829</v>
      </c>
      <c r="F839" s="32">
        <v>46381</v>
      </c>
      <c r="G839" t="s">
        <v>514</v>
      </c>
      <c r="H839">
        <v>47128784</v>
      </c>
      <c r="I839" t="s">
        <v>1426</v>
      </c>
      <c r="J839" t="s">
        <v>1425</v>
      </c>
      <c r="K839" t="s">
        <v>530</v>
      </c>
      <c r="N839">
        <v>0</v>
      </c>
      <c r="O839">
        <v>0</v>
      </c>
      <c r="P839" t="str">
        <f t="shared" si="13"/>
        <v>N</v>
      </c>
      <c r="Q839" t="s">
        <v>6569</v>
      </c>
    </row>
    <row r="840" spans="1:17" x14ac:dyDescent="0.25">
      <c r="A840" t="s">
        <v>4562</v>
      </c>
      <c r="B840" t="s">
        <v>1044</v>
      </c>
      <c r="C840">
        <v>2027</v>
      </c>
      <c r="D840" t="s">
        <v>532</v>
      </c>
      <c r="E840" t="s">
        <v>829</v>
      </c>
      <c r="F840" s="32">
        <v>46381</v>
      </c>
      <c r="G840" t="s">
        <v>514</v>
      </c>
      <c r="H840">
        <v>47129020</v>
      </c>
      <c r="I840" t="s">
        <v>1058</v>
      </c>
      <c r="J840" t="s">
        <v>1057</v>
      </c>
      <c r="K840" t="s">
        <v>530</v>
      </c>
      <c r="N840">
        <v>0</v>
      </c>
      <c r="O840">
        <v>0</v>
      </c>
      <c r="P840" t="str">
        <f t="shared" si="13"/>
        <v>N</v>
      </c>
      <c r="Q840" t="s">
        <v>6570</v>
      </c>
    </row>
    <row r="841" spans="1:17" x14ac:dyDescent="0.25">
      <c r="A841" t="s">
        <v>4820</v>
      </c>
      <c r="B841" t="s">
        <v>1090</v>
      </c>
      <c r="C841">
        <v>2027</v>
      </c>
      <c r="D841" t="s">
        <v>532</v>
      </c>
      <c r="E841" t="s">
        <v>829</v>
      </c>
      <c r="F841" s="32">
        <v>46381</v>
      </c>
      <c r="G841" t="s">
        <v>514</v>
      </c>
      <c r="H841">
        <v>47128350</v>
      </c>
      <c r="I841" t="s">
        <v>1032</v>
      </c>
      <c r="J841" t="s">
        <v>1031</v>
      </c>
      <c r="K841" t="s">
        <v>530</v>
      </c>
      <c r="N841">
        <v>0</v>
      </c>
      <c r="O841">
        <v>0</v>
      </c>
      <c r="P841" t="str">
        <f t="shared" si="13"/>
        <v>N</v>
      </c>
      <c r="Q841" t="s">
        <v>6571</v>
      </c>
    </row>
    <row r="842" spans="1:17" x14ac:dyDescent="0.25">
      <c r="A842" t="s">
        <v>4821</v>
      </c>
      <c r="B842" t="s">
        <v>1090</v>
      </c>
      <c r="C842">
        <v>2027</v>
      </c>
      <c r="D842" t="s">
        <v>532</v>
      </c>
      <c r="E842" t="s">
        <v>829</v>
      </c>
      <c r="F842" s="32">
        <v>46381</v>
      </c>
      <c r="G842" t="s">
        <v>514</v>
      </c>
      <c r="H842">
        <v>47128349</v>
      </c>
      <c r="I842" t="s">
        <v>975</v>
      </c>
      <c r="J842" t="s">
        <v>974</v>
      </c>
      <c r="K842" t="s">
        <v>530</v>
      </c>
      <c r="N842">
        <v>0</v>
      </c>
      <c r="O842">
        <v>0</v>
      </c>
      <c r="P842" t="str">
        <f t="shared" si="13"/>
        <v>N</v>
      </c>
      <c r="Q842" t="s">
        <v>6572</v>
      </c>
    </row>
    <row r="843" spans="1:17" x14ac:dyDescent="0.25">
      <c r="A843" t="s">
        <v>4822</v>
      </c>
      <c r="B843" t="s">
        <v>1090</v>
      </c>
      <c r="C843">
        <v>2027</v>
      </c>
      <c r="D843" t="s">
        <v>532</v>
      </c>
      <c r="E843" t="s">
        <v>829</v>
      </c>
      <c r="F843" s="32">
        <v>46381</v>
      </c>
      <c r="G843" t="s">
        <v>514</v>
      </c>
      <c r="H843">
        <v>47128824</v>
      </c>
      <c r="I843" t="s">
        <v>1296</v>
      </c>
      <c r="J843" t="s">
        <v>1295</v>
      </c>
      <c r="K843" t="s">
        <v>530</v>
      </c>
      <c r="N843">
        <v>0</v>
      </c>
      <c r="O843">
        <v>0</v>
      </c>
      <c r="P843" t="str">
        <f t="shared" si="13"/>
        <v>N</v>
      </c>
      <c r="Q843" t="s">
        <v>6573</v>
      </c>
    </row>
    <row r="844" spans="1:17" x14ac:dyDescent="0.25">
      <c r="A844" t="s">
        <v>4823</v>
      </c>
      <c r="B844" t="s">
        <v>1090</v>
      </c>
      <c r="C844">
        <v>2027</v>
      </c>
      <c r="D844" t="s">
        <v>532</v>
      </c>
      <c r="E844" t="s">
        <v>829</v>
      </c>
      <c r="F844" s="32">
        <v>46381</v>
      </c>
      <c r="G844" t="s">
        <v>514</v>
      </c>
      <c r="H844">
        <v>47128525</v>
      </c>
      <c r="I844" t="s">
        <v>1001</v>
      </c>
      <c r="J844" t="s">
        <v>1000</v>
      </c>
      <c r="K844" t="s">
        <v>530</v>
      </c>
      <c r="N844">
        <v>25</v>
      </c>
      <c r="O844">
        <v>25</v>
      </c>
      <c r="P844" t="str">
        <f t="shared" si="13"/>
        <v>N</v>
      </c>
      <c r="Q844" t="s">
        <v>6574</v>
      </c>
    </row>
    <row r="845" spans="1:17" x14ac:dyDescent="0.25">
      <c r="A845" t="s">
        <v>4824</v>
      </c>
      <c r="B845" t="s">
        <v>1090</v>
      </c>
      <c r="C845">
        <v>2027</v>
      </c>
      <c r="D845" t="s">
        <v>532</v>
      </c>
      <c r="E845" t="s">
        <v>829</v>
      </c>
      <c r="F845" s="32">
        <v>46381</v>
      </c>
      <c r="G845" t="s">
        <v>514</v>
      </c>
      <c r="H845">
        <v>47128477</v>
      </c>
      <c r="I845" t="s">
        <v>1029</v>
      </c>
      <c r="J845" t="s">
        <v>1028</v>
      </c>
      <c r="K845" t="s">
        <v>530</v>
      </c>
      <c r="N845">
        <v>0</v>
      </c>
      <c r="O845">
        <v>0</v>
      </c>
      <c r="P845" t="str">
        <f t="shared" si="13"/>
        <v>N</v>
      </c>
      <c r="Q845" t="s">
        <v>6575</v>
      </c>
    </row>
    <row r="846" spans="1:17" x14ac:dyDescent="0.25">
      <c r="A846" t="s">
        <v>4825</v>
      </c>
      <c r="B846" t="s">
        <v>1090</v>
      </c>
      <c r="C846">
        <v>2027</v>
      </c>
      <c r="D846" t="s">
        <v>532</v>
      </c>
      <c r="E846" t="s">
        <v>829</v>
      </c>
      <c r="F846" s="32">
        <v>46381</v>
      </c>
      <c r="G846" t="s">
        <v>514</v>
      </c>
      <c r="H846">
        <v>47128353</v>
      </c>
      <c r="I846" t="s">
        <v>982</v>
      </c>
      <c r="J846" t="s">
        <v>981</v>
      </c>
      <c r="K846" t="s">
        <v>530</v>
      </c>
      <c r="N846">
        <v>0</v>
      </c>
      <c r="O846">
        <v>0</v>
      </c>
      <c r="P846" t="str">
        <f t="shared" si="13"/>
        <v>N</v>
      </c>
      <c r="Q846" t="s">
        <v>6576</v>
      </c>
    </row>
    <row r="847" spans="1:17" x14ac:dyDescent="0.25">
      <c r="A847" t="s">
        <v>5224</v>
      </c>
      <c r="B847" t="s">
        <v>1089</v>
      </c>
      <c r="C847">
        <v>2027</v>
      </c>
      <c r="D847" t="s">
        <v>532</v>
      </c>
      <c r="E847" t="s">
        <v>829</v>
      </c>
      <c r="F847" s="32">
        <v>46381</v>
      </c>
      <c r="G847" t="s">
        <v>514</v>
      </c>
      <c r="H847">
        <v>47128421</v>
      </c>
      <c r="I847" t="s">
        <v>1086</v>
      </c>
      <c r="J847" t="s">
        <v>1085</v>
      </c>
      <c r="K847" t="s">
        <v>530</v>
      </c>
      <c r="N847">
        <v>40</v>
      </c>
      <c r="O847">
        <v>40</v>
      </c>
      <c r="P847" t="str">
        <f t="shared" si="13"/>
        <v>N</v>
      </c>
      <c r="Q847" t="s">
        <v>6577</v>
      </c>
    </row>
    <row r="848" spans="1:17" x14ac:dyDescent="0.25">
      <c r="A848" t="s">
        <v>5225</v>
      </c>
      <c r="B848" t="s">
        <v>1089</v>
      </c>
      <c r="C848">
        <v>2027</v>
      </c>
      <c r="D848" t="s">
        <v>532</v>
      </c>
      <c r="E848" t="s">
        <v>829</v>
      </c>
      <c r="F848" s="32">
        <v>46381</v>
      </c>
      <c r="G848" t="s">
        <v>514</v>
      </c>
      <c r="H848">
        <v>47128706</v>
      </c>
      <c r="I848" t="s">
        <v>1201</v>
      </c>
      <c r="J848" t="s">
        <v>1200</v>
      </c>
      <c r="K848" t="s">
        <v>530</v>
      </c>
      <c r="N848">
        <v>0</v>
      </c>
      <c r="O848">
        <v>0</v>
      </c>
      <c r="P848" t="str">
        <f t="shared" si="13"/>
        <v>N</v>
      </c>
      <c r="Q848" t="s">
        <v>6578</v>
      </c>
    </row>
    <row r="849" spans="1:17" x14ac:dyDescent="0.25">
      <c r="A849" t="s">
        <v>5226</v>
      </c>
      <c r="B849" t="s">
        <v>1089</v>
      </c>
      <c r="C849">
        <v>2027</v>
      </c>
      <c r="D849" t="s">
        <v>532</v>
      </c>
      <c r="E849" t="s">
        <v>829</v>
      </c>
      <c r="F849" s="32">
        <v>46381</v>
      </c>
      <c r="G849" t="s">
        <v>514</v>
      </c>
      <c r="H849">
        <v>47128364</v>
      </c>
      <c r="I849" t="s">
        <v>1264</v>
      </c>
      <c r="J849" t="s">
        <v>1263</v>
      </c>
      <c r="K849" t="s">
        <v>530</v>
      </c>
      <c r="N849">
        <v>0</v>
      </c>
      <c r="O849">
        <v>0</v>
      </c>
      <c r="P849" t="str">
        <f t="shared" si="13"/>
        <v>N</v>
      </c>
      <c r="Q849" t="s">
        <v>6579</v>
      </c>
    </row>
    <row r="850" spans="1:17" x14ac:dyDescent="0.25">
      <c r="A850" t="s">
        <v>5227</v>
      </c>
      <c r="B850" t="s">
        <v>1089</v>
      </c>
      <c r="C850">
        <v>2027</v>
      </c>
      <c r="D850" t="s">
        <v>532</v>
      </c>
      <c r="E850" t="s">
        <v>829</v>
      </c>
      <c r="F850" s="32">
        <v>46381</v>
      </c>
      <c r="G850" t="s">
        <v>514</v>
      </c>
      <c r="H850">
        <v>47128633</v>
      </c>
      <c r="I850" t="s">
        <v>1164</v>
      </c>
      <c r="J850" t="s">
        <v>1163</v>
      </c>
      <c r="K850" t="s">
        <v>530</v>
      </c>
      <c r="N850">
        <v>0</v>
      </c>
      <c r="O850">
        <v>0</v>
      </c>
      <c r="P850" t="str">
        <f t="shared" si="13"/>
        <v>N</v>
      </c>
      <c r="Q850" t="s">
        <v>6580</v>
      </c>
    </row>
    <row r="851" spans="1:17" x14ac:dyDescent="0.25">
      <c r="A851" t="s">
        <v>5228</v>
      </c>
      <c r="B851" t="s">
        <v>1089</v>
      </c>
      <c r="C851">
        <v>2027</v>
      </c>
      <c r="D851" t="s">
        <v>532</v>
      </c>
      <c r="E851" t="s">
        <v>829</v>
      </c>
      <c r="F851" s="32">
        <v>46381</v>
      </c>
      <c r="G851" t="s">
        <v>514</v>
      </c>
      <c r="H851">
        <v>47128046</v>
      </c>
      <c r="I851" t="s">
        <v>1389</v>
      </c>
      <c r="J851" t="s">
        <v>1388</v>
      </c>
      <c r="K851" t="s">
        <v>530</v>
      </c>
      <c r="N851">
        <v>0</v>
      </c>
      <c r="O851">
        <v>0</v>
      </c>
      <c r="P851" t="str">
        <f t="shared" si="13"/>
        <v>N</v>
      </c>
      <c r="Q851" t="s">
        <v>6581</v>
      </c>
    </row>
    <row r="852" spans="1:17" x14ac:dyDescent="0.25">
      <c r="A852" t="s">
        <v>5229</v>
      </c>
      <c r="B852" t="s">
        <v>1089</v>
      </c>
      <c r="C852">
        <v>2027</v>
      </c>
      <c r="D852" t="s">
        <v>532</v>
      </c>
      <c r="E852" t="s">
        <v>829</v>
      </c>
      <c r="F852" s="32">
        <v>46381</v>
      </c>
      <c r="G852" t="s">
        <v>514</v>
      </c>
      <c r="H852">
        <v>47129548</v>
      </c>
      <c r="I852" t="s">
        <v>1340</v>
      </c>
      <c r="J852" t="s">
        <v>1339</v>
      </c>
      <c r="K852" t="s">
        <v>530</v>
      </c>
      <c r="N852">
        <v>40</v>
      </c>
      <c r="O852">
        <v>40</v>
      </c>
      <c r="P852" t="str">
        <f t="shared" si="13"/>
        <v>N</v>
      </c>
      <c r="Q852" t="s">
        <v>6582</v>
      </c>
    </row>
    <row r="853" spans="1:17" x14ac:dyDescent="0.25">
      <c r="A853" t="s">
        <v>5488</v>
      </c>
      <c r="B853" t="s">
        <v>5437</v>
      </c>
      <c r="C853">
        <v>2027</v>
      </c>
      <c r="D853" t="s">
        <v>532</v>
      </c>
      <c r="E853" t="s">
        <v>829</v>
      </c>
      <c r="F853" s="32">
        <v>46381</v>
      </c>
      <c r="G853" t="s">
        <v>514</v>
      </c>
      <c r="H853">
        <v>47129473</v>
      </c>
      <c r="I853" t="s">
        <v>1430</v>
      </c>
      <c r="J853" t="s">
        <v>1429</v>
      </c>
      <c r="K853" t="s">
        <v>530</v>
      </c>
      <c r="N853">
        <v>0</v>
      </c>
      <c r="O853">
        <v>0</v>
      </c>
      <c r="P853" t="str">
        <f t="shared" si="13"/>
        <v>N</v>
      </c>
      <c r="Q853" t="s">
        <v>6583</v>
      </c>
    </row>
    <row r="854" spans="1:17" x14ac:dyDescent="0.25">
      <c r="A854" t="s">
        <v>5489</v>
      </c>
      <c r="B854" t="s">
        <v>5437</v>
      </c>
      <c r="C854">
        <v>2027</v>
      </c>
      <c r="D854" t="s">
        <v>532</v>
      </c>
      <c r="E854" t="s">
        <v>829</v>
      </c>
      <c r="F854" s="32">
        <v>46381</v>
      </c>
      <c r="G854" t="s">
        <v>514</v>
      </c>
      <c r="H854">
        <v>47128490</v>
      </c>
      <c r="I854" t="s">
        <v>1254</v>
      </c>
      <c r="J854" t="s">
        <v>1253</v>
      </c>
      <c r="K854" t="s">
        <v>530</v>
      </c>
      <c r="N854">
        <v>0</v>
      </c>
      <c r="O854">
        <v>0</v>
      </c>
      <c r="P854" t="str">
        <f t="shared" si="13"/>
        <v>N</v>
      </c>
      <c r="Q854" t="s">
        <v>6584</v>
      </c>
    </row>
    <row r="855" spans="1:17" x14ac:dyDescent="0.25">
      <c r="A855" t="s">
        <v>5490</v>
      </c>
      <c r="B855" t="s">
        <v>5437</v>
      </c>
      <c r="C855">
        <v>2027</v>
      </c>
      <c r="D855" t="s">
        <v>532</v>
      </c>
      <c r="E855" t="s">
        <v>829</v>
      </c>
      <c r="F855" s="32">
        <v>46381</v>
      </c>
      <c r="G855" t="s">
        <v>514</v>
      </c>
      <c r="H855">
        <v>47127948</v>
      </c>
      <c r="I855" t="s">
        <v>1247</v>
      </c>
      <c r="J855" t="s">
        <v>1246</v>
      </c>
      <c r="K855" t="s">
        <v>530</v>
      </c>
      <c r="N855">
        <v>0</v>
      </c>
      <c r="O855">
        <v>0</v>
      </c>
      <c r="P855" t="str">
        <f t="shared" si="13"/>
        <v>N</v>
      </c>
      <c r="Q855" t="s">
        <v>6585</v>
      </c>
    </row>
    <row r="856" spans="1:17" x14ac:dyDescent="0.25">
      <c r="A856" t="s">
        <v>5491</v>
      </c>
      <c r="B856" t="s">
        <v>5437</v>
      </c>
      <c r="C856">
        <v>2027</v>
      </c>
      <c r="D856" t="s">
        <v>532</v>
      </c>
      <c r="E856" t="s">
        <v>829</v>
      </c>
      <c r="F856" s="32">
        <v>46381</v>
      </c>
      <c r="G856" t="s">
        <v>514</v>
      </c>
      <c r="H856">
        <v>47128710</v>
      </c>
      <c r="I856" t="s">
        <v>1189</v>
      </c>
      <c r="J856" t="s">
        <v>1188</v>
      </c>
      <c r="K856" t="s">
        <v>530</v>
      </c>
      <c r="N856">
        <v>0</v>
      </c>
      <c r="O856">
        <v>0</v>
      </c>
      <c r="P856" t="str">
        <f t="shared" si="13"/>
        <v>N</v>
      </c>
      <c r="Q856" t="s">
        <v>6586</v>
      </c>
    </row>
    <row r="857" spans="1:17" x14ac:dyDescent="0.25">
      <c r="A857" t="s">
        <v>5492</v>
      </c>
      <c r="B857" t="s">
        <v>5437</v>
      </c>
      <c r="C857">
        <v>2027</v>
      </c>
      <c r="D857" t="s">
        <v>532</v>
      </c>
      <c r="E857" t="s">
        <v>829</v>
      </c>
      <c r="F857" s="32">
        <v>46381</v>
      </c>
      <c r="G857" t="s">
        <v>514</v>
      </c>
      <c r="H857">
        <v>47128115</v>
      </c>
      <c r="I857" t="s">
        <v>1260</v>
      </c>
      <c r="J857" t="s">
        <v>1259</v>
      </c>
      <c r="K857" t="s">
        <v>530</v>
      </c>
      <c r="N857">
        <v>0</v>
      </c>
      <c r="O857">
        <v>0</v>
      </c>
      <c r="P857" t="str">
        <f t="shared" si="13"/>
        <v>N</v>
      </c>
      <c r="Q857" t="s">
        <v>6587</v>
      </c>
    </row>
    <row r="858" spans="1:17" x14ac:dyDescent="0.25">
      <c r="A858" t="s">
        <v>5493</v>
      </c>
      <c r="B858" t="s">
        <v>5437</v>
      </c>
      <c r="C858">
        <v>2027</v>
      </c>
      <c r="D858" t="s">
        <v>532</v>
      </c>
      <c r="E858" t="s">
        <v>829</v>
      </c>
      <c r="F858" s="32">
        <v>46381</v>
      </c>
      <c r="G858" t="s">
        <v>514</v>
      </c>
      <c r="H858">
        <v>47128833</v>
      </c>
      <c r="I858" t="s">
        <v>1193</v>
      </c>
      <c r="J858" t="s">
        <v>1192</v>
      </c>
      <c r="K858" t="s">
        <v>530</v>
      </c>
      <c r="N858">
        <v>40</v>
      </c>
      <c r="O858">
        <v>40</v>
      </c>
      <c r="P858" t="str">
        <f t="shared" si="13"/>
        <v>N</v>
      </c>
      <c r="Q858" t="s">
        <v>6588</v>
      </c>
    </row>
    <row r="859" spans="1:17" x14ac:dyDescent="0.25">
      <c r="A859" t="s">
        <v>5494</v>
      </c>
      <c r="B859" t="s">
        <v>5437</v>
      </c>
      <c r="C859">
        <v>2027</v>
      </c>
      <c r="D859" t="s">
        <v>532</v>
      </c>
      <c r="E859" t="s">
        <v>829</v>
      </c>
      <c r="F859" s="32">
        <v>46381</v>
      </c>
      <c r="G859" t="s">
        <v>514</v>
      </c>
      <c r="H859">
        <v>47128784</v>
      </c>
      <c r="I859" t="s">
        <v>1426</v>
      </c>
      <c r="J859" t="s">
        <v>1425</v>
      </c>
      <c r="K859" t="s">
        <v>530</v>
      </c>
      <c r="N859">
        <v>0</v>
      </c>
      <c r="O859">
        <v>0</v>
      </c>
      <c r="P859" t="str">
        <f t="shared" si="13"/>
        <v>N</v>
      </c>
      <c r="Q859" t="s">
        <v>6589</v>
      </c>
    </row>
    <row r="860" spans="1:17" x14ac:dyDescent="0.25">
      <c r="A860" t="s">
        <v>5495</v>
      </c>
      <c r="B860" t="s">
        <v>5437</v>
      </c>
      <c r="C860">
        <v>2027</v>
      </c>
      <c r="D860" t="s">
        <v>532</v>
      </c>
      <c r="E860" t="s">
        <v>829</v>
      </c>
      <c r="F860" s="32">
        <v>46381</v>
      </c>
      <c r="G860" t="s">
        <v>514</v>
      </c>
      <c r="H860">
        <v>47129020</v>
      </c>
      <c r="I860" t="s">
        <v>1058</v>
      </c>
      <c r="J860" t="s">
        <v>1057</v>
      </c>
      <c r="K860" t="s">
        <v>530</v>
      </c>
      <c r="N860">
        <v>40</v>
      </c>
      <c r="O860">
        <v>40</v>
      </c>
      <c r="P860" t="str">
        <f t="shared" si="13"/>
        <v>N</v>
      </c>
      <c r="Q860" t="s">
        <v>6590</v>
      </c>
    </row>
    <row r="861" spans="1:17" x14ac:dyDescent="0.25">
      <c r="A861" t="s">
        <v>1564</v>
      </c>
      <c r="B861" t="s">
        <v>1520</v>
      </c>
      <c r="C861">
        <v>2027</v>
      </c>
      <c r="D861" t="s">
        <v>534</v>
      </c>
      <c r="E861" t="s">
        <v>830</v>
      </c>
      <c r="F861" s="32">
        <v>46388</v>
      </c>
      <c r="G861" t="s">
        <v>514</v>
      </c>
      <c r="H861">
        <v>47128207</v>
      </c>
      <c r="I861" t="s">
        <v>1522</v>
      </c>
      <c r="J861" t="s">
        <v>1523</v>
      </c>
      <c r="K861" t="s">
        <v>530</v>
      </c>
      <c r="N861">
        <v>0</v>
      </c>
      <c r="O861">
        <v>0</v>
      </c>
      <c r="P861" t="str">
        <f t="shared" si="13"/>
        <v>N</v>
      </c>
      <c r="Q861" t="s">
        <v>6591</v>
      </c>
    </row>
    <row r="862" spans="1:17" x14ac:dyDescent="0.25">
      <c r="A862" t="s">
        <v>1565</v>
      </c>
      <c r="B862" t="s">
        <v>1520</v>
      </c>
      <c r="C862">
        <v>2027</v>
      </c>
      <c r="D862" t="s">
        <v>534</v>
      </c>
      <c r="E862" t="s">
        <v>830</v>
      </c>
      <c r="F862" s="32">
        <v>46388</v>
      </c>
      <c r="G862" t="s">
        <v>514</v>
      </c>
      <c r="H862">
        <v>47128581</v>
      </c>
      <c r="I862" t="s">
        <v>1525</v>
      </c>
      <c r="J862" t="s">
        <v>1526</v>
      </c>
      <c r="K862" t="s">
        <v>530</v>
      </c>
      <c r="N862">
        <v>0</v>
      </c>
      <c r="O862">
        <v>0</v>
      </c>
      <c r="P862" t="str">
        <f t="shared" si="13"/>
        <v>N</v>
      </c>
      <c r="Q862" t="s">
        <v>6592</v>
      </c>
    </row>
    <row r="863" spans="1:17" x14ac:dyDescent="0.25">
      <c r="A863" t="s">
        <v>1566</v>
      </c>
      <c r="B863" t="s">
        <v>1520</v>
      </c>
      <c r="C863">
        <v>2027</v>
      </c>
      <c r="D863" t="s">
        <v>534</v>
      </c>
      <c r="E863" t="s">
        <v>830</v>
      </c>
      <c r="F863" s="32">
        <v>46388</v>
      </c>
      <c r="G863" t="s">
        <v>514</v>
      </c>
      <c r="H863">
        <v>47127959</v>
      </c>
      <c r="I863" t="s">
        <v>1528</v>
      </c>
      <c r="J863" t="s">
        <v>1529</v>
      </c>
      <c r="K863" t="s">
        <v>530</v>
      </c>
      <c r="N863">
        <v>0</v>
      </c>
      <c r="O863">
        <v>0</v>
      </c>
      <c r="P863" t="str">
        <f t="shared" si="13"/>
        <v>N</v>
      </c>
      <c r="Q863" t="s">
        <v>6593</v>
      </c>
    </row>
    <row r="864" spans="1:17" x14ac:dyDescent="0.25">
      <c r="A864" t="s">
        <v>1567</v>
      </c>
      <c r="B864" t="s">
        <v>1520</v>
      </c>
      <c r="C864">
        <v>2027</v>
      </c>
      <c r="D864" t="s">
        <v>534</v>
      </c>
      <c r="E864" t="s">
        <v>830</v>
      </c>
      <c r="F864" s="32">
        <v>46388</v>
      </c>
      <c r="G864" t="s">
        <v>514</v>
      </c>
      <c r="H864">
        <v>47128204</v>
      </c>
      <c r="I864" t="s">
        <v>1531</v>
      </c>
      <c r="J864" t="s">
        <v>1532</v>
      </c>
      <c r="K864" t="s">
        <v>530</v>
      </c>
      <c r="N864">
        <v>40</v>
      </c>
      <c r="O864">
        <v>40</v>
      </c>
      <c r="P864" t="str">
        <f t="shared" si="13"/>
        <v>N</v>
      </c>
      <c r="Q864" t="s">
        <v>6594</v>
      </c>
    </row>
    <row r="865" spans="1:17" x14ac:dyDescent="0.25">
      <c r="A865" t="s">
        <v>1568</v>
      </c>
      <c r="B865" t="s">
        <v>1520</v>
      </c>
      <c r="C865">
        <v>2027</v>
      </c>
      <c r="D865" t="s">
        <v>534</v>
      </c>
      <c r="E865" t="s">
        <v>830</v>
      </c>
      <c r="F865" s="32">
        <v>46388</v>
      </c>
      <c r="G865" t="s">
        <v>514</v>
      </c>
      <c r="H865">
        <v>47128207</v>
      </c>
      <c r="I865" t="s">
        <v>1522</v>
      </c>
      <c r="J865" t="s">
        <v>1534</v>
      </c>
      <c r="K865" t="s">
        <v>530</v>
      </c>
      <c r="N865">
        <v>0</v>
      </c>
      <c r="O865">
        <v>0</v>
      </c>
      <c r="P865" t="str">
        <f t="shared" si="13"/>
        <v>N</v>
      </c>
      <c r="Q865" t="s">
        <v>6595</v>
      </c>
    </row>
    <row r="866" spans="1:17" x14ac:dyDescent="0.25">
      <c r="A866" t="s">
        <v>1569</v>
      </c>
      <c r="B866" t="s">
        <v>1520</v>
      </c>
      <c r="C866">
        <v>2027</v>
      </c>
      <c r="D866" t="s">
        <v>534</v>
      </c>
      <c r="E866" t="s">
        <v>830</v>
      </c>
      <c r="F866" s="32">
        <v>46388</v>
      </c>
      <c r="G866" t="s">
        <v>563</v>
      </c>
      <c r="H866">
        <v>10000015</v>
      </c>
      <c r="I866" t="s">
        <v>562</v>
      </c>
      <c r="K866" t="s">
        <v>530</v>
      </c>
      <c r="N866">
        <v>0</v>
      </c>
      <c r="O866">
        <v>0</v>
      </c>
      <c r="P866" t="str">
        <f t="shared" si="13"/>
        <v>N</v>
      </c>
      <c r="Q866" t="s">
        <v>6596</v>
      </c>
    </row>
    <row r="867" spans="1:17" x14ac:dyDescent="0.25">
      <c r="A867" t="s">
        <v>1570</v>
      </c>
      <c r="B867" t="s">
        <v>1520</v>
      </c>
      <c r="C867">
        <v>2027</v>
      </c>
      <c r="D867" t="s">
        <v>534</v>
      </c>
      <c r="E867" t="s">
        <v>830</v>
      </c>
      <c r="F867" s="32">
        <v>46388</v>
      </c>
      <c r="G867" t="s">
        <v>514</v>
      </c>
      <c r="H867">
        <v>47127959</v>
      </c>
      <c r="I867" t="s">
        <v>1528</v>
      </c>
      <c r="J867" t="s">
        <v>1537</v>
      </c>
      <c r="K867" t="s">
        <v>530</v>
      </c>
      <c r="N867">
        <v>0</v>
      </c>
      <c r="O867">
        <v>0</v>
      </c>
      <c r="P867" t="str">
        <f t="shared" si="13"/>
        <v>N</v>
      </c>
      <c r="Q867" t="s">
        <v>6597</v>
      </c>
    </row>
    <row r="868" spans="1:17" x14ac:dyDescent="0.25">
      <c r="A868" t="s">
        <v>1571</v>
      </c>
      <c r="B868" t="s">
        <v>1520</v>
      </c>
      <c r="C868">
        <v>2027</v>
      </c>
      <c r="D868" t="s">
        <v>534</v>
      </c>
      <c r="E868" t="s">
        <v>830</v>
      </c>
      <c r="F868" s="32">
        <v>46388</v>
      </c>
      <c r="G868" t="s">
        <v>514</v>
      </c>
      <c r="H868">
        <v>47128581</v>
      </c>
      <c r="I868" t="s">
        <v>1525</v>
      </c>
      <c r="J868" t="s">
        <v>1539</v>
      </c>
      <c r="K868" t="s">
        <v>530</v>
      </c>
      <c r="N868">
        <v>0</v>
      </c>
      <c r="O868">
        <v>0</v>
      </c>
      <c r="P868" t="str">
        <f t="shared" si="13"/>
        <v>N</v>
      </c>
      <c r="Q868" t="s">
        <v>6598</v>
      </c>
    </row>
    <row r="869" spans="1:17" x14ac:dyDescent="0.25">
      <c r="A869" t="s">
        <v>1812</v>
      </c>
      <c r="B869" t="s">
        <v>1135</v>
      </c>
      <c r="C869">
        <v>2027</v>
      </c>
      <c r="D869" t="s">
        <v>534</v>
      </c>
      <c r="E869" t="s">
        <v>830</v>
      </c>
      <c r="F869" s="32">
        <v>46388</v>
      </c>
      <c r="G869" t="s">
        <v>514</v>
      </c>
      <c r="H869">
        <v>47128518</v>
      </c>
      <c r="I869" t="s">
        <v>1232</v>
      </c>
      <c r="J869" t="s">
        <v>1493</v>
      </c>
      <c r="K869" t="s">
        <v>530</v>
      </c>
      <c r="N869">
        <v>0</v>
      </c>
      <c r="O869">
        <v>0</v>
      </c>
      <c r="P869" t="str">
        <f t="shared" si="13"/>
        <v>N</v>
      </c>
      <c r="Q869" t="s">
        <v>6599</v>
      </c>
    </row>
    <row r="870" spans="1:17" x14ac:dyDescent="0.25">
      <c r="A870" t="s">
        <v>1813</v>
      </c>
      <c r="B870" t="s">
        <v>1135</v>
      </c>
      <c r="C870">
        <v>2027</v>
      </c>
      <c r="D870" t="s">
        <v>534</v>
      </c>
      <c r="E870" t="s">
        <v>830</v>
      </c>
      <c r="F870" s="32">
        <v>46388</v>
      </c>
      <c r="G870" t="s">
        <v>514</v>
      </c>
      <c r="H870">
        <v>47128168</v>
      </c>
      <c r="I870" t="s">
        <v>1100</v>
      </c>
      <c r="J870" t="s">
        <v>1099</v>
      </c>
      <c r="K870" t="s">
        <v>530</v>
      </c>
      <c r="N870">
        <v>0</v>
      </c>
      <c r="O870">
        <v>0</v>
      </c>
      <c r="P870" t="str">
        <f t="shared" si="13"/>
        <v>N</v>
      </c>
      <c r="Q870" t="s">
        <v>6600</v>
      </c>
    </row>
    <row r="871" spans="1:17" x14ac:dyDescent="0.25">
      <c r="A871" t="s">
        <v>1814</v>
      </c>
      <c r="B871" t="s">
        <v>1135</v>
      </c>
      <c r="C871">
        <v>2027</v>
      </c>
      <c r="D871" t="s">
        <v>534</v>
      </c>
      <c r="E871" t="s">
        <v>830</v>
      </c>
      <c r="F871" s="32">
        <v>46388</v>
      </c>
      <c r="G871" t="s">
        <v>514</v>
      </c>
      <c r="H871">
        <v>47128687</v>
      </c>
      <c r="I871" t="s">
        <v>1153</v>
      </c>
      <c r="J871" t="s">
        <v>1152</v>
      </c>
      <c r="K871" t="s">
        <v>530</v>
      </c>
      <c r="N871">
        <v>0</v>
      </c>
      <c r="O871">
        <v>0</v>
      </c>
      <c r="P871" t="str">
        <f t="shared" si="13"/>
        <v>N</v>
      </c>
      <c r="Q871" t="s">
        <v>6601</v>
      </c>
    </row>
    <row r="872" spans="1:17" x14ac:dyDescent="0.25">
      <c r="A872" t="s">
        <v>1815</v>
      </c>
      <c r="B872" t="s">
        <v>1135</v>
      </c>
      <c r="C872">
        <v>2027</v>
      </c>
      <c r="D872" t="s">
        <v>534</v>
      </c>
      <c r="E872" t="s">
        <v>830</v>
      </c>
      <c r="F872" s="32">
        <v>46388</v>
      </c>
      <c r="G872" t="s">
        <v>514</v>
      </c>
      <c r="H872">
        <v>47128585</v>
      </c>
      <c r="I872" t="s">
        <v>1141</v>
      </c>
      <c r="J872" t="s">
        <v>1140</v>
      </c>
      <c r="K872" t="s">
        <v>530</v>
      </c>
      <c r="N872">
        <v>0</v>
      </c>
      <c r="O872">
        <v>0</v>
      </c>
      <c r="P872" t="str">
        <f t="shared" si="13"/>
        <v>N</v>
      </c>
      <c r="Q872" t="s">
        <v>6602</v>
      </c>
    </row>
    <row r="873" spans="1:17" x14ac:dyDescent="0.25">
      <c r="A873" t="s">
        <v>1816</v>
      </c>
      <c r="B873" t="s">
        <v>1135</v>
      </c>
      <c r="C873">
        <v>2027</v>
      </c>
      <c r="D873" t="s">
        <v>534</v>
      </c>
      <c r="E873" t="s">
        <v>830</v>
      </c>
      <c r="F873" s="32">
        <v>46388</v>
      </c>
      <c r="G873" t="s">
        <v>514</v>
      </c>
      <c r="H873">
        <v>47128906</v>
      </c>
      <c r="I873" t="s">
        <v>1349</v>
      </c>
      <c r="J873" t="s">
        <v>1348</v>
      </c>
      <c r="K873" t="s">
        <v>530</v>
      </c>
      <c r="N873">
        <v>0</v>
      </c>
      <c r="O873">
        <v>0</v>
      </c>
      <c r="P873" t="str">
        <f t="shared" si="13"/>
        <v>N</v>
      </c>
      <c r="Q873" t="s">
        <v>6603</v>
      </c>
    </row>
    <row r="874" spans="1:17" x14ac:dyDescent="0.25">
      <c r="A874" t="s">
        <v>1817</v>
      </c>
      <c r="B874" t="s">
        <v>1135</v>
      </c>
      <c r="C874">
        <v>2027</v>
      </c>
      <c r="D874" t="s">
        <v>534</v>
      </c>
      <c r="E874" t="s">
        <v>830</v>
      </c>
      <c r="F874" s="32">
        <v>46388</v>
      </c>
      <c r="G874" t="s">
        <v>514</v>
      </c>
      <c r="H874">
        <v>47128585</v>
      </c>
      <c r="I874" t="s">
        <v>1141</v>
      </c>
      <c r="J874" t="s">
        <v>1408</v>
      </c>
      <c r="K874" t="s">
        <v>530</v>
      </c>
      <c r="N874">
        <v>0</v>
      </c>
      <c r="O874">
        <v>0</v>
      </c>
      <c r="P874" t="str">
        <f t="shared" si="13"/>
        <v>N</v>
      </c>
      <c r="Q874" t="s">
        <v>6604</v>
      </c>
    </row>
    <row r="875" spans="1:17" x14ac:dyDescent="0.25">
      <c r="A875" t="s">
        <v>1818</v>
      </c>
      <c r="B875" t="s">
        <v>1135</v>
      </c>
      <c r="C875">
        <v>2027</v>
      </c>
      <c r="D875" t="s">
        <v>534</v>
      </c>
      <c r="E875" t="s">
        <v>830</v>
      </c>
      <c r="F875" s="32">
        <v>46388</v>
      </c>
      <c r="G875" t="s">
        <v>514</v>
      </c>
      <c r="H875">
        <v>47128518</v>
      </c>
      <c r="I875" t="s">
        <v>1232</v>
      </c>
      <c r="J875" t="s">
        <v>1231</v>
      </c>
      <c r="K875" t="s">
        <v>530</v>
      </c>
      <c r="N875">
        <v>0</v>
      </c>
      <c r="O875">
        <v>0</v>
      </c>
      <c r="P875" t="str">
        <f t="shared" si="13"/>
        <v>N</v>
      </c>
      <c r="Q875" t="s">
        <v>6605</v>
      </c>
    </row>
    <row r="876" spans="1:17" x14ac:dyDescent="0.25">
      <c r="A876" t="s">
        <v>1819</v>
      </c>
      <c r="B876" t="s">
        <v>1135</v>
      </c>
      <c r="C876">
        <v>2027</v>
      </c>
      <c r="D876" t="s">
        <v>534</v>
      </c>
      <c r="E876" t="s">
        <v>830</v>
      </c>
      <c r="F876" s="32">
        <v>46388</v>
      </c>
      <c r="G876" t="s">
        <v>514</v>
      </c>
      <c r="H876">
        <v>47128024</v>
      </c>
      <c r="I876" t="s">
        <v>1108</v>
      </c>
      <c r="J876" t="s">
        <v>1107</v>
      </c>
      <c r="K876" t="s">
        <v>530</v>
      </c>
      <c r="N876">
        <v>0</v>
      </c>
      <c r="O876">
        <v>0</v>
      </c>
      <c r="P876" t="str">
        <f t="shared" si="13"/>
        <v>N</v>
      </c>
      <c r="Q876" t="s">
        <v>6606</v>
      </c>
    </row>
    <row r="877" spans="1:17" x14ac:dyDescent="0.25">
      <c r="A877" t="s">
        <v>1820</v>
      </c>
      <c r="B877" t="s">
        <v>1135</v>
      </c>
      <c r="C877">
        <v>2027</v>
      </c>
      <c r="D877" t="s">
        <v>534</v>
      </c>
      <c r="E877" t="s">
        <v>830</v>
      </c>
      <c r="F877" s="32">
        <v>46388</v>
      </c>
      <c r="G877" t="s">
        <v>514</v>
      </c>
      <c r="H877">
        <v>47128680</v>
      </c>
      <c r="I877" t="s">
        <v>1284</v>
      </c>
      <c r="J877" t="s">
        <v>1283</v>
      </c>
      <c r="K877" t="s">
        <v>530</v>
      </c>
      <c r="N877">
        <v>0</v>
      </c>
      <c r="O877">
        <v>0</v>
      </c>
      <c r="P877" t="str">
        <f t="shared" si="13"/>
        <v>N</v>
      </c>
      <c r="Q877" t="s">
        <v>6607</v>
      </c>
    </row>
    <row r="878" spans="1:17" x14ac:dyDescent="0.25">
      <c r="A878" t="s">
        <v>1821</v>
      </c>
      <c r="B878" t="s">
        <v>1135</v>
      </c>
      <c r="C878">
        <v>2027</v>
      </c>
      <c r="D878" t="s">
        <v>534</v>
      </c>
      <c r="E878" t="s">
        <v>830</v>
      </c>
      <c r="F878" s="32">
        <v>46388</v>
      </c>
      <c r="G878" t="s">
        <v>514</v>
      </c>
      <c r="H878">
        <v>47128944</v>
      </c>
      <c r="I878" t="s">
        <v>1137</v>
      </c>
      <c r="J878" t="s">
        <v>1513</v>
      </c>
      <c r="K878" t="s">
        <v>530</v>
      </c>
      <c r="N878">
        <v>0</v>
      </c>
      <c r="O878">
        <v>0</v>
      </c>
      <c r="P878" t="str">
        <f t="shared" si="13"/>
        <v>N</v>
      </c>
      <c r="Q878" t="s">
        <v>6608</v>
      </c>
    </row>
    <row r="879" spans="1:17" x14ac:dyDescent="0.25">
      <c r="A879" t="s">
        <v>1822</v>
      </c>
      <c r="B879" t="s">
        <v>1135</v>
      </c>
      <c r="C879">
        <v>2027</v>
      </c>
      <c r="D879" t="s">
        <v>534</v>
      </c>
      <c r="E879" t="s">
        <v>830</v>
      </c>
      <c r="F879" s="32">
        <v>46388</v>
      </c>
      <c r="G879" t="s">
        <v>514</v>
      </c>
      <c r="H879">
        <v>47147546</v>
      </c>
      <c r="I879" t="s">
        <v>1077</v>
      </c>
      <c r="J879" t="s">
        <v>1076</v>
      </c>
      <c r="K879" t="s">
        <v>530</v>
      </c>
      <c r="N879">
        <v>0</v>
      </c>
      <c r="O879">
        <v>0</v>
      </c>
      <c r="P879" t="str">
        <f t="shared" si="13"/>
        <v>N</v>
      </c>
      <c r="Q879" t="s">
        <v>6609</v>
      </c>
    </row>
    <row r="880" spans="1:17" x14ac:dyDescent="0.25">
      <c r="A880" t="s">
        <v>1823</v>
      </c>
      <c r="B880" t="s">
        <v>1135</v>
      </c>
      <c r="C880">
        <v>2027</v>
      </c>
      <c r="D880" t="s">
        <v>534</v>
      </c>
      <c r="E880" t="s">
        <v>830</v>
      </c>
      <c r="F880" s="32">
        <v>46388</v>
      </c>
      <c r="G880" t="s">
        <v>514</v>
      </c>
      <c r="H880">
        <v>47128346</v>
      </c>
      <c r="I880" t="s">
        <v>1157</v>
      </c>
      <c r="J880" t="s">
        <v>1156</v>
      </c>
      <c r="K880" t="s">
        <v>530</v>
      </c>
      <c r="N880">
        <v>0</v>
      </c>
      <c r="O880">
        <v>0</v>
      </c>
      <c r="P880" t="str">
        <f t="shared" si="13"/>
        <v>N</v>
      </c>
      <c r="Q880" t="s">
        <v>6610</v>
      </c>
    </row>
    <row r="881" spans="1:17" x14ac:dyDescent="0.25">
      <c r="A881" t="s">
        <v>1824</v>
      </c>
      <c r="B881" t="s">
        <v>1135</v>
      </c>
      <c r="C881">
        <v>2027</v>
      </c>
      <c r="D881" t="s">
        <v>534</v>
      </c>
      <c r="E881" t="s">
        <v>830</v>
      </c>
      <c r="F881" s="32">
        <v>46388</v>
      </c>
      <c r="G881" t="s">
        <v>514</v>
      </c>
      <c r="H881">
        <v>47128800</v>
      </c>
      <c r="I881" t="s">
        <v>1145</v>
      </c>
      <c r="J881" t="s">
        <v>1144</v>
      </c>
      <c r="K881" t="s">
        <v>530</v>
      </c>
      <c r="N881">
        <v>0</v>
      </c>
      <c r="O881">
        <v>0</v>
      </c>
      <c r="P881" t="str">
        <f t="shared" si="13"/>
        <v>N</v>
      </c>
      <c r="Q881" t="s">
        <v>6611</v>
      </c>
    </row>
    <row r="882" spans="1:17" x14ac:dyDescent="0.25">
      <c r="A882" t="s">
        <v>1825</v>
      </c>
      <c r="B882" t="s">
        <v>1135</v>
      </c>
      <c r="C882">
        <v>2027</v>
      </c>
      <c r="D882" t="s">
        <v>534</v>
      </c>
      <c r="E882" t="s">
        <v>830</v>
      </c>
      <c r="F882" s="32">
        <v>46388</v>
      </c>
      <c r="G882" t="s">
        <v>514</v>
      </c>
      <c r="H882">
        <v>47128109</v>
      </c>
      <c r="I882" t="s">
        <v>1336</v>
      </c>
      <c r="J882" t="s">
        <v>1335</v>
      </c>
      <c r="K882" t="s">
        <v>530</v>
      </c>
      <c r="N882">
        <v>0</v>
      </c>
      <c r="O882">
        <v>0</v>
      </c>
      <c r="P882" t="str">
        <f t="shared" si="13"/>
        <v>N</v>
      </c>
      <c r="Q882" t="s">
        <v>6612</v>
      </c>
    </row>
    <row r="883" spans="1:17" x14ac:dyDescent="0.25">
      <c r="A883" t="s">
        <v>1826</v>
      </c>
      <c r="B883" t="s">
        <v>1135</v>
      </c>
      <c r="C883">
        <v>2027</v>
      </c>
      <c r="D883" t="s">
        <v>534</v>
      </c>
      <c r="E883" t="s">
        <v>830</v>
      </c>
      <c r="F883" s="32">
        <v>46388</v>
      </c>
      <c r="G883" t="s">
        <v>514</v>
      </c>
      <c r="H883">
        <v>47128430</v>
      </c>
      <c r="I883" t="s">
        <v>1401</v>
      </c>
      <c r="J883" t="s">
        <v>1400</v>
      </c>
      <c r="K883" t="s">
        <v>530</v>
      </c>
      <c r="N883">
        <v>0</v>
      </c>
      <c r="O883">
        <v>0</v>
      </c>
      <c r="P883" t="str">
        <f t="shared" si="13"/>
        <v>N</v>
      </c>
      <c r="Q883" t="s">
        <v>6613</v>
      </c>
    </row>
    <row r="884" spans="1:17" x14ac:dyDescent="0.25">
      <c r="A884" t="s">
        <v>1827</v>
      </c>
      <c r="B884" t="s">
        <v>1135</v>
      </c>
      <c r="C884">
        <v>2027</v>
      </c>
      <c r="D884" t="s">
        <v>534</v>
      </c>
      <c r="E884" t="s">
        <v>830</v>
      </c>
      <c r="F884" s="32">
        <v>46388</v>
      </c>
      <c r="G884" t="s">
        <v>514</v>
      </c>
      <c r="H884">
        <v>47128522</v>
      </c>
      <c r="I884" t="s">
        <v>1092</v>
      </c>
      <c r="J884" t="s">
        <v>1091</v>
      </c>
      <c r="K884" t="s">
        <v>530</v>
      </c>
      <c r="N884">
        <v>0</v>
      </c>
      <c r="O884">
        <v>0</v>
      </c>
      <c r="P884" t="str">
        <f t="shared" si="13"/>
        <v>N</v>
      </c>
      <c r="Q884" t="s">
        <v>6614</v>
      </c>
    </row>
    <row r="885" spans="1:17" x14ac:dyDescent="0.25">
      <c r="A885" t="s">
        <v>1828</v>
      </c>
      <c r="B885" t="s">
        <v>1135</v>
      </c>
      <c r="C885">
        <v>2027</v>
      </c>
      <c r="D885" t="s">
        <v>534</v>
      </c>
      <c r="E885" t="s">
        <v>830</v>
      </c>
      <c r="F885" s="32">
        <v>46388</v>
      </c>
      <c r="G885" t="s">
        <v>514</v>
      </c>
      <c r="H885">
        <v>47147546</v>
      </c>
      <c r="I885" t="s">
        <v>1077</v>
      </c>
      <c r="J885" t="s">
        <v>1381</v>
      </c>
      <c r="K885" t="s">
        <v>530</v>
      </c>
      <c r="N885">
        <v>0</v>
      </c>
      <c r="O885">
        <v>0</v>
      </c>
      <c r="P885" t="str">
        <f t="shared" si="13"/>
        <v>N</v>
      </c>
      <c r="Q885" t="s">
        <v>6615</v>
      </c>
    </row>
    <row r="886" spans="1:17" x14ac:dyDescent="0.25">
      <c r="A886" t="s">
        <v>1829</v>
      </c>
      <c r="B886" t="s">
        <v>1135</v>
      </c>
      <c r="C886">
        <v>2027</v>
      </c>
      <c r="D886" t="s">
        <v>534</v>
      </c>
      <c r="E886" t="s">
        <v>830</v>
      </c>
      <c r="F886" s="32">
        <v>46388</v>
      </c>
      <c r="G886" t="s">
        <v>514</v>
      </c>
      <c r="H886">
        <v>47147658</v>
      </c>
      <c r="I886" t="s">
        <v>1276</v>
      </c>
      <c r="J886" t="s">
        <v>1275</v>
      </c>
      <c r="K886" t="s">
        <v>530</v>
      </c>
      <c r="N886">
        <v>0</v>
      </c>
      <c r="O886">
        <v>0</v>
      </c>
      <c r="P886" t="str">
        <f t="shared" si="13"/>
        <v>N</v>
      </c>
      <c r="Q886" t="s">
        <v>6616</v>
      </c>
    </row>
    <row r="887" spans="1:17" x14ac:dyDescent="0.25">
      <c r="A887" t="s">
        <v>1830</v>
      </c>
      <c r="B887" t="s">
        <v>1135</v>
      </c>
      <c r="C887">
        <v>2027</v>
      </c>
      <c r="D887" t="s">
        <v>534</v>
      </c>
      <c r="E887" t="s">
        <v>830</v>
      </c>
      <c r="F887" s="32">
        <v>46388</v>
      </c>
      <c r="G887" t="s">
        <v>514</v>
      </c>
      <c r="H887">
        <v>47147546</v>
      </c>
      <c r="I887" t="s">
        <v>1077</v>
      </c>
      <c r="J887" t="s">
        <v>1171</v>
      </c>
      <c r="K887" t="s">
        <v>530</v>
      </c>
      <c r="N887">
        <v>0</v>
      </c>
      <c r="O887">
        <v>0</v>
      </c>
      <c r="P887" t="str">
        <f t="shared" si="13"/>
        <v>N</v>
      </c>
      <c r="Q887" t="s">
        <v>6617</v>
      </c>
    </row>
    <row r="888" spans="1:17" x14ac:dyDescent="0.25">
      <c r="A888" t="s">
        <v>1831</v>
      </c>
      <c r="B888" t="s">
        <v>1135</v>
      </c>
      <c r="C888">
        <v>2027</v>
      </c>
      <c r="D888" t="s">
        <v>534</v>
      </c>
      <c r="E888" t="s">
        <v>830</v>
      </c>
      <c r="F888" s="32">
        <v>46388</v>
      </c>
      <c r="G888" t="s">
        <v>514</v>
      </c>
      <c r="H888">
        <v>47128028</v>
      </c>
      <c r="I888" t="s">
        <v>1035</v>
      </c>
      <c r="J888" t="s">
        <v>1034</v>
      </c>
      <c r="K888" t="s">
        <v>530</v>
      </c>
      <c r="N888">
        <v>0</v>
      </c>
      <c r="O888">
        <v>0</v>
      </c>
      <c r="P888" t="str">
        <f t="shared" si="13"/>
        <v>N</v>
      </c>
      <c r="Q888" t="s">
        <v>6618</v>
      </c>
    </row>
    <row r="889" spans="1:17" x14ac:dyDescent="0.25">
      <c r="A889" t="s">
        <v>1832</v>
      </c>
      <c r="B889" t="s">
        <v>1135</v>
      </c>
      <c r="C889">
        <v>2027</v>
      </c>
      <c r="D889" t="s">
        <v>534</v>
      </c>
      <c r="E889" t="s">
        <v>830</v>
      </c>
      <c r="F889" s="32">
        <v>46388</v>
      </c>
      <c r="G889" t="s">
        <v>514</v>
      </c>
      <c r="H889">
        <v>47128465</v>
      </c>
      <c r="I889" t="s">
        <v>1333</v>
      </c>
      <c r="J889" t="s">
        <v>1332</v>
      </c>
      <c r="K889" t="s">
        <v>530</v>
      </c>
      <c r="N889">
        <v>0</v>
      </c>
      <c r="O889">
        <v>0</v>
      </c>
      <c r="P889" t="str">
        <f t="shared" si="13"/>
        <v>N</v>
      </c>
      <c r="Q889" t="s">
        <v>6619</v>
      </c>
    </row>
    <row r="890" spans="1:17" x14ac:dyDescent="0.25">
      <c r="A890" t="s">
        <v>1833</v>
      </c>
      <c r="B890" t="s">
        <v>1135</v>
      </c>
      <c r="C890">
        <v>2027</v>
      </c>
      <c r="D890" t="s">
        <v>534</v>
      </c>
      <c r="E890" t="s">
        <v>830</v>
      </c>
      <c r="F890" s="32">
        <v>46388</v>
      </c>
      <c r="G890" t="s">
        <v>514</v>
      </c>
      <c r="H890">
        <v>47128548</v>
      </c>
      <c r="I890" t="s">
        <v>958</v>
      </c>
      <c r="J890" t="s">
        <v>957</v>
      </c>
      <c r="K890" t="s">
        <v>530</v>
      </c>
      <c r="N890">
        <v>0</v>
      </c>
      <c r="O890">
        <v>0</v>
      </c>
      <c r="P890" t="str">
        <f t="shared" si="13"/>
        <v>N</v>
      </c>
      <c r="Q890" t="s">
        <v>6620</v>
      </c>
    </row>
    <row r="891" spans="1:17" x14ac:dyDescent="0.25">
      <c r="A891" t="s">
        <v>1834</v>
      </c>
      <c r="B891" t="s">
        <v>1135</v>
      </c>
      <c r="C891">
        <v>2027</v>
      </c>
      <c r="D891" t="s">
        <v>534</v>
      </c>
      <c r="E891" t="s">
        <v>830</v>
      </c>
      <c r="F891" s="32">
        <v>46388</v>
      </c>
      <c r="G891" t="s">
        <v>514</v>
      </c>
      <c r="H891">
        <v>47146464</v>
      </c>
      <c r="I891" t="s">
        <v>1438</v>
      </c>
      <c r="J891" t="s">
        <v>1437</v>
      </c>
      <c r="K891" t="s">
        <v>530</v>
      </c>
      <c r="N891">
        <v>0</v>
      </c>
      <c r="O891">
        <v>0</v>
      </c>
      <c r="P891" t="str">
        <f t="shared" si="13"/>
        <v>N</v>
      </c>
      <c r="Q891" t="s">
        <v>6621</v>
      </c>
    </row>
    <row r="892" spans="1:17" x14ac:dyDescent="0.25">
      <c r="A892" t="s">
        <v>1835</v>
      </c>
      <c r="B892" t="s">
        <v>1135</v>
      </c>
      <c r="C892">
        <v>2027</v>
      </c>
      <c r="D892" t="s">
        <v>534</v>
      </c>
      <c r="E892" t="s">
        <v>830</v>
      </c>
      <c r="F892" s="32">
        <v>46388</v>
      </c>
      <c r="G892" t="s">
        <v>514</v>
      </c>
      <c r="H892">
        <v>47146463</v>
      </c>
      <c r="I892" t="s">
        <v>1441</v>
      </c>
      <c r="J892" t="s">
        <v>1440</v>
      </c>
      <c r="K892" t="s">
        <v>530</v>
      </c>
      <c r="N892">
        <v>0</v>
      </c>
      <c r="O892">
        <v>0</v>
      </c>
      <c r="P892" t="str">
        <f t="shared" si="13"/>
        <v>N</v>
      </c>
      <c r="Q892" t="s">
        <v>6622</v>
      </c>
    </row>
    <row r="893" spans="1:17" x14ac:dyDescent="0.25">
      <c r="A893" t="s">
        <v>1836</v>
      </c>
      <c r="B893" t="s">
        <v>1135</v>
      </c>
      <c r="C893">
        <v>2027</v>
      </c>
      <c r="D893" t="s">
        <v>534</v>
      </c>
      <c r="E893" t="s">
        <v>830</v>
      </c>
      <c r="F893" s="32">
        <v>46388</v>
      </c>
      <c r="G893" t="s">
        <v>514</v>
      </c>
      <c r="H893">
        <v>47128729</v>
      </c>
      <c r="I893" t="s">
        <v>1149</v>
      </c>
      <c r="J893" t="s">
        <v>1148</v>
      </c>
      <c r="K893" t="s">
        <v>530</v>
      </c>
      <c r="N893">
        <v>0</v>
      </c>
      <c r="O893">
        <v>0</v>
      </c>
      <c r="P893" t="str">
        <f t="shared" si="13"/>
        <v>N</v>
      </c>
      <c r="Q893" t="s">
        <v>6623</v>
      </c>
    </row>
    <row r="894" spans="1:17" x14ac:dyDescent="0.25">
      <c r="A894" t="s">
        <v>1837</v>
      </c>
      <c r="B894" t="s">
        <v>1135</v>
      </c>
      <c r="C894">
        <v>2027</v>
      </c>
      <c r="D894" t="s">
        <v>534</v>
      </c>
      <c r="E894" t="s">
        <v>830</v>
      </c>
      <c r="F894" s="32">
        <v>46388</v>
      </c>
      <c r="G894" t="s">
        <v>514</v>
      </c>
      <c r="H894">
        <v>47128413</v>
      </c>
      <c r="I894" t="s">
        <v>1397</v>
      </c>
      <c r="J894" t="s">
        <v>1396</v>
      </c>
      <c r="K894" t="s">
        <v>530</v>
      </c>
      <c r="N894">
        <v>0</v>
      </c>
      <c r="O894">
        <v>0</v>
      </c>
      <c r="P894" t="str">
        <f t="shared" si="13"/>
        <v>N</v>
      </c>
      <c r="Q894" t="s">
        <v>6624</v>
      </c>
    </row>
    <row r="895" spans="1:17" x14ac:dyDescent="0.25">
      <c r="A895" t="s">
        <v>1838</v>
      </c>
      <c r="B895" t="s">
        <v>1135</v>
      </c>
      <c r="C895">
        <v>2027</v>
      </c>
      <c r="D895" t="s">
        <v>534</v>
      </c>
      <c r="E895" t="s">
        <v>830</v>
      </c>
      <c r="F895" s="32">
        <v>46388</v>
      </c>
      <c r="G895" t="s">
        <v>514</v>
      </c>
      <c r="H895">
        <v>47128783</v>
      </c>
      <c r="I895" t="s">
        <v>1280</v>
      </c>
      <c r="J895" t="s">
        <v>1279</v>
      </c>
      <c r="K895" t="s">
        <v>530</v>
      </c>
      <c r="N895">
        <v>0</v>
      </c>
      <c r="O895">
        <v>0</v>
      </c>
      <c r="P895" t="str">
        <f t="shared" si="13"/>
        <v>N</v>
      </c>
      <c r="Q895" t="s">
        <v>6625</v>
      </c>
    </row>
    <row r="896" spans="1:17" x14ac:dyDescent="0.25">
      <c r="A896" t="s">
        <v>1839</v>
      </c>
      <c r="B896" t="s">
        <v>1135</v>
      </c>
      <c r="C896">
        <v>2027</v>
      </c>
      <c r="D896" t="s">
        <v>534</v>
      </c>
      <c r="E896" t="s">
        <v>830</v>
      </c>
      <c r="F896" s="32">
        <v>46388</v>
      </c>
      <c r="G896" t="s">
        <v>514</v>
      </c>
      <c r="H896">
        <v>47128944</v>
      </c>
      <c r="I896" t="s">
        <v>1137</v>
      </c>
      <c r="J896" t="s">
        <v>1136</v>
      </c>
      <c r="K896" t="s">
        <v>530</v>
      </c>
      <c r="N896">
        <v>0</v>
      </c>
      <c r="O896">
        <v>0</v>
      </c>
      <c r="P896" t="str">
        <f t="shared" si="13"/>
        <v>N</v>
      </c>
      <c r="Q896" t="s">
        <v>6626</v>
      </c>
    </row>
    <row r="897" spans="1:17" x14ac:dyDescent="0.25">
      <c r="A897" t="s">
        <v>1840</v>
      </c>
      <c r="B897" t="s">
        <v>1135</v>
      </c>
      <c r="C897">
        <v>2027</v>
      </c>
      <c r="D897" t="s">
        <v>534</v>
      </c>
      <c r="E897" t="s">
        <v>830</v>
      </c>
      <c r="F897" s="32">
        <v>46388</v>
      </c>
      <c r="G897" t="s">
        <v>514</v>
      </c>
      <c r="H897">
        <v>47129547</v>
      </c>
      <c r="I897" t="s">
        <v>1128</v>
      </c>
      <c r="J897" t="s">
        <v>1352</v>
      </c>
      <c r="K897" t="s">
        <v>530</v>
      </c>
      <c r="N897">
        <v>0</v>
      </c>
      <c r="O897">
        <v>0</v>
      </c>
      <c r="P897" t="str">
        <f t="shared" si="13"/>
        <v>N</v>
      </c>
      <c r="Q897" t="s">
        <v>6627</v>
      </c>
    </row>
    <row r="898" spans="1:17" x14ac:dyDescent="0.25">
      <c r="A898" t="s">
        <v>1841</v>
      </c>
      <c r="B898" t="s">
        <v>1135</v>
      </c>
      <c r="C898">
        <v>2027</v>
      </c>
      <c r="D898" t="s">
        <v>534</v>
      </c>
      <c r="E898" t="s">
        <v>830</v>
      </c>
      <c r="F898" s="32">
        <v>46388</v>
      </c>
      <c r="G898" t="s">
        <v>514</v>
      </c>
      <c r="H898">
        <v>47128570</v>
      </c>
      <c r="I898" t="s">
        <v>1491</v>
      </c>
      <c r="J898" t="s">
        <v>1490</v>
      </c>
      <c r="K898" t="s">
        <v>530</v>
      </c>
      <c r="N898">
        <v>0</v>
      </c>
      <c r="O898">
        <v>0</v>
      </c>
      <c r="P898" t="str">
        <f t="shared" si="13"/>
        <v>N</v>
      </c>
      <c r="Q898" t="s">
        <v>6628</v>
      </c>
    </row>
    <row r="899" spans="1:17" x14ac:dyDescent="0.25">
      <c r="A899" t="s">
        <v>2384</v>
      </c>
      <c r="B899" t="s">
        <v>2344</v>
      </c>
      <c r="C899">
        <v>2027</v>
      </c>
      <c r="D899" t="s">
        <v>534</v>
      </c>
      <c r="E899" t="s">
        <v>830</v>
      </c>
      <c r="F899" s="32">
        <v>46388</v>
      </c>
      <c r="G899" t="s">
        <v>514</v>
      </c>
      <c r="H899">
        <v>47140037</v>
      </c>
      <c r="I899" t="s">
        <v>2347</v>
      </c>
      <c r="J899" t="s">
        <v>2348</v>
      </c>
      <c r="K899" t="s">
        <v>530</v>
      </c>
      <c r="N899">
        <v>0</v>
      </c>
      <c r="O899">
        <v>0</v>
      </c>
      <c r="P899" t="str">
        <f t="shared" ref="P899:P962" si="14">IF(N899=O899,"N","Y")</f>
        <v>N</v>
      </c>
      <c r="Q899" t="s">
        <v>6629</v>
      </c>
    </row>
    <row r="900" spans="1:17" x14ac:dyDescent="0.25">
      <c r="A900" t="s">
        <v>2385</v>
      </c>
      <c r="B900" t="s">
        <v>2344</v>
      </c>
      <c r="C900">
        <v>2027</v>
      </c>
      <c r="D900" t="s">
        <v>534</v>
      </c>
      <c r="E900" t="s">
        <v>830</v>
      </c>
      <c r="F900" s="32">
        <v>46388</v>
      </c>
      <c r="G900" t="s">
        <v>514</v>
      </c>
      <c r="H900">
        <v>47128769</v>
      </c>
      <c r="I900" t="s">
        <v>2386</v>
      </c>
      <c r="J900" t="s">
        <v>2387</v>
      </c>
      <c r="K900" t="s">
        <v>530</v>
      </c>
      <c r="N900">
        <v>0</v>
      </c>
      <c r="O900">
        <v>0</v>
      </c>
      <c r="P900" t="str">
        <f t="shared" si="14"/>
        <v>N</v>
      </c>
      <c r="Q900" t="s">
        <v>6630</v>
      </c>
    </row>
    <row r="901" spans="1:17" x14ac:dyDescent="0.25">
      <c r="A901" t="s">
        <v>2388</v>
      </c>
      <c r="B901" t="s">
        <v>2344</v>
      </c>
      <c r="C901">
        <v>2027</v>
      </c>
      <c r="D901" t="s">
        <v>534</v>
      </c>
      <c r="E901" t="s">
        <v>830</v>
      </c>
      <c r="F901" s="32">
        <v>46388</v>
      </c>
      <c r="G901" t="s">
        <v>514</v>
      </c>
      <c r="H901">
        <v>47128216</v>
      </c>
      <c r="I901" t="s">
        <v>2350</v>
      </c>
      <c r="J901" t="s">
        <v>2351</v>
      </c>
      <c r="K901" t="s">
        <v>530</v>
      </c>
      <c r="N901">
        <v>0</v>
      </c>
      <c r="O901">
        <v>0</v>
      </c>
      <c r="P901" t="str">
        <f t="shared" si="14"/>
        <v>N</v>
      </c>
      <c r="Q901" t="s">
        <v>6631</v>
      </c>
    </row>
    <row r="902" spans="1:17" x14ac:dyDescent="0.25">
      <c r="A902" t="s">
        <v>2389</v>
      </c>
      <c r="B902" t="s">
        <v>2344</v>
      </c>
      <c r="C902">
        <v>2027</v>
      </c>
      <c r="D902" t="s">
        <v>534</v>
      </c>
      <c r="E902" t="s">
        <v>830</v>
      </c>
      <c r="F902" s="32">
        <v>46388</v>
      </c>
      <c r="G902" t="s">
        <v>514</v>
      </c>
      <c r="H902">
        <v>47128208</v>
      </c>
      <c r="I902" t="s">
        <v>2353</v>
      </c>
      <c r="J902" t="s">
        <v>2354</v>
      </c>
      <c r="K902" t="s">
        <v>530</v>
      </c>
      <c r="N902">
        <v>0</v>
      </c>
      <c r="O902">
        <v>0</v>
      </c>
      <c r="P902" t="str">
        <f t="shared" si="14"/>
        <v>N</v>
      </c>
      <c r="Q902" t="s">
        <v>6632</v>
      </c>
    </row>
    <row r="903" spans="1:17" x14ac:dyDescent="0.25">
      <c r="A903" t="s">
        <v>2390</v>
      </c>
      <c r="B903" t="s">
        <v>2344</v>
      </c>
      <c r="C903">
        <v>2027</v>
      </c>
      <c r="D903" t="s">
        <v>534</v>
      </c>
      <c r="E903" t="s">
        <v>830</v>
      </c>
      <c r="F903" s="32">
        <v>46388</v>
      </c>
      <c r="G903" t="s">
        <v>514</v>
      </c>
      <c r="H903">
        <v>47128377</v>
      </c>
      <c r="I903" t="s">
        <v>2362</v>
      </c>
      <c r="J903" t="s">
        <v>2363</v>
      </c>
      <c r="K903" t="s">
        <v>530</v>
      </c>
      <c r="N903">
        <v>0</v>
      </c>
      <c r="O903">
        <v>0</v>
      </c>
      <c r="P903" t="str">
        <f t="shared" si="14"/>
        <v>N</v>
      </c>
      <c r="Q903" t="s">
        <v>6633</v>
      </c>
    </row>
    <row r="904" spans="1:17" x14ac:dyDescent="0.25">
      <c r="A904" t="s">
        <v>2391</v>
      </c>
      <c r="B904" t="s">
        <v>2344</v>
      </c>
      <c r="C904">
        <v>2027</v>
      </c>
      <c r="D904" t="s">
        <v>534</v>
      </c>
      <c r="E904" t="s">
        <v>830</v>
      </c>
      <c r="F904" s="32">
        <v>46388</v>
      </c>
      <c r="G904" t="s">
        <v>514</v>
      </c>
      <c r="H904">
        <v>47128378</v>
      </c>
      <c r="I904" t="s">
        <v>2392</v>
      </c>
      <c r="J904" t="s">
        <v>2393</v>
      </c>
      <c r="K904" t="s">
        <v>530</v>
      </c>
      <c r="N904">
        <v>40</v>
      </c>
      <c r="O904">
        <v>40</v>
      </c>
      <c r="P904" t="str">
        <f t="shared" si="14"/>
        <v>N</v>
      </c>
      <c r="Q904" t="s">
        <v>6634</v>
      </c>
    </row>
    <row r="905" spans="1:17" x14ac:dyDescent="0.25">
      <c r="A905" t="s">
        <v>2394</v>
      </c>
      <c r="B905" t="s">
        <v>2344</v>
      </c>
      <c r="C905">
        <v>2027</v>
      </c>
      <c r="D905" t="s">
        <v>534</v>
      </c>
      <c r="E905" t="s">
        <v>830</v>
      </c>
      <c r="F905" s="32">
        <v>46388</v>
      </c>
      <c r="G905" t="s">
        <v>514</v>
      </c>
      <c r="H905">
        <v>47128020</v>
      </c>
      <c r="I905" t="s">
        <v>2395</v>
      </c>
      <c r="J905" t="s">
        <v>2396</v>
      </c>
      <c r="K905" t="s">
        <v>530</v>
      </c>
      <c r="N905">
        <v>0</v>
      </c>
      <c r="O905">
        <v>0</v>
      </c>
      <c r="P905" t="str">
        <f t="shared" si="14"/>
        <v>N</v>
      </c>
      <c r="Q905" t="s">
        <v>6635</v>
      </c>
    </row>
    <row r="906" spans="1:17" x14ac:dyDescent="0.25">
      <c r="A906" t="s">
        <v>2397</v>
      </c>
      <c r="B906" t="s">
        <v>2344</v>
      </c>
      <c r="C906">
        <v>2027</v>
      </c>
      <c r="D906" t="s">
        <v>534</v>
      </c>
      <c r="E906" t="s">
        <v>830</v>
      </c>
      <c r="F906" s="32">
        <v>46388</v>
      </c>
      <c r="G906" t="s">
        <v>514</v>
      </c>
      <c r="H906">
        <v>47128459</v>
      </c>
      <c r="I906" t="s">
        <v>2398</v>
      </c>
      <c r="J906" t="s">
        <v>2399</v>
      </c>
      <c r="K906" t="s">
        <v>530</v>
      </c>
      <c r="N906">
        <v>0</v>
      </c>
      <c r="O906">
        <v>0</v>
      </c>
      <c r="P906" t="str">
        <f t="shared" si="14"/>
        <v>N</v>
      </c>
      <c r="Q906" t="s">
        <v>6636</v>
      </c>
    </row>
    <row r="907" spans="1:17" x14ac:dyDescent="0.25">
      <c r="A907" t="s">
        <v>2542</v>
      </c>
      <c r="B907" t="s">
        <v>2444</v>
      </c>
      <c r="C907">
        <v>2027</v>
      </c>
      <c r="D907" t="s">
        <v>534</v>
      </c>
      <c r="E907" t="s">
        <v>830</v>
      </c>
      <c r="F907" s="32">
        <v>46388</v>
      </c>
      <c r="G907" t="s">
        <v>514</v>
      </c>
      <c r="H907">
        <v>47128006</v>
      </c>
      <c r="I907" t="s">
        <v>2447</v>
      </c>
      <c r="J907" t="s">
        <v>2448</v>
      </c>
      <c r="K907" t="s">
        <v>530</v>
      </c>
      <c r="N907">
        <v>32</v>
      </c>
      <c r="O907">
        <v>32</v>
      </c>
      <c r="P907" t="str">
        <f t="shared" si="14"/>
        <v>N</v>
      </c>
      <c r="Q907" t="s">
        <v>6637</v>
      </c>
    </row>
    <row r="908" spans="1:17" x14ac:dyDescent="0.25">
      <c r="A908" t="s">
        <v>2543</v>
      </c>
      <c r="B908" t="s">
        <v>2444</v>
      </c>
      <c r="C908">
        <v>2027</v>
      </c>
      <c r="D908" t="s">
        <v>534</v>
      </c>
      <c r="E908" t="s">
        <v>830</v>
      </c>
      <c r="F908" s="32">
        <v>46388</v>
      </c>
      <c r="G908" t="s">
        <v>514</v>
      </c>
      <c r="H908">
        <v>47128667</v>
      </c>
      <c r="I908" t="s">
        <v>2450</v>
      </c>
      <c r="J908" t="s">
        <v>2451</v>
      </c>
      <c r="K908" t="s">
        <v>530</v>
      </c>
      <c r="N908">
        <v>0</v>
      </c>
      <c r="O908">
        <v>0</v>
      </c>
      <c r="P908" t="str">
        <f t="shared" si="14"/>
        <v>N</v>
      </c>
      <c r="Q908" t="s">
        <v>6638</v>
      </c>
    </row>
    <row r="909" spans="1:17" x14ac:dyDescent="0.25">
      <c r="A909" t="s">
        <v>2544</v>
      </c>
      <c r="B909" t="s">
        <v>2444</v>
      </c>
      <c r="C909">
        <v>2027</v>
      </c>
      <c r="D909" t="s">
        <v>534</v>
      </c>
      <c r="E909" t="s">
        <v>830</v>
      </c>
      <c r="F909" s="32">
        <v>46388</v>
      </c>
      <c r="G909" t="s">
        <v>514</v>
      </c>
      <c r="H909">
        <v>47129262</v>
      </c>
      <c r="I909" t="s">
        <v>2453</v>
      </c>
      <c r="J909" t="s">
        <v>2454</v>
      </c>
      <c r="K909" t="s">
        <v>530</v>
      </c>
      <c r="N909">
        <v>0</v>
      </c>
      <c r="O909">
        <v>0</v>
      </c>
      <c r="P909" t="str">
        <f t="shared" si="14"/>
        <v>N</v>
      </c>
      <c r="Q909" t="s">
        <v>6639</v>
      </c>
    </row>
    <row r="910" spans="1:17" x14ac:dyDescent="0.25">
      <c r="A910" t="s">
        <v>2545</v>
      </c>
      <c r="B910" t="s">
        <v>2444</v>
      </c>
      <c r="C910">
        <v>2027</v>
      </c>
      <c r="D910" t="s">
        <v>534</v>
      </c>
      <c r="E910" t="s">
        <v>830</v>
      </c>
      <c r="F910" s="32">
        <v>46388</v>
      </c>
      <c r="G910" t="s">
        <v>514</v>
      </c>
      <c r="H910">
        <v>47128213</v>
      </c>
      <c r="I910" t="s">
        <v>2456</v>
      </c>
      <c r="J910" t="s">
        <v>2457</v>
      </c>
      <c r="K910" t="s">
        <v>530</v>
      </c>
      <c r="N910">
        <v>0</v>
      </c>
      <c r="O910">
        <v>0</v>
      </c>
      <c r="P910" t="str">
        <f t="shared" si="14"/>
        <v>N</v>
      </c>
      <c r="Q910" t="s">
        <v>6640</v>
      </c>
    </row>
    <row r="911" spans="1:17" x14ac:dyDescent="0.25">
      <c r="A911" t="s">
        <v>2546</v>
      </c>
      <c r="B911" t="s">
        <v>2444</v>
      </c>
      <c r="C911">
        <v>2027</v>
      </c>
      <c r="D911" t="s">
        <v>534</v>
      </c>
      <c r="E911" t="s">
        <v>830</v>
      </c>
      <c r="F911" s="32">
        <v>46388</v>
      </c>
      <c r="G911" t="s">
        <v>514</v>
      </c>
      <c r="H911">
        <v>47129222</v>
      </c>
      <c r="I911" t="s">
        <v>2459</v>
      </c>
      <c r="J911" t="s">
        <v>2460</v>
      </c>
      <c r="K911" t="s">
        <v>530</v>
      </c>
      <c r="N911">
        <v>0</v>
      </c>
      <c r="O911">
        <v>0</v>
      </c>
      <c r="P911" t="str">
        <f t="shared" si="14"/>
        <v>N</v>
      </c>
      <c r="Q911" t="s">
        <v>6641</v>
      </c>
    </row>
    <row r="912" spans="1:17" x14ac:dyDescent="0.25">
      <c r="A912" t="s">
        <v>2547</v>
      </c>
      <c r="B912" t="s">
        <v>2444</v>
      </c>
      <c r="C912">
        <v>2027</v>
      </c>
      <c r="D912" t="s">
        <v>534</v>
      </c>
      <c r="E912" t="s">
        <v>830</v>
      </c>
      <c r="F912" s="32">
        <v>46388</v>
      </c>
      <c r="G912" t="s">
        <v>514</v>
      </c>
      <c r="H912">
        <v>47128561</v>
      </c>
      <c r="I912" t="s">
        <v>2462</v>
      </c>
      <c r="J912" t="s">
        <v>2463</v>
      </c>
      <c r="K912" t="s">
        <v>530</v>
      </c>
      <c r="N912">
        <v>0</v>
      </c>
      <c r="O912">
        <v>0</v>
      </c>
      <c r="P912" t="str">
        <f t="shared" si="14"/>
        <v>N</v>
      </c>
      <c r="Q912" t="s">
        <v>6642</v>
      </c>
    </row>
    <row r="913" spans="1:17" x14ac:dyDescent="0.25">
      <c r="A913" t="s">
        <v>2548</v>
      </c>
      <c r="B913" t="s">
        <v>2444</v>
      </c>
      <c r="C913">
        <v>2027</v>
      </c>
      <c r="D913" t="s">
        <v>534</v>
      </c>
      <c r="E913" t="s">
        <v>830</v>
      </c>
      <c r="F913" s="32">
        <v>46388</v>
      </c>
      <c r="G913" t="s">
        <v>514</v>
      </c>
      <c r="H913">
        <v>47129727</v>
      </c>
      <c r="I913" t="s">
        <v>2465</v>
      </c>
      <c r="J913" t="s">
        <v>2466</v>
      </c>
      <c r="K913" t="s">
        <v>530</v>
      </c>
      <c r="N913">
        <v>0</v>
      </c>
      <c r="O913">
        <v>0</v>
      </c>
      <c r="P913" t="str">
        <f t="shared" si="14"/>
        <v>N</v>
      </c>
      <c r="Q913" t="s">
        <v>6643</v>
      </c>
    </row>
    <row r="914" spans="1:17" x14ac:dyDescent="0.25">
      <c r="A914" t="s">
        <v>2549</v>
      </c>
      <c r="B914" t="s">
        <v>2444</v>
      </c>
      <c r="C914">
        <v>2027</v>
      </c>
      <c r="D914" t="s">
        <v>534</v>
      </c>
      <c r="E914" t="s">
        <v>830</v>
      </c>
      <c r="F914" s="32">
        <v>46388</v>
      </c>
      <c r="G914" t="s">
        <v>514</v>
      </c>
      <c r="H914">
        <v>47132096</v>
      </c>
      <c r="I914" t="s">
        <v>2468</v>
      </c>
      <c r="J914" t="s">
        <v>2469</v>
      </c>
      <c r="K914" t="s">
        <v>530</v>
      </c>
      <c r="N914">
        <v>0</v>
      </c>
      <c r="O914">
        <v>0</v>
      </c>
      <c r="P914" t="str">
        <f t="shared" si="14"/>
        <v>N</v>
      </c>
      <c r="Q914" t="s">
        <v>6644</v>
      </c>
    </row>
    <row r="915" spans="1:17" x14ac:dyDescent="0.25">
      <c r="A915" t="s">
        <v>2550</v>
      </c>
      <c r="B915" t="s">
        <v>2444</v>
      </c>
      <c r="C915">
        <v>2027</v>
      </c>
      <c r="D915" t="s">
        <v>534</v>
      </c>
      <c r="E915" t="s">
        <v>830</v>
      </c>
      <c r="F915" s="32">
        <v>46388</v>
      </c>
      <c r="G915" t="s">
        <v>514</v>
      </c>
      <c r="H915">
        <v>47128300</v>
      </c>
      <c r="I915" t="s">
        <v>2471</v>
      </c>
      <c r="J915" t="s">
        <v>2472</v>
      </c>
      <c r="K915" t="s">
        <v>530</v>
      </c>
      <c r="N915">
        <v>0</v>
      </c>
      <c r="O915">
        <v>0</v>
      </c>
      <c r="P915" t="str">
        <f t="shared" si="14"/>
        <v>N</v>
      </c>
      <c r="Q915" t="s">
        <v>6645</v>
      </c>
    </row>
    <row r="916" spans="1:17" x14ac:dyDescent="0.25">
      <c r="A916" t="s">
        <v>2551</v>
      </c>
      <c r="B916" t="s">
        <v>2444</v>
      </c>
      <c r="C916">
        <v>2027</v>
      </c>
      <c r="D916" t="s">
        <v>534</v>
      </c>
      <c r="E916" t="s">
        <v>830</v>
      </c>
      <c r="F916" s="32">
        <v>46388</v>
      </c>
      <c r="G916" t="s">
        <v>514</v>
      </c>
      <c r="H916">
        <v>47128655</v>
      </c>
      <c r="I916" t="s">
        <v>2474</v>
      </c>
      <c r="J916" t="s">
        <v>2475</v>
      </c>
      <c r="K916" t="s">
        <v>530</v>
      </c>
      <c r="N916">
        <v>0</v>
      </c>
      <c r="O916">
        <v>0</v>
      </c>
      <c r="P916" t="str">
        <f t="shared" si="14"/>
        <v>N</v>
      </c>
      <c r="Q916" t="s">
        <v>6646</v>
      </c>
    </row>
    <row r="917" spans="1:17" x14ac:dyDescent="0.25">
      <c r="A917" t="s">
        <v>2552</v>
      </c>
      <c r="B917" t="s">
        <v>2444</v>
      </c>
      <c r="C917">
        <v>2027</v>
      </c>
      <c r="D917" t="s">
        <v>534</v>
      </c>
      <c r="E917" t="s">
        <v>830</v>
      </c>
      <c r="F917" s="32">
        <v>46388</v>
      </c>
      <c r="G917" t="s">
        <v>514</v>
      </c>
      <c r="H917">
        <v>47128179</v>
      </c>
      <c r="I917" t="s">
        <v>2477</v>
      </c>
      <c r="J917" t="s">
        <v>2478</v>
      </c>
      <c r="K917" t="s">
        <v>530</v>
      </c>
      <c r="N917">
        <v>0</v>
      </c>
      <c r="O917">
        <v>0</v>
      </c>
      <c r="P917" t="str">
        <f t="shared" si="14"/>
        <v>N</v>
      </c>
      <c r="Q917" t="s">
        <v>6647</v>
      </c>
    </row>
    <row r="918" spans="1:17" x14ac:dyDescent="0.25">
      <c r="A918" t="s">
        <v>2553</v>
      </c>
      <c r="B918" t="s">
        <v>2444</v>
      </c>
      <c r="C918">
        <v>2027</v>
      </c>
      <c r="D918" t="s">
        <v>534</v>
      </c>
      <c r="E918" t="s">
        <v>830</v>
      </c>
      <c r="F918" s="32">
        <v>46388</v>
      </c>
      <c r="G918" t="s">
        <v>514</v>
      </c>
      <c r="H918">
        <v>47129558</v>
      </c>
      <c r="I918" t="s">
        <v>2480</v>
      </c>
      <c r="J918" t="s">
        <v>2481</v>
      </c>
      <c r="K918" t="s">
        <v>530</v>
      </c>
      <c r="N918">
        <v>0</v>
      </c>
      <c r="O918">
        <v>0</v>
      </c>
      <c r="P918" t="str">
        <f t="shared" si="14"/>
        <v>N</v>
      </c>
      <c r="Q918" t="s">
        <v>6648</v>
      </c>
    </row>
    <row r="919" spans="1:17" x14ac:dyDescent="0.25">
      <c r="A919" t="s">
        <v>2554</v>
      </c>
      <c r="B919" t="s">
        <v>2444</v>
      </c>
      <c r="C919">
        <v>2027</v>
      </c>
      <c r="D919" t="s">
        <v>534</v>
      </c>
      <c r="E919" t="s">
        <v>830</v>
      </c>
      <c r="F919" s="32">
        <v>46388</v>
      </c>
      <c r="G919" t="s">
        <v>514</v>
      </c>
      <c r="H919">
        <v>47129273</v>
      </c>
      <c r="I919" t="s">
        <v>2483</v>
      </c>
      <c r="J919" t="s">
        <v>2484</v>
      </c>
      <c r="K919" t="s">
        <v>530</v>
      </c>
      <c r="N919">
        <v>0</v>
      </c>
      <c r="O919">
        <v>0</v>
      </c>
      <c r="P919" t="str">
        <f t="shared" si="14"/>
        <v>N</v>
      </c>
      <c r="Q919" t="s">
        <v>6649</v>
      </c>
    </row>
    <row r="920" spans="1:17" x14ac:dyDescent="0.25">
      <c r="A920" t="s">
        <v>2555</v>
      </c>
      <c r="B920" t="s">
        <v>2444</v>
      </c>
      <c r="C920">
        <v>2027</v>
      </c>
      <c r="D920" t="s">
        <v>534</v>
      </c>
      <c r="E920" t="s">
        <v>830</v>
      </c>
      <c r="F920" s="32">
        <v>46388</v>
      </c>
      <c r="G920" t="s">
        <v>514</v>
      </c>
      <c r="H920">
        <v>47129274</v>
      </c>
      <c r="I920" t="s">
        <v>2486</v>
      </c>
      <c r="J920" t="s">
        <v>2487</v>
      </c>
      <c r="K920" t="s">
        <v>530</v>
      </c>
      <c r="N920">
        <v>0</v>
      </c>
      <c r="O920">
        <v>0</v>
      </c>
      <c r="P920" t="str">
        <f t="shared" si="14"/>
        <v>N</v>
      </c>
      <c r="Q920" t="s">
        <v>6650</v>
      </c>
    </row>
    <row r="921" spans="1:17" x14ac:dyDescent="0.25">
      <c r="A921" t="s">
        <v>2556</v>
      </c>
      <c r="B921" t="s">
        <v>2444</v>
      </c>
      <c r="C921">
        <v>2027</v>
      </c>
      <c r="D921" t="s">
        <v>534</v>
      </c>
      <c r="E921" t="s">
        <v>830</v>
      </c>
      <c r="F921" s="32">
        <v>46388</v>
      </c>
      <c r="G921" t="s">
        <v>514</v>
      </c>
      <c r="H921">
        <v>47128587</v>
      </c>
      <c r="I921" t="s">
        <v>2489</v>
      </c>
      <c r="J921" t="s">
        <v>2490</v>
      </c>
      <c r="K921" t="s">
        <v>530</v>
      </c>
      <c r="N921">
        <v>0</v>
      </c>
      <c r="O921">
        <v>0</v>
      </c>
      <c r="P921" t="str">
        <f t="shared" si="14"/>
        <v>N</v>
      </c>
      <c r="Q921" t="s">
        <v>6651</v>
      </c>
    </row>
    <row r="922" spans="1:17" x14ac:dyDescent="0.25">
      <c r="A922" t="s">
        <v>2557</v>
      </c>
      <c r="B922" t="s">
        <v>2444</v>
      </c>
      <c r="C922">
        <v>2027</v>
      </c>
      <c r="D922" t="s">
        <v>534</v>
      </c>
      <c r="E922" t="s">
        <v>830</v>
      </c>
      <c r="F922" s="32">
        <v>46388</v>
      </c>
      <c r="G922" t="s">
        <v>514</v>
      </c>
      <c r="H922">
        <v>47128247</v>
      </c>
      <c r="I922" t="s">
        <v>2492</v>
      </c>
      <c r="J922" t="s">
        <v>2493</v>
      </c>
      <c r="K922" t="s">
        <v>530</v>
      </c>
      <c r="N922">
        <v>0</v>
      </c>
      <c r="O922">
        <v>0</v>
      </c>
      <c r="P922" t="str">
        <f t="shared" si="14"/>
        <v>N</v>
      </c>
      <c r="Q922" t="s">
        <v>6652</v>
      </c>
    </row>
    <row r="923" spans="1:17" x14ac:dyDescent="0.25">
      <c r="A923" t="s">
        <v>2848</v>
      </c>
      <c r="B923" t="s">
        <v>2783</v>
      </c>
      <c r="C923">
        <v>2027</v>
      </c>
      <c r="D923" t="s">
        <v>534</v>
      </c>
      <c r="E923" t="s">
        <v>830</v>
      </c>
      <c r="F923" s="32">
        <v>46388</v>
      </c>
      <c r="G923" t="s">
        <v>514</v>
      </c>
      <c r="H923">
        <v>47128006</v>
      </c>
      <c r="I923" t="s">
        <v>2447</v>
      </c>
      <c r="J923" t="s">
        <v>2448</v>
      </c>
      <c r="K923" t="s">
        <v>530</v>
      </c>
      <c r="N923">
        <v>32</v>
      </c>
      <c r="O923">
        <v>32</v>
      </c>
      <c r="P923" t="str">
        <f t="shared" si="14"/>
        <v>N</v>
      </c>
      <c r="Q923" t="s">
        <v>6653</v>
      </c>
    </row>
    <row r="924" spans="1:17" x14ac:dyDescent="0.25">
      <c r="A924" t="s">
        <v>2849</v>
      </c>
      <c r="B924" t="s">
        <v>2783</v>
      </c>
      <c r="C924">
        <v>2027</v>
      </c>
      <c r="D924" t="s">
        <v>534</v>
      </c>
      <c r="E924" t="s">
        <v>830</v>
      </c>
      <c r="F924" s="32">
        <v>46388</v>
      </c>
      <c r="G924" t="s">
        <v>514</v>
      </c>
      <c r="H924">
        <v>47128667</v>
      </c>
      <c r="I924" t="s">
        <v>2450</v>
      </c>
      <c r="J924" t="s">
        <v>2451</v>
      </c>
      <c r="K924" t="s">
        <v>530</v>
      </c>
      <c r="N924">
        <v>0</v>
      </c>
      <c r="O924">
        <v>0</v>
      </c>
      <c r="P924" t="str">
        <f t="shared" si="14"/>
        <v>N</v>
      </c>
      <c r="Q924" t="s">
        <v>6654</v>
      </c>
    </row>
    <row r="925" spans="1:17" x14ac:dyDescent="0.25">
      <c r="A925" t="s">
        <v>2850</v>
      </c>
      <c r="B925" t="s">
        <v>2783</v>
      </c>
      <c r="C925">
        <v>2027</v>
      </c>
      <c r="D925" t="s">
        <v>534</v>
      </c>
      <c r="E925" t="s">
        <v>830</v>
      </c>
      <c r="F925" s="32">
        <v>46388</v>
      </c>
      <c r="G925" t="s">
        <v>514</v>
      </c>
      <c r="H925">
        <v>47129262</v>
      </c>
      <c r="I925" t="s">
        <v>2453</v>
      </c>
      <c r="J925" t="s">
        <v>2454</v>
      </c>
      <c r="K925" t="s">
        <v>530</v>
      </c>
      <c r="N925">
        <v>0</v>
      </c>
      <c r="O925">
        <v>0</v>
      </c>
      <c r="P925" t="str">
        <f t="shared" si="14"/>
        <v>N</v>
      </c>
      <c r="Q925" t="s">
        <v>6655</v>
      </c>
    </row>
    <row r="926" spans="1:17" x14ac:dyDescent="0.25">
      <c r="A926" t="s">
        <v>2851</v>
      </c>
      <c r="B926" t="s">
        <v>2783</v>
      </c>
      <c r="C926">
        <v>2027</v>
      </c>
      <c r="D926" t="s">
        <v>534</v>
      </c>
      <c r="E926" t="s">
        <v>830</v>
      </c>
      <c r="F926" s="32">
        <v>46388</v>
      </c>
      <c r="G926" t="s">
        <v>514</v>
      </c>
      <c r="H926">
        <v>47128213</v>
      </c>
      <c r="I926" t="s">
        <v>2456</v>
      </c>
      <c r="J926" t="s">
        <v>2457</v>
      </c>
      <c r="K926" t="s">
        <v>530</v>
      </c>
      <c r="N926">
        <v>0</v>
      </c>
      <c r="O926">
        <v>0</v>
      </c>
      <c r="P926" t="str">
        <f t="shared" si="14"/>
        <v>N</v>
      </c>
      <c r="Q926" t="s">
        <v>6656</v>
      </c>
    </row>
    <row r="927" spans="1:17" x14ac:dyDescent="0.25">
      <c r="A927" t="s">
        <v>2852</v>
      </c>
      <c r="B927" t="s">
        <v>2783</v>
      </c>
      <c r="C927">
        <v>2027</v>
      </c>
      <c r="D927" t="s">
        <v>534</v>
      </c>
      <c r="E927" t="s">
        <v>830</v>
      </c>
      <c r="F927" s="32">
        <v>46388</v>
      </c>
      <c r="G927" t="s">
        <v>514</v>
      </c>
      <c r="H927">
        <v>47129222</v>
      </c>
      <c r="I927" t="s">
        <v>2459</v>
      </c>
      <c r="J927" t="s">
        <v>2460</v>
      </c>
      <c r="K927" t="s">
        <v>530</v>
      </c>
      <c r="N927">
        <v>0</v>
      </c>
      <c r="O927">
        <v>0</v>
      </c>
      <c r="P927" t="str">
        <f t="shared" si="14"/>
        <v>N</v>
      </c>
      <c r="Q927" t="s">
        <v>6657</v>
      </c>
    </row>
    <row r="928" spans="1:17" x14ac:dyDescent="0.25">
      <c r="A928" t="s">
        <v>2853</v>
      </c>
      <c r="B928" t="s">
        <v>2783</v>
      </c>
      <c r="C928">
        <v>2027</v>
      </c>
      <c r="D928" t="s">
        <v>534</v>
      </c>
      <c r="E928" t="s">
        <v>830</v>
      </c>
      <c r="F928" s="32">
        <v>46388</v>
      </c>
      <c r="G928" t="s">
        <v>514</v>
      </c>
      <c r="H928">
        <v>47128561</v>
      </c>
      <c r="I928" t="s">
        <v>2462</v>
      </c>
      <c r="J928" t="s">
        <v>2463</v>
      </c>
      <c r="K928" t="s">
        <v>530</v>
      </c>
      <c r="N928">
        <v>0</v>
      </c>
      <c r="O928">
        <v>0</v>
      </c>
      <c r="P928" t="str">
        <f t="shared" si="14"/>
        <v>N</v>
      </c>
      <c r="Q928" t="s">
        <v>6658</v>
      </c>
    </row>
    <row r="929" spans="1:17" x14ac:dyDescent="0.25">
      <c r="A929" t="s">
        <v>2854</v>
      </c>
      <c r="B929" t="s">
        <v>2783</v>
      </c>
      <c r="C929">
        <v>2027</v>
      </c>
      <c r="D929" t="s">
        <v>534</v>
      </c>
      <c r="E929" t="s">
        <v>830</v>
      </c>
      <c r="F929" s="32">
        <v>46388</v>
      </c>
      <c r="G929" t="s">
        <v>514</v>
      </c>
      <c r="H929">
        <v>47129727</v>
      </c>
      <c r="I929" t="s">
        <v>2465</v>
      </c>
      <c r="J929" t="s">
        <v>2466</v>
      </c>
      <c r="K929" t="s">
        <v>530</v>
      </c>
      <c r="N929">
        <v>0</v>
      </c>
      <c r="O929">
        <v>0</v>
      </c>
      <c r="P929" t="str">
        <f t="shared" si="14"/>
        <v>N</v>
      </c>
      <c r="Q929" t="s">
        <v>6659</v>
      </c>
    </row>
    <row r="930" spans="1:17" x14ac:dyDescent="0.25">
      <c r="A930" t="s">
        <v>2855</v>
      </c>
      <c r="B930" t="s">
        <v>2783</v>
      </c>
      <c r="C930">
        <v>2027</v>
      </c>
      <c r="D930" t="s">
        <v>534</v>
      </c>
      <c r="E930" t="s">
        <v>830</v>
      </c>
      <c r="F930" s="32">
        <v>46388</v>
      </c>
      <c r="G930" t="s">
        <v>514</v>
      </c>
      <c r="H930">
        <v>47132096</v>
      </c>
      <c r="I930" t="s">
        <v>2468</v>
      </c>
      <c r="J930" t="s">
        <v>2469</v>
      </c>
      <c r="K930" t="s">
        <v>530</v>
      </c>
      <c r="N930">
        <v>0</v>
      </c>
      <c r="O930">
        <v>0</v>
      </c>
      <c r="P930" t="str">
        <f t="shared" si="14"/>
        <v>N</v>
      </c>
      <c r="Q930" t="s">
        <v>6660</v>
      </c>
    </row>
    <row r="931" spans="1:17" x14ac:dyDescent="0.25">
      <c r="A931" t="s">
        <v>2856</v>
      </c>
      <c r="B931" t="s">
        <v>2783</v>
      </c>
      <c r="C931">
        <v>2027</v>
      </c>
      <c r="D931" t="s">
        <v>534</v>
      </c>
      <c r="E931" t="s">
        <v>830</v>
      </c>
      <c r="F931" s="32">
        <v>46388</v>
      </c>
      <c r="G931" t="s">
        <v>514</v>
      </c>
      <c r="H931">
        <v>47128300</v>
      </c>
      <c r="I931" t="s">
        <v>2471</v>
      </c>
      <c r="J931" t="s">
        <v>2472</v>
      </c>
      <c r="K931" t="s">
        <v>530</v>
      </c>
      <c r="N931">
        <v>0</v>
      </c>
      <c r="O931">
        <v>0</v>
      </c>
      <c r="P931" t="str">
        <f t="shared" si="14"/>
        <v>N</v>
      </c>
      <c r="Q931" t="s">
        <v>6661</v>
      </c>
    </row>
    <row r="932" spans="1:17" x14ac:dyDescent="0.25">
      <c r="A932" t="s">
        <v>2857</v>
      </c>
      <c r="B932" t="s">
        <v>2783</v>
      </c>
      <c r="C932">
        <v>2027</v>
      </c>
      <c r="D932" t="s">
        <v>534</v>
      </c>
      <c r="E932" t="s">
        <v>830</v>
      </c>
      <c r="F932" s="32">
        <v>46388</v>
      </c>
      <c r="G932" t="s">
        <v>514</v>
      </c>
      <c r="H932">
        <v>47128655</v>
      </c>
      <c r="I932" t="s">
        <v>2474</v>
      </c>
      <c r="J932" t="s">
        <v>2475</v>
      </c>
      <c r="K932" t="s">
        <v>530</v>
      </c>
      <c r="N932">
        <v>0</v>
      </c>
      <c r="O932">
        <v>0</v>
      </c>
      <c r="P932" t="str">
        <f t="shared" si="14"/>
        <v>N</v>
      </c>
      <c r="Q932" t="s">
        <v>6662</v>
      </c>
    </row>
    <row r="933" spans="1:17" x14ac:dyDescent="0.25">
      <c r="A933" t="s">
        <v>2858</v>
      </c>
      <c r="B933" t="s">
        <v>2783</v>
      </c>
      <c r="C933">
        <v>2027</v>
      </c>
      <c r="D933" t="s">
        <v>534</v>
      </c>
      <c r="E933" t="s">
        <v>830</v>
      </c>
      <c r="F933" s="32">
        <v>46388</v>
      </c>
      <c r="G933" t="s">
        <v>514</v>
      </c>
      <c r="H933">
        <v>47128179</v>
      </c>
      <c r="I933" t="s">
        <v>2477</v>
      </c>
      <c r="J933" t="s">
        <v>2478</v>
      </c>
      <c r="K933" t="s">
        <v>530</v>
      </c>
      <c r="N933">
        <v>0</v>
      </c>
      <c r="O933">
        <v>0</v>
      </c>
      <c r="P933" t="str">
        <f t="shared" si="14"/>
        <v>N</v>
      </c>
      <c r="Q933" t="s">
        <v>6663</v>
      </c>
    </row>
    <row r="934" spans="1:17" x14ac:dyDescent="0.25">
      <c r="A934" t="s">
        <v>2859</v>
      </c>
      <c r="B934" t="s">
        <v>2783</v>
      </c>
      <c r="C934">
        <v>2027</v>
      </c>
      <c r="D934" t="s">
        <v>534</v>
      </c>
      <c r="E934" t="s">
        <v>830</v>
      </c>
      <c r="F934" s="32">
        <v>46388</v>
      </c>
      <c r="G934" t="s">
        <v>514</v>
      </c>
      <c r="H934">
        <v>47129558</v>
      </c>
      <c r="I934" t="s">
        <v>2480</v>
      </c>
      <c r="J934" t="s">
        <v>2481</v>
      </c>
      <c r="K934" t="s">
        <v>530</v>
      </c>
      <c r="N934">
        <v>0</v>
      </c>
      <c r="O934">
        <v>0</v>
      </c>
      <c r="P934" t="str">
        <f t="shared" si="14"/>
        <v>N</v>
      </c>
      <c r="Q934" t="s">
        <v>6664</v>
      </c>
    </row>
    <row r="935" spans="1:17" x14ac:dyDescent="0.25">
      <c r="A935" t="s">
        <v>2860</v>
      </c>
      <c r="B935" t="s">
        <v>2783</v>
      </c>
      <c r="C935">
        <v>2027</v>
      </c>
      <c r="D935" t="s">
        <v>534</v>
      </c>
      <c r="E935" t="s">
        <v>830</v>
      </c>
      <c r="F935" s="32">
        <v>46388</v>
      </c>
      <c r="G935" t="s">
        <v>514</v>
      </c>
      <c r="H935">
        <v>47129273</v>
      </c>
      <c r="I935" t="s">
        <v>2483</v>
      </c>
      <c r="J935" t="s">
        <v>2484</v>
      </c>
      <c r="K935" t="s">
        <v>530</v>
      </c>
      <c r="N935">
        <v>0</v>
      </c>
      <c r="O935">
        <v>0</v>
      </c>
      <c r="P935" t="str">
        <f t="shared" si="14"/>
        <v>N</v>
      </c>
      <c r="Q935" t="s">
        <v>6665</v>
      </c>
    </row>
    <row r="936" spans="1:17" x14ac:dyDescent="0.25">
      <c r="A936" t="s">
        <v>2861</v>
      </c>
      <c r="B936" t="s">
        <v>2783</v>
      </c>
      <c r="C936">
        <v>2027</v>
      </c>
      <c r="D936" t="s">
        <v>534</v>
      </c>
      <c r="E936" t="s">
        <v>830</v>
      </c>
      <c r="F936" s="32">
        <v>46388</v>
      </c>
      <c r="G936" t="s">
        <v>514</v>
      </c>
      <c r="H936">
        <v>47129274</v>
      </c>
      <c r="I936" t="s">
        <v>2486</v>
      </c>
      <c r="J936" t="s">
        <v>2487</v>
      </c>
      <c r="K936" t="s">
        <v>530</v>
      </c>
      <c r="N936">
        <v>0</v>
      </c>
      <c r="O936">
        <v>0</v>
      </c>
      <c r="P936" t="str">
        <f t="shared" si="14"/>
        <v>N</v>
      </c>
      <c r="Q936" t="s">
        <v>6666</v>
      </c>
    </row>
    <row r="937" spans="1:17" x14ac:dyDescent="0.25">
      <c r="A937" t="s">
        <v>2862</v>
      </c>
      <c r="B937" t="s">
        <v>2783</v>
      </c>
      <c r="C937">
        <v>2027</v>
      </c>
      <c r="D937" t="s">
        <v>534</v>
      </c>
      <c r="E937" t="s">
        <v>830</v>
      </c>
      <c r="F937" s="32">
        <v>46388</v>
      </c>
      <c r="G937" t="s">
        <v>514</v>
      </c>
      <c r="H937">
        <v>47128587</v>
      </c>
      <c r="I937" t="s">
        <v>2489</v>
      </c>
      <c r="J937" t="s">
        <v>2490</v>
      </c>
      <c r="K937" t="s">
        <v>530</v>
      </c>
      <c r="N937">
        <v>0</v>
      </c>
      <c r="O937">
        <v>0</v>
      </c>
      <c r="P937" t="str">
        <f t="shared" si="14"/>
        <v>N</v>
      </c>
      <c r="Q937" t="s">
        <v>6667</v>
      </c>
    </row>
    <row r="938" spans="1:17" x14ac:dyDescent="0.25">
      <c r="A938" t="s">
        <v>2863</v>
      </c>
      <c r="B938" t="s">
        <v>2783</v>
      </c>
      <c r="C938">
        <v>2027</v>
      </c>
      <c r="D938" t="s">
        <v>534</v>
      </c>
      <c r="E938" t="s">
        <v>830</v>
      </c>
      <c r="F938" s="32">
        <v>46388</v>
      </c>
      <c r="G938" t="s">
        <v>514</v>
      </c>
      <c r="H938">
        <v>47128247</v>
      </c>
      <c r="I938" t="s">
        <v>2492</v>
      </c>
      <c r="J938" t="s">
        <v>2493</v>
      </c>
      <c r="K938" t="s">
        <v>530</v>
      </c>
      <c r="N938">
        <v>0</v>
      </c>
      <c r="O938">
        <v>0</v>
      </c>
      <c r="P938" t="str">
        <f t="shared" si="14"/>
        <v>N</v>
      </c>
      <c r="Q938" t="s">
        <v>6668</v>
      </c>
    </row>
    <row r="939" spans="1:17" x14ac:dyDescent="0.25">
      <c r="A939" t="s">
        <v>3227</v>
      </c>
      <c r="B939" t="s">
        <v>1080</v>
      </c>
      <c r="C939">
        <v>2027</v>
      </c>
      <c r="D939" t="s">
        <v>534</v>
      </c>
      <c r="E939" t="s">
        <v>830</v>
      </c>
      <c r="F939" s="32">
        <v>46388</v>
      </c>
      <c r="G939" t="s">
        <v>514</v>
      </c>
      <c r="H939">
        <v>47128518</v>
      </c>
      <c r="I939" t="s">
        <v>1232</v>
      </c>
      <c r="J939" t="s">
        <v>1493</v>
      </c>
      <c r="K939" t="s">
        <v>530</v>
      </c>
      <c r="N939">
        <v>0</v>
      </c>
      <c r="O939">
        <v>0</v>
      </c>
      <c r="P939" t="str">
        <f t="shared" si="14"/>
        <v>N</v>
      </c>
      <c r="Q939" t="s">
        <v>6669</v>
      </c>
    </row>
    <row r="940" spans="1:17" x14ac:dyDescent="0.25">
      <c r="A940" t="s">
        <v>3228</v>
      </c>
      <c r="B940" t="s">
        <v>1080</v>
      </c>
      <c r="C940">
        <v>2027</v>
      </c>
      <c r="D940" t="s">
        <v>534</v>
      </c>
      <c r="E940" t="s">
        <v>830</v>
      </c>
      <c r="F940" s="32">
        <v>46388</v>
      </c>
      <c r="G940" t="s">
        <v>514</v>
      </c>
      <c r="H940">
        <v>47128977</v>
      </c>
      <c r="I940" t="s">
        <v>1449</v>
      </c>
      <c r="J940" t="s">
        <v>1448</v>
      </c>
      <c r="K940" t="s">
        <v>530</v>
      </c>
      <c r="N940">
        <v>5</v>
      </c>
      <c r="O940">
        <v>5</v>
      </c>
      <c r="P940" t="str">
        <f t="shared" si="14"/>
        <v>N</v>
      </c>
      <c r="Q940" t="s">
        <v>6670</v>
      </c>
    </row>
    <row r="941" spans="1:17" x14ac:dyDescent="0.25">
      <c r="A941" t="s">
        <v>3229</v>
      </c>
      <c r="B941" t="s">
        <v>1080</v>
      </c>
      <c r="C941">
        <v>2027</v>
      </c>
      <c r="D941" t="s">
        <v>534</v>
      </c>
      <c r="E941" t="s">
        <v>830</v>
      </c>
      <c r="F941" s="32">
        <v>46388</v>
      </c>
      <c r="G941" t="s">
        <v>514</v>
      </c>
      <c r="H941">
        <v>47128168</v>
      </c>
      <c r="I941" t="s">
        <v>1100</v>
      </c>
      <c r="J941" t="s">
        <v>1099</v>
      </c>
      <c r="K941" t="s">
        <v>530</v>
      </c>
      <c r="N941">
        <v>0</v>
      </c>
      <c r="O941">
        <v>0</v>
      </c>
      <c r="P941" t="str">
        <f t="shared" si="14"/>
        <v>N</v>
      </c>
      <c r="Q941" t="s">
        <v>6671</v>
      </c>
    </row>
    <row r="942" spans="1:17" x14ac:dyDescent="0.25">
      <c r="A942" t="s">
        <v>3230</v>
      </c>
      <c r="B942" t="s">
        <v>1080</v>
      </c>
      <c r="C942">
        <v>2027</v>
      </c>
      <c r="D942" t="s">
        <v>534</v>
      </c>
      <c r="E942" t="s">
        <v>830</v>
      </c>
      <c r="F942" s="32">
        <v>46388</v>
      </c>
      <c r="G942" t="s">
        <v>514</v>
      </c>
      <c r="H942">
        <v>47128687</v>
      </c>
      <c r="I942" t="s">
        <v>1153</v>
      </c>
      <c r="J942" t="s">
        <v>1152</v>
      </c>
      <c r="K942" t="s">
        <v>530</v>
      </c>
      <c r="N942">
        <v>0</v>
      </c>
      <c r="O942">
        <v>0</v>
      </c>
      <c r="P942" t="str">
        <f t="shared" si="14"/>
        <v>N</v>
      </c>
      <c r="Q942" t="s">
        <v>6672</v>
      </c>
    </row>
    <row r="943" spans="1:17" x14ac:dyDescent="0.25">
      <c r="A943" t="s">
        <v>3231</v>
      </c>
      <c r="B943" t="s">
        <v>1080</v>
      </c>
      <c r="C943">
        <v>2027</v>
      </c>
      <c r="D943" t="s">
        <v>534</v>
      </c>
      <c r="E943" t="s">
        <v>830</v>
      </c>
      <c r="F943" s="32">
        <v>46388</v>
      </c>
      <c r="G943" t="s">
        <v>514</v>
      </c>
      <c r="H943">
        <v>47128585</v>
      </c>
      <c r="I943" t="s">
        <v>1141</v>
      </c>
      <c r="J943" t="s">
        <v>1140</v>
      </c>
      <c r="K943" t="s">
        <v>530</v>
      </c>
      <c r="N943">
        <v>0</v>
      </c>
      <c r="O943">
        <v>0</v>
      </c>
      <c r="P943" t="str">
        <f t="shared" si="14"/>
        <v>N</v>
      </c>
      <c r="Q943" t="s">
        <v>6673</v>
      </c>
    </row>
    <row r="944" spans="1:17" x14ac:dyDescent="0.25">
      <c r="A944" t="s">
        <v>3232</v>
      </c>
      <c r="B944" t="s">
        <v>1080</v>
      </c>
      <c r="C944">
        <v>2027</v>
      </c>
      <c r="D944" t="s">
        <v>534</v>
      </c>
      <c r="E944" t="s">
        <v>830</v>
      </c>
      <c r="F944" s="32">
        <v>46388</v>
      </c>
      <c r="G944" t="s">
        <v>514</v>
      </c>
      <c r="H944">
        <v>47128906</v>
      </c>
      <c r="I944" t="s">
        <v>1349</v>
      </c>
      <c r="J944" t="s">
        <v>1348</v>
      </c>
      <c r="K944" t="s">
        <v>530</v>
      </c>
      <c r="N944">
        <v>0</v>
      </c>
      <c r="O944">
        <v>0</v>
      </c>
      <c r="P944" t="str">
        <f t="shared" si="14"/>
        <v>N</v>
      </c>
      <c r="Q944" t="s">
        <v>6674</v>
      </c>
    </row>
    <row r="945" spans="1:17" x14ac:dyDescent="0.25">
      <c r="A945" t="s">
        <v>3233</v>
      </c>
      <c r="B945" t="s">
        <v>1080</v>
      </c>
      <c r="C945">
        <v>2027</v>
      </c>
      <c r="D945" t="s">
        <v>534</v>
      </c>
      <c r="E945" t="s">
        <v>830</v>
      </c>
      <c r="F945" s="32">
        <v>46388</v>
      </c>
      <c r="G945" t="s">
        <v>514</v>
      </c>
      <c r="H945">
        <v>47128585</v>
      </c>
      <c r="I945" t="s">
        <v>1141</v>
      </c>
      <c r="J945" t="s">
        <v>1408</v>
      </c>
      <c r="K945" t="s">
        <v>530</v>
      </c>
      <c r="N945">
        <v>0</v>
      </c>
      <c r="O945">
        <v>0</v>
      </c>
      <c r="P945" t="str">
        <f t="shared" si="14"/>
        <v>N</v>
      </c>
      <c r="Q945" t="s">
        <v>6675</v>
      </c>
    </row>
    <row r="946" spans="1:17" x14ac:dyDescent="0.25">
      <c r="A946" t="s">
        <v>3234</v>
      </c>
      <c r="B946" t="s">
        <v>1080</v>
      </c>
      <c r="C946">
        <v>2027</v>
      </c>
      <c r="D946" t="s">
        <v>534</v>
      </c>
      <c r="E946" t="s">
        <v>830</v>
      </c>
      <c r="F946" s="32">
        <v>46388</v>
      </c>
      <c r="G946" t="s">
        <v>514</v>
      </c>
      <c r="H946">
        <v>47128518</v>
      </c>
      <c r="I946" t="s">
        <v>1232</v>
      </c>
      <c r="J946" t="s">
        <v>1231</v>
      </c>
      <c r="K946" t="s">
        <v>530</v>
      </c>
      <c r="N946">
        <v>0</v>
      </c>
      <c r="O946">
        <v>0</v>
      </c>
      <c r="P946" t="str">
        <f t="shared" si="14"/>
        <v>N</v>
      </c>
      <c r="Q946" t="s">
        <v>6676</v>
      </c>
    </row>
    <row r="947" spans="1:17" x14ac:dyDescent="0.25">
      <c r="A947" t="s">
        <v>3235</v>
      </c>
      <c r="B947" t="s">
        <v>1080</v>
      </c>
      <c r="C947">
        <v>2027</v>
      </c>
      <c r="D947" t="s">
        <v>534</v>
      </c>
      <c r="E947" t="s">
        <v>830</v>
      </c>
      <c r="F947" s="32">
        <v>46388</v>
      </c>
      <c r="G947" t="s">
        <v>514</v>
      </c>
      <c r="H947">
        <v>47128680</v>
      </c>
      <c r="I947" t="s">
        <v>1284</v>
      </c>
      <c r="J947" t="s">
        <v>1283</v>
      </c>
      <c r="K947" t="s">
        <v>530</v>
      </c>
      <c r="N947">
        <v>0</v>
      </c>
      <c r="O947">
        <v>0</v>
      </c>
      <c r="P947" t="str">
        <f t="shared" si="14"/>
        <v>N</v>
      </c>
      <c r="Q947" t="s">
        <v>6677</v>
      </c>
    </row>
    <row r="948" spans="1:17" x14ac:dyDescent="0.25">
      <c r="A948" t="s">
        <v>3236</v>
      </c>
      <c r="B948" t="s">
        <v>1080</v>
      </c>
      <c r="C948">
        <v>2027</v>
      </c>
      <c r="D948" t="s">
        <v>534</v>
      </c>
      <c r="E948" t="s">
        <v>830</v>
      </c>
      <c r="F948" s="32">
        <v>46388</v>
      </c>
      <c r="G948" t="s">
        <v>514</v>
      </c>
      <c r="H948">
        <v>47128024</v>
      </c>
      <c r="I948" t="s">
        <v>1108</v>
      </c>
      <c r="J948" t="s">
        <v>1107</v>
      </c>
      <c r="K948" t="s">
        <v>530</v>
      </c>
      <c r="N948">
        <v>0</v>
      </c>
      <c r="O948">
        <v>0</v>
      </c>
      <c r="P948" t="str">
        <f t="shared" si="14"/>
        <v>N</v>
      </c>
      <c r="Q948" t="s">
        <v>6678</v>
      </c>
    </row>
    <row r="949" spans="1:17" x14ac:dyDescent="0.25">
      <c r="A949" t="s">
        <v>3237</v>
      </c>
      <c r="B949" t="s">
        <v>1080</v>
      </c>
      <c r="C949">
        <v>2027</v>
      </c>
      <c r="D949" t="s">
        <v>534</v>
      </c>
      <c r="E949" t="s">
        <v>830</v>
      </c>
      <c r="F949" s="32">
        <v>46388</v>
      </c>
      <c r="G949" t="s">
        <v>514</v>
      </c>
      <c r="H949">
        <v>47128944</v>
      </c>
      <c r="I949" t="s">
        <v>1137</v>
      </c>
      <c r="J949" t="s">
        <v>1513</v>
      </c>
      <c r="K949" t="s">
        <v>530</v>
      </c>
      <c r="N949">
        <v>0</v>
      </c>
      <c r="O949">
        <v>0</v>
      </c>
      <c r="P949" t="str">
        <f t="shared" si="14"/>
        <v>N</v>
      </c>
      <c r="Q949" t="s">
        <v>6679</v>
      </c>
    </row>
    <row r="950" spans="1:17" x14ac:dyDescent="0.25">
      <c r="A950" t="s">
        <v>3238</v>
      </c>
      <c r="B950" t="s">
        <v>1080</v>
      </c>
      <c r="C950">
        <v>2027</v>
      </c>
      <c r="D950" t="s">
        <v>534</v>
      </c>
      <c r="E950" t="s">
        <v>830</v>
      </c>
      <c r="F950" s="32">
        <v>46388</v>
      </c>
      <c r="G950" t="s">
        <v>514</v>
      </c>
      <c r="H950">
        <v>47147546</v>
      </c>
      <c r="I950" t="s">
        <v>1077</v>
      </c>
      <c r="J950" t="s">
        <v>1076</v>
      </c>
      <c r="K950" t="s">
        <v>530</v>
      </c>
      <c r="N950">
        <v>0</v>
      </c>
      <c r="O950">
        <v>0</v>
      </c>
      <c r="P950" t="str">
        <f t="shared" si="14"/>
        <v>N</v>
      </c>
      <c r="Q950" t="s">
        <v>6680</v>
      </c>
    </row>
    <row r="951" spans="1:17" x14ac:dyDescent="0.25">
      <c r="A951" t="s">
        <v>3239</v>
      </c>
      <c r="B951" t="s">
        <v>1080</v>
      </c>
      <c r="C951">
        <v>2027</v>
      </c>
      <c r="D951" t="s">
        <v>534</v>
      </c>
      <c r="E951" t="s">
        <v>830</v>
      </c>
      <c r="F951" s="32">
        <v>46388</v>
      </c>
      <c r="G951" t="s">
        <v>514</v>
      </c>
      <c r="H951">
        <v>47128346</v>
      </c>
      <c r="I951" t="s">
        <v>1157</v>
      </c>
      <c r="J951" t="s">
        <v>1156</v>
      </c>
      <c r="K951" t="s">
        <v>530</v>
      </c>
      <c r="N951">
        <v>0</v>
      </c>
      <c r="O951">
        <v>0</v>
      </c>
      <c r="P951" t="str">
        <f t="shared" si="14"/>
        <v>N</v>
      </c>
      <c r="Q951" t="s">
        <v>6681</v>
      </c>
    </row>
    <row r="952" spans="1:17" x14ac:dyDescent="0.25">
      <c r="A952" t="s">
        <v>3240</v>
      </c>
      <c r="B952" t="s">
        <v>1080</v>
      </c>
      <c r="C952">
        <v>2027</v>
      </c>
      <c r="D952" t="s">
        <v>534</v>
      </c>
      <c r="E952" t="s">
        <v>830</v>
      </c>
      <c r="F952" s="32">
        <v>46388</v>
      </c>
      <c r="G952" t="s">
        <v>514</v>
      </c>
      <c r="H952">
        <v>47128800</v>
      </c>
      <c r="I952" t="s">
        <v>1145</v>
      </c>
      <c r="J952" t="s">
        <v>1144</v>
      </c>
      <c r="K952" t="s">
        <v>530</v>
      </c>
      <c r="N952">
        <v>0</v>
      </c>
      <c r="O952">
        <v>0</v>
      </c>
      <c r="P952" t="str">
        <f t="shared" si="14"/>
        <v>N</v>
      </c>
      <c r="Q952" t="s">
        <v>6682</v>
      </c>
    </row>
    <row r="953" spans="1:17" x14ac:dyDescent="0.25">
      <c r="A953" t="s">
        <v>3241</v>
      </c>
      <c r="B953" t="s">
        <v>1080</v>
      </c>
      <c r="C953">
        <v>2027</v>
      </c>
      <c r="D953" t="s">
        <v>534</v>
      </c>
      <c r="E953" t="s">
        <v>830</v>
      </c>
      <c r="F953" s="32">
        <v>46388</v>
      </c>
      <c r="G953" t="s">
        <v>514</v>
      </c>
      <c r="H953">
        <v>47128109</v>
      </c>
      <c r="I953" t="s">
        <v>1336</v>
      </c>
      <c r="J953" t="s">
        <v>1335</v>
      </c>
      <c r="K953" t="s">
        <v>530</v>
      </c>
      <c r="N953">
        <v>0</v>
      </c>
      <c r="O953">
        <v>0</v>
      </c>
      <c r="P953" t="str">
        <f t="shared" si="14"/>
        <v>N</v>
      </c>
      <c r="Q953" t="s">
        <v>6683</v>
      </c>
    </row>
    <row r="954" spans="1:17" x14ac:dyDescent="0.25">
      <c r="A954" t="s">
        <v>3242</v>
      </c>
      <c r="B954" t="s">
        <v>1080</v>
      </c>
      <c r="C954">
        <v>2027</v>
      </c>
      <c r="D954" t="s">
        <v>534</v>
      </c>
      <c r="E954" t="s">
        <v>830</v>
      </c>
      <c r="F954" s="32">
        <v>46388</v>
      </c>
      <c r="G954" t="s">
        <v>514</v>
      </c>
      <c r="H954">
        <v>47128430</v>
      </c>
      <c r="I954" t="s">
        <v>1401</v>
      </c>
      <c r="J954" t="s">
        <v>1400</v>
      </c>
      <c r="K954" t="s">
        <v>530</v>
      </c>
      <c r="N954">
        <v>0</v>
      </c>
      <c r="O954">
        <v>0</v>
      </c>
      <c r="P954" t="str">
        <f t="shared" si="14"/>
        <v>N</v>
      </c>
      <c r="Q954" t="s">
        <v>6684</v>
      </c>
    </row>
    <row r="955" spans="1:17" x14ac:dyDescent="0.25">
      <c r="A955" t="s">
        <v>3243</v>
      </c>
      <c r="B955" t="s">
        <v>1080</v>
      </c>
      <c r="C955">
        <v>2027</v>
      </c>
      <c r="D955" t="s">
        <v>534</v>
      </c>
      <c r="E955" t="s">
        <v>830</v>
      </c>
      <c r="F955" s="32">
        <v>46388</v>
      </c>
      <c r="G955" t="s">
        <v>514</v>
      </c>
      <c r="H955">
        <v>47128522</v>
      </c>
      <c r="I955" t="s">
        <v>1092</v>
      </c>
      <c r="J955" t="s">
        <v>1091</v>
      </c>
      <c r="K955" t="s">
        <v>530</v>
      </c>
      <c r="N955">
        <v>0</v>
      </c>
      <c r="O955">
        <v>0</v>
      </c>
      <c r="P955" t="str">
        <f t="shared" si="14"/>
        <v>N</v>
      </c>
      <c r="Q955" t="s">
        <v>6685</v>
      </c>
    </row>
    <row r="956" spans="1:17" x14ac:dyDescent="0.25">
      <c r="A956" t="s">
        <v>3244</v>
      </c>
      <c r="B956" t="s">
        <v>1080</v>
      </c>
      <c r="C956">
        <v>2027</v>
      </c>
      <c r="D956" t="s">
        <v>534</v>
      </c>
      <c r="E956" t="s">
        <v>830</v>
      </c>
      <c r="F956" s="32">
        <v>46388</v>
      </c>
      <c r="G956" t="s">
        <v>514</v>
      </c>
      <c r="H956">
        <v>47147546</v>
      </c>
      <c r="I956" t="s">
        <v>1077</v>
      </c>
      <c r="J956" t="s">
        <v>1381</v>
      </c>
      <c r="K956" t="s">
        <v>530</v>
      </c>
      <c r="N956">
        <v>0</v>
      </c>
      <c r="O956">
        <v>0</v>
      </c>
      <c r="P956" t="str">
        <f t="shared" si="14"/>
        <v>N</v>
      </c>
      <c r="Q956" t="s">
        <v>6686</v>
      </c>
    </row>
    <row r="957" spans="1:17" x14ac:dyDescent="0.25">
      <c r="A957" t="s">
        <v>3245</v>
      </c>
      <c r="B957" t="s">
        <v>1080</v>
      </c>
      <c r="C957">
        <v>2027</v>
      </c>
      <c r="D957" t="s">
        <v>534</v>
      </c>
      <c r="E957" t="s">
        <v>830</v>
      </c>
      <c r="F957" s="32">
        <v>46388</v>
      </c>
      <c r="G957" t="s">
        <v>514</v>
      </c>
      <c r="H957">
        <v>47147658</v>
      </c>
      <c r="I957" t="s">
        <v>1276</v>
      </c>
      <c r="J957" t="s">
        <v>1275</v>
      </c>
      <c r="K957" t="s">
        <v>530</v>
      </c>
      <c r="N957">
        <v>0</v>
      </c>
      <c r="O957">
        <v>0</v>
      </c>
      <c r="P957" t="str">
        <f t="shared" si="14"/>
        <v>N</v>
      </c>
      <c r="Q957" t="s">
        <v>6687</v>
      </c>
    </row>
    <row r="958" spans="1:17" x14ac:dyDescent="0.25">
      <c r="A958" t="s">
        <v>3246</v>
      </c>
      <c r="B958" t="s">
        <v>1080</v>
      </c>
      <c r="C958">
        <v>2027</v>
      </c>
      <c r="D958" t="s">
        <v>534</v>
      </c>
      <c r="E958" t="s">
        <v>830</v>
      </c>
      <c r="F958" s="32">
        <v>46388</v>
      </c>
      <c r="G958" t="s">
        <v>514</v>
      </c>
      <c r="H958">
        <v>47147546</v>
      </c>
      <c r="I958" t="s">
        <v>1077</v>
      </c>
      <c r="J958" t="s">
        <v>1171</v>
      </c>
      <c r="K958" t="s">
        <v>530</v>
      </c>
      <c r="N958">
        <v>0</v>
      </c>
      <c r="O958">
        <v>0</v>
      </c>
      <c r="P958" t="str">
        <f t="shared" si="14"/>
        <v>N</v>
      </c>
      <c r="Q958" t="s">
        <v>6688</v>
      </c>
    </row>
    <row r="959" spans="1:17" x14ac:dyDescent="0.25">
      <c r="A959" t="s">
        <v>3247</v>
      </c>
      <c r="B959" t="s">
        <v>1080</v>
      </c>
      <c r="C959">
        <v>2027</v>
      </c>
      <c r="D959" t="s">
        <v>534</v>
      </c>
      <c r="E959" t="s">
        <v>830</v>
      </c>
      <c r="F959" s="32">
        <v>46388</v>
      </c>
      <c r="G959" t="s">
        <v>514</v>
      </c>
      <c r="H959">
        <v>47128028</v>
      </c>
      <c r="I959" t="s">
        <v>1035</v>
      </c>
      <c r="J959" t="s">
        <v>1034</v>
      </c>
      <c r="K959" t="s">
        <v>530</v>
      </c>
      <c r="N959">
        <v>0</v>
      </c>
      <c r="O959">
        <v>0</v>
      </c>
      <c r="P959" t="str">
        <f t="shared" si="14"/>
        <v>N</v>
      </c>
      <c r="Q959" t="s">
        <v>6689</v>
      </c>
    </row>
    <row r="960" spans="1:17" x14ac:dyDescent="0.25">
      <c r="A960" t="s">
        <v>3248</v>
      </c>
      <c r="B960" t="s">
        <v>1080</v>
      </c>
      <c r="C960">
        <v>2027</v>
      </c>
      <c r="D960" t="s">
        <v>534</v>
      </c>
      <c r="E960" t="s">
        <v>830</v>
      </c>
      <c r="F960" s="32">
        <v>46388</v>
      </c>
      <c r="G960" t="s">
        <v>514</v>
      </c>
      <c r="H960">
        <v>47128465</v>
      </c>
      <c r="I960" t="s">
        <v>1333</v>
      </c>
      <c r="J960" t="s">
        <v>1332</v>
      </c>
      <c r="K960" t="s">
        <v>530</v>
      </c>
      <c r="N960">
        <v>0</v>
      </c>
      <c r="O960">
        <v>0</v>
      </c>
      <c r="P960" t="str">
        <f t="shared" si="14"/>
        <v>N</v>
      </c>
      <c r="Q960" t="s">
        <v>6690</v>
      </c>
    </row>
    <row r="961" spans="1:17" x14ac:dyDescent="0.25">
      <c r="A961" t="s">
        <v>3249</v>
      </c>
      <c r="B961" t="s">
        <v>1080</v>
      </c>
      <c r="C961">
        <v>2027</v>
      </c>
      <c r="D961" t="s">
        <v>534</v>
      </c>
      <c r="E961" t="s">
        <v>830</v>
      </c>
      <c r="F961" s="32">
        <v>46388</v>
      </c>
      <c r="G961" t="s">
        <v>514</v>
      </c>
      <c r="H961">
        <v>47128548</v>
      </c>
      <c r="I961" t="s">
        <v>958</v>
      </c>
      <c r="J961" t="s">
        <v>957</v>
      </c>
      <c r="K961" t="s">
        <v>530</v>
      </c>
      <c r="N961">
        <v>0</v>
      </c>
      <c r="O961">
        <v>0</v>
      </c>
      <c r="P961" t="str">
        <f t="shared" si="14"/>
        <v>N</v>
      </c>
      <c r="Q961" t="s">
        <v>6691</v>
      </c>
    </row>
    <row r="962" spans="1:17" x14ac:dyDescent="0.25">
      <c r="A962" t="s">
        <v>3250</v>
      </c>
      <c r="B962" t="s">
        <v>1080</v>
      </c>
      <c r="C962">
        <v>2027</v>
      </c>
      <c r="D962" t="s">
        <v>534</v>
      </c>
      <c r="E962" t="s">
        <v>830</v>
      </c>
      <c r="F962" s="32">
        <v>46388</v>
      </c>
      <c r="G962" t="s">
        <v>514</v>
      </c>
      <c r="H962">
        <v>47128787</v>
      </c>
      <c r="I962" t="s">
        <v>1453</v>
      </c>
      <c r="J962" t="s">
        <v>1452</v>
      </c>
      <c r="K962" t="s">
        <v>530</v>
      </c>
      <c r="N962">
        <v>0</v>
      </c>
      <c r="O962">
        <v>0</v>
      </c>
      <c r="P962" t="str">
        <f t="shared" si="14"/>
        <v>N</v>
      </c>
      <c r="Q962" t="s">
        <v>6692</v>
      </c>
    </row>
    <row r="963" spans="1:17" x14ac:dyDescent="0.25">
      <c r="A963" t="s">
        <v>3251</v>
      </c>
      <c r="B963" t="s">
        <v>1080</v>
      </c>
      <c r="C963">
        <v>2027</v>
      </c>
      <c r="D963" t="s">
        <v>534</v>
      </c>
      <c r="E963" t="s">
        <v>830</v>
      </c>
      <c r="F963" s="32">
        <v>46388</v>
      </c>
      <c r="G963" t="s">
        <v>514</v>
      </c>
      <c r="H963">
        <v>47146464</v>
      </c>
      <c r="I963" t="s">
        <v>1438</v>
      </c>
      <c r="J963" t="s">
        <v>1437</v>
      </c>
      <c r="K963" t="s">
        <v>530</v>
      </c>
      <c r="N963">
        <v>0</v>
      </c>
      <c r="O963">
        <v>0</v>
      </c>
      <c r="P963" t="str">
        <f t="shared" ref="P963:P1026" si="15">IF(N963=O963,"N","Y")</f>
        <v>N</v>
      </c>
      <c r="Q963" t="s">
        <v>6693</v>
      </c>
    </row>
    <row r="964" spans="1:17" x14ac:dyDescent="0.25">
      <c r="A964" t="s">
        <v>3252</v>
      </c>
      <c r="B964" t="s">
        <v>1080</v>
      </c>
      <c r="C964">
        <v>2027</v>
      </c>
      <c r="D964" t="s">
        <v>534</v>
      </c>
      <c r="E964" t="s">
        <v>830</v>
      </c>
      <c r="F964" s="32">
        <v>46388</v>
      </c>
      <c r="G964" t="s">
        <v>514</v>
      </c>
      <c r="H964">
        <v>47146463</v>
      </c>
      <c r="I964" t="s">
        <v>1441</v>
      </c>
      <c r="J964" t="s">
        <v>1440</v>
      </c>
      <c r="K964" t="s">
        <v>530</v>
      </c>
      <c r="N964">
        <v>0</v>
      </c>
      <c r="O964">
        <v>0</v>
      </c>
      <c r="P964" t="str">
        <f t="shared" si="15"/>
        <v>N</v>
      </c>
      <c r="Q964" t="s">
        <v>6694</v>
      </c>
    </row>
    <row r="965" spans="1:17" x14ac:dyDescent="0.25">
      <c r="A965" t="s">
        <v>3253</v>
      </c>
      <c r="B965" t="s">
        <v>1080</v>
      </c>
      <c r="C965">
        <v>2027</v>
      </c>
      <c r="D965" t="s">
        <v>534</v>
      </c>
      <c r="E965" t="s">
        <v>830</v>
      </c>
      <c r="F965" s="32">
        <v>46388</v>
      </c>
      <c r="G965" t="s">
        <v>514</v>
      </c>
      <c r="H965">
        <v>47128729</v>
      </c>
      <c r="I965" t="s">
        <v>1149</v>
      </c>
      <c r="J965" t="s">
        <v>1148</v>
      </c>
      <c r="K965" t="s">
        <v>530</v>
      </c>
      <c r="N965">
        <v>0</v>
      </c>
      <c r="O965">
        <v>0</v>
      </c>
      <c r="P965" t="str">
        <f t="shared" si="15"/>
        <v>N</v>
      </c>
      <c r="Q965" t="s">
        <v>6695</v>
      </c>
    </row>
    <row r="966" spans="1:17" x14ac:dyDescent="0.25">
      <c r="A966" t="s">
        <v>3254</v>
      </c>
      <c r="B966" t="s">
        <v>1080</v>
      </c>
      <c r="C966">
        <v>2027</v>
      </c>
      <c r="D966" t="s">
        <v>534</v>
      </c>
      <c r="E966" t="s">
        <v>830</v>
      </c>
      <c r="F966" s="32">
        <v>46388</v>
      </c>
      <c r="G966" t="s">
        <v>514</v>
      </c>
      <c r="H966">
        <v>47128413</v>
      </c>
      <c r="I966" t="s">
        <v>1397</v>
      </c>
      <c r="J966" t="s">
        <v>1396</v>
      </c>
      <c r="K966" t="s">
        <v>530</v>
      </c>
      <c r="N966">
        <v>0</v>
      </c>
      <c r="O966">
        <v>0</v>
      </c>
      <c r="P966" t="str">
        <f t="shared" si="15"/>
        <v>N</v>
      </c>
      <c r="Q966" t="s">
        <v>6696</v>
      </c>
    </row>
    <row r="967" spans="1:17" x14ac:dyDescent="0.25">
      <c r="A967" t="s">
        <v>3255</v>
      </c>
      <c r="B967" t="s">
        <v>1080</v>
      </c>
      <c r="C967">
        <v>2027</v>
      </c>
      <c r="D967" t="s">
        <v>534</v>
      </c>
      <c r="E967" t="s">
        <v>830</v>
      </c>
      <c r="F967" s="32">
        <v>46388</v>
      </c>
      <c r="G967" t="s">
        <v>514</v>
      </c>
      <c r="H967">
        <v>47128783</v>
      </c>
      <c r="I967" t="s">
        <v>1280</v>
      </c>
      <c r="J967" t="s">
        <v>1279</v>
      </c>
      <c r="K967" t="s">
        <v>530</v>
      </c>
      <c r="N967">
        <v>0</v>
      </c>
      <c r="O967">
        <v>0</v>
      </c>
      <c r="P967" t="str">
        <f t="shared" si="15"/>
        <v>N</v>
      </c>
      <c r="Q967" t="s">
        <v>6697</v>
      </c>
    </row>
    <row r="968" spans="1:17" x14ac:dyDescent="0.25">
      <c r="A968" t="s">
        <v>3256</v>
      </c>
      <c r="B968" t="s">
        <v>1080</v>
      </c>
      <c r="C968">
        <v>2027</v>
      </c>
      <c r="D968" t="s">
        <v>534</v>
      </c>
      <c r="E968" t="s">
        <v>830</v>
      </c>
      <c r="F968" s="32">
        <v>46388</v>
      </c>
      <c r="G968" t="s">
        <v>514</v>
      </c>
      <c r="H968">
        <v>47128944</v>
      </c>
      <c r="I968" t="s">
        <v>1137</v>
      </c>
      <c r="J968" t="s">
        <v>1136</v>
      </c>
      <c r="K968" t="s">
        <v>530</v>
      </c>
      <c r="N968">
        <v>0</v>
      </c>
      <c r="O968">
        <v>0</v>
      </c>
      <c r="P968" t="str">
        <f t="shared" si="15"/>
        <v>N</v>
      </c>
      <c r="Q968" t="s">
        <v>6698</v>
      </c>
    </row>
    <row r="969" spans="1:17" x14ac:dyDescent="0.25">
      <c r="A969" t="s">
        <v>3257</v>
      </c>
      <c r="B969" t="s">
        <v>1080</v>
      </c>
      <c r="C969">
        <v>2027</v>
      </c>
      <c r="D969" t="s">
        <v>534</v>
      </c>
      <c r="E969" t="s">
        <v>830</v>
      </c>
      <c r="F969" s="32">
        <v>46388</v>
      </c>
      <c r="G969" t="s">
        <v>514</v>
      </c>
      <c r="H969">
        <v>47129547</v>
      </c>
      <c r="I969" t="s">
        <v>1128</v>
      </c>
      <c r="J969" t="s">
        <v>1352</v>
      </c>
      <c r="K969" t="s">
        <v>530</v>
      </c>
      <c r="N969">
        <v>0</v>
      </c>
      <c r="O969">
        <v>0</v>
      </c>
      <c r="P969" t="str">
        <f t="shared" si="15"/>
        <v>N</v>
      </c>
      <c r="Q969" t="s">
        <v>6699</v>
      </c>
    </row>
    <row r="970" spans="1:17" x14ac:dyDescent="0.25">
      <c r="A970" t="s">
        <v>3824</v>
      </c>
      <c r="B970" t="s">
        <v>912</v>
      </c>
      <c r="C970">
        <v>2027</v>
      </c>
      <c r="D970" t="s">
        <v>534</v>
      </c>
      <c r="E970" t="s">
        <v>830</v>
      </c>
      <c r="F970" s="32">
        <v>46388</v>
      </c>
      <c r="G970" t="s">
        <v>514</v>
      </c>
      <c r="H970">
        <v>47140037</v>
      </c>
      <c r="I970" t="s">
        <v>2347</v>
      </c>
      <c r="J970" t="s">
        <v>2348</v>
      </c>
      <c r="K970" t="s">
        <v>530</v>
      </c>
      <c r="N970">
        <v>0</v>
      </c>
      <c r="O970">
        <v>0</v>
      </c>
      <c r="P970" t="str">
        <f t="shared" si="15"/>
        <v>N</v>
      </c>
      <c r="Q970" t="s">
        <v>6700</v>
      </c>
    </row>
    <row r="971" spans="1:17" x14ac:dyDescent="0.25">
      <c r="A971" t="s">
        <v>3825</v>
      </c>
      <c r="B971" t="s">
        <v>912</v>
      </c>
      <c r="C971">
        <v>2027</v>
      </c>
      <c r="D971" t="s">
        <v>534</v>
      </c>
      <c r="E971" t="s">
        <v>830</v>
      </c>
      <c r="F971" s="32">
        <v>46388</v>
      </c>
      <c r="G971" t="s">
        <v>514</v>
      </c>
      <c r="H971">
        <v>47128216</v>
      </c>
      <c r="I971" t="s">
        <v>2350</v>
      </c>
      <c r="J971" t="s">
        <v>2351</v>
      </c>
      <c r="K971" t="s">
        <v>530</v>
      </c>
      <c r="N971">
        <v>0</v>
      </c>
      <c r="O971">
        <v>0</v>
      </c>
      <c r="P971" t="str">
        <f t="shared" si="15"/>
        <v>N</v>
      </c>
      <c r="Q971" t="s">
        <v>6701</v>
      </c>
    </row>
    <row r="972" spans="1:17" x14ac:dyDescent="0.25">
      <c r="A972" t="s">
        <v>3826</v>
      </c>
      <c r="B972" t="s">
        <v>912</v>
      </c>
      <c r="C972">
        <v>2027</v>
      </c>
      <c r="D972" t="s">
        <v>534</v>
      </c>
      <c r="E972" t="s">
        <v>830</v>
      </c>
      <c r="F972" s="32">
        <v>46388</v>
      </c>
      <c r="G972" t="s">
        <v>514</v>
      </c>
      <c r="H972">
        <v>47128769</v>
      </c>
      <c r="I972" t="s">
        <v>2386</v>
      </c>
      <c r="J972" t="s">
        <v>2387</v>
      </c>
      <c r="K972" t="s">
        <v>530</v>
      </c>
      <c r="N972">
        <v>0</v>
      </c>
      <c r="O972">
        <v>0</v>
      </c>
      <c r="P972" t="str">
        <f t="shared" si="15"/>
        <v>N</v>
      </c>
      <c r="Q972" t="s">
        <v>6702</v>
      </c>
    </row>
    <row r="973" spans="1:17" x14ac:dyDescent="0.25">
      <c r="A973" t="s">
        <v>3827</v>
      </c>
      <c r="B973" t="s">
        <v>912</v>
      </c>
      <c r="C973">
        <v>2027</v>
      </c>
      <c r="D973" t="s">
        <v>534</v>
      </c>
      <c r="E973" t="s">
        <v>830</v>
      </c>
      <c r="F973" s="32">
        <v>46388</v>
      </c>
      <c r="G973" t="s">
        <v>514</v>
      </c>
      <c r="H973">
        <v>47128208</v>
      </c>
      <c r="I973" t="s">
        <v>2353</v>
      </c>
      <c r="J973" t="s">
        <v>2354</v>
      </c>
      <c r="K973" t="s">
        <v>530</v>
      </c>
      <c r="N973">
        <v>0</v>
      </c>
      <c r="O973">
        <v>0</v>
      </c>
      <c r="P973" t="str">
        <f t="shared" si="15"/>
        <v>N</v>
      </c>
      <c r="Q973" t="s">
        <v>6703</v>
      </c>
    </row>
    <row r="974" spans="1:17" x14ac:dyDescent="0.25">
      <c r="A974" t="s">
        <v>3828</v>
      </c>
      <c r="B974" t="s">
        <v>912</v>
      </c>
      <c r="C974">
        <v>2027</v>
      </c>
      <c r="D974" t="s">
        <v>534</v>
      </c>
      <c r="E974" t="s">
        <v>830</v>
      </c>
      <c r="F974" s="32">
        <v>46388</v>
      </c>
      <c r="G974" t="s">
        <v>514</v>
      </c>
      <c r="H974">
        <v>47128377</v>
      </c>
      <c r="I974" t="s">
        <v>2362</v>
      </c>
      <c r="J974" t="s">
        <v>2363</v>
      </c>
      <c r="K974" t="s">
        <v>530</v>
      </c>
      <c r="N974">
        <v>2.8</v>
      </c>
      <c r="O974">
        <v>2.8</v>
      </c>
      <c r="P974" t="str">
        <f t="shared" si="15"/>
        <v>N</v>
      </c>
      <c r="Q974" t="s">
        <v>6704</v>
      </c>
    </row>
    <row r="975" spans="1:17" x14ac:dyDescent="0.25">
      <c r="A975" t="s">
        <v>3829</v>
      </c>
      <c r="B975" t="s">
        <v>912</v>
      </c>
      <c r="C975">
        <v>2027</v>
      </c>
      <c r="D975" t="s">
        <v>534</v>
      </c>
      <c r="E975" t="s">
        <v>830</v>
      </c>
      <c r="F975" s="32">
        <v>46388</v>
      </c>
      <c r="G975" t="s">
        <v>514</v>
      </c>
      <c r="H975">
        <v>47128378</v>
      </c>
      <c r="I975" t="s">
        <v>2392</v>
      </c>
      <c r="J975" t="s">
        <v>2393</v>
      </c>
      <c r="K975" t="s">
        <v>530</v>
      </c>
      <c r="N975">
        <v>37.200000000000003</v>
      </c>
      <c r="O975">
        <v>37.200000000000003</v>
      </c>
      <c r="P975" t="str">
        <f t="shared" si="15"/>
        <v>N</v>
      </c>
      <c r="Q975" t="s">
        <v>6705</v>
      </c>
    </row>
    <row r="976" spans="1:17" x14ac:dyDescent="0.25">
      <c r="A976" t="s">
        <v>3830</v>
      </c>
      <c r="B976" t="s">
        <v>912</v>
      </c>
      <c r="C976">
        <v>2027</v>
      </c>
      <c r="D976" t="s">
        <v>534</v>
      </c>
      <c r="E976" t="s">
        <v>830</v>
      </c>
      <c r="F976" s="32">
        <v>46388</v>
      </c>
      <c r="G976" t="s">
        <v>514</v>
      </c>
      <c r="H976">
        <v>47128020</v>
      </c>
      <c r="I976" t="s">
        <v>2395</v>
      </c>
      <c r="J976" t="s">
        <v>2396</v>
      </c>
      <c r="K976" t="s">
        <v>530</v>
      </c>
      <c r="N976">
        <v>0</v>
      </c>
      <c r="O976">
        <v>0</v>
      </c>
      <c r="P976" t="str">
        <f t="shared" si="15"/>
        <v>N</v>
      </c>
      <c r="Q976" t="s">
        <v>6706</v>
      </c>
    </row>
    <row r="977" spans="1:17" x14ac:dyDescent="0.25">
      <c r="A977" t="s">
        <v>3831</v>
      </c>
      <c r="B977" t="s">
        <v>912</v>
      </c>
      <c r="C977">
        <v>2027</v>
      </c>
      <c r="D977" t="s">
        <v>534</v>
      </c>
      <c r="E977" t="s">
        <v>830</v>
      </c>
      <c r="F977" s="32">
        <v>46388</v>
      </c>
      <c r="G977" t="s">
        <v>514</v>
      </c>
      <c r="H977">
        <v>47128459</v>
      </c>
      <c r="I977" t="s">
        <v>2398</v>
      </c>
      <c r="J977" t="s">
        <v>2399</v>
      </c>
      <c r="K977" t="s">
        <v>530</v>
      </c>
      <c r="N977">
        <v>0</v>
      </c>
      <c r="O977">
        <v>0</v>
      </c>
      <c r="P977" t="str">
        <f t="shared" si="15"/>
        <v>N</v>
      </c>
      <c r="Q977" t="s">
        <v>6707</v>
      </c>
    </row>
    <row r="978" spans="1:17" x14ac:dyDescent="0.25">
      <c r="A978" t="s">
        <v>3884</v>
      </c>
      <c r="B978" t="s">
        <v>1043</v>
      </c>
      <c r="C978">
        <v>2027</v>
      </c>
      <c r="D978" t="s">
        <v>534</v>
      </c>
      <c r="E978" t="s">
        <v>830</v>
      </c>
      <c r="F978" s="32">
        <v>46388</v>
      </c>
      <c r="G978" t="s">
        <v>514</v>
      </c>
      <c r="H978">
        <v>47128421</v>
      </c>
      <c r="I978" t="s">
        <v>1086</v>
      </c>
      <c r="J978" t="s">
        <v>1085</v>
      </c>
      <c r="K978" t="s">
        <v>530</v>
      </c>
      <c r="N978">
        <v>20</v>
      </c>
      <c r="O978">
        <v>20</v>
      </c>
      <c r="P978" t="str">
        <f t="shared" si="15"/>
        <v>N</v>
      </c>
      <c r="Q978" t="s">
        <v>6708</v>
      </c>
    </row>
    <row r="979" spans="1:17" x14ac:dyDescent="0.25">
      <c r="A979" t="s">
        <v>3885</v>
      </c>
      <c r="B979" t="s">
        <v>1043</v>
      </c>
      <c r="C979">
        <v>2027</v>
      </c>
      <c r="D979" t="s">
        <v>534</v>
      </c>
      <c r="E979" t="s">
        <v>830</v>
      </c>
      <c r="F979" s="32">
        <v>46388</v>
      </c>
      <c r="G979" t="s">
        <v>514</v>
      </c>
      <c r="H979">
        <v>47128364</v>
      </c>
      <c r="I979" t="s">
        <v>1264</v>
      </c>
      <c r="J979" t="s">
        <v>1263</v>
      </c>
      <c r="K979" t="s">
        <v>530</v>
      </c>
      <c r="N979">
        <v>0</v>
      </c>
      <c r="O979">
        <v>0</v>
      </c>
      <c r="P979" t="str">
        <f t="shared" si="15"/>
        <v>N</v>
      </c>
      <c r="Q979" t="s">
        <v>6709</v>
      </c>
    </row>
    <row r="980" spans="1:17" x14ac:dyDescent="0.25">
      <c r="A980" t="s">
        <v>3886</v>
      </c>
      <c r="B980" t="s">
        <v>1043</v>
      </c>
      <c r="C980">
        <v>2027</v>
      </c>
      <c r="D980" t="s">
        <v>534</v>
      </c>
      <c r="E980" t="s">
        <v>830</v>
      </c>
      <c r="F980" s="32">
        <v>46388</v>
      </c>
      <c r="G980" t="s">
        <v>514</v>
      </c>
      <c r="H980">
        <v>47128706</v>
      </c>
      <c r="I980" t="s">
        <v>1201</v>
      </c>
      <c r="J980" t="s">
        <v>1200</v>
      </c>
      <c r="K980" t="s">
        <v>530</v>
      </c>
      <c r="N980">
        <v>0</v>
      </c>
      <c r="O980">
        <v>0</v>
      </c>
      <c r="P980" t="str">
        <f t="shared" si="15"/>
        <v>N</v>
      </c>
      <c r="Q980" t="s">
        <v>6710</v>
      </c>
    </row>
    <row r="981" spans="1:17" x14ac:dyDescent="0.25">
      <c r="A981" t="s">
        <v>3971</v>
      </c>
      <c r="B981" t="s">
        <v>3939</v>
      </c>
      <c r="C981">
        <v>2027</v>
      </c>
      <c r="D981" t="s">
        <v>534</v>
      </c>
      <c r="E981" t="s">
        <v>830</v>
      </c>
      <c r="F981" s="32">
        <v>46388</v>
      </c>
      <c r="G981" t="s">
        <v>514</v>
      </c>
      <c r="H981">
        <v>47140037</v>
      </c>
      <c r="I981" t="s">
        <v>2347</v>
      </c>
      <c r="J981" t="s">
        <v>2348</v>
      </c>
      <c r="K981" t="s">
        <v>530</v>
      </c>
      <c r="N981">
        <v>0</v>
      </c>
      <c r="O981">
        <v>0</v>
      </c>
      <c r="P981" t="str">
        <f t="shared" si="15"/>
        <v>N</v>
      </c>
      <c r="Q981" t="s">
        <v>6711</v>
      </c>
    </row>
    <row r="982" spans="1:17" x14ac:dyDescent="0.25">
      <c r="A982" t="s">
        <v>3972</v>
      </c>
      <c r="B982" t="s">
        <v>3939</v>
      </c>
      <c r="C982">
        <v>2027</v>
      </c>
      <c r="D982" t="s">
        <v>534</v>
      </c>
      <c r="E982" t="s">
        <v>830</v>
      </c>
      <c r="F982" s="32">
        <v>46388</v>
      </c>
      <c r="G982" t="s">
        <v>514</v>
      </c>
      <c r="H982">
        <v>47128216</v>
      </c>
      <c r="I982" t="s">
        <v>2350</v>
      </c>
      <c r="J982" t="s">
        <v>2351</v>
      </c>
      <c r="K982" t="s">
        <v>530</v>
      </c>
      <c r="N982">
        <v>0</v>
      </c>
      <c r="O982">
        <v>0</v>
      </c>
      <c r="P982" t="str">
        <f t="shared" si="15"/>
        <v>N</v>
      </c>
      <c r="Q982" t="s">
        <v>6712</v>
      </c>
    </row>
    <row r="983" spans="1:17" x14ac:dyDescent="0.25">
      <c r="A983" t="s">
        <v>3973</v>
      </c>
      <c r="B983" t="s">
        <v>3939</v>
      </c>
      <c r="C983">
        <v>2027</v>
      </c>
      <c r="D983" t="s">
        <v>534</v>
      </c>
      <c r="E983" t="s">
        <v>830</v>
      </c>
      <c r="F983" s="32">
        <v>46388</v>
      </c>
      <c r="G983" t="s">
        <v>514</v>
      </c>
      <c r="H983">
        <v>47128769</v>
      </c>
      <c r="I983" t="s">
        <v>2386</v>
      </c>
      <c r="J983" t="s">
        <v>2387</v>
      </c>
      <c r="K983" t="s">
        <v>530</v>
      </c>
      <c r="N983">
        <v>0</v>
      </c>
      <c r="O983">
        <v>0</v>
      </c>
      <c r="P983" t="str">
        <f t="shared" si="15"/>
        <v>N</v>
      </c>
      <c r="Q983" t="s">
        <v>6713</v>
      </c>
    </row>
    <row r="984" spans="1:17" x14ac:dyDescent="0.25">
      <c r="A984" t="s">
        <v>3974</v>
      </c>
      <c r="B984" t="s">
        <v>3939</v>
      </c>
      <c r="C984">
        <v>2027</v>
      </c>
      <c r="D984" t="s">
        <v>534</v>
      </c>
      <c r="E984" t="s">
        <v>830</v>
      </c>
      <c r="F984" s="32">
        <v>46388</v>
      </c>
      <c r="G984" t="s">
        <v>514</v>
      </c>
      <c r="H984">
        <v>47128208</v>
      </c>
      <c r="I984" t="s">
        <v>2353</v>
      </c>
      <c r="J984" t="s">
        <v>2354</v>
      </c>
      <c r="K984" t="s">
        <v>530</v>
      </c>
      <c r="N984">
        <v>0</v>
      </c>
      <c r="O984">
        <v>0</v>
      </c>
      <c r="P984" t="str">
        <f t="shared" si="15"/>
        <v>N</v>
      </c>
      <c r="Q984" t="s">
        <v>6714</v>
      </c>
    </row>
    <row r="985" spans="1:17" x14ac:dyDescent="0.25">
      <c r="A985" t="s">
        <v>3975</v>
      </c>
      <c r="B985" t="s">
        <v>3939</v>
      </c>
      <c r="C985">
        <v>2027</v>
      </c>
      <c r="D985" t="s">
        <v>534</v>
      </c>
      <c r="E985" t="s">
        <v>830</v>
      </c>
      <c r="F985" s="32">
        <v>46388</v>
      </c>
      <c r="G985" t="s">
        <v>514</v>
      </c>
      <c r="H985">
        <v>47128377</v>
      </c>
      <c r="I985" t="s">
        <v>2362</v>
      </c>
      <c r="J985" t="s">
        <v>2363</v>
      </c>
      <c r="K985" t="s">
        <v>530</v>
      </c>
      <c r="N985">
        <v>40</v>
      </c>
      <c r="O985">
        <v>40</v>
      </c>
      <c r="P985" t="str">
        <f t="shared" si="15"/>
        <v>N</v>
      </c>
      <c r="Q985" t="s">
        <v>6715</v>
      </c>
    </row>
    <row r="986" spans="1:17" x14ac:dyDescent="0.25">
      <c r="A986" t="s">
        <v>3976</v>
      </c>
      <c r="B986" t="s">
        <v>3939</v>
      </c>
      <c r="C986">
        <v>2027</v>
      </c>
      <c r="D986" t="s">
        <v>534</v>
      </c>
      <c r="E986" t="s">
        <v>830</v>
      </c>
      <c r="F986" s="32">
        <v>46388</v>
      </c>
      <c r="G986" t="s">
        <v>514</v>
      </c>
      <c r="H986">
        <v>47128378</v>
      </c>
      <c r="I986" t="s">
        <v>2392</v>
      </c>
      <c r="J986" t="s">
        <v>2393</v>
      </c>
      <c r="K986" t="s">
        <v>530</v>
      </c>
      <c r="N986">
        <v>0</v>
      </c>
      <c r="O986">
        <v>0</v>
      </c>
      <c r="P986" t="str">
        <f t="shared" si="15"/>
        <v>N</v>
      </c>
      <c r="Q986" t="s">
        <v>6716</v>
      </c>
    </row>
    <row r="987" spans="1:17" x14ac:dyDescent="0.25">
      <c r="A987" t="s">
        <v>3977</v>
      </c>
      <c r="B987" t="s">
        <v>3939</v>
      </c>
      <c r="C987">
        <v>2027</v>
      </c>
      <c r="D987" t="s">
        <v>534</v>
      </c>
      <c r="E987" t="s">
        <v>830</v>
      </c>
      <c r="F987" s="32">
        <v>46388</v>
      </c>
      <c r="G987" t="s">
        <v>514</v>
      </c>
      <c r="H987">
        <v>47128020</v>
      </c>
      <c r="I987" t="s">
        <v>2395</v>
      </c>
      <c r="J987" t="s">
        <v>2396</v>
      </c>
      <c r="K987" t="s">
        <v>530</v>
      </c>
      <c r="N987">
        <v>0</v>
      </c>
      <c r="O987">
        <v>0</v>
      </c>
      <c r="P987" t="str">
        <f t="shared" si="15"/>
        <v>N</v>
      </c>
      <c r="Q987" t="s">
        <v>6717</v>
      </c>
    </row>
    <row r="988" spans="1:17" x14ac:dyDescent="0.25">
      <c r="A988" t="s">
        <v>3978</v>
      </c>
      <c r="B988" t="s">
        <v>3939</v>
      </c>
      <c r="C988">
        <v>2027</v>
      </c>
      <c r="D988" t="s">
        <v>534</v>
      </c>
      <c r="E988" t="s">
        <v>830</v>
      </c>
      <c r="F988" s="32">
        <v>46388</v>
      </c>
      <c r="G988" t="s">
        <v>514</v>
      </c>
      <c r="H988">
        <v>47128459</v>
      </c>
      <c r="I988" t="s">
        <v>2398</v>
      </c>
      <c r="J988" t="s">
        <v>2399</v>
      </c>
      <c r="K988" t="s">
        <v>530</v>
      </c>
      <c r="N988">
        <v>0</v>
      </c>
      <c r="O988">
        <v>0</v>
      </c>
      <c r="P988" t="str">
        <f t="shared" si="15"/>
        <v>N</v>
      </c>
      <c r="Q988" t="s">
        <v>6718</v>
      </c>
    </row>
    <row r="989" spans="1:17" x14ac:dyDescent="0.25">
      <c r="A989" t="s">
        <v>4061</v>
      </c>
      <c r="B989" t="s">
        <v>1489</v>
      </c>
      <c r="C989">
        <v>2027</v>
      </c>
      <c r="D989" t="s">
        <v>534</v>
      </c>
      <c r="E989" t="s">
        <v>830</v>
      </c>
      <c r="F989" s="32">
        <v>46388</v>
      </c>
      <c r="G989" t="s">
        <v>514</v>
      </c>
      <c r="H989">
        <v>47128967</v>
      </c>
      <c r="I989" t="s">
        <v>1062</v>
      </c>
      <c r="J989" t="s">
        <v>1061</v>
      </c>
      <c r="K989" t="s">
        <v>530</v>
      </c>
      <c r="N989">
        <v>0</v>
      </c>
      <c r="O989">
        <v>0</v>
      </c>
      <c r="P989" t="str">
        <f t="shared" si="15"/>
        <v>N</v>
      </c>
      <c r="Q989" t="s">
        <v>6719</v>
      </c>
    </row>
    <row r="990" spans="1:17" x14ac:dyDescent="0.25">
      <c r="A990" t="s">
        <v>4062</v>
      </c>
      <c r="B990" t="s">
        <v>1489</v>
      </c>
      <c r="C990">
        <v>2027</v>
      </c>
      <c r="D990" t="s">
        <v>534</v>
      </c>
      <c r="E990" t="s">
        <v>830</v>
      </c>
      <c r="F990" s="32">
        <v>46388</v>
      </c>
      <c r="G990" t="s">
        <v>514</v>
      </c>
      <c r="H990">
        <v>47133720</v>
      </c>
      <c r="I990" t="s">
        <v>1217</v>
      </c>
      <c r="J990" t="s">
        <v>1216</v>
      </c>
      <c r="K990" t="s">
        <v>530</v>
      </c>
      <c r="N990">
        <v>0</v>
      </c>
      <c r="O990">
        <v>0</v>
      </c>
      <c r="P990" t="str">
        <f t="shared" si="15"/>
        <v>N</v>
      </c>
      <c r="Q990" t="s">
        <v>6720</v>
      </c>
    </row>
    <row r="991" spans="1:17" x14ac:dyDescent="0.25">
      <c r="A991" t="s">
        <v>4063</v>
      </c>
      <c r="B991" t="s">
        <v>1489</v>
      </c>
      <c r="C991">
        <v>2027</v>
      </c>
      <c r="D991" t="s">
        <v>534</v>
      </c>
      <c r="E991" t="s">
        <v>830</v>
      </c>
      <c r="F991" s="32">
        <v>46388</v>
      </c>
      <c r="G991" t="s">
        <v>514</v>
      </c>
      <c r="H991">
        <v>47129473</v>
      </c>
      <c r="I991" t="s">
        <v>1430</v>
      </c>
      <c r="J991" t="s">
        <v>1429</v>
      </c>
      <c r="K991" t="s">
        <v>530</v>
      </c>
      <c r="N991">
        <v>0</v>
      </c>
      <c r="O991">
        <v>0</v>
      </c>
      <c r="P991" t="str">
        <f t="shared" si="15"/>
        <v>N</v>
      </c>
      <c r="Q991" t="s">
        <v>6721</v>
      </c>
    </row>
    <row r="992" spans="1:17" x14ac:dyDescent="0.25">
      <c r="A992" t="s">
        <v>4064</v>
      </c>
      <c r="B992" t="s">
        <v>1489</v>
      </c>
      <c r="C992">
        <v>2027</v>
      </c>
      <c r="D992" t="s">
        <v>534</v>
      </c>
      <c r="E992" t="s">
        <v>830</v>
      </c>
      <c r="F992" s="32">
        <v>46388</v>
      </c>
      <c r="G992" t="s">
        <v>514</v>
      </c>
      <c r="H992">
        <v>47127948</v>
      </c>
      <c r="I992" t="s">
        <v>1247</v>
      </c>
      <c r="J992" t="s">
        <v>1246</v>
      </c>
      <c r="K992" t="s">
        <v>530</v>
      </c>
      <c r="N992">
        <v>0</v>
      </c>
      <c r="O992">
        <v>0</v>
      </c>
      <c r="P992" t="str">
        <f t="shared" si="15"/>
        <v>N</v>
      </c>
      <c r="Q992" t="s">
        <v>6722</v>
      </c>
    </row>
    <row r="993" spans="1:17" x14ac:dyDescent="0.25">
      <c r="A993" t="s">
        <v>4065</v>
      </c>
      <c r="B993" t="s">
        <v>1489</v>
      </c>
      <c r="C993">
        <v>2027</v>
      </c>
      <c r="D993" t="s">
        <v>534</v>
      </c>
      <c r="E993" t="s">
        <v>830</v>
      </c>
      <c r="F993" s="32">
        <v>46388</v>
      </c>
      <c r="G993" t="s">
        <v>514</v>
      </c>
      <c r="H993">
        <v>47128337</v>
      </c>
      <c r="I993" t="s">
        <v>1120</v>
      </c>
      <c r="J993" t="s">
        <v>1119</v>
      </c>
      <c r="K993" t="s">
        <v>530</v>
      </c>
      <c r="N993">
        <v>0</v>
      </c>
      <c r="O993">
        <v>0</v>
      </c>
      <c r="P993" t="str">
        <f t="shared" si="15"/>
        <v>N</v>
      </c>
      <c r="Q993" t="s">
        <v>6723</v>
      </c>
    </row>
    <row r="994" spans="1:17" x14ac:dyDescent="0.25">
      <c r="A994" t="s">
        <v>4066</v>
      </c>
      <c r="B994" t="s">
        <v>1489</v>
      </c>
      <c r="C994">
        <v>2027</v>
      </c>
      <c r="D994" t="s">
        <v>534</v>
      </c>
      <c r="E994" t="s">
        <v>830</v>
      </c>
      <c r="F994" s="32">
        <v>46388</v>
      </c>
      <c r="G994" t="s">
        <v>514</v>
      </c>
      <c r="H994">
        <v>47128787</v>
      </c>
      <c r="I994" t="s">
        <v>1453</v>
      </c>
      <c r="J994" t="s">
        <v>1452</v>
      </c>
      <c r="K994" t="s">
        <v>530</v>
      </c>
      <c r="N994">
        <v>0</v>
      </c>
      <c r="O994">
        <v>0</v>
      </c>
      <c r="P994" t="str">
        <f t="shared" si="15"/>
        <v>N</v>
      </c>
      <c r="Q994" t="s">
        <v>6724</v>
      </c>
    </row>
    <row r="995" spans="1:17" x14ac:dyDescent="0.25">
      <c r="A995" t="s">
        <v>4067</v>
      </c>
      <c r="B995" t="s">
        <v>1489</v>
      </c>
      <c r="C995">
        <v>2027</v>
      </c>
      <c r="D995" t="s">
        <v>534</v>
      </c>
      <c r="E995" t="s">
        <v>830</v>
      </c>
      <c r="F995" s="32">
        <v>46388</v>
      </c>
      <c r="G995" t="s">
        <v>514</v>
      </c>
      <c r="H995">
        <v>47128977</v>
      </c>
      <c r="I995" t="s">
        <v>1449</v>
      </c>
      <c r="J995" t="s">
        <v>1448</v>
      </c>
      <c r="K995" t="s">
        <v>530</v>
      </c>
      <c r="N995">
        <v>0</v>
      </c>
      <c r="O995">
        <v>0</v>
      </c>
      <c r="P995" t="str">
        <f t="shared" si="15"/>
        <v>N</v>
      </c>
      <c r="Q995" t="s">
        <v>6725</v>
      </c>
    </row>
    <row r="996" spans="1:17" x14ac:dyDescent="0.25">
      <c r="A996" t="s">
        <v>4171</v>
      </c>
      <c r="B996" t="s">
        <v>916</v>
      </c>
      <c r="C996">
        <v>2027</v>
      </c>
      <c r="D996" t="s">
        <v>534</v>
      </c>
      <c r="E996" t="s">
        <v>830</v>
      </c>
      <c r="F996" s="32">
        <v>46388</v>
      </c>
      <c r="G996" t="s">
        <v>514</v>
      </c>
      <c r="H996">
        <v>47128421</v>
      </c>
      <c r="I996" t="s">
        <v>1086</v>
      </c>
      <c r="J996" t="s">
        <v>1085</v>
      </c>
      <c r="K996" t="s">
        <v>530</v>
      </c>
      <c r="N996">
        <v>32</v>
      </c>
      <c r="O996">
        <v>32</v>
      </c>
      <c r="P996" t="str">
        <f t="shared" si="15"/>
        <v>N</v>
      </c>
      <c r="Q996" t="s">
        <v>6726</v>
      </c>
    </row>
    <row r="997" spans="1:17" x14ac:dyDescent="0.25">
      <c r="A997" t="s">
        <v>4172</v>
      </c>
      <c r="B997" t="s">
        <v>916</v>
      </c>
      <c r="C997">
        <v>2027</v>
      </c>
      <c r="D997" t="s">
        <v>534</v>
      </c>
      <c r="E997" t="s">
        <v>830</v>
      </c>
      <c r="F997" s="32">
        <v>46388</v>
      </c>
      <c r="G997" t="s">
        <v>514</v>
      </c>
      <c r="H997">
        <v>47128706</v>
      </c>
      <c r="I997" t="s">
        <v>1201</v>
      </c>
      <c r="J997" t="s">
        <v>1200</v>
      </c>
      <c r="K997" t="s">
        <v>530</v>
      </c>
      <c r="N997">
        <v>0</v>
      </c>
      <c r="O997">
        <v>0</v>
      </c>
      <c r="P997" t="str">
        <f t="shared" si="15"/>
        <v>N</v>
      </c>
      <c r="Q997" t="s">
        <v>6727</v>
      </c>
    </row>
    <row r="998" spans="1:17" x14ac:dyDescent="0.25">
      <c r="A998" t="s">
        <v>4173</v>
      </c>
      <c r="B998" t="s">
        <v>916</v>
      </c>
      <c r="C998">
        <v>2027</v>
      </c>
      <c r="D998" t="s">
        <v>534</v>
      </c>
      <c r="E998" t="s">
        <v>830</v>
      </c>
      <c r="F998" s="32">
        <v>46388</v>
      </c>
      <c r="G998" t="s">
        <v>514</v>
      </c>
      <c r="H998">
        <v>47128364</v>
      </c>
      <c r="I998" t="s">
        <v>1264</v>
      </c>
      <c r="J998" t="s">
        <v>1263</v>
      </c>
      <c r="K998" t="s">
        <v>530</v>
      </c>
      <c r="N998">
        <v>0</v>
      </c>
      <c r="O998">
        <v>0</v>
      </c>
      <c r="P998" t="str">
        <f t="shared" si="15"/>
        <v>N</v>
      </c>
      <c r="Q998" t="s">
        <v>6728</v>
      </c>
    </row>
    <row r="999" spans="1:17" x14ac:dyDescent="0.25">
      <c r="A999" t="s">
        <v>4174</v>
      </c>
      <c r="B999" t="s">
        <v>916</v>
      </c>
      <c r="C999">
        <v>2027</v>
      </c>
      <c r="D999" t="s">
        <v>534</v>
      </c>
      <c r="E999" t="s">
        <v>830</v>
      </c>
      <c r="F999" s="32">
        <v>46388</v>
      </c>
      <c r="G999" t="s">
        <v>514</v>
      </c>
      <c r="H999">
        <v>47128633</v>
      </c>
      <c r="I999" t="s">
        <v>1164</v>
      </c>
      <c r="J999" t="s">
        <v>1163</v>
      </c>
      <c r="K999" t="s">
        <v>530</v>
      </c>
      <c r="N999">
        <v>0</v>
      </c>
      <c r="O999">
        <v>0</v>
      </c>
      <c r="P999" t="str">
        <f t="shared" si="15"/>
        <v>N</v>
      </c>
      <c r="Q999" t="s">
        <v>6729</v>
      </c>
    </row>
    <row r="1000" spans="1:17" x14ac:dyDescent="0.25">
      <c r="A1000" t="s">
        <v>4175</v>
      </c>
      <c r="B1000" t="s">
        <v>916</v>
      </c>
      <c r="C1000">
        <v>2027</v>
      </c>
      <c r="D1000" t="s">
        <v>534</v>
      </c>
      <c r="E1000" t="s">
        <v>830</v>
      </c>
      <c r="F1000" s="32">
        <v>46388</v>
      </c>
      <c r="G1000" t="s">
        <v>514</v>
      </c>
      <c r="H1000">
        <v>47128046</v>
      </c>
      <c r="I1000" t="s">
        <v>1389</v>
      </c>
      <c r="J1000" t="s">
        <v>1388</v>
      </c>
      <c r="K1000" t="s">
        <v>530</v>
      </c>
      <c r="N1000">
        <v>0</v>
      </c>
      <c r="O1000">
        <v>0</v>
      </c>
      <c r="P1000" t="str">
        <f t="shared" si="15"/>
        <v>N</v>
      </c>
      <c r="Q1000" t="s">
        <v>6730</v>
      </c>
    </row>
    <row r="1001" spans="1:17" x14ac:dyDescent="0.25">
      <c r="A1001" t="s">
        <v>4176</v>
      </c>
      <c r="B1001" t="s">
        <v>916</v>
      </c>
      <c r="C1001">
        <v>2027</v>
      </c>
      <c r="D1001" t="s">
        <v>534</v>
      </c>
      <c r="E1001" t="s">
        <v>830</v>
      </c>
      <c r="F1001" s="32">
        <v>46388</v>
      </c>
      <c r="G1001" t="s">
        <v>514</v>
      </c>
      <c r="H1001">
        <v>47128570</v>
      </c>
      <c r="I1001" t="s">
        <v>1491</v>
      </c>
      <c r="J1001" t="s">
        <v>1490</v>
      </c>
      <c r="K1001" t="s">
        <v>530</v>
      </c>
      <c r="N1001">
        <v>0</v>
      </c>
      <c r="O1001">
        <v>0</v>
      </c>
      <c r="P1001" t="str">
        <f t="shared" si="15"/>
        <v>N</v>
      </c>
      <c r="Q1001" t="s">
        <v>6731</v>
      </c>
    </row>
    <row r="1002" spans="1:17" x14ac:dyDescent="0.25">
      <c r="A1002" t="s">
        <v>4177</v>
      </c>
      <c r="B1002" t="s">
        <v>916</v>
      </c>
      <c r="C1002">
        <v>2027</v>
      </c>
      <c r="D1002" t="s">
        <v>534</v>
      </c>
      <c r="E1002" t="s">
        <v>830</v>
      </c>
      <c r="F1002" s="32">
        <v>46388</v>
      </c>
      <c r="G1002" t="s">
        <v>514</v>
      </c>
      <c r="H1002">
        <v>47128355</v>
      </c>
      <c r="I1002" t="s">
        <v>964</v>
      </c>
      <c r="J1002" t="s">
        <v>963</v>
      </c>
      <c r="K1002" t="s">
        <v>530</v>
      </c>
      <c r="N1002">
        <v>8</v>
      </c>
      <c r="O1002">
        <v>8</v>
      </c>
      <c r="P1002" t="str">
        <f t="shared" si="15"/>
        <v>N</v>
      </c>
      <c r="Q1002" t="s">
        <v>6732</v>
      </c>
    </row>
    <row r="1003" spans="1:17" x14ac:dyDescent="0.25">
      <c r="A1003" t="s">
        <v>4178</v>
      </c>
      <c r="B1003" t="s">
        <v>916</v>
      </c>
      <c r="C1003">
        <v>2027</v>
      </c>
      <c r="D1003" t="s">
        <v>534</v>
      </c>
      <c r="E1003" t="s">
        <v>830</v>
      </c>
      <c r="F1003" s="32">
        <v>46388</v>
      </c>
      <c r="G1003" t="s">
        <v>514</v>
      </c>
      <c r="H1003">
        <v>47129548</v>
      </c>
      <c r="I1003" t="s">
        <v>1340</v>
      </c>
      <c r="J1003" t="s">
        <v>1339</v>
      </c>
      <c r="K1003" t="s">
        <v>530</v>
      </c>
      <c r="N1003">
        <v>40</v>
      </c>
      <c r="O1003">
        <v>40</v>
      </c>
      <c r="P1003" t="str">
        <f t="shared" si="15"/>
        <v>N</v>
      </c>
      <c r="Q1003" t="s">
        <v>6733</v>
      </c>
    </row>
    <row r="1004" spans="1:17" x14ac:dyDescent="0.25">
      <c r="A1004" t="s">
        <v>4427</v>
      </c>
      <c r="B1004" t="s">
        <v>4428</v>
      </c>
      <c r="C1004">
        <v>2027</v>
      </c>
      <c r="D1004" t="s">
        <v>534</v>
      </c>
      <c r="E1004" t="s">
        <v>830</v>
      </c>
      <c r="F1004" s="32">
        <v>46388</v>
      </c>
      <c r="G1004" t="s">
        <v>514</v>
      </c>
      <c r="H1004">
        <v>47128132</v>
      </c>
      <c r="I1004" t="s">
        <v>4429</v>
      </c>
      <c r="J1004" t="s">
        <v>4430</v>
      </c>
      <c r="K1004" t="s">
        <v>530</v>
      </c>
      <c r="N1004">
        <v>0</v>
      </c>
      <c r="O1004">
        <v>0</v>
      </c>
      <c r="P1004" t="str">
        <f t="shared" si="15"/>
        <v>N</v>
      </c>
      <c r="Q1004" t="s">
        <v>6734</v>
      </c>
    </row>
    <row r="1005" spans="1:17" x14ac:dyDescent="0.25">
      <c r="A1005" t="s">
        <v>4472</v>
      </c>
      <c r="B1005" t="s">
        <v>4445</v>
      </c>
      <c r="C1005">
        <v>2027</v>
      </c>
      <c r="D1005" t="s">
        <v>534</v>
      </c>
      <c r="E1005" t="s">
        <v>830</v>
      </c>
      <c r="F1005" s="32">
        <v>46388</v>
      </c>
      <c r="G1005" t="s">
        <v>514</v>
      </c>
      <c r="H1005">
        <v>47129711</v>
      </c>
      <c r="I1005" t="s">
        <v>4446</v>
      </c>
      <c r="J1005" t="s">
        <v>4447</v>
      </c>
      <c r="K1005" t="s">
        <v>530</v>
      </c>
      <c r="N1005">
        <v>12</v>
      </c>
      <c r="O1005">
        <v>12</v>
      </c>
      <c r="P1005" t="str">
        <f t="shared" si="15"/>
        <v>N</v>
      </c>
      <c r="Q1005" t="s">
        <v>6735</v>
      </c>
    </row>
    <row r="1006" spans="1:17" x14ac:dyDescent="0.25">
      <c r="A1006" t="s">
        <v>4473</v>
      </c>
      <c r="B1006" t="s">
        <v>4445</v>
      </c>
      <c r="C1006">
        <v>2027</v>
      </c>
      <c r="D1006" t="s">
        <v>534</v>
      </c>
      <c r="E1006" t="s">
        <v>830</v>
      </c>
      <c r="F1006" s="32">
        <v>46388</v>
      </c>
      <c r="G1006" t="s">
        <v>514</v>
      </c>
      <c r="H1006">
        <v>47129228</v>
      </c>
      <c r="I1006" t="s">
        <v>4449</v>
      </c>
      <c r="J1006" t="s">
        <v>4450</v>
      </c>
      <c r="K1006" t="s">
        <v>530</v>
      </c>
      <c r="N1006">
        <v>20</v>
      </c>
      <c r="O1006">
        <v>20</v>
      </c>
      <c r="P1006" t="str">
        <f t="shared" si="15"/>
        <v>N</v>
      </c>
      <c r="Q1006" t="s">
        <v>6736</v>
      </c>
    </row>
    <row r="1007" spans="1:17" x14ac:dyDescent="0.25">
      <c r="A1007" t="s">
        <v>4563</v>
      </c>
      <c r="B1007" t="s">
        <v>1044</v>
      </c>
      <c r="C1007">
        <v>2027</v>
      </c>
      <c r="D1007" t="s">
        <v>534</v>
      </c>
      <c r="E1007" t="s">
        <v>830</v>
      </c>
      <c r="F1007" s="32">
        <v>46388</v>
      </c>
      <c r="G1007" t="s">
        <v>514</v>
      </c>
      <c r="H1007">
        <v>47128967</v>
      </c>
      <c r="I1007" t="s">
        <v>1062</v>
      </c>
      <c r="J1007" t="s">
        <v>1061</v>
      </c>
      <c r="K1007" t="s">
        <v>530</v>
      </c>
      <c r="N1007">
        <v>0</v>
      </c>
      <c r="O1007">
        <v>0</v>
      </c>
      <c r="P1007" t="str">
        <f t="shared" si="15"/>
        <v>N</v>
      </c>
      <c r="Q1007" t="s">
        <v>6737</v>
      </c>
    </row>
    <row r="1008" spans="1:17" x14ac:dyDescent="0.25">
      <c r="A1008" t="s">
        <v>4564</v>
      </c>
      <c r="B1008" t="s">
        <v>1044</v>
      </c>
      <c r="C1008">
        <v>2027</v>
      </c>
      <c r="D1008" t="s">
        <v>534</v>
      </c>
      <c r="E1008" t="s">
        <v>830</v>
      </c>
      <c r="F1008" s="32">
        <v>46388</v>
      </c>
      <c r="G1008" t="s">
        <v>514</v>
      </c>
      <c r="H1008">
        <v>47133720</v>
      </c>
      <c r="I1008" t="s">
        <v>1217</v>
      </c>
      <c r="J1008" t="s">
        <v>1216</v>
      </c>
      <c r="K1008" t="s">
        <v>530</v>
      </c>
      <c r="N1008">
        <v>40</v>
      </c>
      <c r="O1008">
        <v>40</v>
      </c>
      <c r="P1008" t="str">
        <f t="shared" si="15"/>
        <v>N</v>
      </c>
      <c r="Q1008" t="s">
        <v>6738</v>
      </c>
    </row>
    <row r="1009" spans="1:17" x14ac:dyDescent="0.25">
      <c r="A1009" t="s">
        <v>4565</v>
      </c>
      <c r="B1009" t="s">
        <v>1044</v>
      </c>
      <c r="C1009">
        <v>2027</v>
      </c>
      <c r="D1009" t="s">
        <v>534</v>
      </c>
      <c r="E1009" t="s">
        <v>830</v>
      </c>
      <c r="F1009" s="32">
        <v>46388</v>
      </c>
      <c r="G1009" t="s">
        <v>514</v>
      </c>
      <c r="H1009">
        <v>47129473</v>
      </c>
      <c r="I1009" t="s">
        <v>1430</v>
      </c>
      <c r="J1009" t="s">
        <v>1429</v>
      </c>
      <c r="K1009" t="s">
        <v>530</v>
      </c>
      <c r="N1009">
        <v>0</v>
      </c>
      <c r="O1009">
        <v>0</v>
      </c>
      <c r="P1009" t="str">
        <f t="shared" si="15"/>
        <v>N</v>
      </c>
      <c r="Q1009" t="s">
        <v>6739</v>
      </c>
    </row>
    <row r="1010" spans="1:17" x14ac:dyDescent="0.25">
      <c r="A1010" t="s">
        <v>4566</v>
      </c>
      <c r="B1010" t="s">
        <v>1044</v>
      </c>
      <c r="C1010">
        <v>2027</v>
      </c>
      <c r="D1010" t="s">
        <v>534</v>
      </c>
      <c r="E1010" t="s">
        <v>830</v>
      </c>
      <c r="F1010" s="32">
        <v>46388</v>
      </c>
      <c r="G1010" t="s">
        <v>514</v>
      </c>
      <c r="H1010">
        <v>47128490</v>
      </c>
      <c r="I1010" t="s">
        <v>1254</v>
      </c>
      <c r="J1010" t="s">
        <v>1253</v>
      </c>
      <c r="K1010" t="s">
        <v>530</v>
      </c>
      <c r="N1010">
        <v>0</v>
      </c>
      <c r="O1010">
        <v>0</v>
      </c>
      <c r="P1010" t="str">
        <f t="shared" si="15"/>
        <v>N</v>
      </c>
      <c r="Q1010" t="s">
        <v>6740</v>
      </c>
    </row>
    <row r="1011" spans="1:17" x14ac:dyDescent="0.25">
      <c r="A1011" t="s">
        <v>4567</v>
      </c>
      <c r="B1011" t="s">
        <v>1044</v>
      </c>
      <c r="C1011">
        <v>2027</v>
      </c>
      <c r="D1011" t="s">
        <v>534</v>
      </c>
      <c r="E1011" t="s">
        <v>830</v>
      </c>
      <c r="F1011" s="32">
        <v>46388</v>
      </c>
      <c r="G1011" t="s">
        <v>514</v>
      </c>
      <c r="H1011">
        <v>47127948</v>
      </c>
      <c r="I1011" t="s">
        <v>1247</v>
      </c>
      <c r="J1011" t="s">
        <v>1246</v>
      </c>
      <c r="K1011" t="s">
        <v>530</v>
      </c>
      <c r="N1011">
        <v>0</v>
      </c>
      <c r="O1011">
        <v>0</v>
      </c>
      <c r="P1011" t="str">
        <f t="shared" si="15"/>
        <v>N</v>
      </c>
      <c r="Q1011" t="s">
        <v>6741</v>
      </c>
    </row>
    <row r="1012" spans="1:17" x14ac:dyDescent="0.25">
      <c r="A1012" t="s">
        <v>4568</v>
      </c>
      <c r="B1012" t="s">
        <v>1044</v>
      </c>
      <c r="C1012">
        <v>2027</v>
      </c>
      <c r="D1012" t="s">
        <v>534</v>
      </c>
      <c r="E1012" t="s">
        <v>830</v>
      </c>
      <c r="F1012" s="32">
        <v>46388</v>
      </c>
      <c r="G1012" t="s">
        <v>514</v>
      </c>
      <c r="H1012">
        <v>47128710</v>
      </c>
      <c r="I1012" t="s">
        <v>1189</v>
      </c>
      <c r="J1012" t="s">
        <v>1188</v>
      </c>
      <c r="K1012" t="s">
        <v>530</v>
      </c>
      <c r="N1012">
        <v>0</v>
      </c>
      <c r="O1012">
        <v>0</v>
      </c>
      <c r="P1012" t="str">
        <f t="shared" si="15"/>
        <v>N</v>
      </c>
      <c r="Q1012" t="s">
        <v>6742</v>
      </c>
    </row>
    <row r="1013" spans="1:17" x14ac:dyDescent="0.25">
      <c r="A1013" t="s">
        <v>4569</v>
      </c>
      <c r="B1013" t="s">
        <v>1044</v>
      </c>
      <c r="C1013">
        <v>2027</v>
      </c>
      <c r="D1013" t="s">
        <v>534</v>
      </c>
      <c r="E1013" t="s">
        <v>830</v>
      </c>
      <c r="F1013" s="32">
        <v>46388</v>
      </c>
      <c r="G1013" t="s">
        <v>514</v>
      </c>
      <c r="H1013">
        <v>47128572</v>
      </c>
      <c r="I1013" t="s">
        <v>1197</v>
      </c>
      <c r="J1013" t="s">
        <v>1196</v>
      </c>
      <c r="K1013" t="s">
        <v>530</v>
      </c>
      <c r="N1013">
        <v>0</v>
      </c>
      <c r="O1013">
        <v>0</v>
      </c>
      <c r="P1013" t="str">
        <f t="shared" si="15"/>
        <v>N</v>
      </c>
      <c r="Q1013" t="s">
        <v>6743</v>
      </c>
    </row>
    <row r="1014" spans="1:17" x14ac:dyDescent="0.25">
      <c r="A1014" t="s">
        <v>4570</v>
      </c>
      <c r="B1014" t="s">
        <v>1044</v>
      </c>
      <c r="C1014">
        <v>2027</v>
      </c>
      <c r="D1014" t="s">
        <v>534</v>
      </c>
      <c r="E1014" t="s">
        <v>830</v>
      </c>
      <c r="F1014" s="32">
        <v>46388</v>
      </c>
      <c r="G1014" t="s">
        <v>514</v>
      </c>
      <c r="H1014">
        <v>47128482</v>
      </c>
      <c r="I1014" t="s">
        <v>1393</v>
      </c>
      <c r="J1014" t="s">
        <v>1392</v>
      </c>
      <c r="K1014" t="s">
        <v>530</v>
      </c>
      <c r="N1014">
        <v>0</v>
      </c>
      <c r="O1014">
        <v>0</v>
      </c>
      <c r="P1014" t="str">
        <f t="shared" si="15"/>
        <v>N</v>
      </c>
      <c r="Q1014" t="s">
        <v>6744</v>
      </c>
    </row>
    <row r="1015" spans="1:17" x14ac:dyDescent="0.25">
      <c r="A1015" t="s">
        <v>4571</v>
      </c>
      <c r="B1015" t="s">
        <v>1044</v>
      </c>
      <c r="C1015">
        <v>2027</v>
      </c>
      <c r="D1015" t="s">
        <v>534</v>
      </c>
      <c r="E1015" t="s">
        <v>830</v>
      </c>
      <c r="F1015" s="32">
        <v>46388</v>
      </c>
      <c r="G1015" t="s">
        <v>514</v>
      </c>
      <c r="H1015">
        <v>47128337</v>
      </c>
      <c r="I1015" t="s">
        <v>1120</v>
      </c>
      <c r="J1015" t="s">
        <v>1119</v>
      </c>
      <c r="K1015" t="s">
        <v>530</v>
      </c>
      <c r="N1015">
        <v>0</v>
      </c>
      <c r="O1015">
        <v>0</v>
      </c>
      <c r="P1015" t="str">
        <f t="shared" si="15"/>
        <v>N</v>
      </c>
      <c r="Q1015" t="s">
        <v>6745</v>
      </c>
    </row>
    <row r="1016" spans="1:17" x14ac:dyDescent="0.25">
      <c r="A1016" t="s">
        <v>4572</v>
      </c>
      <c r="B1016" t="s">
        <v>1044</v>
      </c>
      <c r="C1016">
        <v>2027</v>
      </c>
      <c r="D1016" t="s">
        <v>534</v>
      </c>
      <c r="E1016" t="s">
        <v>830</v>
      </c>
      <c r="F1016" s="32">
        <v>46388</v>
      </c>
      <c r="G1016" t="s">
        <v>514</v>
      </c>
      <c r="H1016">
        <v>47128833</v>
      </c>
      <c r="I1016" t="s">
        <v>1193</v>
      </c>
      <c r="J1016" t="s">
        <v>1192</v>
      </c>
      <c r="K1016" t="s">
        <v>530</v>
      </c>
      <c r="N1016">
        <v>20</v>
      </c>
      <c r="O1016">
        <v>20</v>
      </c>
      <c r="P1016" t="str">
        <f t="shared" si="15"/>
        <v>N</v>
      </c>
      <c r="Q1016" t="s">
        <v>6746</v>
      </c>
    </row>
    <row r="1017" spans="1:17" x14ac:dyDescent="0.25">
      <c r="A1017" t="s">
        <v>4573</v>
      </c>
      <c r="B1017" t="s">
        <v>1044</v>
      </c>
      <c r="C1017">
        <v>2027</v>
      </c>
      <c r="D1017" t="s">
        <v>534</v>
      </c>
      <c r="E1017" t="s">
        <v>830</v>
      </c>
      <c r="F1017" s="32">
        <v>46388</v>
      </c>
      <c r="G1017" t="s">
        <v>514</v>
      </c>
      <c r="H1017">
        <v>47128784</v>
      </c>
      <c r="I1017" t="s">
        <v>1426</v>
      </c>
      <c r="J1017" t="s">
        <v>1425</v>
      </c>
      <c r="K1017" t="s">
        <v>530</v>
      </c>
      <c r="N1017">
        <v>0</v>
      </c>
      <c r="O1017">
        <v>0</v>
      </c>
      <c r="P1017" t="str">
        <f t="shared" si="15"/>
        <v>N</v>
      </c>
      <c r="Q1017" t="s">
        <v>6747</v>
      </c>
    </row>
    <row r="1018" spans="1:17" x14ac:dyDescent="0.25">
      <c r="A1018" t="s">
        <v>4574</v>
      </c>
      <c r="B1018" t="s">
        <v>1044</v>
      </c>
      <c r="C1018">
        <v>2027</v>
      </c>
      <c r="D1018" t="s">
        <v>534</v>
      </c>
      <c r="E1018" t="s">
        <v>830</v>
      </c>
      <c r="F1018" s="32">
        <v>46388</v>
      </c>
      <c r="G1018" t="s">
        <v>514</v>
      </c>
      <c r="H1018">
        <v>47129020</v>
      </c>
      <c r="I1018" t="s">
        <v>1058</v>
      </c>
      <c r="J1018" t="s">
        <v>1057</v>
      </c>
      <c r="K1018" t="s">
        <v>530</v>
      </c>
      <c r="N1018">
        <v>0</v>
      </c>
      <c r="O1018">
        <v>0</v>
      </c>
      <c r="P1018" t="str">
        <f t="shared" si="15"/>
        <v>N</v>
      </c>
      <c r="Q1018" t="s">
        <v>6748</v>
      </c>
    </row>
    <row r="1019" spans="1:17" x14ac:dyDescent="0.25">
      <c r="A1019" t="s">
        <v>4575</v>
      </c>
      <c r="B1019" t="s">
        <v>1044</v>
      </c>
      <c r="C1019">
        <v>2027</v>
      </c>
      <c r="D1019" t="s">
        <v>534</v>
      </c>
      <c r="E1019" t="s">
        <v>830</v>
      </c>
      <c r="F1019" s="32">
        <v>46388</v>
      </c>
      <c r="G1019" t="s">
        <v>514</v>
      </c>
      <c r="H1019">
        <v>47128429</v>
      </c>
      <c r="I1019" t="s">
        <v>1371</v>
      </c>
      <c r="J1019" t="s">
        <v>1370</v>
      </c>
      <c r="K1019" t="s">
        <v>530</v>
      </c>
      <c r="N1019">
        <v>0</v>
      </c>
      <c r="O1019">
        <v>0</v>
      </c>
      <c r="P1019" t="str">
        <f t="shared" si="15"/>
        <v>N</v>
      </c>
      <c r="Q1019" t="s">
        <v>6749</v>
      </c>
    </row>
    <row r="1020" spans="1:17" x14ac:dyDescent="0.25">
      <c r="A1020" t="s">
        <v>4576</v>
      </c>
      <c r="B1020" t="s">
        <v>1044</v>
      </c>
      <c r="C1020">
        <v>2027</v>
      </c>
      <c r="D1020" t="s">
        <v>534</v>
      </c>
      <c r="E1020" t="s">
        <v>830</v>
      </c>
      <c r="F1020" s="32">
        <v>46388</v>
      </c>
      <c r="G1020" t="s">
        <v>514</v>
      </c>
      <c r="H1020">
        <v>47128181</v>
      </c>
      <c r="I1020" t="s">
        <v>1301</v>
      </c>
      <c r="J1020" t="s">
        <v>1300</v>
      </c>
      <c r="K1020" t="s">
        <v>530</v>
      </c>
      <c r="N1020">
        <v>25</v>
      </c>
      <c r="O1020">
        <v>25</v>
      </c>
      <c r="P1020" t="str">
        <f t="shared" si="15"/>
        <v>N</v>
      </c>
      <c r="Q1020" t="s">
        <v>6750</v>
      </c>
    </row>
    <row r="1021" spans="1:17" x14ac:dyDescent="0.25">
      <c r="A1021" t="s">
        <v>4826</v>
      </c>
      <c r="B1021" t="s">
        <v>1090</v>
      </c>
      <c r="C1021">
        <v>2027</v>
      </c>
      <c r="D1021" t="s">
        <v>534</v>
      </c>
      <c r="E1021" t="s">
        <v>830</v>
      </c>
      <c r="F1021" s="32">
        <v>46388</v>
      </c>
      <c r="G1021" t="s">
        <v>514</v>
      </c>
      <c r="H1021">
        <v>47128477</v>
      </c>
      <c r="I1021" t="s">
        <v>1029</v>
      </c>
      <c r="J1021" t="s">
        <v>1028</v>
      </c>
      <c r="K1021" t="s">
        <v>530</v>
      </c>
      <c r="N1021">
        <v>9.5</v>
      </c>
      <c r="O1021">
        <v>9.5</v>
      </c>
      <c r="P1021" t="str">
        <f t="shared" si="15"/>
        <v>N</v>
      </c>
      <c r="Q1021" t="s">
        <v>6751</v>
      </c>
    </row>
    <row r="1022" spans="1:17" x14ac:dyDescent="0.25">
      <c r="A1022" t="s">
        <v>4827</v>
      </c>
      <c r="B1022" t="s">
        <v>1090</v>
      </c>
      <c r="C1022">
        <v>2027</v>
      </c>
      <c r="D1022" t="s">
        <v>534</v>
      </c>
      <c r="E1022" t="s">
        <v>830</v>
      </c>
      <c r="F1022" s="32">
        <v>46388</v>
      </c>
      <c r="G1022" t="s">
        <v>514</v>
      </c>
      <c r="H1022">
        <v>47128353</v>
      </c>
      <c r="I1022" t="s">
        <v>982</v>
      </c>
      <c r="J1022" t="s">
        <v>981</v>
      </c>
      <c r="K1022" t="s">
        <v>530</v>
      </c>
      <c r="N1022">
        <v>31</v>
      </c>
      <c r="O1022">
        <v>31</v>
      </c>
      <c r="P1022" t="str">
        <f t="shared" si="15"/>
        <v>N</v>
      </c>
      <c r="Q1022" t="s">
        <v>6752</v>
      </c>
    </row>
    <row r="1023" spans="1:17" x14ac:dyDescent="0.25">
      <c r="A1023" t="s">
        <v>4828</v>
      </c>
      <c r="B1023" t="s">
        <v>1090</v>
      </c>
      <c r="C1023">
        <v>2027</v>
      </c>
      <c r="D1023" t="s">
        <v>534</v>
      </c>
      <c r="E1023" t="s">
        <v>830</v>
      </c>
      <c r="F1023" s="32">
        <v>46388</v>
      </c>
      <c r="G1023" t="s">
        <v>514</v>
      </c>
      <c r="H1023">
        <v>47128350</v>
      </c>
      <c r="I1023" t="s">
        <v>1032</v>
      </c>
      <c r="J1023" t="s">
        <v>1031</v>
      </c>
      <c r="K1023" t="s">
        <v>530</v>
      </c>
      <c r="N1023">
        <v>0</v>
      </c>
      <c r="O1023">
        <v>0</v>
      </c>
      <c r="P1023" t="str">
        <f t="shared" si="15"/>
        <v>N</v>
      </c>
      <c r="Q1023" t="s">
        <v>6753</v>
      </c>
    </row>
    <row r="1024" spans="1:17" x14ac:dyDescent="0.25">
      <c r="A1024" t="s">
        <v>4829</v>
      </c>
      <c r="B1024" t="s">
        <v>1090</v>
      </c>
      <c r="C1024">
        <v>2027</v>
      </c>
      <c r="D1024" t="s">
        <v>534</v>
      </c>
      <c r="E1024" t="s">
        <v>830</v>
      </c>
      <c r="F1024" s="32">
        <v>46388</v>
      </c>
      <c r="G1024" t="s">
        <v>514</v>
      </c>
      <c r="H1024">
        <v>47128349</v>
      </c>
      <c r="I1024" t="s">
        <v>975</v>
      </c>
      <c r="J1024" t="s">
        <v>974</v>
      </c>
      <c r="K1024" t="s">
        <v>530</v>
      </c>
      <c r="N1024">
        <v>0</v>
      </c>
      <c r="O1024">
        <v>0</v>
      </c>
      <c r="P1024" t="str">
        <f t="shared" si="15"/>
        <v>N</v>
      </c>
      <c r="Q1024" t="s">
        <v>6754</v>
      </c>
    </row>
    <row r="1025" spans="1:17" x14ac:dyDescent="0.25">
      <c r="A1025" t="s">
        <v>4830</v>
      </c>
      <c r="B1025" t="s">
        <v>1090</v>
      </c>
      <c r="C1025">
        <v>2027</v>
      </c>
      <c r="D1025" t="s">
        <v>534</v>
      </c>
      <c r="E1025" t="s">
        <v>830</v>
      </c>
      <c r="F1025" s="32">
        <v>46388</v>
      </c>
      <c r="G1025" t="s">
        <v>514</v>
      </c>
      <c r="H1025">
        <v>47128824</v>
      </c>
      <c r="I1025" t="s">
        <v>1296</v>
      </c>
      <c r="J1025" t="s">
        <v>1295</v>
      </c>
      <c r="K1025" t="s">
        <v>530</v>
      </c>
      <c r="N1025">
        <v>0</v>
      </c>
      <c r="O1025">
        <v>0</v>
      </c>
      <c r="P1025" t="str">
        <f t="shared" si="15"/>
        <v>N</v>
      </c>
      <c r="Q1025" t="s">
        <v>6755</v>
      </c>
    </row>
    <row r="1026" spans="1:17" x14ac:dyDescent="0.25">
      <c r="A1026" t="s">
        <v>4831</v>
      </c>
      <c r="B1026" t="s">
        <v>1090</v>
      </c>
      <c r="C1026">
        <v>2027</v>
      </c>
      <c r="D1026" t="s">
        <v>534</v>
      </c>
      <c r="E1026" t="s">
        <v>830</v>
      </c>
      <c r="F1026" s="32">
        <v>46388</v>
      </c>
      <c r="G1026" t="s">
        <v>514</v>
      </c>
      <c r="H1026">
        <v>47128525</v>
      </c>
      <c r="I1026" t="s">
        <v>1001</v>
      </c>
      <c r="J1026" t="s">
        <v>1000</v>
      </c>
      <c r="K1026" t="s">
        <v>530</v>
      </c>
      <c r="N1026">
        <v>13</v>
      </c>
      <c r="O1026">
        <v>13</v>
      </c>
      <c r="P1026" t="str">
        <f t="shared" si="15"/>
        <v>N</v>
      </c>
      <c r="Q1026" t="s">
        <v>6756</v>
      </c>
    </row>
    <row r="1027" spans="1:17" x14ac:dyDescent="0.25">
      <c r="A1027" t="s">
        <v>4832</v>
      </c>
      <c r="B1027" t="s">
        <v>1090</v>
      </c>
      <c r="C1027">
        <v>2027</v>
      </c>
      <c r="D1027" t="s">
        <v>534</v>
      </c>
      <c r="E1027" t="s">
        <v>830</v>
      </c>
      <c r="F1027" s="32">
        <v>46388</v>
      </c>
      <c r="G1027" t="s">
        <v>514</v>
      </c>
      <c r="H1027">
        <v>47128939</v>
      </c>
      <c r="I1027" t="s">
        <v>1224</v>
      </c>
      <c r="J1027" t="s">
        <v>1223</v>
      </c>
      <c r="K1027" t="s">
        <v>530</v>
      </c>
      <c r="N1027">
        <v>0</v>
      </c>
      <c r="O1027">
        <v>0</v>
      </c>
      <c r="P1027" t="str">
        <f t="shared" ref="P1027:P1090" si="16">IF(N1027=O1027,"N","Y")</f>
        <v>N</v>
      </c>
      <c r="Q1027" t="s">
        <v>6757</v>
      </c>
    </row>
    <row r="1028" spans="1:17" x14ac:dyDescent="0.25">
      <c r="A1028" t="s">
        <v>4833</v>
      </c>
      <c r="B1028" t="s">
        <v>1090</v>
      </c>
      <c r="C1028">
        <v>2027</v>
      </c>
      <c r="D1028" t="s">
        <v>534</v>
      </c>
      <c r="E1028" t="s">
        <v>830</v>
      </c>
      <c r="F1028" s="32">
        <v>46388</v>
      </c>
      <c r="G1028" t="s">
        <v>514</v>
      </c>
      <c r="H1028">
        <v>47128449</v>
      </c>
      <c r="I1028" t="s">
        <v>1364</v>
      </c>
      <c r="J1028" t="s">
        <v>1363</v>
      </c>
      <c r="K1028" t="s">
        <v>530</v>
      </c>
      <c r="N1028">
        <v>0</v>
      </c>
      <c r="O1028">
        <v>0</v>
      </c>
      <c r="P1028" t="str">
        <f t="shared" si="16"/>
        <v>N</v>
      </c>
      <c r="Q1028" t="s">
        <v>6758</v>
      </c>
    </row>
    <row r="1029" spans="1:17" x14ac:dyDescent="0.25">
      <c r="A1029" t="s">
        <v>4834</v>
      </c>
      <c r="B1029" t="s">
        <v>1090</v>
      </c>
      <c r="C1029">
        <v>2027</v>
      </c>
      <c r="D1029" t="s">
        <v>534</v>
      </c>
      <c r="E1029" t="s">
        <v>830</v>
      </c>
      <c r="F1029" s="32">
        <v>46388</v>
      </c>
      <c r="G1029" t="s">
        <v>514</v>
      </c>
      <c r="H1029">
        <v>47128902</v>
      </c>
      <c r="I1029" t="s">
        <v>1243</v>
      </c>
      <c r="J1029" t="s">
        <v>1242</v>
      </c>
      <c r="K1029" t="s">
        <v>530</v>
      </c>
      <c r="N1029">
        <v>0</v>
      </c>
      <c r="O1029">
        <v>0</v>
      </c>
      <c r="P1029" t="str">
        <f t="shared" si="16"/>
        <v>N</v>
      </c>
      <c r="Q1029" t="s">
        <v>6759</v>
      </c>
    </row>
    <row r="1030" spans="1:17" x14ac:dyDescent="0.25">
      <c r="A1030" t="s">
        <v>4835</v>
      </c>
      <c r="B1030" t="s">
        <v>1090</v>
      </c>
      <c r="C1030">
        <v>2027</v>
      </c>
      <c r="D1030" t="s">
        <v>534</v>
      </c>
      <c r="E1030" t="s">
        <v>830</v>
      </c>
      <c r="F1030" s="32">
        <v>46388</v>
      </c>
      <c r="G1030" t="s">
        <v>514</v>
      </c>
      <c r="H1030">
        <v>47128417</v>
      </c>
      <c r="I1030" t="s">
        <v>1069</v>
      </c>
      <c r="J1030" t="s">
        <v>1068</v>
      </c>
      <c r="K1030" t="s">
        <v>530</v>
      </c>
      <c r="N1030">
        <v>0</v>
      </c>
      <c r="O1030">
        <v>0</v>
      </c>
      <c r="P1030" t="str">
        <f t="shared" si="16"/>
        <v>N</v>
      </c>
      <c r="Q1030" t="s">
        <v>6760</v>
      </c>
    </row>
    <row r="1031" spans="1:17" x14ac:dyDescent="0.25">
      <c r="A1031" t="s">
        <v>4836</v>
      </c>
      <c r="B1031" t="s">
        <v>1090</v>
      </c>
      <c r="C1031">
        <v>2027</v>
      </c>
      <c r="D1031" t="s">
        <v>534</v>
      </c>
      <c r="E1031" t="s">
        <v>830</v>
      </c>
      <c r="F1031" s="32">
        <v>46388</v>
      </c>
      <c r="G1031" t="s">
        <v>514</v>
      </c>
      <c r="H1031">
        <v>47129017</v>
      </c>
      <c r="I1031" t="s">
        <v>1073</v>
      </c>
      <c r="J1031" t="s">
        <v>1072</v>
      </c>
      <c r="K1031" t="s">
        <v>530</v>
      </c>
      <c r="N1031">
        <v>0</v>
      </c>
      <c r="O1031">
        <v>0</v>
      </c>
      <c r="P1031" t="str">
        <f t="shared" si="16"/>
        <v>N</v>
      </c>
      <c r="Q1031" t="s">
        <v>6761</v>
      </c>
    </row>
    <row r="1032" spans="1:17" x14ac:dyDescent="0.25">
      <c r="A1032" t="s">
        <v>4837</v>
      </c>
      <c r="B1032" t="s">
        <v>1090</v>
      </c>
      <c r="C1032">
        <v>2027</v>
      </c>
      <c r="D1032" t="s">
        <v>534</v>
      </c>
      <c r="E1032" t="s">
        <v>830</v>
      </c>
      <c r="F1032" s="32">
        <v>46388</v>
      </c>
      <c r="G1032" t="s">
        <v>514</v>
      </c>
      <c r="H1032">
        <v>47128936</v>
      </c>
      <c r="I1032" t="s">
        <v>1173</v>
      </c>
      <c r="J1032" t="s">
        <v>1172</v>
      </c>
      <c r="K1032" t="s">
        <v>530</v>
      </c>
      <c r="N1032">
        <v>0</v>
      </c>
      <c r="O1032">
        <v>0</v>
      </c>
      <c r="P1032" t="str">
        <f t="shared" si="16"/>
        <v>N</v>
      </c>
      <c r="Q1032" t="s">
        <v>6762</v>
      </c>
    </row>
    <row r="1033" spans="1:17" x14ac:dyDescent="0.25">
      <c r="A1033" t="s">
        <v>4838</v>
      </c>
      <c r="B1033" t="s">
        <v>1090</v>
      </c>
      <c r="C1033">
        <v>2027</v>
      </c>
      <c r="D1033" t="s">
        <v>534</v>
      </c>
      <c r="E1033" t="s">
        <v>830</v>
      </c>
      <c r="F1033" s="32">
        <v>46388</v>
      </c>
      <c r="G1033" t="s">
        <v>514</v>
      </c>
      <c r="H1033">
        <v>47129715</v>
      </c>
      <c r="I1033" t="s">
        <v>1272</v>
      </c>
      <c r="J1033" t="s">
        <v>1271</v>
      </c>
      <c r="K1033" t="s">
        <v>530</v>
      </c>
      <c r="N1033">
        <v>0</v>
      </c>
      <c r="O1033">
        <v>0</v>
      </c>
      <c r="P1033" t="str">
        <f t="shared" si="16"/>
        <v>N</v>
      </c>
      <c r="Q1033" t="s">
        <v>6763</v>
      </c>
    </row>
    <row r="1034" spans="1:17" x14ac:dyDescent="0.25">
      <c r="A1034" t="s">
        <v>4839</v>
      </c>
      <c r="B1034" t="s">
        <v>1090</v>
      </c>
      <c r="C1034">
        <v>2027</v>
      </c>
      <c r="D1034" t="s">
        <v>534</v>
      </c>
      <c r="E1034" t="s">
        <v>830</v>
      </c>
      <c r="F1034" s="32">
        <v>46388</v>
      </c>
      <c r="G1034" t="s">
        <v>514</v>
      </c>
      <c r="H1034">
        <v>47129702</v>
      </c>
      <c r="I1034" t="s">
        <v>1309</v>
      </c>
      <c r="J1034" t="s">
        <v>1308</v>
      </c>
      <c r="K1034" t="s">
        <v>530</v>
      </c>
      <c r="N1034">
        <v>0</v>
      </c>
      <c r="O1034">
        <v>0</v>
      </c>
      <c r="P1034" t="str">
        <f t="shared" si="16"/>
        <v>N</v>
      </c>
      <c r="Q1034" t="s">
        <v>6764</v>
      </c>
    </row>
    <row r="1035" spans="1:17" x14ac:dyDescent="0.25">
      <c r="A1035" t="s">
        <v>4840</v>
      </c>
      <c r="B1035" t="s">
        <v>1090</v>
      </c>
      <c r="C1035">
        <v>2027</v>
      </c>
      <c r="D1035" t="s">
        <v>534</v>
      </c>
      <c r="E1035" t="s">
        <v>830</v>
      </c>
      <c r="F1035" s="32">
        <v>46388</v>
      </c>
      <c r="G1035" t="s">
        <v>514</v>
      </c>
      <c r="H1035">
        <v>47128777</v>
      </c>
      <c r="I1035" t="s">
        <v>1329</v>
      </c>
      <c r="J1035" t="s">
        <v>1328</v>
      </c>
      <c r="K1035" t="s">
        <v>530</v>
      </c>
      <c r="N1035">
        <v>0</v>
      </c>
      <c r="O1035">
        <v>0</v>
      </c>
      <c r="P1035" t="str">
        <f t="shared" si="16"/>
        <v>N</v>
      </c>
      <c r="Q1035" t="s">
        <v>6765</v>
      </c>
    </row>
    <row r="1036" spans="1:17" x14ac:dyDescent="0.25">
      <c r="A1036" t="s">
        <v>4841</v>
      </c>
      <c r="B1036" t="s">
        <v>1090</v>
      </c>
      <c r="C1036">
        <v>2027</v>
      </c>
      <c r="D1036" t="s">
        <v>534</v>
      </c>
      <c r="E1036" t="s">
        <v>830</v>
      </c>
      <c r="F1036" s="32">
        <v>46388</v>
      </c>
      <c r="G1036" t="s">
        <v>514</v>
      </c>
      <c r="H1036">
        <v>47148880</v>
      </c>
      <c r="I1036" t="s">
        <v>1305</v>
      </c>
      <c r="J1036" t="s">
        <v>1304</v>
      </c>
      <c r="K1036" t="s">
        <v>530</v>
      </c>
      <c r="N1036">
        <v>0</v>
      </c>
      <c r="O1036">
        <v>0</v>
      </c>
      <c r="P1036" t="str">
        <f t="shared" si="16"/>
        <v>N</v>
      </c>
      <c r="Q1036" t="s">
        <v>6766</v>
      </c>
    </row>
    <row r="1037" spans="1:17" x14ac:dyDescent="0.25">
      <c r="A1037" t="s">
        <v>4842</v>
      </c>
      <c r="B1037" t="s">
        <v>1090</v>
      </c>
      <c r="C1037">
        <v>2027</v>
      </c>
      <c r="D1037" t="s">
        <v>534</v>
      </c>
      <c r="E1037" t="s">
        <v>830</v>
      </c>
      <c r="F1037" s="32">
        <v>46388</v>
      </c>
      <c r="G1037" t="s">
        <v>514</v>
      </c>
      <c r="H1037">
        <v>47128467</v>
      </c>
      <c r="I1037" t="s">
        <v>1292</v>
      </c>
      <c r="J1037" t="s">
        <v>1291</v>
      </c>
      <c r="K1037" t="s">
        <v>530</v>
      </c>
      <c r="N1037">
        <v>0</v>
      </c>
      <c r="O1037">
        <v>0</v>
      </c>
      <c r="P1037" t="str">
        <f t="shared" si="16"/>
        <v>N</v>
      </c>
      <c r="Q1037" t="s">
        <v>6767</v>
      </c>
    </row>
    <row r="1038" spans="1:17" x14ac:dyDescent="0.25">
      <c r="A1038" t="s">
        <v>4843</v>
      </c>
      <c r="B1038" t="s">
        <v>1090</v>
      </c>
      <c r="C1038">
        <v>2027</v>
      </c>
      <c r="D1038" t="s">
        <v>534</v>
      </c>
      <c r="E1038" t="s">
        <v>830</v>
      </c>
      <c r="F1038" s="32">
        <v>46388</v>
      </c>
      <c r="G1038" t="s">
        <v>514</v>
      </c>
      <c r="H1038">
        <v>47128643</v>
      </c>
      <c r="I1038" t="s">
        <v>1367</v>
      </c>
      <c r="J1038" t="s">
        <v>1366</v>
      </c>
      <c r="K1038" t="s">
        <v>530</v>
      </c>
      <c r="N1038">
        <v>0</v>
      </c>
      <c r="O1038">
        <v>0</v>
      </c>
      <c r="P1038" t="str">
        <f t="shared" si="16"/>
        <v>N</v>
      </c>
      <c r="Q1038" t="s">
        <v>6768</v>
      </c>
    </row>
    <row r="1039" spans="1:17" x14ac:dyDescent="0.25">
      <c r="A1039" t="s">
        <v>4844</v>
      </c>
      <c r="B1039" t="s">
        <v>1090</v>
      </c>
      <c r="C1039">
        <v>2027</v>
      </c>
      <c r="D1039" t="s">
        <v>534</v>
      </c>
      <c r="E1039" t="s">
        <v>830</v>
      </c>
      <c r="F1039" s="32">
        <v>46388</v>
      </c>
      <c r="G1039" t="s">
        <v>514</v>
      </c>
      <c r="H1039">
        <v>47151576</v>
      </c>
      <c r="I1039" t="s">
        <v>1506</v>
      </c>
      <c r="J1039" t="s">
        <v>1505</v>
      </c>
      <c r="K1039" t="s">
        <v>530</v>
      </c>
      <c r="N1039">
        <v>0</v>
      </c>
      <c r="O1039">
        <v>0</v>
      </c>
      <c r="P1039" t="str">
        <f t="shared" si="16"/>
        <v>N</v>
      </c>
      <c r="Q1039" t="s">
        <v>6769</v>
      </c>
    </row>
    <row r="1040" spans="1:17" x14ac:dyDescent="0.25">
      <c r="A1040" t="s">
        <v>4845</v>
      </c>
      <c r="B1040" t="s">
        <v>1090</v>
      </c>
      <c r="C1040">
        <v>2027</v>
      </c>
      <c r="D1040" t="s">
        <v>534</v>
      </c>
      <c r="E1040" t="s">
        <v>830</v>
      </c>
      <c r="F1040" s="32">
        <v>46388</v>
      </c>
      <c r="G1040" t="s">
        <v>514</v>
      </c>
      <c r="H1040">
        <v>47129459</v>
      </c>
      <c r="I1040" t="s">
        <v>1321</v>
      </c>
      <c r="J1040" t="s">
        <v>1320</v>
      </c>
      <c r="K1040" t="s">
        <v>530</v>
      </c>
      <c r="N1040">
        <v>0</v>
      </c>
      <c r="O1040">
        <v>0</v>
      </c>
      <c r="P1040" t="str">
        <f t="shared" si="16"/>
        <v>N</v>
      </c>
      <c r="Q1040" t="s">
        <v>6770</v>
      </c>
    </row>
    <row r="1041" spans="1:17" x14ac:dyDescent="0.25">
      <c r="A1041" t="s">
        <v>4846</v>
      </c>
      <c r="B1041" t="s">
        <v>1090</v>
      </c>
      <c r="C1041">
        <v>2027</v>
      </c>
      <c r="D1041" t="s">
        <v>534</v>
      </c>
      <c r="E1041" t="s">
        <v>830</v>
      </c>
      <c r="F1041" s="32">
        <v>46388</v>
      </c>
      <c r="G1041" t="s">
        <v>514</v>
      </c>
      <c r="H1041">
        <v>47129130</v>
      </c>
      <c r="I1041" t="s">
        <v>1434</v>
      </c>
      <c r="J1041" t="s">
        <v>1433</v>
      </c>
      <c r="K1041" t="s">
        <v>530</v>
      </c>
      <c r="N1041">
        <v>0</v>
      </c>
      <c r="O1041">
        <v>0</v>
      </c>
      <c r="P1041" t="str">
        <f t="shared" si="16"/>
        <v>N</v>
      </c>
      <c r="Q1041" t="s">
        <v>6771</v>
      </c>
    </row>
    <row r="1042" spans="1:17" x14ac:dyDescent="0.25">
      <c r="A1042" t="s">
        <v>4847</v>
      </c>
      <c r="B1042" t="s">
        <v>1090</v>
      </c>
      <c r="C1042">
        <v>2027</v>
      </c>
      <c r="D1042" t="s">
        <v>534</v>
      </c>
      <c r="E1042" t="s">
        <v>830</v>
      </c>
      <c r="F1042" s="32">
        <v>46388</v>
      </c>
      <c r="G1042" t="s">
        <v>514</v>
      </c>
      <c r="H1042">
        <v>47129692</v>
      </c>
      <c r="I1042" t="s">
        <v>1475</v>
      </c>
      <c r="J1042" t="s">
        <v>1474</v>
      </c>
      <c r="K1042" t="s">
        <v>530</v>
      </c>
      <c r="N1042">
        <v>0</v>
      </c>
      <c r="O1042">
        <v>0</v>
      </c>
      <c r="P1042" t="str">
        <f t="shared" si="16"/>
        <v>N</v>
      </c>
      <c r="Q1042" t="s">
        <v>6772</v>
      </c>
    </row>
    <row r="1043" spans="1:17" x14ac:dyDescent="0.25">
      <c r="A1043" t="s">
        <v>4848</v>
      </c>
      <c r="B1043" t="s">
        <v>1090</v>
      </c>
      <c r="C1043">
        <v>2027</v>
      </c>
      <c r="D1043" t="s">
        <v>534</v>
      </c>
      <c r="E1043" t="s">
        <v>830</v>
      </c>
      <c r="F1043" s="32">
        <v>46388</v>
      </c>
      <c r="G1043" t="s">
        <v>514</v>
      </c>
      <c r="H1043">
        <v>47153262</v>
      </c>
      <c r="I1043" t="s">
        <v>1502</v>
      </c>
      <c r="J1043" t="s">
        <v>1501</v>
      </c>
      <c r="K1043" t="s">
        <v>530</v>
      </c>
      <c r="N1043">
        <v>0</v>
      </c>
      <c r="O1043">
        <v>0</v>
      </c>
      <c r="P1043" t="str">
        <f t="shared" si="16"/>
        <v>N</v>
      </c>
      <c r="Q1043" t="s">
        <v>6773</v>
      </c>
    </row>
    <row r="1044" spans="1:17" x14ac:dyDescent="0.25">
      <c r="A1044" t="s">
        <v>4849</v>
      </c>
      <c r="B1044" t="s">
        <v>1090</v>
      </c>
      <c r="C1044">
        <v>2027</v>
      </c>
      <c r="D1044" t="s">
        <v>534</v>
      </c>
      <c r="E1044" t="s">
        <v>830</v>
      </c>
      <c r="F1044" s="32">
        <v>46388</v>
      </c>
      <c r="G1044" t="s">
        <v>514</v>
      </c>
      <c r="H1044">
        <v>47146895</v>
      </c>
      <c r="I1044" t="s">
        <v>1375</v>
      </c>
      <c r="J1044" t="s">
        <v>1374</v>
      </c>
      <c r="K1044" t="s">
        <v>530</v>
      </c>
      <c r="N1044">
        <v>0</v>
      </c>
      <c r="O1044">
        <v>0</v>
      </c>
      <c r="P1044" t="str">
        <f t="shared" si="16"/>
        <v>N</v>
      </c>
      <c r="Q1044" t="s">
        <v>6774</v>
      </c>
    </row>
    <row r="1045" spans="1:17" x14ac:dyDescent="0.25">
      <c r="A1045" t="s">
        <v>4850</v>
      </c>
      <c r="B1045" t="s">
        <v>1090</v>
      </c>
      <c r="C1045">
        <v>2027</v>
      </c>
      <c r="D1045" t="s">
        <v>534</v>
      </c>
      <c r="E1045" t="s">
        <v>830</v>
      </c>
      <c r="F1045" s="32">
        <v>46388</v>
      </c>
      <c r="G1045" t="s">
        <v>514</v>
      </c>
      <c r="H1045">
        <v>47128115</v>
      </c>
      <c r="I1045" t="s">
        <v>1260</v>
      </c>
      <c r="J1045" t="s">
        <v>1499</v>
      </c>
      <c r="K1045" t="s">
        <v>530</v>
      </c>
      <c r="N1045">
        <v>0</v>
      </c>
      <c r="O1045">
        <v>0</v>
      </c>
      <c r="P1045" t="str">
        <f t="shared" si="16"/>
        <v>N</v>
      </c>
      <c r="Q1045" t="s">
        <v>6775</v>
      </c>
    </row>
    <row r="1046" spans="1:17" x14ac:dyDescent="0.25">
      <c r="A1046" t="s">
        <v>4851</v>
      </c>
      <c r="B1046" t="s">
        <v>1090</v>
      </c>
      <c r="C1046">
        <v>2027</v>
      </c>
      <c r="D1046" t="s">
        <v>534</v>
      </c>
      <c r="E1046" t="s">
        <v>830</v>
      </c>
      <c r="F1046" s="32">
        <v>46388</v>
      </c>
      <c r="G1046" t="s">
        <v>514</v>
      </c>
      <c r="H1046">
        <v>47129679</v>
      </c>
      <c r="I1046" t="s">
        <v>1422</v>
      </c>
      <c r="J1046" t="s">
        <v>1421</v>
      </c>
      <c r="K1046" t="s">
        <v>530</v>
      </c>
      <c r="N1046">
        <v>0</v>
      </c>
      <c r="O1046">
        <v>0</v>
      </c>
      <c r="P1046" t="str">
        <f t="shared" si="16"/>
        <v>N</v>
      </c>
      <c r="Q1046" t="s">
        <v>6776</v>
      </c>
    </row>
    <row r="1047" spans="1:17" x14ac:dyDescent="0.25">
      <c r="A1047" t="s">
        <v>4852</v>
      </c>
      <c r="B1047" t="s">
        <v>1090</v>
      </c>
      <c r="C1047">
        <v>2027</v>
      </c>
      <c r="D1047" t="s">
        <v>534</v>
      </c>
      <c r="E1047" t="s">
        <v>830</v>
      </c>
      <c r="F1047" s="32">
        <v>46388</v>
      </c>
      <c r="G1047" t="s">
        <v>514</v>
      </c>
      <c r="H1047">
        <v>47129432</v>
      </c>
      <c r="I1047" t="s">
        <v>1468</v>
      </c>
      <c r="J1047" t="s">
        <v>1467</v>
      </c>
      <c r="K1047" t="s">
        <v>530</v>
      </c>
      <c r="N1047">
        <v>0</v>
      </c>
      <c r="O1047">
        <v>0</v>
      </c>
      <c r="P1047" t="str">
        <f t="shared" si="16"/>
        <v>N</v>
      </c>
      <c r="Q1047" t="s">
        <v>6777</v>
      </c>
    </row>
    <row r="1048" spans="1:17" x14ac:dyDescent="0.25">
      <c r="A1048" t="s">
        <v>4853</v>
      </c>
      <c r="B1048" t="s">
        <v>1090</v>
      </c>
      <c r="C1048">
        <v>2027</v>
      </c>
      <c r="D1048" t="s">
        <v>534</v>
      </c>
      <c r="E1048" t="s">
        <v>830</v>
      </c>
      <c r="F1048" s="32">
        <v>46388</v>
      </c>
      <c r="G1048" t="s">
        <v>514</v>
      </c>
      <c r="H1048">
        <v>47129050</v>
      </c>
      <c r="I1048" t="s">
        <v>1482</v>
      </c>
      <c r="J1048" t="s">
        <v>1481</v>
      </c>
      <c r="K1048" t="s">
        <v>530</v>
      </c>
      <c r="N1048">
        <v>0</v>
      </c>
      <c r="O1048">
        <v>0</v>
      </c>
      <c r="P1048" t="str">
        <f t="shared" si="16"/>
        <v>N</v>
      </c>
      <c r="Q1048" t="s">
        <v>6778</v>
      </c>
    </row>
    <row r="1049" spans="1:17" x14ac:dyDescent="0.25">
      <c r="A1049" t="s">
        <v>4854</v>
      </c>
      <c r="B1049" t="s">
        <v>1090</v>
      </c>
      <c r="C1049">
        <v>2027</v>
      </c>
      <c r="D1049" t="s">
        <v>534</v>
      </c>
      <c r="E1049" t="s">
        <v>830</v>
      </c>
      <c r="F1049" s="32">
        <v>46388</v>
      </c>
      <c r="G1049" t="s">
        <v>514</v>
      </c>
      <c r="H1049">
        <v>47148279</v>
      </c>
      <c r="I1049" t="s">
        <v>1236</v>
      </c>
      <c r="J1049" t="s">
        <v>1235</v>
      </c>
      <c r="K1049" t="s">
        <v>530</v>
      </c>
      <c r="N1049">
        <v>0</v>
      </c>
      <c r="O1049">
        <v>0</v>
      </c>
      <c r="P1049" t="str">
        <f t="shared" si="16"/>
        <v>N</v>
      </c>
      <c r="Q1049" t="s">
        <v>6779</v>
      </c>
    </row>
    <row r="1050" spans="1:17" x14ac:dyDescent="0.25">
      <c r="A1050" t="s">
        <v>5230</v>
      </c>
      <c r="B1050" t="s">
        <v>1089</v>
      </c>
      <c r="C1050">
        <v>2027</v>
      </c>
      <c r="D1050" t="s">
        <v>534</v>
      </c>
      <c r="E1050" t="s">
        <v>830</v>
      </c>
      <c r="F1050" s="32">
        <v>46388</v>
      </c>
      <c r="G1050" t="s">
        <v>514</v>
      </c>
      <c r="H1050">
        <v>47128421</v>
      </c>
      <c r="I1050" t="s">
        <v>1086</v>
      </c>
      <c r="J1050" t="s">
        <v>1085</v>
      </c>
      <c r="K1050" t="s">
        <v>530</v>
      </c>
      <c r="N1050">
        <v>32</v>
      </c>
      <c r="O1050">
        <v>32</v>
      </c>
      <c r="P1050" t="str">
        <f t="shared" si="16"/>
        <v>N</v>
      </c>
      <c r="Q1050" t="s">
        <v>6780</v>
      </c>
    </row>
    <row r="1051" spans="1:17" x14ac:dyDescent="0.25">
      <c r="A1051" t="s">
        <v>5231</v>
      </c>
      <c r="B1051" t="s">
        <v>1089</v>
      </c>
      <c r="C1051">
        <v>2027</v>
      </c>
      <c r="D1051" t="s">
        <v>534</v>
      </c>
      <c r="E1051" t="s">
        <v>830</v>
      </c>
      <c r="F1051" s="32">
        <v>46388</v>
      </c>
      <c r="G1051" t="s">
        <v>514</v>
      </c>
      <c r="H1051">
        <v>47128706</v>
      </c>
      <c r="I1051" t="s">
        <v>1201</v>
      </c>
      <c r="J1051" t="s">
        <v>1200</v>
      </c>
      <c r="K1051" t="s">
        <v>530</v>
      </c>
      <c r="N1051">
        <v>0</v>
      </c>
      <c r="O1051">
        <v>0</v>
      </c>
      <c r="P1051" t="str">
        <f t="shared" si="16"/>
        <v>N</v>
      </c>
      <c r="Q1051" t="s">
        <v>6781</v>
      </c>
    </row>
    <row r="1052" spans="1:17" x14ac:dyDescent="0.25">
      <c r="A1052" t="s">
        <v>5232</v>
      </c>
      <c r="B1052" t="s">
        <v>1089</v>
      </c>
      <c r="C1052">
        <v>2027</v>
      </c>
      <c r="D1052" t="s">
        <v>534</v>
      </c>
      <c r="E1052" t="s">
        <v>830</v>
      </c>
      <c r="F1052" s="32">
        <v>46388</v>
      </c>
      <c r="G1052" t="s">
        <v>514</v>
      </c>
      <c r="H1052">
        <v>47128364</v>
      </c>
      <c r="I1052" t="s">
        <v>1264</v>
      </c>
      <c r="J1052" t="s">
        <v>1263</v>
      </c>
      <c r="K1052" t="s">
        <v>530</v>
      </c>
      <c r="N1052">
        <v>0</v>
      </c>
      <c r="O1052">
        <v>0</v>
      </c>
      <c r="P1052" t="str">
        <f t="shared" si="16"/>
        <v>N</v>
      </c>
      <c r="Q1052" t="s">
        <v>6782</v>
      </c>
    </row>
    <row r="1053" spans="1:17" x14ac:dyDescent="0.25">
      <c r="A1053" t="s">
        <v>5233</v>
      </c>
      <c r="B1053" t="s">
        <v>1089</v>
      </c>
      <c r="C1053">
        <v>2027</v>
      </c>
      <c r="D1053" t="s">
        <v>534</v>
      </c>
      <c r="E1053" t="s">
        <v>830</v>
      </c>
      <c r="F1053" s="32">
        <v>46388</v>
      </c>
      <c r="G1053" t="s">
        <v>514</v>
      </c>
      <c r="H1053">
        <v>47128633</v>
      </c>
      <c r="I1053" t="s">
        <v>1164</v>
      </c>
      <c r="J1053" t="s">
        <v>1163</v>
      </c>
      <c r="K1053" t="s">
        <v>530</v>
      </c>
      <c r="N1053">
        <v>0</v>
      </c>
      <c r="O1053">
        <v>0</v>
      </c>
      <c r="P1053" t="str">
        <f t="shared" si="16"/>
        <v>N</v>
      </c>
      <c r="Q1053" t="s">
        <v>6783</v>
      </c>
    </row>
    <row r="1054" spans="1:17" x14ac:dyDescent="0.25">
      <c r="A1054" t="s">
        <v>5234</v>
      </c>
      <c r="B1054" t="s">
        <v>1089</v>
      </c>
      <c r="C1054">
        <v>2027</v>
      </c>
      <c r="D1054" t="s">
        <v>534</v>
      </c>
      <c r="E1054" t="s">
        <v>830</v>
      </c>
      <c r="F1054" s="32">
        <v>46388</v>
      </c>
      <c r="G1054" t="s">
        <v>514</v>
      </c>
      <c r="H1054">
        <v>47128046</v>
      </c>
      <c r="I1054" t="s">
        <v>1389</v>
      </c>
      <c r="J1054" t="s">
        <v>1388</v>
      </c>
      <c r="K1054" t="s">
        <v>530</v>
      </c>
      <c r="N1054">
        <v>0</v>
      </c>
      <c r="O1054">
        <v>0</v>
      </c>
      <c r="P1054" t="str">
        <f t="shared" si="16"/>
        <v>N</v>
      </c>
      <c r="Q1054" t="s">
        <v>6784</v>
      </c>
    </row>
    <row r="1055" spans="1:17" x14ac:dyDescent="0.25">
      <c r="A1055" t="s">
        <v>5235</v>
      </c>
      <c r="B1055" t="s">
        <v>1089</v>
      </c>
      <c r="C1055">
        <v>2027</v>
      </c>
      <c r="D1055" t="s">
        <v>534</v>
      </c>
      <c r="E1055" t="s">
        <v>830</v>
      </c>
      <c r="F1055" s="32">
        <v>46388</v>
      </c>
      <c r="G1055" t="s">
        <v>514</v>
      </c>
      <c r="H1055">
        <v>47129548</v>
      </c>
      <c r="I1055" t="s">
        <v>1340</v>
      </c>
      <c r="J1055" t="s">
        <v>1339</v>
      </c>
      <c r="K1055" t="s">
        <v>530</v>
      </c>
      <c r="N1055">
        <v>40</v>
      </c>
      <c r="O1055">
        <v>40</v>
      </c>
      <c r="P1055" t="str">
        <f t="shared" si="16"/>
        <v>N</v>
      </c>
      <c r="Q1055" t="s">
        <v>6785</v>
      </c>
    </row>
    <row r="1056" spans="1:17" x14ac:dyDescent="0.25">
      <c r="A1056" t="s">
        <v>5496</v>
      </c>
      <c r="B1056" t="s">
        <v>5437</v>
      </c>
      <c r="C1056">
        <v>2027</v>
      </c>
      <c r="D1056" t="s">
        <v>534</v>
      </c>
      <c r="E1056" t="s">
        <v>830</v>
      </c>
      <c r="F1056" s="32">
        <v>46388</v>
      </c>
      <c r="G1056" t="s">
        <v>514</v>
      </c>
      <c r="H1056">
        <v>47128967</v>
      </c>
      <c r="I1056" t="s">
        <v>1062</v>
      </c>
      <c r="J1056" t="s">
        <v>1061</v>
      </c>
      <c r="K1056" t="s">
        <v>530</v>
      </c>
      <c r="N1056">
        <v>0</v>
      </c>
      <c r="O1056">
        <v>0</v>
      </c>
      <c r="P1056" t="str">
        <f t="shared" si="16"/>
        <v>N</v>
      </c>
      <c r="Q1056" t="s">
        <v>6786</v>
      </c>
    </row>
    <row r="1057" spans="1:17" x14ac:dyDescent="0.25">
      <c r="A1057" t="s">
        <v>5497</v>
      </c>
      <c r="B1057" t="s">
        <v>5437</v>
      </c>
      <c r="C1057">
        <v>2027</v>
      </c>
      <c r="D1057" t="s">
        <v>534</v>
      </c>
      <c r="E1057" t="s">
        <v>830</v>
      </c>
      <c r="F1057" s="32">
        <v>46388</v>
      </c>
      <c r="G1057" t="s">
        <v>514</v>
      </c>
      <c r="H1057">
        <v>47129473</v>
      </c>
      <c r="I1057" t="s">
        <v>1430</v>
      </c>
      <c r="J1057" t="s">
        <v>1429</v>
      </c>
      <c r="K1057" t="s">
        <v>530</v>
      </c>
      <c r="N1057">
        <v>0</v>
      </c>
      <c r="O1057">
        <v>0</v>
      </c>
      <c r="P1057" t="str">
        <f t="shared" si="16"/>
        <v>N</v>
      </c>
      <c r="Q1057" t="s">
        <v>6787</v>
      </c>
    </row>
    <row r="1058" spans="1:17" x14ac:dyDescent="0.25">
      <c r="A1058" t="s">
        <v>5498</v>
      </c>
      <c r="B1058" t="s">
        <v>5437</v>
      </c>
      <c r="C1058">
        <v>2027</v>
      </c>
      <c r="D1058" t="s">
        <v>534</v>
      </c>
      <c r="E1058" t="s">
        <v>830</v>
      </c>
      <c r="F1058" s="32">
        <v>46388</v>
      </c>
      <c r="G1058" t="s">
        <v>514</v>
      </c>
      <c r="H1058">
        <v>47128490</v>
      </c>
      <c r="I1058" t="s">
        <v>1254</v>
      </c>
      <c r="J1058" t="s">
        <v>1253</v>
      </c>
      <c r="K1058" t="s">
        <v>530</v>
      </c>
      <c r="N1058">
        <v>0</v>
      </c>
      <c r="O1058">
        <v>0</v>
      </c>
      <c r="P1058" t="str">
        <f t="shared" si="16"/>
        <v>N</v>
      </c>
      <c r="Q1058" t="s">
        <v>6788</v>
      </c>
    </row>
    <row r="1059" spans="1:17" x14ac:dyDescent="0.25">
      <c r="A1059" t="s">
        <v>5499</v>
      </c>
      <c r="B1059" t="s">
        <v>5437</v>
      </c>
      <c r="C1059">
        <v>2027</v>
      </c>
      <c r="D1059" t="s">
        <v>534</v>
      </c>
      <c r="E1059" t="s">
        <v>830</v>
      </c>
      <c r="F1059" s="32">
        <v>46388</v>
      </c>
      <c r="G1059" t="s">
        <v>514</v>
      </c>
      <c r="H1059">
        <v>47127948</v>
      </c>
      <c r="I1059" t="s">
        <v>1247</v>
      </c>
      <c r="J1059" t="s">
        <v>1246</v>
      </c>
      <c r="K1059" t="s">
        <v>530</v>
      </c>
      <c r="N1059">
        <v>0</v>
      </c>
      <c r="O1059">
        <v>0</v>
      </c>
      <c r="P1059" t="str">
        <f t="shared" si="16"/>
        <v>N</v>
      </c>
      <c r="Q1059" t="s">
        <v>6789</v>
      </c>
    </row>
    <row r="1060" spans="1:17" x14ac:dyDescent="0.25">
      <c r="A1060" t="s">
        <v>5500</v>
      </c>
      <c r="B1060" t="s">
        <v>5437</v>
      </c>
      <c r="C1060">
        <v>2027</v>
      </c>
      <c r="D1060" t="s">
        <v>534</v>
      </c>
      <c r="E1060" t="s">
        <v>830</v>
      </c>
      <c r="F1060" s="32">
        <v>46388</v>
      </c>
      <c r="G1060" t="s">
        <v>514</v>
      </c>
      <c r="H1060">
        <v>47128710</v>
      </c>
      <c r="I1060" t="s">
        <v>1189</v>
      </c>
      <c r="J1060" t="s">
        <v>1188</v>
      </c>
      <c r="K1060" t="s">
        <v>530</v>
      </c>
      <c r="N1060">
        <v>0</v>
      </c>
      <c r="O1060">
        <v>0</v>
      </c>
      <c r="P1060" t="str">
        <f t="shared" si="16"/>
        <v>N</v>
      </c>
      <c r="Q1060" t="s">
        <v>6790</v>
      </c>
    </row>
    <row r="1061" spans="1:17" x14ac:dyDescent="0.25">
      <c r="A1061" t="s">
        <v>5501</v>
      </c>
      <c r="B1061" t="s">
        <v>5437</v>
      </c>
      <c r="C1061">
        <v>2027</v>
      </c>
      <c r="D1061" t="s">
        <v>534</v>
      </c>
      <c r="E1061" t="s">
        <v>830</v>
      </c>
      <c r="F1061" s="32">
        <v>46388</v>
      </c>
      <c r="G1061" t="s">
        <v>514</v>
      </c>
      <c r="H1061">
        <v>47128572</v>
      </c>
      <c r="I1061" t="s">
        <v>1197</v>
      </c>
      <c r="J1061" t="s">
        <v>1196</v>
      </c>
      <c r="K1061" t="s">
        <v>530</v>
      </c>
      <c r="N1061">
        <v>0</v>
      </c>
      <c r="O1061">
        <v>0</v>
      </c>
      <c r="P1061" t="str">
        <f t="shared" si="16"/>
        <v>N</v>
      </c>
      <c r="Q1061" t="s">
        <v>6791</v>
      </c>
    </row>
    <row r="1062" spans="1:17" x14ac:dyDescent="0.25">
      <c r="A1062" t="s">
        <v>5502</v>
      </c>
      <c r="B1062" t="s">
        <v>5437</v>
      </c>
      <c r="C1062">
        <v>2027</v>
      </c>
      <c r="D1062" t="s">
        <v>534</v>
      </c>
      <c r="E1062" t="s">
        <v>830</v>
      </c>
      <c r="F1062" s="32">
        <v>46388</v>
      </c>
      <c r="G1062" t="s">
        <v>514</v>
      </c>
      <c r="H1062">
        <v>47128482</v>
      </c>
      <c r="I1062" t="s">
        <v>1393</v>
      </c>
      <c r="J1062" t="s">
        <v>1392</v>
      </c>
      <c r="K1062" t="s">
        <v>530</v>
      </c>
      <c r="N1062">
        <v>0</v>
      </c>
      <c r="O1062">
        <v>0</v>
      </c>
      <c r="P1062" t="str">
        <f t="shared" si="16"/>
        <v>N</v>
      </c>
      <c r="Q1062" t="s">
        <v>6792</v>
      </c>
    </row>
    <row r="1063" spans="1:17" x14ac:dyDescent="0.25">
      <c r="A1063" t="s">
        <v>5503</v>
      </c>
      <c r="B1063" t="s">
        <v>5437</v>
      </c>
      <c r="C1063">
        <v>2027</v>
      </c>
      <c r="D1063" t="s">
        <v>534</v>
      </c>
      <c r="E1063" t="s">
        <v>830</v>
      </c>
      <c r="F1063" s="32">
        <v>46388</v>
      </c>
      <c r="G1063" t="s">
        <v>514</v>
      </c>
      <c r="H1063">
        <v>47128115</v>
      </c>
      <c r="I1063" t="s">
        <v>1260</v>
      </c>
      <c r="J1063" t="s">
        <v>1259</v>
      </c>
      <c r="K1063" t="s">
        <v>530</v>
      </c>
      <c r="N1063">
        <v>0</v>
      </c>
      <c r="O1063">
        <v>0</v>
      </c>
      <c r="P1063" t="str">
        <f t="shared" si="16"/>
        <v>N</v>
      </c>
      <c r="Q1063" t="s">
        <v>6793</v>
      </c>
    </row>
    <row r="1064" spans="1:17" x14ac:dyDescent="0.25">
      <c r="A1064" t="s">
        <v>5504</v>
      </c>
      <c r="B1064" t="s">
        <v>5437</v>
      </c>
      <c r="C1064">
        <v>2027</v>
      </c>
      <c r="D1064" t="s">
        <v>534</v>
      </c>
      <c r="E1064" t="s">
        <v>830</v>
      </c>
      <c r="F1064" s="32">
        <v>46388</v>
      </c>
      <c r="G1064" t="s">
        <v>514</v>
      </c>
      <c r="H1064">
        <v>47128337</v>
      </c>
      <c r="I1064" t="s">
        <v>1120</v>
      </c>
      <c r="J1064" t="s">
        <v>1119</v>
      </c>
      <c r="K1064" t="s">
        <v>530</v>
      </c>
      <c r="N1064">
        <v>0</v>
      </c>
      <c r="O1064">
        <v>0</v>
      </c>
      <c r="P1064" t="str">
        <f t="shared" si="16"/>
        <v>N</v>
      </c>
      <c r="Q1064" t="s">
        <v>6794</v>
      </c>
    </row>
    <row r="1065" spans="1:17" x14ac:dyDescent="0.25">
      <c r="A1065" t="s">
        <v>5505</v>
      </c>
      <c r="B1065" t="s">
        <v>5437</v>
      </c>
      <c r="C1065">
        <v>2027</v>
      </c>
      <c r="D1065" t="s">
        <v>534</v>
      </c>
      <c r="E1065" t="s">
        <v>830</v>
      </c>
      <c r="F1065" s="32">
        <v>46388</v>
      </c>
      <c r="G1065" t="s">
        <v>514</v>
      </c>
      <c r="H1065">
        <v>47128833</v>
      </c>
      <c r="I1065" t="s">
        <v>1193</v>
      </c>
      <c r="J1065" t="s">
        <v>1192</v>
      </c>
      <c r="K1065" t="s">
        <v>530</v>
      </c>
      <c r="N1065">
        <v>20</v>
      </c>
      <c r="O1065">
        <v>20</v>
      </c>
      <c r="P1065" t="str">
        <f t="shared" si="16"/>
        <v>N</v>
      </c>
      <c r="Q1065" t="s">
        <v>6795</v>
      </c>
    </row>
    <row r="1066" spans="1:17" x14ac:dyDescent="0.25">
      <c r="A1066" t="s">
        <v>5506</v>
      </c>
      <c r="B1066" t="s">
        <v>5437</v>
      </c>
      <c r="C1066">
        <v>2027</v>
      </c>
      <c r="D1066" t="s">
        <v>534</v>
      </c>
      <c r="E1066" t="s">
        <v>830</v>
      </c>
      <c r="F1066" s="32">
        <v>46388</v>
      </c>
      <c r="G1066" t="s">
        <v>514</v>
      </c>
      <c r="H1066">
        <v>47128784</v>
      </c>
      <c r="I1066" t="s">
        <v>1426</v>
      </c>
      <c r="J1066" t="s">
        <v>1425</v>
      </c>
      <c r="K1066" t="s">
        <v>530</v>
      </c>
      <c r="N1066">
        <v>0</v>
      </c>
      <c r="O1066">
        <v>0</v>
      </c>
      <c r="P1066" t="str">
        <f t="shared" si="16"/>
        <v>N</v>
      </c>
      <c r="Q1066" t="s">
        <v>6796</v>
      </c>
    </row>
    <row r="1067" spans="1:17" x14ac:dyDescent="0.25">
      <c r="A1067" t="s">
        <v>5507</v>
      </c>
      <c r="B1067" t="s">
        <v>5437</v>
      </c>
      <c r="C1067">
        <v>2027</v>
      </c>
      <c r="D1067" t="s">
        <v>534</v>
      </c>
      <c r="E1067" t="s">
        <v>830</v>
      </c>
      <c r="F1067" s="32">
        <v>46388</v>
      </c>
      <c r="G1067" t="s">
        <v>514</v>
      </c>
      <c r="H1067">
        <v>47129020</v>
      </c>
      <c r="I1067" t="s">
        <v>1058</v>
      </c>
      <c r="J1067" t="s">
        <v>1057</v>
      </c>
      <c r="K1067" t="s">
        <v>530</v>
      </c>
      <c r="N1067">
        <v>40</v>
      </c>
      <c r="O1067">
        <v>40</v>
      </c>
      <c r="P1067" t="str">
        <f t="shared" si="16"/>
        <v>N</v>
      </c>
      <c r="Q1067" t="s">
        <v>6797</v>
      </c>
    </row>
    <row r="1068" spans="1:17" x14ac:dyDescent="0.25">
      <c r="A1068" t="s">
        <v>5508</v>
      </c>
      <c r="B1068" t="s">
        <v>5437</v>
      </c>
      <c r="C1068">
        <v>2027</v>
      </c>
      <c r="D1068" t="s">
        <v>534</v>
      </c>
      <c r="E1068" t="s">
        <v>830</v>
      </c>
      <c r="F1068" s="32">
        <v>46388</v>
      </c>
      <c r="G1068" t="s">
        <v>514</v>
      </c>
      <c r="H1068">
        <v>47128429</v>
      </c>
      <c r="I1068" t="s">
        <v>1371</v>
      </c>
      <c r="J1068" t="s">
        <v>1370</v>
      </c>
      <c r="K1068" t="s">
        <v>530</v>
      </c>
      <c r="N1068">
        <v>0</v>
      </c>
      <c r="O1068">
        <v>0</v>
      </c>
      <c r="P1068" t="str">
        <f t="shared" si="16"/>
        <v>N</v>
      </c>
      <c r="Q1068" t="s">
        <v>6798</v>
      </c>
    </row>
    <row r="1069" spans="1:17" x14ac:dyDescent="0.25">
      <c r="A1069" t="s">
        <v>5509</v>
      </c>
      <c r="B1069" t="s">
        <v>5437</v>
      </c>
      <c r="C1069">
        <v>2027</v>
      </c>
      <c r="D1069" t="s">
        <v>534</v>
      </c>
      <c r="E1069" t="s">
        <v>830</v>
      </c>
      <c r="F1069" s="32">
        <v>46388</v>
      </c>
      <c r="G1069" t="s">
        <v>514</v>
      </c>
      <c r="H1069">
        <v>47128181</v>
      </c>
      <c r="I1069" t="s">
        <v>1301</v>
      </c>
      <c r="J1069" t="s">
        <v>1300</v>
      </c>
      <c r="K1069" t="s">
        <v>530</v>
      </c>
      <c r="N1069">
        <v>0</v>
      </c>
      <c r="O1069">
        <v>0</v>
      </c>
      <c r="P1069" t="str">
        <f t="shared" si="16"/>
        <v>N</v>
      </c>
      <c r="Q1069" t="s">
        <v>6799</v>
      </c>
    </row>
    <row r="1070" spans="1:17" x14ac:dyDescent="0.25">
      <c r="A1070" t="s">
        <v>1572</v>
      </c>
      <c r="B1070" t="s">
        <v>1520</v>
      </c>
      <c r="C1070">
        <v>2027</v>
      </c>
      <c r="D1070" t="s">
        <v>536</v>
      </c>
      <c r="E1070" t="s">
        <v>831</v>
      </c>
      <c r="F1070" s="32">
        <v>46395</v>
      </c>
      <c r="G1070" t="s">
        <v>514</v>
      </c>
      <c r="H1070">
        <v>47128207</v>
      </c>
      <c r="I1070" t="s">
        <v>1522</v>
      </c>
      <c r="J1070" t="s">
        <v>1523</v>
      </c>
      <c r="K1070" t="s">
        <v>530</v>
      </c>
      <c r="N1070">
        <v>0</v>
      </c>
      <c r="O1070">
        <v>0</v>
      </c>
      <c r="P1070" t="str">
        <f t="shared" si="16"/>
        <v>N</v>
      </c>
      <c r="Q1070" t="s">
        <v>6800</v>
      </c>
    </row>
    <row r="1071" spans="1:17" x14ac:dyDescent="0.25">
      <c r="A1071" t="s">
        <v>1573</v>
      </c>
      <c r="B1071" t="s">
        <v>1520</v>
      </c>
      <c r="C1071">
        <v>2027</v>
      </c>
      <c r="D1071" t="s">
        <v>536</v>
      </c>
      <c r="E1071" t="s">
        <v>831</v>
      </c>
      <c r="F1071" s="32">
        <v>46395</v>
      </c>
      <c r="G1071" t="s">
        <v>514</v>
      </c>
      <c r="H1071">
        <v>47128581</v>
      </c>
      <c r="I1071" t="s">
        <v>1525</v>
      </c>
      <c r="J1071" t="s">
        <v>1526</v>
      </c>
      <c r="K1071" t="s">
        <v>530</v>
      </c>
      <c r="N1071">
        <v>0</v>
      </c>
      <c r="O1071">
        <v>0</v>
      </c>
      <c r="P1071" t="str">
        <f t="shared" si="16"/>
        <v>N</v>
      </c>
      <c r="Q1071" t="s">
        <v>6801</v>
      </c>
    </row>
    <row r="1072" spans="1:17" x14ac:dyDescent="0.25">
      <c r="A1072" t="s">
        <v>1574</v>
      </c>
      <c r="B1072" t="s">
        <v>1520</v>
      </c>
      <c r="C1072">
        <v>2027</v>
      </c>
      <c r="D1072" t="s">
        <v>536</v>
      </c>
      <c r="E1072" t="s">
        <v>831</v>
      </c>
      <c r="F1072" s="32">
        <v>46395</v>
      </c>
      <c r="G1072" t="s">
        <v>514</v>
      </c>
      <c r="H1072">
        <v>47127959</v>
      </c>
      <c r="I1072" t="s">
        <v>1528</v>
      </c>
      <c r="J1072" t="s">
        <v>1529</v>
      </c>
      <c r="K1072" t="s">
        <v>530</v>
      </c>
      <c r="N1072">
        <v>0</v>
      </c>
      <c r="O1072">
        <v>0</v>
      </c>
      <c r="P1072" t="str">
        <f t="shared" si="16"/>
        <v>N</v>
      </c>
      <c r="Q1072" t="s">
        <v>6802</v>
      </c>
    </row>
    <row r="1073" spans="1:17" x14ac:dyDescent="0.25">
      <c r="A1073" t="s">
        <v>1575</v>
      </c>
      <c r="B1073" t="s">
        <v>1520</v>
      </c>
      <c r="C1073">
        <v>2027</v>
      </c>
      <c r="D1073" t="s">
        <v>536</v>
      </c>
      <c r="E1073" t="s">
        <v>831</v>
      </c>
      <c r="F1073" s="32">
        <v>46395</v>
      </c>
      <c r="G1073" t="s">
        <v>514</v>
      </c>
      <c r="H1073">
        <v>47128204</v>
      </c>
      <c r="I1073" t="s">
        <v>1531</v>
      </c>
      <c r="J1073" t="s">
        <v>1532</v>
      </c>
      <c r="K1073" t="s">
        <v>530</v>
      </c>
      <c r="N1073">
        <v>60</v>
      </c>
      <c r="O1073">
        <v>60</v>
      </c>
      <c r="P1073" t="str">
        <f t="shared" si="16"/>
        <v>N</v>
      </c>
      <c r="Q1073" t="s">
        <v>6803</v>
      </c>
    </row>
    <row r="1074" spans="1:17" x14ac:dyDescent="0.25">
      <c r="A1074" t="s">
        <v>1576</v>
      </c>
      <c r="B1074" t="s">
        <v>1520</v>
      </c>
      <c r="C1074">
        <v>2027</v>
      </c>
      <c r="D1074" t="s">
        <v>536</v>
      </c>
      <c r="E1074" t="s">
        <v>831</v>
      </c>
      <c r="F1074" s="32">
        <v>46395</v>
      </c>
      <c r="G1074" t="s">
        <v>514</v>
      </c>
      <c r="H1074">
        <v>47128207</v>
      </c>
      <c r="I1074" t="s">
        <v>1522</v>
      </c>
      <c r="J1074" t="s">
        <v>1534</v>
      </c>
      <c r="K1074" t="s">
        <v>530</v>
      </c>
      <c r="N1074">
        <v>0</v>
      </c>
      <c r="O1074">
        <v>0</v>
      </c>
      <c r="P1074" t="str">
        <f t="shared" si="16"/>
        <v>N</v>
      </c>
      <c r="Q1074" t="s">
        <v>6804</v>
      </c>
    </row>
    <row r="1075" spans="1:17" x14ac:dyDescent="0.25">
      <c r="A1075" t="s">
        <v>1577</v>
      </c>
      <c r="B1075" t="s">
        <v>1520</v>
      </c>
      <c r="C1075">
        <v>2027</v>
      </c>
      <c r="D1075" t="s">
        <v>536</v>
      </c>
      <c r="E1075" t="s">
        <v>831</v>
      </c>
      <c r="F1075" s="32">
        <v>46395</v>
      </c>
      <c r="G1075" t="s">
        <v>563</v>
      </c>
      <c r="H1075">
        <v>10000015</v>
      </c>
      <c r="I1075" t="s">
        <v>562</v>
      </c>
      <c r="K1075" t="s">
        <v>530</v>
      </c>
      <c r="N1075">
        <v>0</v>
      </c>
      <c r="O1075">
        <v>0</v>
      </c>
      <c r="P1075" t="str">
        <f t="shared" si="16"/>
        <v>N</v>
      </c>
      <c r="Q1075" t="s">
        <v>6805</v>
      </c>
    </row>
    <row r="1076" spans="1:17" x14ac:dyDescent="0.25">
      <c r="A1076" t="s">
        <v>1578</v>
      </c>
      <c r="B1076" t="s">
        <v>1520</v>
      </c>
      <c r="C1076">
        <v>2027</v>
      </c>
      <c r="D1076" t="s">
        <v>536</v>
      </c>
      <c r="E1076" t="s">
        <v>831</v>
      </c>
      <c r="F1076" s="32">
        <v>46395</v>
      </c>
      <c r="G1076" t="s">
        <v>514</v>
      </c>
      <c r="H1076">
        <v>47127959</v>
      </c>
      <c r="I1076" t="s">
        <v>1528</v>
      </c>
      <c r="J1076" t="s">
        <v>1537</v>
      </c>
      <c r="K1076" t="s">
        <v>530</v>
      </c>
      <c r="N1076">
        <v>0</v>
      </c>
      <c r="O1076">
        <v>0</v>
      </c>
      <c r="P1076" t="str">
        <f t="shared" si="16"/>
        <v>N</v>
      </c>
      <c r="Q1076" t="s">
        <v>6806</v>
      </c>
    </row>
    <row r="1077" spans="1:17" x14ac:dyDescent="0.25">
      <c r="A1077" t="s">
        <v>1579</v>
      </c>
      <c r="B1077" t="s">
        <v>1520</v>
      </c>
      <c r="C1077">
        <v>2027</v>
      </c>
      <c r="D1077" t="s">
        <v>536</v>
      </c>
      <c r="E1077" t="s">
        <v>831</v>
      </c>
      <c r="F1077" s="32">
        <v>46395</v>
      </c>
      <c r="G1077" t="s">
        <v>514</v>
      </c>
      <c r="H1077">
        <v>47128581</v>
      </c>
      <c r="I1077" t="s">
        <v>1525</v>
      </c>
      <c r="J1077" t="s">
        <v>1539</v>
      </c>
      <c r="K1077" t="s">
        <v>530</v>
      </c>
      <c r="N1077">
        <v>0</v>
      </c>
      <c r="O1077">
        <v>0</v>
      </c>
      <c r="P1077" t="str">
        <f t="shared" si="16"/>
        <v>N</v>
      </c>
      <c r="Q1077" t="s">
        <v>6807</v>
      </c>
    </row>
    <row r="1078" spans="1:17" x14ac:dyDescent="0.25">
      <c r="A1078" t="s">
        <v>1842</v>
      </c>
      <c r="B1078" t="s">
        <v>1135</v>
      </c>
      <c r="C1078">
        <v>2027</v>
      </c>
      <c r="D1078" t="s">
        <v>536</v>
      </c>
      <c r="E1078" t="s">
        <v>831</v>
      </c>
      <c r="F1078" s="32">
        <v>46395</v>
      </c>
      <c r="G1078" t="s">
        <v>514</v>
      </c>
      <c r="H1078">
        <v>47146464</v>
      </c>
      <c r="I1078" t="s">
        <v>1438</v>
      </c>
      <c r="J1078" t="s">
        <v>1437</v>
      </c>
      <c r="K1078" t="s">
        <v>530</v>
      </c>
      <c r="N1078">
        <v>0</v>
      </c>
      <c r="O1078">
        <v>0</v>
      </c>
      <c r="P1078" t="str">
        <f t="shared" si="16"/>
        <v>N</v>
      </c>
      <c r="Q1078" t="s">
        <v>6808</v>
      </c>
    </row>
    <row r="1079" spans="1:17" x14ac:dyDescent="0.25">
      <c r="A1079" t="s">
        <v>1843</v>
      </c>
      <c r="B1079" t="s">
        <v>1135</v>
      </c>
      <c r="C1079">
        <v>2027</v>
      </c>
      <c r="D1079" t="s">
        <v>536</v>
      </c>
      <c r="E1079" t="s">
        <v>831</v>
      </c>
      <c r="F1079" s="32">
        <v>46395</v>
      </c>
      <c r="G1079" t="s">
        <v>514</v>
      </c>
      <c r="H1079">
        <v>47146463</v>
      </c>
      <c r="I1079" t="s">
        <v>1441</v>
      </c>
      <c r="J1079" t="s">
        <v>1440</v>
      </c>
      <c r="K1079" t="s">
        <v>530</v>
      </c>
      <c r="N1079">
        <v>0</v>
      </c>
      <c r="O1079">
        <v>0</v>
      </c>
      <c r="P1079" t="str">
        <f t="shared" si="16"/>
        <v>N</v>
      </c>
      <c r="Q1079" t="s">
        <v>6809</v>
      </c>
    </row>
    <row r="1080" spans="1:17" x14ac:dyDescent="0.25">
      <c r="A1080" t="s">
        <v>1844</v>
      </c>
      <c r="B1080" t="s">
        <v>1135</v>
      </c>
      <c r="C1080">
        <v>2027</v>
      </c>
      <c r="D1080" t="s">
        <v>536</v>
      </c>
      <c r="E1080" t="s">
        <v>831</v>
      </c>
      <c r="F1080" s="32">
        <v>46395</v>
      </c>
      <c r="G1080" t="s">
        <v>514</v>
      </c>
      <c r="H1080">
        <v>47128729</v>
      </c>
      <c r="I1080" t="s">
        <v>1149</v>
      </c>
      <c r="J1080" t="s">
        <v>1148</v>
      </c>
      <c r="K1080" t="s">
        <v>530</v>
      </c>
      <c r="N1080">
        <v>0</v>
      </c>
      <c r="O1080">
        <v>0</v>
      </c>
      <c r="P1080" t="str">
        <f t="shared" si="16"/>
        <v>N</v>
      </c>
      <c r="Q1080" t="s">
        <v>6810</v>
      </c>
    </row>
    <row r="1081" spans="1:17" x14ac:dyDescent="0.25">
      <c r="A1081" t="s">
        <v>1845</v>
      </c>
      <c r="B1081" t="s">
        <v>1135</v>
      </c>
      <c r="C1081">
        <v>2027</v>
      </c>
      <c r="D1081" t="s">
        <v>536</v>
      </c>
      <c r="E1081" t="s">
        <v>831</v>
      </c>
      <c r="F1081" s="32">
        <v>46395</v>
      </c>
      <c r="G1081" t="s">
        <v>514</v>
      </c>
      <c r="H1081">
        <v>47128413</v>
      </c>
      <c r="I1081" t="s">
        <v>1397</v>
      </c>
      <c r="J1081" t="s">
        <v>1396</v>
      </c>
      <c r="K1081" t="s">
        <v>530</v>
      </c>
      <c r="N1081">
        <v>0</v>
      </c>
      <c r="O1081">
        <v>0</v>
      </c>
      <c r="P1081" t="str">
        <f t="shared" si="16"/>
        <v>N</v>
      </c>
      <c r="Q1081" t="s">
        <v>6811</v>
      </c>
    </row>
    <row r="1082" spans="1:17" x14ac:dyDescent="0.25">
      <c r="A1082" t="s">
        <v>1846</v>
      </c>
      <c r="B1082" t="s">
        <v>1135</v>
      </c>
      <c r="C1082">
        <v>2027</v>
      </c>
      <c r="D1082" t="s">
        <v>536</v>
      </c>
      <c r="E1082" t="s">
        <v>831</v>
      </c>
      <c r="F1082" s="32">
        <v>46395</v>
      </c>
      <c r="G1082" t="s">
        <v>514</v>
      </c>
      <c r="H1082">
        <v>47128783</v>
      </c>
      <c r="I1082" t="s">
        <v>1280</v>
      </c>
      <c r="J1082" t="s">
        <v>1279</v>
      </c>
      <c r="K1082" t="s">
        <v>530</v>
      </c>
      <c r="N1082">
        <v>0</v>
      </c>
      <c r="O1082">
        <v>0</v>
      </c>
      <c r="P1082" t="str">
        <f t="shared" si="16"/>
        <v>N</v>
      </c>
      <c r="Q1082" t="s">
        <v>6812</v>
      </c>
    </row>
    <row r="1083" spans="1:17" x14ac:dyDescent="0.25">
      <c r="A1083" t="s">
        <v>1847</v>
      </c>
      <c r="B1083" t="s">
        <v>1135</v>
      </c>
      <c r="C1083">
        <v>2027</v>
      </c>
      <c r="D1083" t="s">
        <v>536</v>
      </c>
      <c r="E1083" t="s">
        <v>831</v>
      </c>
      <c r="F1083" s="32">
        <v>46395</v>
      </c>
      <c r="G1083" t="s">
        <v>514</v>
      </c>
      <c r="H1083">
        <v>47128944</v>
      </c>
      <c r="I1083" t="s">
        <v>1137</v>
      </c>
      <c r="J1083" t="s">
        <v>1136</v>
      </c>
      <c r="K1083" t="s">
        <v>530</v>
      </c>
      <c r="N1083">
        <v>0</v>
      </c>
      <c r="O1083">
        <v>0</v>
      </c>
      <c r="P1083" t="str">
        <f t="shared" si="16"/>
        <v>N</v>
      </c>
      <c r="Q1083" t="s">
        <v>6813</v>
      </c>
    </row>
    <row r="1084" spans="1:17" x14ac:dyDescent="0.25">
      <c r="A1084" t="s">
        <v>1848</v>
      </c>
      <c r="B1084" t="s">
        <v>1135</v>
      </c>
      <c r="C1084">
        <v>2027</v>
      </c>
      <c r="D1084" t="s">
        <v>536</v>
      </c>
      <c r="E1084" t="s">
        <v>831</v>
      </c>
      <c r="F1084" s="32">
        <v>46395</v>
      </c>
      <c r="G1084" t="s">
        <v>514</v>
      </c>
      <c r="H1084">
        <v>47129547</v>
      </c>
      <c r="I1084" t="s">
        <v>1128</v>
      </c>
      <c r="J1084" t="s">
        <v>1352</v>
      </c>
      <c r="K1084" t="s">
        <v>530</v>
      </c>
      <c r="N1084">
        <v>0</v>
      </c>
      <c r="O1084">
        <v>0</v>
      </c>
      <c r="P1084" t="str">
        <f t="shared" si="16"/>
        <v>N</v>
      </c>
      <c r="Q1084" t="s">
        <v>6814</v>
      </c>
    </row>
    <row r="1085" spans="1:17" x14ac:dyDescent="0.25">
      <c r="A1085" t="s">
        <v>1849</v>
      </c>
      <c r="B1085" t="s">
        <v>1135</v>
      </c>
      <c r="C1085">
        <v>2027</v>
      </c>
      <c r="D1085" t="s">
        <v>536</v>
      </c>
      <c r="E1085" t="s">
        <v>831</v>
      </c>
      <c r="F1085" s="32">
        <v>46395</v>
      </c>
      <c r="G1085" t="s">
        <v>514</v>
      </c>
      <c r="H1085">
        <v>47128518</v>
      </c>
      <c r="I1085" t="s">
        <v>1232</v>
      </c>
      <c r="J1085" t="s">
        <v>1493</v>
      </c>
      <c r="K1085" t="s">
        <v>530</v>
      </c>
      <c r="N1085">
        <v>0</v>
      </c>
      <c r="O1085">
        <v>0</v>
      </c>
      <c r="P1085" t="str">
        <f t="shared" si="16"/>
        <v>N</v>
      </c>
      <c r="Q1085" t="s">
        <v>6815</v>
      </c>
    </row>
    <row r="1086" spans="1:17" x14ac:dyDescent="0.25">
      <c r="A1086" t="s">
        <v>1850</v>
      </c>
      <c r="B1086" t="s">
        <v>1135</v>
      </c>
      <c r="C1086">
        <v>2027</v>
      </c>
      <c r="D1086" t="s">
        <v>536</v>
      </c>
      <c r="E1086" t="s">
        <v>831</v>
      </c>
      <c r="F1086" s="32">
        <v>46395</v>
      </c>
      <c r="G1086" t="s">
        <v>514</v>
      </c>
      <c r="H1086">
        <v>47128168</v>
      </c>
      <c r="I1086" t="s">
        <v>1100</v>
      </c>
      <c r="J1086" t="s">
        <v>1099</v>
      </c>
      <c r="K1086" t="s">
        <v>530</v>
      </c>
      <c r="N1086">
        <v>0</v>
      </c>
      <c r="O1086">
        <v>0</v>
      </c>
      <c r="P1086" t="str">
        <f t="shared" si="16"/>
        <v>N</v>
      </c>
      <c r="Q1086" t="s">
        <v>6816</v>
      </c>
    </row>
    <row r="1087" spans="1:17" x14ac:dyDescent="0.25">
      <c r="A1087" t="s">
        <v>1851</v>
      </c>
      <c r="B1087" t="s">
        <v>1135</v>
      </c>
      <c r="C1087">
        <v>2027</v>
      </c>
      <c r="D1087" t="s">
        <v>536</v>
      </c>
      <c r="E1087" t="s">
        <v>831</v>
      </c>
      <c r="F1087" s="32">
        <v>46395</v>
      </c>
      <c r="G1087" t="s">
        <v>514</v>
      </c>
      <c r="H1087">
        <v>47128687</v>
      </c>
      <c r="I1087" t="s">
        <v>1153</v>
      </c>
      <c r="J1087" t="s">
        <v>1152</v>
      </c>
      <c r="K1087" t="s">
        <v>530</v>
      </c>
      <c r="N1087">
        <v>0</v>
      </c>
      <c r="O1087">
        <v>0</v>
      </c>
      <c r="P1087" t="str">
        <f t="shared" si="16"/>
        <v>N</v>
      </c>
      <c r="Q1087" t="s">
        <v>6817</v>
      </c>
    </row>
    <row r="1088" spans="1:17" x14ac:dyDescent="0.25">
      <c r="A1088" t="s">
        <v>1852</v>
      </c>
      <c r="B1088" t="s">
        <v>1135</v>
      </c>
      <c r="C1088">
        <v>2027</v>
      </c>
      <c r="D1088" t="s">
        <v>536</v>
      </c>
      <c r="E1088" t="s">
        <v>831</v>
      </c>
      <c r="F1088" s="32">
        <v>46395</v>
      </c>
      <c r="G1088" t="s">
        <v>514</v>
      </c>
      <c r="H1088">
        <v>47128585</v>
      </c>
      <c r="I1088" t="s">
        <v>1141</v>
      </c>
      <c r="J1088" t="s">
        <v>1140</v>
      </c>
      <c r="K1088" t="s">
        <v>530</v>
      </c>
      <c r="N1088">
        <v>0</v>
      </c>
      <c r="O1088">
        <v>0</v>
      </c>
      <c r="P1088" t="str">
        <f t="shared" si="16"/>
        <v>N</v>
      </c>
      <c r="Q1088" t="s">
        <v>6818</v>
      </c>
    </row>
    <row r="1089" spans="1:17" x14ac:dyDescent="0.25">
      <c r="A1089" t="s">
        <v>1853</v>
      </c>
      <c r="B1089" t="s">
        <v>1135</v>
      </c>
      <c r="C1089">
        <v>2027</v>
      </c>
      <c r="D1089" t="s">
        <v>536</v>
      </c>
      <c r="E1089" t="s">
        <v>831</v>
      </c>
      <c r="F1089" s="32">
        <v>46395</v>
      </c>
      <c r="G1089" t="s">
        <v>514</v>
      </c>
      <c r="H1089">
        <v>47128906</v>
      </c>
      <c r="I1089" t="s">
        <v>1349</v>
      </c>
      <c r="J1089" t="s">
        <v>1348</v>
      </c>
      <c r="K1089" t="s">
        <v>530</v>
      </c>
      <c r="N1089">
        <v>0</v>
      </c>
      <c r="O1089">
        <v>0</v>
      </c>
      <c r="P1089" t="str">
        <f t="shared" si="16"/>
        <v>N</v>
      </c>
      <c r="Q1089" t="s">
        <v>6819</v>
      </c>
    </row>
    <row r="1090" spans="1:17" x14ac:dyDescent="0.25">
      <c r="A1090" t="s">
        <v>1854</v>
      </c>
      <c r="B1090" t="s">
        <v>1135</v>
      </c>
      <c r="C1090">
        <v>2027</v>
      </c>
      <c r="D1090" t="s">
        <v>536</v>
      </c>
      <c r="E1090" t="s">
        <v>831</v>
      </c>
      <c r="F1090" s="32">
        <v>46395</v>
      </c>
      <c r="G1090" t="s">
        <v>514</v>
      </c>
      <c r="H1090">
        <v>47128585</v>
      </c>
      <c r="I1090" t="s">
        <v>1141</v>
      </c>
      <c r="J1090" t="s">
        <v>1408</v>
      </c>
      <c r="K1090" t="s">
        <v>530</v>
      </c>
      <c r="N1090">
        <v>0</v>
      </c>
      <c r="O1090">
        <v>0</v>
      </c>
      <c r="P1090" t="str">
        <f t="shared" si="16"/>
        <v>N</v>
      </c>
      <c r="Q1090" t="s">
        <v>6820</v>
      </c>
    </row>
    <row r="1091" spans="1:17" x14ac:dyDescent="0.25">
      <c r="A1091" t="s">
        <v>1855</v>
      </c>
      <c r="B1091" t="s">
        <v>1135</v>
      </c>
      <c r="C1091">
        <v>2027</v>
      </c>
      <c r="D1091" t="s">
        <v>536</v>
      </c>
      <c r="E1091" t="s">
        <v>831</v>
      </c>
      <c r="F1091" s="32">
        <v>46395</v>
      </c>
      <c r="G1091" t="s">
        <v>514</v>
      </c>
      <c r="H1091">
        <v>47128518</v>
      </c>
      <c r="I1091" t="s">
        <v>1232</v>
      </c>
      <c r="J1091" t="s">
        <v>1231</v>
      </c>
      <c r="K1091" t="s">
        <v>530</v>
      </c>
      <c r="N1091">
        <v>0</v>
      </c>
      <c r="O1091">
        <v>0</v>
      </c>
      <c r="P1091" t="str">
        <f t="shared" ref="P1091:P1154" si="17">IF(N1091=O1091,"N","Y")</f>
        <v>N</v>
      </c>
      <c r="Q1091" t="s">
        <v>6821</v>
      </c>
    </row>
    <row r="1092" spans="1:17" x14ac:dyDescent="0.25">
      <c r="A1092" t="s">
        <v>1856</v>
      </c>
      <c r="B1092" t="s">
        <v>1135</v>
      </c>
      <c r="C1092">
        <v>2027</v>
      </c>
      <c r="D1092" t="s">
        <v>536</v>
      </c>
      <c r="E1092" t="s">
        <v>831</v>
      </c>
      <c r="F1092" s="32">
        <v>46395</v>
      </c>
      <c r="G1092" t="s">
        <v>514</v>
      </c>
      <c r="H1092">
        <v>47128680</v>
      </c>
      <c r="I1092" t="s">
        <v>1284</v>
      </c>
      <c r="J1092" t="s">
        <v>1283</v>
      </c>
      <c r="K1092" t="s">
        <v>530</v>
      </c>
      <c r="N1092">
        <v>0</v>
      </c>
      <c r="O1092">
        <v>0</v>
      </c>
      <c r="P1092" t="str">
        <f t="shared" si="17"/>
        <v>N</v>
      </c>
      <c r="Q1092" t="s">
        <v>6822</v>
      </c>
    </row>
    <row r="1093" spans="1:17" x14ac:dyDescent="0.25">
      <c r="A1093" t="s">
        <v>1857</v>
      </c>
      <c r="B1093" t="s">
        <v>1135</v>
      </c>
      <c r="C1093">
        <v>2027</v>
      </c>
      <c r="D1093" t="s">
        <v>536</v>
      </c>
      <c r="E1093" t="s">
        <v>831</v>
      </c>
      <c r="F1093" s="32">
        <v>46395</v>
      </c>
      <c r="G1093" t="s">
        <v>514</v>
      </c>
      <c r="H1093">
        <v>47128024</v>
      </c>
      <c r="I1093" t="s">
        <v>1108</v>
      </c>
      <c r="J1093" t="s">
        <v>1107</v>
      </c>
      <c r="K1093" t="s">
        <v>530</v>
      </c>
      <c r="N1093">
        <v>0</v>
      </c>
      <c r="O1093">
        <v>0</v>
      </c>
      <c r="P1093" t="str">
        <f t="shared" si="17"/>
        <v>N</v>
      </c>
      <c r="Q1093" t="s">
        <v>6823</v>
      </c>
    </row>
    <row r="1094" spans="1:17" x14ac:dyDescent="0.25">
      <c r="A1094" t="s">
        <v>1858</v>
      </c>
      <c r="B1094" t="s">
        <v>1135</v>
      </c>
      <c r="C1094">
        <v>2027</v>
      </c>
      <c r="D1094" t="s">
        <v>536</v>
      </c>
      <c r="E1094" t="s">
        <v>831</v>
      </c>
      <c r="F1094" s="32">
        <v>46395</v>
      </c>
      <c r="G1094" t="s">
        <v>514</v>
      </c>
      <c r="H1094">
        <v>47128944</v>
      </c>
      <c r="I1094" t="s">
        <v>1137</v>
      </c>
      <c r="J1094" t="s">
        <v>1513</v>
      </c>
      <c r="K1094" t="s">
        <v>530</v>
      </c>
      <c r="N1094">
        <v>0</v>
      </c>
      <c r="O1094">
        <v>0</v>
      </c>
      <c r="P1094" t="str">
        <f t="shared" si="17"/>
        <v>N</v>
      </c>
      <c r="Q1094" t="s">
        <v>6824</v>
      </c>
    </row>
    <row r="1095" spans="1:17" x14ac:dyDescent="0.25">
      <c r="A1095" t="s">
        <v>1859</v>
      </c>
      <c r="B1095" t="s">
        <v>1135</v>
      </c>
      <c r="C1095">
        <v>2027</v>
      </c>
      <c r="D1095" t="s">
        <v>536</v>
      </c>
      <c r="E1095" t="s">
        <v>831</v>
      </c>
      <c r="F1095" s="32">
        <v>46395</v>
      </c>
      <c r="G1095" t="s">
        <v>514</v>
      </c>
      <c r="H1095">
        <v>47147546</v>
      </c>
      <c r="I1095" t="s">
        <v>1077</v>
      </c>
      <c r="J1095" t="s">
        <v>1076</v>
      </c>
      <c r="K1095" t="s">
        <v>530</v>
      </c>
      <c r="N1095">
        <v>0</v>
      </c>
      <c r="O1095">
        <v>0</v>
      </c>
      <c r="P1095" t="str">
        <f t="shared" si="17"/>
        <v>N</v>
      </c>
      <c r="Q1095" t="s">
        <v>6825</v>
      </c>
    </row>
    <row r="1096" spans="1:17" x14ac:dyDescent="0.25">
      <c r="A1096" t="s">
        <v>1860</v>
      </c>
      <c r="B1096" t="s">
        <v>1135</v>
      </c>
      <c r="C1096">
        <v>2027</v>
      </c>
      <c r="D1096" t="s">
        <v>536</v>
      </c>
      <c r="E1096" t="s">
        <v>831</v>
      </c>
      <c r="F1096" s="32">
        <v>46395</v>
      </c>
      <c r="G1096" t="s">
        <v>514</v>
      </c>
      <c r="H1096">
        <v>47128346</v>
      </c>
      <c r="I1096" t="s">
        <v>1157</v>
      </c>
      <c r="J1096" t="s">
        <v>1156</v>
      </c>
      <c r="K1096" t="s">
        <v>530</v>
      </c>
      <c r="N1096">
        <v>0</v>
      </c>
      <c r="O1096">
        <v>0</v>
      </c>
      <c r="P1096" t="str">
        <f t="shared" si="17"/>
        <v>N</v>
      </c>
      <c r="Q1096" t="s">
        <v>6826</v>
      </c>
    </row>
    <row r="1097" spans="1:17" x14ac:dyDescent="0.25">
      <c r="A1097" t="s">
        <v>1861</v>
      </c>
      <c r="B1097" t="s">
        <v>1135</v>
      </c>
      <c r="C1097">
        <v>2027</v>
      </c>
      <c r="D1097" t="s">
        <v>536</v>
      </c>
      <c r="E1097" t="s">
        <v>831</v>
      </c>
      <c r="F1097" s="32">
        <v>46395</v>
      </c>
      <c r="G1097" t="s">
        <v>514</v>
      </c>
      <c r="H1097">
        <v>47128800</v>
      </c>
      <c r="I1097" t="s">
        <v>1145</v>
      </c>
      <c r="J1097" t="s">
        <v>1144</v>
      </c>
      <c r="K1097" t="s">
        <v>530</v>
      </c>
      <c r="N1097">
        <v>0</v>
      </c>
      <c r="O1097">
        <v>0</v>
      </c>
      <c r="P1097" t="str">
        <f t="shared" si="17"/>
        <v>N</v>
      </c>
      <c r="Q1097" t="s">
        <v>6827</v>
      </c>
    </row>
    <row r="1098" spans="1:17" x14ac:dyDescent="0.25">
      <c r="A1098" t="s">
        <v>1862</v>
      </c>
      <c r="B1098" t="s">
        <v>1135</v>
      </c>
      <c r="C1098">
        <v>2027</v>
      </c>
      <c r="D1098" t="s">
        <v>536</v>
      </c>
      <c r="E1098" t="s">
        <v>831</v>
      </c>
      <c r="F1098" s="32">
        <v>46395</v>
      </c>
      <c r="G1098" t="s">
        <v>514</v>
      </c>
      <c r="H1098">
        <v>47128109</v>
      </c>
      <c r="I1098" t="s">
        <v>1336</v>
      </c>
      <c r="J1098" t="s">
        <v>1335</v>
      </c>
      <c r="K1098" t="s">
        <v>530</v>
      </c>
      <c r="N1098">
        <v>0</v>
      </c>
      <c r="O1098">
        <v>0</v>
      </c>
      <c r="P1098" t="str">
        <f t="shared" si="17"/>
        <v>N</v>
      </c>
      <c r="Q1098" t="s">
        <v>6828</v>
      </c>
    </row>
    <row r="1099" spans="1:17" x14ac:dyDescent="0.25">
      <c r="A1099" t="s">
        <v>1863</v>
      </c>
      <c r="B1099" t="s">
        <v>1135</v>
      </c>
      <c r="C1099">
        <v>2027</v>
      </c>
      <c r="D1099" t="s">
        <v>536</v>
      </c>
      <c r="E1099" t="s">
        <v>831</v>
      </c>
      <c r="F1099" s="32">
        <v>46395</v>
      </c>
      <c r="G1099" t="s">
        <v>514</v>
      </c>
      <c r="H1099">
        <v>47128430</v>
      </c>
      <c r="I1099" t="s">
        <v>1401</v>
      </c>
      <c r="J1099" t="s">
        <v>1400</v>
      </c>
      <c r="K1099" t="s">
        <v>530</v>
      </c>
      <c r="N1099">
        <v>0</v>
      </c>
      <c r="O1099">
        <v>0</v>
      </c>
      <c r="P1099" t="str">
        <f t="shared" si="17"/>
        <v>N</v>
      </c>
      <c r="Q1099" t="s">
        <v>6829</v>
      </c>
    </row>
    <row r="1100" spans="1:17" x14ac:dyDescent="0.25">
      <c r="A1100" t="s">
        <v>1864</v>
      </c>
      <c r="B1100" t="s">
        <v>1135</v>
      </c>
      <c r="C1100">
        <v>2027</v>
      </c>
      <c r="D1100" t="s">
        <v>536</v>
      </c>
      <c r="E1100" t="s">
        <v>831</v>
      </c>
      <c r="F1100" s="32">
        <v>46395</v>
      </c>
      <c r="G1100" t="s">
        <v>514</v>
      </c>
      <c r="H1100">
        <v>47128522</v>
      </c>
      <c r="I1100" t="s">
        <v>1092</v>
      </c>
      <c r="J1100" t="s">
        <v>1091</v>
      </c>
      <c r="K1100" t="s">
        <v>530</v>
      </c>
      <c r="N1100">
        <v>0</v>
      </c>
      <c r="O1100">
        <v>0</v>
      </c>
      <c r="P1100" t="str">
        <f t="shared" si="17"/>
        <v>N</v>
      </c>
      <c r="Q1100" t="s">
        <v>6830</v>
      </c>
    </row>
    <row r="1101" spans="1:17" x14ac:dyDescent="0.25">
      <c r="A1101" t="s">
        <v>1865</v>
      </c>
      <c r="B1101" t="s">
        <v>1135</v>
      </c>
      <c r="C1101">
        <v>2027</v>
      </c>
      <c r="D1101" t="s">
        <v>536</v>
      </c>
      <c r="E1101" t="s">
        <v>831</v>
      </c>
      <c r="F1101" s="32">
        <v>46395</v>
      </c>
      <c r="G1101" t="s">
        <v>514</v>
      </c>
      <c r="H1101">
        <v>47147546</v>
      </c>
      <c r="I1101" t="s">
        <v>1077</v>
      </c>
      <c r="J1101" t="s">
        <v>1381</v>
      </c>
      <c r="K1101" t="s">
        <v>530</v>
      </c>
      <c r="N1101">
        <v>0</v>
      </c>
      <c r="O1101">
        <v>0</v>
      </c>
      <c r="P1101" t="str">
        <f t="shared" si="17"/>
        <v>N</v>
      </c>
      <c r="Q1101" t="s">
        <v>6831</v>
      </c>
    </row>
    <row r="1102" spans="1:17" x14ac:dyDescent="0.25">
      <c r="A1102" t="s">
        <v>1866</v>
      </c>
      <c r="B1102" t="s">
        <v>1135</v>
      </c>
      <c r="C1102">
        <v>2027</v>
      </c>
      <c r="D1102" t="s">
        <v>536</v>
      </c>
      <c r="E1102" t="s">
        <v>831</v>
      </c>
      <c r="F1102" s="32">
        <v>46395</v>
      </c>
      <c r="G1102" t="s">
        <v>514</v>
      </c>
      <c r="H1102">
        <v>47147658</v>
      </c>
      <c r="I1102" t="s">
        <v>1276</v>
      </c>
      <c r="J1102" t="s">
        <v>1275</v>
      </c>
      <c r="K1102" t="s">
        <v>530</v>
      </c>
      <c r="N1102">
        <v>0</v>
      </c>
      <c r="O1102">
        <v>0</v>
      </c>
      <c r="P1102" t="str">
        <f t="shared" si="17"/>
        <v>N</v>
      </c>
      <c r="Q1102" t="s">
        <v>6832</v>
      </c>
    </row>
    <row r="1103" spans="1:17" x14ac:dyDescent="0.25">
      <c r="A1103" t="s">
        <v>1867</v>
      </c>
      <c r="B1103" t="s">
        <v>1135</v>
      </c>
      <c r="C1103">
        <v>2027</v>
      </c>
      <c r="D1103" t="s">
        <v>536</v>
      </c>
      <c r="E1103" t="s">
        <v>831</v>
      </c>
      <c r="F1103" s="32">
        <v>46395</v>
      </c>
      <c r="G1103" t="s">
        <v>514</v>
      </c>
      <c r="H1103">
        <v>47147546</v>
      </c>
      <c r="I1103" t="s">
        <v>1077</v>
      </c>
      <c r="J1103" t="s">
        <v>1171</v>
      </c>
      <c r="K1103" t="s">
        <v>530</v>
      </c>
      <c r="N1103">
        <v>0</v>
      </c>
      <c r="O1103">
        <v>0</v>
      </c>
      <c r="P1103" t="str">
        <f t="shared" si="17"/>
        <v>N</v>
      </c>
      <c r="Q1103" t="s">
        <v>6833</v>
      </c>
    </row>
    <row r="1104" spans="1:17" x14ac:dyDescent="0.25">
      <c r="A1104" t="s">
        <v>1868</v>
      </c>
      <c r="B1104" t="s">
        <v>1135</v>
      </c>
      <c r="C1104">
        <v>2027</v>
      </c>
      <c r="D1104" t="s">
        <v>536</v>
      </c>
      <c r="E1104" t="s">
        <v>831</v>
      </c>
      <c r="F1104" s="32">
        <v>46395</v>
      </c>
      <c r="G1104" t="s">
        <v>514</v>
      </c>
      <c r="H1104">
        <v>47128028</v>
      </c>
      <c r="I1104" t="s">
        <v>1035</v>
      </c>
      <c r="J1104" t="s">
        <v>1034</v>
      </c>
      <c r="K1104" t="s">
        <v>530</v>
      </c>
      <c r="N1104">
        <v>0</v>
      </c>
      <c r="O1104">
        <v>0</v>
      </c>
      <c r="P1104" t="str">
        <f t="shared" si="17"/>
        <v>N</v>
      </c>
      <c r="Q1104" t="s">
        <v>6834</v>
      </c>
    </row>
    <row r="1105" spans="1:17" x14ac:dyDescent="0.25">
      <c r="A1105" t="s">
        <v>1869</v>
      </c>
      <c r="B1105" t="s">
        <v>1135</v>
      </c>
      <c r="C1105">
        <v>2027</v>
      </c>
      <c r="D1105" t="s">
        <v>536</v>
      </c>
      <c r="E1105" t="s">
        <v>831</v>
      </c>
      <c r="F1105" s="32">
        <v>46395</v>
      </c>
      <c r="G1105" t="s">
        <v>514</v>
      </c>
      <c r="H1105">
        <v>47128465</v>
      </c>
      <c r="I1105" t="s">
        <v>1333</v>
      </c>
      <c r="J1105" t="s">
        <v>1332</v>
      </c>
      <c r="K1105" t="s">
        <v>530</v>
      </c>
      <c r="N1105">
        <v>0</v>
      </c>
      <c r="O1105">
        <v>0</v>
      </c>
      <c r="P1105" t="str">
        <f t="shared" si="17"/>
        <v>N</v>
      </c>
      <c r="Q1105" t="s">
        <v>6835</v>
      </c>
    </row>
    <row r="1106" spans="1:17" x14ac:dyDescent="0.25">
      <c r="A1106" t="s">
        <v>1870</v>
      </c>
      <c r="B1106" t="s">
        <v>1135</v>
      </c>
      <c r="C1106">
        <v>2027</v>
      </c>
      <c r="D1106" t="s">
        <v>536</v>
      </c>
      <c r="E1106" t="s">
        <v>831</v>
      </c>
      <c r="F1106" s="32">
        <v>46395</v>
      </c>
      <c r="G1106" t="s">
        <v>514</v>
      </c>
      <c r="H1106">
        <v>47128548</v>
      </c>
      <c r="I1106" t="s">
        <v>958</v>
      </c>
      <c r="J1106" t="s">
        <v>957</v>
      </c>
      <c r="K1106" t="s">
        <v>530</v>
      </c>
      <c r="N1106">
        <v>0</v>
      </c>
      <c r="O1106">
        <v>0</v>
      </c>
      <c r="P1106" t="str">
        <f t="shared" si="17"/>
        <v>N</v>
      </c>
      <c r="Q1106" t="s">
        <v>6836</v>
      </c>
    </row>
    <row r="1107" spans="1:17" x14ac:dyDescent="0.25">
      <c r="A1107" t="s">
        <v>2400</v>
      </c>
      <c r="B1107" t="s">
        <v>2344</v>
      </c>
      <c r="C1107">
        <v>2027</v>
      </c>
      <c r="D1107" t="s">
        <v>536</v>
      </c>
      <c r="E1107" t="s">
        <v>831</v>
      </c>
      <c r="F1107" s="32">
        <v>46395</v>
      </c>
      <c r="G1107" t="s">
        <v>514</v>
      </c>
      <c r="H1107">
        <v>47140037</v>
      </c>
      <c r="I1107" t="s">
        <v>2347</v>
      </c>
      <c r="J1107" t="s">
        <v>2348</v>
      </c>
      <c r="K1107" t="s">
        <v>530</v>
      </c>
      <c r="N1107">
        <v>0</v>
      </c>
      <c r="O1107">
        <v>0</v>
      </c>
      <c r="P1107" t="str">
        <f t="shared" si="17"/>
        <v>N</v>
      </c>
      <c r="Q1107" t="s">
        <v>6837</v>
      </c>
    </row>
    <row r="1108" spans="1:17" x14ac:dyDescent="0.25">
      <c r="A1108" t="s">
        <v>2401</v>
      </c>
      <c r="B1108" t="s">
        <v>2344</v>
      </c>
      <c r="C1108">
        <v>2027</v>
      </c>
      <c r="D1108" t="s">
        <v>536</v>
      </c>
      <c r="E1108" t="s">
        <v>831</v>
      </c>
      <c r="F1108" s="32">
        <v>46395</v>
      </c>
      <c r="G1108" t="s">
        <v>514</v>
      </c>
      <c r="H1108">
        <v>47128769</v>
      </c>
      <c r="I1108" t="s">
        <v>2386</v>
      </c>
      <c r="J1108" t="s">
        <v>2387</v>
      </c>
      <c r="K1108" t="s">
        <v>530</v>
      </c>
      <c r="N1108">
        <v>0</v>
      </c>
      <c r="O1108">
        <v>0</v>
      </c>
      <c r="P1108" t="str">
        <f t="shared" si="17"/>
        <v>N</v>
      </c>
      <c r="Q1108" t="s">
        <v>6838</v>
      </c>
    </row>
    <row r="1109" spans="1:17" x14ac:dyDescent="0.25">
      <c r="A1109" t="s">
        <v>2402</v>
      </c>
      <c r="B1109" t="s">
        <v>2344</v>
      </c>
      <c r="C1109">
        <v>2027</v>
      </c>
      <c r="D1109" t="s">
        <v>536</v>
      </c>
      <c r="E1109" t="s">
        <v>831</v>
      </c>
      <c r="F1109" s="32">
        <v>46395</v>
      </c>
      <c r="G1109" t="s">
        <v>514</v>
      </c>
      <c r="H1109">
        <v>47128378</v>
      </c>
      <c r="I1109" t="s">
        <v>2392</v>
      </c>
      <c r="J1109" t="s">
        <v>2393</v>
      </c>
      <c r="K1109" t="s">
        <v>530</v>
      </c>
      <c r="N1109">
        <v>0</v>
      </c>
      <c r="O1109">
        <v>0</v>
      </c>
      <c r="P1109" t="str">
        <f t="shared" si="17"/>
        <v>N</v>
      </c>
      <c r="Q1109" t="s">
        <v>6839</v>
      </c>
    </row>
    <row r="1110" spans="1:17" x14ac:dyDescent="0.25">
      <c r="A1110" t="s">
        <v>2403</v>
      </c>
      <c r="B1110" t="s">
        <v>2344</v>
      </c>
      <c r="C1110">
        <v>2027</v>
      </c>
      <c r="D1110" t="s">
        <v>536</v>
      </c>
      <c r="E1110" t="s">
        <v>831</v>
      </c>
      <c r="F1110" s="32">
        <v>46395</v>
      </c>
      <c r="G1110" t="s">
        <v>514</v>
      </c>
      <c r="H1110">
        <v>47128020</v>
      </c>
      <c r="I1110" t="s">
        <v>2395</v>
      </c>
      <c r="J1110" t="s">
        <v>2396</v>
      </c>
      <c r="K1110" t="s">
        <v>530</v>
      </c>
      <c r="N1110">
        <v>0</v>
      </c>
      <c r="O1110">
        <v>0</v>
      </c>
      <c r="P1110" t="str">
        <f t="shared" si="17"/>
        <v>N</v>
      </c>
      <c r="Q1110" t="s">
        <v>6840</v>
      </c>
    </row>
    <row r="1111" spans="1:17" x14ac:dyDescent="0.25">
      <c r="A1111" t="s">
        <v>2404</v>
      </c>
      <c r="B1111" t="s">
        <v>2344</v>
      </c>
      <c r="C1111">
        <v>2027</v>
      </c>
      <c r="D1111" t="s">
        <v>536</v>
      </c>
      <c r="E1111" t="s">
        <v>831</v>
      </c>
      <c r="F1111" s="32">
        <v>46395</v>
      </c>
      <c r="G1111" t="s">
        <v>514</v>
      </c>
      <c r="H1111">
        <v>47128459</v>
      </c>
      <c r="I1111" t="s">
        <v>2398</v>
      </c>
      <c r="J1111" t="s">
        <v>2399</v>
      </c>
      <c r="K1111" t="s">
        <v>530</v>
      </c>
      <c r="N1111">
        <v>56</v>
      </c>
      <c r="O1111">
        <v>56</v>
      </c>
      <c r="P1111" t="str">
        <f t="shared" si="17"/>
        <v>N</v>
      </c>
      <c r="Q1111" t="s">
        <v>6841</v>
      </c>
    </row>
    <row r="1112" spans="1:17" x14ac:dyDescent="0.25">
      <c r="A1112" t="s">
        <v>2558</v>
      </c>
      <c r="B1112" t="s">
        <v>2444</v>
      </c>
      <c r="C1112">
        <v>2027</v>
      </c>
      <c r="D1112" t="s">
        <v>536</v>
      </c>
      <c r="E1112" t="s">
        <v>831</v>
      </c>
      <c r="F1112" s="32">
        <v>46395</v>
      </c>
      <c r="G1112" t="s">
        <v>514</v>
      </c>
      <c r="H1112">
        <v>47128006</v>
      </c>
      <c r="I1112" t="s">
        <v>2447</v>
      </c>
      <c r="J1112" t="s">
        <v>2448</v>
      </c>
      <c r="K1112" t="s">
        <v>530</v>
      </c>
      <c r="N1112">
        <v>0</v>
      </c>
      <c r="O1112">
        <v>0</v>
      </c>
      <c r="P1112" t="str">
        <f t="shared" si="17"/>
        <v>N</v>
      </c>
      <c r="Q1112" t="s">
        <v>6842</v>
      </c>
    </row>
    <row r="1113" spans="1:17" x14ac:dyDescent="0.25">
      <c r="A1113" t="s">
        <v>2559</v>
      </c>
      <c r="B1113" t="s">
        <v>2444</v>
      </c>
      <c r="C1113">
        <v>2027</v>
      </c>
      <c r="D1113" t="s">
        <v>536</v>
      </c>
      <c r="E1113" t="s">
        <v>831</v>
      </c>
      <c r="F1113" s="32">
        <v>46395</v>
      </c>
      <c r="G1113" t="s">
        <v>514</v>
      </c>
      <c r="H1113">
        <v>47128300</v>
      </c>
      <c r="I1113" t="s">
        <v>2471</v>
      </c>
      <c r="J1113" t="s">
        <v>2472</v>
      </c>
      <c r="K1113" t="s">
        <v>530</v>
      </c>
      <c r="N1113">
        <v>60</v>
      </c>
      <c r="O1113">
        <v>60</v>
      </c>
      <c r="P1113" t="str">
        <f t="shared" si="17"/>
        <v>N</v>
      </c>
      <c r="Q1113" t="s">
        <v>6843</v>
      </c>
    </row>
    <row r="1114" spans="1:17" x14ac:dyDescent="0.25">
      <c r="A1114" t="s">
        <v>2560</v>
      </c>
      <c r="B1114" t="s">
        <v>2444</v>
      </c>
      <c r="C1114">
        <v>2027</v>
      </c>
      <c r="D1114" t="s">
        <v>536</v>
      </c>
      <c r="E1114" t="s">
        <v>831</v>
      </c>
      <c r="F1114" s="32">
        <v>46395</v>
      </c>
      <c r="G1114" t="s">
        <v>514</v>
      </c>
      <c r="H1114">
        <v>47128213</v>
      </c>
      <c r="I1114" t="s">
        <v>2456</v>
      </c>
      <c r="J1114" t="s">
        <v>2457</v>
      </c>
      <c r="K1114" t="s">
        <v>530</v>
      </c>
      <c r="N1114">
        <v>0</v>
      </c>
      <c r="O1114">
        <v>0</v>
      </c>
      <c r="P1114" t="str">
        <f t="shared" si="17"/>
        <v>N</v>
      </c>
      <c r="Q1114" t="s">
        <v>6844</v>
      </c>
    </row>
    <row r="1115" spans="1:17" x14ac:dyDescent="0.25">
      <c r="A1115" t="s">
        <v>2561</v>
      </c>
      <c r="B1115" t="s">
        <v>2444</v>
      </c>
      <c r="C1115">
        <v>2027</v>
      </c>
      <c r="D1115" t="s">
        <v>536</v>
      </c>
      <c r="E1115" t="s">
        <v>831</v>
      </c>
      <c r="F1115" s="32">
        <v>46395</v>
      </c>
      <c r="G1115" t="s">
        <v>514</v>
      </c>
      <c r="H1115">
        <v>47128667</v>
      </c>
      <c r="I1115" t="s">
        <v>2450</v>
      </c>
      <c r="J1115" t="s">
        <v>2451</v>
      </c>
      <c r="K1115" t="s">
        <v>530</v>
      </c>
      <c r="N1115">
        <v>0</v>
      </c>
      <c r="O1115">
        <v>0</v>
      </c>
      <c r="P1115" t="str">
        <f t="shared" si="17"/>
        <v>N</v>
      </c>
      <c r="Q1115" t="s">
        <v>6845</v>
      </c>
    </row>
    <row r="1116" spans="1:17" x14ac:dyDescent="0.25">
      <c r="A1116" t="s">
        <v>2562</v>
      </c>
      <c r="B1116" t="s">
        <v>2444</v>
      </c>
      <c r="C1116">
        <v>2027</v>
      </c>
      <c r="D1116" t="s">
        <v>536</v>
      </c>
      <c r="E1116" t="s">
        <v>831</v>
      </c>
      <c r="F1116" s="32">
        <v>46395</v>
      </c>
      <c r="G1116" t="s">
        <v>514</v>
      </c>
      <c r="H1116">
        <v>47128179</v>
      </c>
      <c r="I1116" t="s">
        <v>2477</v>
      </c>
      <c r="J1116" t="s">
        <v>2478</v>
      </c>
      <c r="K1116" t="s">
        <v>530</v>
      </c>
      <c r="N1116">
        <v>0</v>
      </c>
      <c r="O1116">
        <v>0</v>
      </c>
      <c r="P1116" t="str">
        <f t="shared" si="17"/>
        <v>N</v>
      </c>
      <c r="Q1116" t="s">
        <v>6846</v>
      </c>
    </row>
    <row r="1117" spans="1:17" x14ac:dyDescent="0.25">
      <c r="A1117" t="s">
        <v>2563</v>
      </c>
      <c r="B1117" t="s">
        <v>2444</v>
      </c>
      <c r="C1117">
        <v>2027</v>
      </c>
      <c r="D1117" t="s">
        <v>536</v>
      </c>
      <c r="E1117" t="s">
        <v>831</v>
      </c>
      <c r="F1117" s="32">
        <v>46395</v>
      </c>
      <c r="G1117" t="s">
        <v>514</v>
      </c>
      <c r="H1117">
        <v>47128655</v>
      </c>
      <c r="I1117" t="s">
        <v>2474</v>
      </c>
      <c r="J1117" t="s">
        <v>2475</v>
      </c>
      <c r="K1117" t="s">
        <v>530</v>
      </c>
      <c r="N1117">
        <v>0</v>
      </c>
      <c r="O1117">
        <v>0</v>
      </c>
      <c r="P1117" t="str">
        <f t="shared" si="17"/>
        <v>N</v>
      </c>
      <c r="Q1117" t="s">
        <v>6847</v>
      </c>
    </row>
    <row r="1118" spans="1:17" x14ac:dyDescent="0.25">
      <c r="A1118" t="s">
        <v>2564</v>
      </c>
      <c r="B1118" t="s">
        <v>2444</v>
      </c>
      <c r="C1118">
        <v>2027</v>
      </c>
      <c r="D1118" t="s">
        <v>536</v>
      </c>
      <c r="E1118" t="s">
        <v>831</v>
      </c>
      <c r="F1118" s="32">
        <v>46395</v>
      </c>
      <c r="G1118" t="s">
        <v>514</v>
      </c>
      <c r="H1118">
        <v>47129222</v>
      </c>
      <c r="I1118" t="s">
        <v>2459</v>
      </c>
      <c r="J1118" t="s">
        <v>2460</v>
      </c>
      <c r="K1118" t="s">
        <v>530</v>
      </c>
      <c r="N1118">
        <v>0</v>
      </c>
      <c r="O1118">
        <v>0</v>
      </c>
      <c r="P1118" t="str">
        <f t="shared" si="17"/>
        <v>N</v>
      </c>
      <c r="Q1118" t="s">
        <v>6848</v>
      </c>
    </row>
    <row r="1119" spans="1:17" x14ac:dyDescent="0.25">
      <c r="A1119" t="s">
        <v>2565</v>
      </c>
      <c r="B1119" t="s">
        <v>2444</v>
      </c>
      <c r="C1119">
        <v>2027</v>
      </c>
      <c r="D1119" t="s">
        <v>536</v>
      </c>
      <c r="E1119" t="s">
        <v>831</v>
      </c>
      <c r="F1119" s="32">
        <v>46395</v>
      </c>
      <c r="G1119" t="s">
        <v>514</v>
      </c>
      <c r="H1119">
        <v>47132096</v>
      </c>
      <c r="I1119" t="s">
        <v>2468</v>
      </c>
      <c r="J1119" t="s">
        <v>2469</v>
      </c>
      <c r="K1119" t="s">
        <v>530</v>
      </c>
      <c r="N1119">
        <v>0</v>
      </c>
      <c r="O1119">
        <v>0</v>
      </c>
      <c r="P1119" t="str">
        <f t="shared" si="17"/>
        <v>N</v>
      </c>
      <c r="Q1119" t="s">
        <v>6849</v>
      </c>
    </row>
    <row r="1120" spans="1:17" x14ac:dyDescent="0.25">
      <c r="A1120" t="s">
        <v>2566</v>
      </c>
      <c r="B1120" t="s">
        <v>2444</v>
      </c>
      <c r="C1120">
        <v>2027</v>
      </c>
      <c r="D1120" t="s">
        <v>536</v>
      </c>
      <c r="E1120" t="s">
        <v>831</v>
      </c>
      <c r="F1120" s="32">
        <v>46395</v>
      </c>
      <c r="G1120" t="s">
        <v>514</v>
      </c>
      <c r="H1120">
        <v>47128561</v>
      </c>
      <c r="I1120" t="s">
        <v>2462</v>
      </c>
      <c r="J1120" t="s">
        <v>2463</v>
      </c>
      <c r="K1120" t="s">
        <v>530</v>
      </c>
      <c r="N1120">
        <v>0</v>
      </c>
      <c r="O1120">
        <v>0</v>
      </c>
      <c r="P1120" t="str">
        <f t="shared" si="17"/>
        <v>N</v>
      </c>
      <c r="Q1120" t="s">
        <v>6850</v>
      </c>
    </row>
    <row r="1121" spans="1:17" x14ac:dyDescent="0.25">
      <c r="A1121" t="s">
        <v>2567</v>
      </c>
      <c r="B1121" t="s">
        <v>2444</v>
      </c>
      <c r="C1121">
        <v>2027</v>
      </c>
      <c r="D1121" t="s">
        <v>536</v>
      </c>
      <c r="E1121" t="s">
        <v>831</v>
      </c>
      <c r="F1121" s="32">
        <v>46395</v>
      </c>
      <c r="G1121" t="s">
        <v>514</v>
      </c>
      <c r="H1121">
        <v>47129274</v>
      </c>
      <c r="I1121" t="s">
        <v>2486</v>
      </c>
      <c r="J1121" t="s">
        <v>2487</v>
      </c>
      <c r="K1121" t="s">
        <v>530</v>
      </c>
      <c r="N1121">
        <v>0</v>
      </c>
      <c r="O1121">
        <v>0</v>
      </c>
      <c r="P1121" t="str">
        <f t="shared" si="17"/>
        <v>N</v>
      </c>
      <c r="Q1121" t="s">
        <v>6851</v>
      </c>
    </row>
    <row r="1122" spans="1:17" x14ac:dyDescent="0.25">
      <c r="A1122" t="s">
        <v>2568</v>
      </c>
      <c r="B1122" t="s">
        <v>2444</v>
      </c>
      <c r="C1122">
        <v>2027</v>
      </c>
      <c r="D1122" t="s">
        <v>536</v>
      </c>
      <c r="E1122" t="s">
        <v>831</v>
      </c>
      <c r="F1122" s="32">
        <v>46395</v>
      </c>
      <c r="G1122" t="s">
        <v>514</v>
      </c>
      <c r="H1122">
        <v>47129262</v>
      </c>
      <c r="I1122" t="s">
        <v>2453</v>
      </c>
      <c r="J1122" t="s">
        <v>2454</v>
      </c>
      <c r="K1122" t="s">
        <v>530</v>
      </c>
      <c r="N1122">
        <v>0</v>
      </c>
      <c r="O1122">
        <v>0</v>
      </c>
      <c r="P1122" t="str">
        <f t="shared" si="17"/>
        <v>N</v>
      </c>
      <c r="Q1122" t="s">
        <v>6852</v>
      </c>
    </row>
    <row r="1123" spans="1:17" x14ac:dyDescent="0.25">
      <c r="A1123" t="s">
        <v>2569</v>
      </c>
      <c r="B1123" t="s">
        <v>2444</v>
      </c>
      <c r="C1123">
        <v>2027</v>
      </c>
      <c r="D1123" t="s">
        <v>536</v>
      </c>
      <c r="E1123" t="s">
        <v>831</v>
      </c>
      <c r="F1123" s="32">
        <v>46395</v>
      </c>
      <c r="G1123" t="s">
        <v>514</v>
      </c>
      <c r="H1123">
        <v>47129558</v>
      </c>
      <c r="I1123" t="s">
        <v>2480</v>
      </c>
      <c r="J1123" t="s">
        <v>2481</v>
      </c>
      <c r="K1123" t="s">
        <v>530</v>
      </c>
      <c r="N1123">
        <v>0</v>
      </c>
      <c r="O1123">
        <v>0</v>
      </c>
      <c r="P1123" t="str">
        <f t="shared" si="17"/>
        <v>N</v>
      </c>
      <c r="Q1123" t="s">
        <v>6853</v>
      </c>
    </row>
    <row r="1124" spans="1:17" x14ac:dyDescent="0.25">
      <c r="A1124" t="s">
        <v>2570</v>
      </c>
      <c r="B1124" t="s">
        <v>2444</v>
      </c>
      <c r="C1124">
        <v>2027</v>
      </c>
      <c r="D1124" t="s">
        <v>536</v>
      </c>
      <c r="E1124" t="s">
        <v>831</v>
      </c>
      <c r="F1124" s="32">
        <v>46395</v>
      </c>
      <c r="G1124" t="s">
        <v>514</v>
      </c>
      <c r="H1124">
        <v>47129727</v>
      </c>
      <c r="I1124" t="s">
        <v>2465</v>
      </c>
      <c r="J1124" t="s">
        <v>2466</v>
      </c>
      <c r="K1124" t="s">
        <v>530</v>
      </c>
      <c r="N1124">
        <v>0</v>
      </c>
      <c r="O1124">
        <v>0</v>
      </c>
      <c r="P1124" t="str">
        <f t="shared" si="17"/>
        <v>N</v>
      </c>
      <c r="Q1124" t="s">
        <v>6854</v>
      </c>
    </row>
    <row r="1125" spans="1:17" x14ac:dyDescent="0.25">
      <c r="A1125" t="s">
        <v>2571</v>
      </c>
      <c r="B1125" t="s">
        <v>2444</v>
      </c>
      <c r="C1125">
        <v>2027</v>
      </c>
      <c r="D1125" t="s">
        <v>536</v>
      </c>
      <c r="E1125" t="s">
        <v>831</v>
      </c>
      <c r="F1125" s="32">
        <v>46395</v>
      </c>
      <c r="G1125" t="s">
        <v>514</v>
      </c>
      <c r="H1125">
        <v>47129273</v>
      </c>
      <c r="I1125" t="s">
        <v>2483</v>
      </c>
      <c r="J1125" t="s">
        <v>2484</v>
      </c>
      <c r="K1125" t="s">
        <v>530</v>
      </c>
      <c r="N1125">
        <v>0</v>
      </c>
      <c r="O1125">
        <v>0</v>
      </c>
      <c r="P1125" t="str">
        <f t="shared" si="17"/>
        <v>N</v>
      </c>
      <c r="Q1125" t="s">
        <v>6855</v>
      </c>
    </row>
    <row r="1126" spans="1:17" x14ac:dyDescent="0.25">
      <c r="A1126" t="s">
        <v>2572</v>
      </c>
      <c r="B1126" t="s">
        <v>2444</v>
      </c>
      <c r="C1126">
        <v>2027</v>
      </c>
      <c r="D1126" t="s">
        <v>536</v>
      </c>
      <c r="E1126" t="s">
        <v>831</v>
      </c>
      <c r="F1126" s="32">
        <v>46395</v>
      </c>
      <c r="G1126" t="s">
        <v>514</v>
      </c>
      <c r="H1126">
        <v>47128587</v>
      </c>
      <c r="I1126" t="s">
        <v>2489</v>
      </c>
      <c r="J1126" t="s">
        <v>2490</v>
      </c>
      <c r="K1126" t="s">
        <v>530</v>
      </c>
      <c r="N1126">
        <v>0</v>
      </c>
      <c r="O1126">
        <v>0</v>
      </c>
      <c r="P1126" t="str">
        <f t="shared" si="17"/>
        <v>N</v>
      </c>
      <c r="Q1126" t="s">
        <v>6856</v>
      </c>
    </row>
    <row r="1127" spans="1:17" x14ac:dyDescent="0.25">
      <c r="A1127" t="s">
        <v>2573</v>
      </c>
      <c r="B1127" t="s">
        <v>2444</v>
      </c>
      <c r="C1127">
        <v>2027</v>
      </c>
      <c r="D1127" t="s">
        <v>536</v>
      </c>
      <c r="E1127" t="s">
        <v>831</v>
      </c>
      <c r="F1127" s="32">
        <v>46395</v>
      </c>
      <c r="G1127" t="s">
        <v>514</v>
      </c>
      <c r="H1127">
        <v>47128247</v>
      </c>
      <c r="I1127" t="s">
        <v>2492</v>
      </c>
      <c r="J1127" t="s">
        <v>2493</v>
      </c>
      <c r="K1127" t="s">
        <v>530</v>
      </c>
      <c r="N1127">
        <v>0</v>
      </c>
      <c r="O1127">
        <v>0</v>
      </c>
      <c r="P1127" t="str">
        <f t="shared" si="17"/>
        <v>N</v>
      </c>
      <c r="Q1127" t="s">
        <v>6857</v>
      </c>
    </row>
    <row r="1128" spans="1:17" x14ac:dyDescent="0.25">
      <c r="A1128" t="s">
        <v>2864</v>
      </c>
      <c r="B1128" t="s">
        <v>2783</v>
      </c>
      <c r="C1128">
        <v>2027</v>
      </c>
      <c r="D1128" t="s">
        <v>536</v>
      </c>
      <c r="E1128" t="s">
        <v>831</v>
      </c>
      <c r="F1128" s="32">
        <v>46395</v>
      </c>
      <c r="G1128" t="s">
        <v>514</v>
      </c>
      <c r="H1128">
        <v>47128006</v>
      </c>
      <c r="I1128" t="s">
        <v>2447</v>
      </c>
      <c r="J1128" t="s">
        <v>2448</v>
      </c>
      <c r="K1128" t="s">
        <v>530</v>
      </c>
      <c r="N1128">
        <v>0</v>
      </c>
      <c r="O1128">
        <v>0</v>
      </c>
      <c r="P1128" t="str">
        <f t="shared" si="17"/>
        <v>N</v>
      </c>
      <c r="Q1128" t="s">
        <v>6858</v>
      </c>
    </row>
    <row r="1129" spans="1:17" x14ac:dyDescent="0.25">
      <c r="A1129" t="s">
        <v>2865</v>
      </c>
      <c r="B1129" t="s">
        <v>2783</v>
      </c>
      <c r="C1129">
        <v>2027</v>
      </c>
      <c r="D1129" t="s">
        <v>536</v>
      </c>
      <c r="E1129" t="s">
        <v>831</v>
      </c>
      <c r="F1129" s="32">
        <v>46395</v>
      </c>
      <c r="G1129" t="s">
        <v>514</v>
      </c>
      <c r="H1129">
        <v>47128300</v>
      </c>
      <c r="I1129" t="s">
        <v>2471</v>
      </c>
      <c r="J1129" t="s">
        <v>2472</v>
      </c>
      <c r="K1129" t="s">
        <v>530</v>
      </c>
      <c r="N1129">
        <v>60</v>
      </c>
      <c r="O1129">
        <v>60</v>
      </c>
      <c r="P1129" t="str">
        <f t="shared" si="17"/>
        <v>N</v>
      </c>
      <c r="Q1129" t="s">
        <v>6859</v>
      </c>
    </row>
    <row r="1130" spans="1:17" x14ac:dyDescent="0.25">
      <c r="A1130" t="s">
        <v>2866</v>
      </c>
      <c r="B1130" t="s">
        <v>2783</v>
      </c>
      <c r="C1130">
        <v>2027</v>
      </c>
      <c r="D1130" t="s">
        <v>536</v>
      </c>
      <c r="E1130" t="s">
        <v>831</v>
      </c>
      <c r="F1130" s="32">
        <v>46395</v>
      </c>
      <c r="G1130" t="s">
        <v>514</v>
      </c>
      <c r="H1130">
        <v>47128213</v>
      </c>
      <c r="I1130" t="s">
        <v>2456</v>
      </c>
      <c r="J1130" t="s">
        <v>2457</v>
      </c>
      <c r="K1130" t="s">
        <v>530</v>
      </c>
      <c r="N1130">
        <v>0</v>
      </c>
      <c r="O1130">
        <v>0</v>
      </c>
      <c r="P1130" t="str">
        <f t="shared" si="17"/>
        <v>N</v>
      </c>
      <c r="Q1130" t="s">
        <v>6860</v>
      </c>
    </row>
    <row r="1131" spans="1:17" x14ac:dyDescent="0.25">
      <c r="A1131" t="s">
        <v>2867</v>
      </c>
      <c r="B1131" t="s">
        <v>2783</v>
      </c>
      <c r="C1131">
        <v>2027</v>
      </c>
      <c r="D1131" t="s">
        <v>536</v>
      </c>
      <c r="E1131" t="s">
        <v>831</v>
      </c>
      <c r="F1131" s="32">
        <v>46395</v>
      </c>
      <c r="G1131" t="s">
        <v>514</v>
      </c>
      <c r="H1131">
        <v>47128667</v>
      </c>
      <c r="I1131" t="s">
        <v>2450</v>
      </c>
      <c r="J1131" t="s">
        <v>2451</v>
      </c>
      <c r="K1131" t="s">
        <v>530</v>
      </c>
      <c r="N1131">
        <v>0</v>
      </c>
      <c r="O1131">
        <v>0</v>
      </c>
      <c r="P1131" t="str">
        <f t="shared" si="17"/>
        <v>N</v>
      </c>
      <c r="Q1131" t="s">
        <v>6861</v>
      </c>
    </row>
    <row r="1132" spans="1:17" x14ac:dyDescent="0.25">
      <c r="A1132" t="s">
        <v>2868</v>
      </c>
      <c r="B1132" t="s">
        <v>2783</v>
      </c>
      <c r="C1132">
        <v>2027</v>
      </c>
      <c r="D1132" t="s">
        <v>536</v>
      </c>
      <c r="E1132" t="s">
        <v>831</v>
      </c>
      <c r="F1132" s="32">
        <v>46395</v>
      </c>
      <c r="G1132" t="s">
        <v>514</v>
      </c>
      <c r="H1132">
        <v>47128179</v>
      </c>
      <c r="I1132" t="s">
        <v>2477</v>
      </c>
      <c r="J1132" t="s">
        <v>2478</v>
      </c>
      <c r="K1132" t="s">
        <v>530</v>
      </c>
      <c r="N1132">
        <v>0</v>
      </c>
      <c r="O1132">
        <v>0</v>
      </c>
      <c r="P1132" t="str">
        <f t="shared" si="17"/>
        <v>N</v>
      </c>
      <c r="Q1132" t="s">
        <v>6862</v>
      </c>
    </row>
    <row r="1133" spans="1:17" x14ac:dyDescent="0.25">
      <c r="A1133" t="s">
        <v>2869</v>
      </c>
      <c r="B1133" t="s">
        <v>2783</v>
      </c>
      <c r="C1133">
        <v>2027</v>
      </c>
      <c r="D1133" t="s">
        <v>536</v>
      </c>
      <c r="E1133" t="s">
        <v>831</v>
      </c>
      <c r="F1133" s="32">
        <v>46395</v>
      </c>
      <c r="G1133" t="s">
        <v>514</v>
      </c>
      <c r="H1133">
        <v>47128655</v>
      </c>
      <c r="I1133" t="s">
        <v>2474</v>
      </c>
      <c r="J1133" t="s">
        <v>2475</v>
      </c>
      <c r="K1133" t="s">
        <v>530</v>
      </c>
      <c r="N1133">
        <v>0</v>
      </c>
      <c r="O1133">
        <v>0</v>
      </c>
      <c r="P1133" t="str">
        <f t="shared" si="17"/>
        <v>N</v>
      </c>
      <c r="Q1133" t="s">
        <v>6863</v>
      </c>
    </row>
    <row r="1134" spans="1:17" x14ac:dyDescent="0.25">
      <c r="A1134" t="s">
        <v>2870</v>
      </c>
      <c r="B1134" t="s">
        <v>2783</v>
      </c>
      <c r="C1134">
        <v>2027</v>
      </c>
      <c r="D1134" t="s">
        <v>536</v>
      </c>
      <c r="E1134" t="s">
        <v>831</v>
      </c>
      <c r="F1134" s="32">
        <v>46395</v>
      </c>
      <c r="G1134" t="s">
        <v>514</v>
      </c>
      <c r="H1134">
        <v>47132096</v>
      </c>
      <c r="I1134" t="s">
        <v>2468</v>
      </c>
      <c r="J1134" t="s">
        <v>2469</v>
      </c>
      <c r="K1134" t="s">
        <v>530</v>
      </c>
      <c r="N1134">
        <v>0</v>
      </c>
      <c r="O1134">
        <v>0</v>
      </c>
      <c r="P1134" t="str">
        <f t="shared" si="17"/>
        <v>N</v>
      </c>
      <c r="Q1134" t="s">
        <v>6864</v>
      </c>
    </row>
    <row r="1135" spans="1:17" x14ac:dyDescent="0.25">
      <c r="A1135" t="s">
        <v>2871</v>
      </c>
      <c r="B1135" t="s">
        <v>2783</v>
      </c>
      <c r="C1135">
        <v>2027</v>
      </c>
      <c r="D1135" t="s">
        <v>536</v>
      </c>
      <c r="E1135" t="s">
        <v>831</v>
      </c>
      <c r="F1135" s="32">
        <v>46395</v>
      </c>
      <c r="G1135" t="s">
        <v>514</v>
      </c>
      <c r="H1135">
        <v>47129222</v>
      </c>
      <c r="I1135" t="s">
        <v>2459</v>
      </c>
      <c r="J1135" t="s">
        <v>2460</v>
      </c>
      <c r="K1135" t="s">
        <v>530</v>
      </c>
      <c r="N1135">
        <v>0</v>
      </c>
      <c r="O1135">
        <v>0</v>
      </c>
      <c r="P1135" t="str">
        <f t="shared" si="17"/>
        <v>N</v>
      </c>
      <c r="Q1135" t="s">
        <v>6865</v>
      </c>
    </row>
    <row r="1136" spans="1:17" x14ac:dyDescent="0.25">
      <c r="A1136" t="s">
        <v>2872</v>
      </c>
      <c r="B1136" t="s">
        <v>2783</v>
      </c>
      <c r="C1136">
        <v>2027</v>
      </c>
      <c r="D1136" t="s">
        <v>536</v>
      </c>
      <c r="E1136" t="s">
        <v>831</v>
      </c>
      <c r="F1136" s="32">
        <v>46395</v>
      </c>
      <c r="G1136" t="s">
        <v>514</v>
      </c>
      <c r="H1136">
        <v>47128561</v>
      </c>
      <c r="I1136" t="s">
        <v>2462</v>
      </c>
      <c r="J1136" t="s">
        <v>2463</v>
      </c>
      <c r="K1136" t="s">
        <v>530</v>
      </c>
      <c r="N1136">
        <v>0</v>
      </c>
      <c r="O1136">
        <v>0</v>
      </c>
      <c r="P1136" t="str">
        <f t="shared" si="17"/>
        <v>N</v>
      </c>
      <c r="Q1136" t="s">
        <v>6866</v>
      </c>
    </row>
    <row r="1137" spans="1:17" x14ac:dyDescent="0.25">
      <c r="A1137" t="s">
        <v>2873</v>
      </c>
      <c r="B1137" t="s">
        <v>2783</v>
      </c>
      <c r="C1137">
        <v>2027</v>
      </c>
      <c r="D1137" t="s">
        <v>536</v>
      </c>
      <c r="E1137" t="s">
        <v>831</v>
      </c>
      <c r="F1137" s="32">
        <v>46395</v>
      </c>
      <c r="G1137" t="s">
        <v>514</v>
      </c>
      <c r="H1137">
        <v>47129274</v>
      </c>
      <c r="I1137" t="s">
        <v>2486</v>
      </c>
      <c r="J1137" t="s">
        <v>2487</v>
      </c>
      <c r="K1137" t="s">
        <v>530</v>
      </c>
      <c r="N1137">
        <v>0</v>
      </c>
      <c r="O1137">
        <v>0</v>
      </c>
      <c r="P1137" t="str">
        <f t="shared" si="17"/>
        <v>N</v>
      </c>
      <c r="Q1137" t="s">
        <v>6867</v>
      </c>
    </row>
    <row r="1138" spans="1:17" x14ac:dyDescent="0.25">
      <c r="A1138" t="s">
        <v>2874</v>
      </c>
      <c r="B1138" t="s">
        <v>2783</v>
      </c>
      <c r="C1138">
        <v>2027</v>
      </c>
      <c r="D1138" t="s">
        <v>536</v>
      </c>
      <c r="E1138" t="s">
        <v>831</v>
      </c>
      <c r="F1138" s="32">
        <v>46395</v>
      </c>
      <c r="G1138" t="s">
        <v>514</v>
      </c>
      <c r="H1138">
        <v>47129262</v>
      </c>
      <c r="I1138" t="s">
        <v>2453</v>
      </c>
      <c r="J1138" t="s">
        <v>2454</v>
      </c>
      <c r="K1138" t="s">
        <v>530</v>
      </c>
      <c r="N1138">
        <v>0</v>
      </c>
      <c r="O1138">
        <v>0</v>
      </c>
      <c r="P1138" t="str">
        <f t="shared" si="17"/>
        <v>N</v>
      </c>
      <c r="Q1138" t="s">
        <v>6868</v>
      </c>
    </row>
    <row r="1139" spans="1:17" x14ac:dyDescent="0.25">
      <c r="A1139" t="s">
        <v>2875</v>
      </c>
      <c r="B1139" t="s">
        <v>2783</v>
      </c>
      <c r="C1139">
        <v>2027</v>
      </c>
      <c r="D1139" t="s">
        <v>536</v>
      </c>
      <c r="E1139" t="s">
        <v>831</v>
      </c>
      <c r="F1139" s="32">
        <v>46395</v>
      </c>
      <c r="G1139" t="s">
        <v>514</v>
      </c>
      <c r="H1139">
        <v>47129558</v>
      </c>
      <c r="I1139" t="s">
        <v>2480</v>
      </c>
      <c r="J1139" t="s">
        <v>2481</v>
      </c>
      <c r="K1139" t="s">
        <v>530</v>
      </c>
      <c r="N1139">
        <v>0</v>
      </c>
      <c r="O1139">
        <v>0</v>
      </c>
      <c r="P1139" t="str">
        <f t="shared" si="17"/>
        <v>N</v>
      </c>
      <c r="Q1139" t="s">
        <v>6869</v>
      </c>
    </row>
    <row r="1140" spans="1:17" x14ac:dyDescent="0.25">
      <c r="A1140" t="s">
        <v>2876</v>
      </c>
      <c r="B1140" t="s">
        <v>2783</v>
      </c>
      <c r="C1140">
        <v>2027</v>
      </c>
      <c r="D1140" t="s">
        <v>536</v>
      </c>
      <c r="E1140" t="s">
        <v>831</v>
      </c>
      <c r="F1140" s="32">
        <v>46395</v>
      </c>
      <c r="G1140" t="s">
        <v>514</v>
      </c>
      <c r="H1140">
        <v>47129727</v>
      </c>
      <c r="I1140" t="s">
        <v>2465</v>
      </c>
      <c r="J1140" t="s">
        <v>2466</v>
      </c>
      <c r="K1140" t="s">
        <v>530</v>
      </c>
      <c r="N1140">
        <v>0</v>
      </c>
      <c r="O1140">
        <v>0</v>
      </c>
      <c r="P1140" t="str">
        <f t="shared" si="17"/>
        <v>N</v>
      </c>
      <c r="Q1140" t="s">
        <v>6870</v>
      </c>
    </row>
    <row r="1141" spans="1:17" x14ac:dyDescent="0.25">
      <c r="A1141" t="s">
        <v>2877</v>
      </c>
      <c r="B1141" t="s">
        <v>2783</v>
      </c>
      <c r="C1141">
        <v>2027</v>
      </c>
      <c r="D1141" t="s">
        <v>536</v>
      </c>
      <c r="E1141" t="s">
        <v>831</v>
      </c>
      <c r="F1141" s="32">
        <v>46395</v>
      </c>
      <c r="G1141" t="s">
        <v>514</v>
      </c>
      <c r="H1141">
        <v>47129273</v>
      </c>
      <c r="I1141" t="s">
        <v>2483</v>
      </c>
      <c r="J1141" t="s">
        <v>2484</v>
      </c>
      <c r="K1141" t="s">
        <v>530</v>
      </c>
      <c r="N1141">
        <v>0</v>
      </c>
      <c r="O1141">
        <v>0</v>
      </c>
      <c r="P1141" t="str">
        <f t="shared" si="17"/>
        <v>N</v>
      </c>
      <c r="Q1141" t="s">
        <v>6871</v>
      </c>
    </row>
    <row r="1142" spans="1:17" x14ac:dyDescent="0.25">
      <c r="A1142" t="s">
        <v>2878</v>
      </c>
      <c r="B1142" t="s">
        <v>2783</v>
      </c>
      <c r="C1142">
        <v>2027</v>
      </c>
      <c r="D1142" t="s">
        <v>536</v>
      </c>
      <c r="E1142" t="s">
        <v>831</v>
      </c>
      <c r="F1142" s="32">
        <v>46395</v>
      </c>
      <c r="G1142" t="s">
        <v>514</v>
      </c>
      <c r="H1142">
        <v>47128587</v>
      </c>
      <c r="I1142" t="s">
        <v>2489</v>
      </c>
      <c r="J1142" t="s">
        <v>2490</v>
      </c>
      <c r="K1142" t="s">
        <v>530</v>
      </c>
      <c r="N1142">
        <v>0</v>
      </c>
      <c r="O1142">
        <v>0</v>
      </c>
      <c r="P1142" t="str">
        <f t="shared" si="17"/>
        <v>N</v>
      </c>
      <c r="Q1142" t="s">
        <v>6872</v>
      </c>
    </row>
    <row r="1143" spans="1:17" x14ac:dyDescent="0.25">
      <c r="A1143" t="s">
        <v>2879</v>
      </c>
      <c r="B1143" t="s">
        <v>2783</v>
      </c>
      <c r="C1143">
        <v>2027</v>
      </c>
      <c r="D1143" t="s">
        <v>536</v>
      </c>
      <c r="E1143" t="s">
        <v>831</v>
      </c>
      <c r="F1143" s="32">
        <v>46395</v>
      </c>
      <c r="G1143" t="s">
        <v>514</v>
      </c>
      <c r="H1143">
        <v>47128247</v>
      </c>
      <c r="I1143" t="s">
        <v>2492</v>
      </c>
      <c r="J1143" t="s">
        <v>2493</v>
      </c>
      <c r="K1143" t="s">
        <v>530</v>
      </c>
      <c r="N1143">
        <v>0</v>
      </c>
      <c r="O1143">
        <v>0</v>
      </c>
      <c r="P1143" t="str">
        <f t="shared" si="17"/>
        <v>N</v>
      </c>
      <c r="Q1143" t="s">
        <v>6873</v>
      </c>
    </row>
    <row r="1144" spans="1:17" x14ac:dyDescent="0.25">
      <c r="A1144" t="s">
        <v>3258</v>
      </c>
      <c r="B1144" t="s">
        <v>1080</v>
      </c>
      <c r="C1144">
        <v>2027</v>
      </c>
      <c r="D1144" t="s">
        <v>536</v>
      </c>
      <c r="E1144" t="s">
        <v>831</v>
      </c>
      <c r="F1144" s="32">
        <v>46395</v>
      </c>
      <c r="G1144" t="s">
        <v>514</v>
      </c>
      <c r="H1144">
        <v>47128787</v>
      </c>
      <c r="I1144" t="s">
        <v>1453</v>
      </c>
      <c r="J1144" t="s">
        <v>1452</v>
      </c>
      <c r="K1144" t="s">
        <v>530</v>
      </c>
      <c r="N1144">
        <v>0</v>
      </c>
      <c r="O1144">
        <v>0</v>
      </c>
      <c r="P1144" t="str">
        <f t="shared" si="17"/>
        <v>N</v>
      </c>
      <c r="Q1144" t="s">
        <v>6874</v>
      </c>
    </row>
    <row r="1145" spans="1:17" x14ac:dyDescent="0.25">
      <c r="A1145" t="s">
        <v>3259</v>
      </c>
      <c r="B1145" t="s">
        <v>1080</v>
      </c>
      <c r="C1145">
        <v>2027</v>
      </c>
      <c r="D1145" t="s">
        <v>536</v>
      </c>
      <c r="E1145" t="s">
        <v>831</v>
      </c>
      <c r="F1145" s="32">
        <v>46395</v>
      </c>
      <c r="G1145" t="s">
        <v>514</v>
      </c>
      <c r="H1145">
        <v>47146464</v>
      </c>
      <c r="I1145" t="s">
        <v>1438</v>
      </c>
      <c r="J1145" t="s">
        <v>1437</v>
      </c>
      <c r="K1145" t="s">
        <v>530</v>
      </c>
      <c r="N1145">
        <v>0</v>
      </c>
      <c r="O1145">
        <v>0</v>
      </c>
      <c r="P1145" t="str">
        <f t="shared" si="17"/>
        <v>N</v>
      </c>
      <c r="Q1145" t="s">
        <v>6875</v>
      </c>
    </row>
    <row r="1146" spans="1:17" x14ac:dyDescent="0.25">
      <c r="A1146" t="s">
        <v>3260</v>
      </c>
      <c r="B1146" t="s">
        <v>1080</v>
      </c>
      <c r="C1146">
        <v>2027</v>
      </c>
      <c r="D1146" t="s">
        <v>536</v>
      </c>
      <c r="E1146" t="s">
        <v>831</v>
      </c>
      <c r="F1146" s="32">
        <v>46395</v>
      </c>
      <c r="G1146" t="s">
        <v>514</v>
      </c>
      <c r="H1146">
        <v>47146463</v>
      </c>
      <c r="I1146" t="s">
        <v>1441</v>
      </c>
      <c r="J1146" t="s">
        <v>1440</v>
      </c>
      <c r="K1146" t="s">
        <v>530</v>
      </c>
      <c r="N1146">
        <v>80</v>
      </c>
      <c r="O1146">
        <v>80</v>
      </c>
      <c r="P1146" t="str">
        <f t="shared" si="17"/>
        <v>N</v>
      </c>
      <c r="Q1146" t="s">
        <v>6876</v>
      </c>
    </row>
    <row r="1147" spans="1:17" x14ac:dyDescent="0.25">
      <c r="A1147" t="s">
        <v>3261</v>
      </c>
      <c r="B1147" t="s">
        <v>1080</v>
      </c>
      <c r="C1147">
        <v>2027</v>
      </c>
      <c r="D1147" t="s">
        <v>536</v>
      </c>
      <c r="E1147" t="s">
        <v>831</v>
      </c>
      <c r="F1147" s="32">
        <v>46395</v>
      </c>
      <c r="G1147" t="s">
        <v>514</v>
      </c>
      <c r="H1147">
        <v>47128729</v>
      </c>
      <c r="I1147" t="s">
        <v>1149</v>
      </c>
      <c r="J1147" t="s">
        <v>1148</v>
      </c>
      <c r="K1147" t="s">
        <v>530</v>
      </c>
      <c r="N1147">
        <v>0</v>
      </c>
      <c r="O1147">
        <v>0</v>
      </c>
      <c r="P1147" t="str">
        <f t="shared" si="17"/>
        <v>N</v>
      </c>
      <c r="Q1147" t="s">
        <v>6877</v>
      </c>
    </row>
    <row r="1148" spans="1:17" x14ac:dyDescent="0.25">
      <c r="A1148" t="s">
        <v>3262</v>
      </c>
      <c r="B1148" t="s">
        <v>1080</v>
      </c>
      <c r="C1148">
        <v>2027</v>
      </c>
      <c r="D1148" t="s">
        <v>536</v>
      </c>
      <c r="E1148" t="s">
        <v>831</v>
      </c>
      <c r="F1148" s="32">
        <v>46395</v>
      </c>
      <c r="G1148" t="s">
        <v>514</v>
      </c>
      <c r="H1148">
        <v>47128413</v>
      </c>
      <c r="I1148" t="s">
        <v>1397</v>
      </c>
      <c r="J1148" t="s">
        <v>1396</v>
      </c>
      <c r="K1148" t="s">
        <v>530</v>
      </c>
      <c r="N1148">
        <v>0</v>
      </c>
      <c r="O1148">
        <v>0</v>
      </c>
      <c r="P1148" t="str">
        <f t="shared" si="17"/>
        <v>N</v>
      </c>
      <c r="Q1148" t="s">
        <v>6878</v>
      </c>
    </row>
    <row r="1149" spans="1:17" x14ac:dyDescent="0.25">
      <c r="A1149" t="s">
        <v>3263</v>
      </c>
      <c r="B1149" t="s">
        <v>1080</v>
      </c>
      <c r="C1149">
        <v>2027</v>
      </c>
      <c r="D1149" t="s">
        <v>536</v>
      </c>
      <c r="E1149" t="s">
        <v>831</v>
      </c>
      <c r="F1149" s="32">
        <v>46395</v>
      </c>
      <c r="G1149" t="s">
        <v>514</v>
      </c>
      <c r="H1149">
        <v>47128783</v>
      </c>
      <c r="I1149" t="s">
        <v>1280</v>
      </c>
      <c r="J1149" t="s">
        <v>1279</v>
      </c>
      <c r="K1149" t="s">
        <v>530</v>
      </c>
      <c r="N1149">
        <v>0</v>
      </c>
      <c r="O1149">
        <v>0</v>
      </c>
      <c r="P1149" t="str">
        <f t="shared" si="17"/>
        <v>N</v>
      </c>
      <c r="Q1149" t="s">
        <v>6879</v>
      </c>
    </row>
    <row r="1150" spans="1:17" x14ac:dyDescent="0.25">
      <c r="A1150" t="s">
        <v>3264</v>
      </c>
      <c r="B1150" t="s">
        <v>1080</v>
      </c>
      <c r="C1150">
        <v>2027</v>
      </c>
      <c r="D1150" t="s">
        <v>536</v>
      </c>
      <c r="E1150" t="s">
        <v>831</v>
      </c>
      <c r="F1150" s="32">
        <v>46395</v>
      </c>
      <c r="G1150" t="s">
        <v>514</v>
      </c>
      <c r="H1150">
        <v>47128944</v>
      </c>
      <c r="I1150" t="s">
        <v>1137</v>
      </c>
      <c r="J1150" t="s">
        <v>1136</v>
      </c>
      <c r="K1150" t="s">
        <v>530</v>
      </c>
      <c r="N1150">
        <v>0</v>
      </c>
      <c r="O1150">
        <v>0</v>
      </c>
      <c r="P1150" t="str">
        <f t="shared" si="17"/>
        <v>N</v>
      </c>
      <c r="Q1150" t="s">
        <v>6880</v>
      </c>
    </row>
    <row r="1151" spans="1:17" x14ac:dyDescent="0.25">
      <c r="A1151" t="s">
        <v>3265</v>
      </c>
      <c r="B1151" t="s">
        <v>1080</v>
      </c>
      <c r="C1151">
        <v>2027</v>
      </c>
      <c r="D1151" t="s">
        <v>536</v>
      </c>
      <c r="E1151" t="s">
        <v>831</v>
      </c>
      <c r="F1151" s="32">
        <v>46395</v>
      </c>
      <c r="G1151" t="s">
        <v>514</v>
      </c>
      <c r="H1151">
        <v>47129547</v>
      </c>
      <c r="I1151" t="s">
        <v>1128</v>
      </c>
      <c r="J1151" t="s">
        <v>1352</v>
      </c>
      <c r="K1151" t="s">
        <v>530</v>
      </c>
      <c r="N1151">
        <v>0</v>
      </c>
      <c r="O1151">
        <v>0</v>
      </c>
      <c r="P1151" t="str">
        <f t="shared" si="17"/>
        <v>N</v>
      </c>
      <c r="Q1151" t="s">
        <v>6881</v>
      </c>
    </row>
    <row r="1152" spans="1:17" x14ac:dyDescent="0.25">
      <c r="A1152" t="s">
        <v>3266</v>
      </c>
      <c r="B1152" t="s">
        <v>1080</v>
      </c>
      <c r="C1152">
        <v>2027</v>
      </c>
      <c r="D1152" t="s">
        <v>536</v>
      </c>
      <c r="E1152" t="s">
        <v>831</v>
      </c>
      <c r="F1152" s="32">
        <v>46395</v>
      </c>
      <c r="G1152" t="s">
        <v>514</v>
      </c>
      <c r="H1152">
        <v>47128518</v>
      </c>
      <c r="I1152" t="s">
        <v>1232</v>
      </c>
      <c r="J1152" t="s">
        <v>1493</v>
      </c>
      <c r="K1152" t="s">
        <v>530</v>
      </c>
      <c r="N1152">
        <v>0</v>
      </c>
      <c r="O1152">
        <v>0</v>
      </c>
      <c r="P1152" t="str">
        <f t="shared" si="17"/>
        <v>N</v>
      </c>
      <c r="Q1152" t="s">
        <v>6882</v>
      </c>
    </row>
    <row r="1153" spans="1:17" x14ac:dyDescent="0.25">
      <c r="A1153" t="s">
        <v>3267</v>
      </c>
      <c r="B1153" t="s">
        <v>1080</v>
      </c>
      <c r="C1153">
        <v>2027</v>
      </c>
      <c r="D1153" t="s">
        <v>536</v>
      </c>
      <c r="E1153" t="s">
        <v>831</v>
      </c>
      <c r="F1153" s="32">
        <v>46395</v>
      </c>
      <c r="G1153" t="s">
        <v>514</v>
      </c>
      <c r="H1153">
        <v>47128977</v>
      </c>
      <c r="I1153" t="s">
        <v>1449</v>
      </c>
      <c r="J1153" t="s">
        <v>1448</v>
      </c>
      <c r="K1153" t="s">
        <v>530</v>
      </c>
      <c r="N1153">
        <v>0</v>
      </c>
      <c r="O1153">
        <v>0</v>
      </c>
      <c r="P1153" t="str">
        <f t="shared" si="17"/>
        <v>N</v>
      </c>
      <c r="Q1153" t="s">
        <v>6883</v>
      </c>
    </row>
    <row r="1154" spans="1:17" x14ac:dyDescent="0.25">
      <c r="A1154" t="s">
        <v>3268</v>
      </c>
      <c r="B1154" t="s">
        <v>1080</v>
      </c>
      <c r="C1154">
        <v>2027</v>
      </c>
      <c r="D1154" t="s">
        <v>536</v>
      </c>
      <c r="E1154" t="s">
        <v>831</v>
      </c>
      <c r="F1154" s="32">
        <v>46395</v>
      </c>
      <c r="G1154" t="s">
        <v>514</v>
      </c>
      <c r="H1154">
        <v>47128168</v>
      </c>
      <c r="I1154" t="s">
        <v>1100</v>
      </c>
      <c r="J1154" t="s">
        <v>1099</v>
      </c>
      <c r="K1154" t="s">
        <v>530</v>
      </c>
      <c r="N1154">
        <v>0</v>
      </c>
      <c r="O1154">
        <v>0</v>
      </c>
      <c r="P1154" t="str">
        <f t="shared" si="17"/>
        <v>N</v>
      </c>
      <c r="Q1154" t="s">
        <v>6884</v>
      </c>
    </row>
    <row r="1155" spans="1:17" x14ac:dyDescent="0.25">
      <c r="A1155" t="s">
        <v>3269</v>
      </c>
      <c r="B1155" t="s">
        <v>1080</v>
      </c>
      <c r="C1155">
        <v>2027</v>
      </c>
      <c r="D1155" t="s">
        <v>536</v>
      </c>
      <c r="E1155" t="s">
        <v>831</v>
      </c>
      <c r="F1155" s="32">
        <v>46395</v>
      </c>
      <c r="G1155" t="s">
        <v>514</v>
      </c>
      <c r="H1155">
        <v>47128687</v>
      </c>
      <c r="I1155" t="s">
        <v>1153</v>
      </c>
      <c r="J1155" t="s">
        <v>1152</v>
      </c>
      <c r="K1155" t="s">
        <v>530</v>
      </c>
      <c r="N1155">
        <v>0</v>
      </c>
      <c r="O1155">
        <v>0</v>
      </c>
      <c r="P1155" t="str">
        <f t="shared" ref="P1155:P1218" si="18">IF(N1155=O1155,"N","Y")</f>
        <v>N</v>
      </c>
      <c r="Q1155" t="s">
        <v>6885</v>
      </c>
    </row>
    <row r="1156" spans="1:17" x14ac:dyDescent="0.25">
      <c r="A1156" t="s">
        <v>3270</v>
      </c>
      <c r="B1156" t="s">
        <v>1080</v>
      </c>
      <c r="C1156">
        <v>2027</v>
      </c>
      <c r="D1156" t="s">
        <v>536</v>
      </c>
      <c r="E1156" t="s">
        <v>831</v>
      </c>
      <c r="F1156" s="32">
        <v>46395</v>
      </c>
      <c r="G1156" t="s">
        <v>514</v>
      </c>
      <c r="H1156">
        <v>47128585</v>
      </c>
      <c r="I1156" t="s">
        <v>1141</v>
      </c>
      <c r="J1156" t="s">
        <v>1140</v>
      </c>
      <c r="K1156" t="s">
        <v>530</v>
      </c>
      <c r="N1156">
        <v>0</v>
      </c>
      <c r="O1156">
        <v>0</v>
      </c>
      <c r="P1156" t="str">
        <f t="shared" si="18"/>
        <v>N</v>
      </c>
      <c r="Q1156" t="s">
        <v>6886</v>
      </c>
    </row>
    <row r="1157" spans="1:17" x14ac:dyDescent="0.25">
      <c r="A1157" t="s">
        <v>3271</v>
      </c>
      <c r="B1157" t="s">
        <v>1080</v>
      </c>
      <c r="C1157">
        <v>2027</v>
      </c>
      <c r="D1157" t="s">
        <v>536</v>
      </c>
      <c r="E1157" t="s">
        <v>831</v>
      </c>
      <c r="F1157" s="32">
        <v>46395</v>
      </c>
      <c r="G1157" t="s">
        <v>514</v>
      </c>
      <c r="H1157">
        <v>47128906</v>
      </c>
      <c r="I1157" t="s">
        <v>1349</v>
      </c>
      <c r="J1157" t="s">
        <v>1348</v>
      </c>
      <c r="K1157" t="s">
        <v>530</v>
      </c>
      <c r="N1157">
        <v>0</v>
      </c>
      <c r="O1157">
        <v>0</v>
      </c>
      <c r="P1157" t="str">
        <f t="shared" si="18"/>
        <v>N</v>
      </c>
      <c r="Q1157" t="s">
        <v>6887</v>
      </c>
    </row>
    <row r="1158" spans="1:17" x14ac:dyDescent="0.25">
      <c r="A1158" t="s">
        <v>3272</v>
      </c>
      <c r="B1158" t="s">
        <v>1080</v>
      </c>
      <c r="C1158">
        <v>2027</v>
      </c>
      <c r="D1158" t="s">
        <v>536</v>
      </c>
      <c r="E1158" t="s">
        <v>831</v>
      </c>
      <c r="F1158" s="32">
        <v>46395</v>
      </c>
      <c r="G1158" t="s">
        <v>514</v>
      </c>
      <c r="H1158">
        <v>47128585</v>
      </c>
      <c r="I1158" t="s">
        <v>1141</v>
      </c>
      <c r="J1158" t="s">
        <v>1408</v>
      </c>
      <c r="K1158" t="s">
        <v>530</v>
      </c>
      <c r="N1158">
        <v>0</v>
      </c>
      <c r="O1158">
        <v>0</v>
      </c>
      <c r="P1158" t="str">
        <f t="shared" si="18"/>
        <v>N</v>
      </c>
      <c r="Q1158" t="s">
        <v>6888</v>
      </c>
    </row>
    <row r="1159" spans="1:17" x14ac:dyDescent="0.25">
      <c r="A1159" t="s">
        <v>3273</v>
      </c>
      <c r="B1159" t="s">
        <v>1080</v>
      </c>
      <c r="C1159">
        <v>2027</v>
      </c>
      <c r="D1159" t="s">
        <v>536</v>
      </c>
      <c r="E1159" t="s">
        <v>831</v>
      </c>
      <c r="F1159" s="32">
        <v>46395</v>
      </c>
      <c r="G1159" t="s">
        <v>514</v>
      </c>
      <c r="H1159">
        <v>47128518</v>
      </c>
      <c r="I1159" t="s">
        <v>1232</v>
      </c>
      <c r="J1159" t="s">
        <v>1231</v>
      </c>
      <c r="K1159" t="s">
        <v>530</v>
      </c>
      <c r="N1159">
        <v>0</v>
      </c>
      <c r="O1159">
        <v>0</v>
      </c>
      <c r="P1159" t="str">
        <f t="shared" si="18"/>
        <v>N</v>
      </c>
      <c r="Q1159" t="s">
        <v>6889</v>
      </c>
    </row>
    <row r="1160" spans="1:17" x14ac:dyDescent="0.25">
      <c r="A1160" t="s">
        <v>3274</v>
      </c>
      <c r="B1160" t="s">
        <v>1080</v>
      </c>
      <c r="C1160">
        <v>2027</v>
      </c>
      <c r="D1160" t="s">
        <v>536</v>
      </c>
      <c r="E1160" t="s">
        <v>831</v>
      </c>
      <c r="F1160" s="32">
        <v>46395</v>
      </c>
      <c r="G1160" t="s">
        <v>514</v>
      </c>
      <c r="H1160">
        <v>47128680</v>
      </c>
      <c r="I1160" t="s">
        <v>1284</v>
      </c>
      <c r="J1160" t="s">
        <v>1283</v>
      </c>
      <c r="K1160" t="s">
        <v>530</v>
      </c>
      <c r="N1160">
        <v>0</v>
      </c>
      <c r="O1160">
        <v>0</v>
      </c>
      <c r="P1160" t="str">
        <f t="shared" si="18"/>
        <v>N</v>
      </c>
      <c r="Q1160" t="s">
        <v>6890</v>
      </c>
    </row>
    <row r="1161" spans="1:17" x14ac:dyDescent="0.25">
      <c r="A1161" t="s">
        <v>3275</v>
      </c>
      <c r="B1161" t="s">
        <v>1080</v>
      </c>
      <c r="C1161">
        <v>2027</v>
      </c>
      <c r="D1161" t="s">
        <v>536</v>
      </c>
      <c r="E1161" t="s">
        <v>831</v>
      </c>
      <c r="F1161" s="32">
        <v>46395</v>
      </c>
      <c r="G1161" t="s">
        <v>514</v>
      </c>
      <c r="H1161">
        <v>47128024</v>
      </c>
      <c r="I1161" t="s">
        <v>1108</v>
      </c>
      <c r="J1161" t="s">
        <v>1107</v>
      </c>
      <c r="K1161" t="s">
        <v>530</v>
      </c>
      <c r="N1161">
        <v>0</v>
      </c>
      <c r="O1161">
        <v>0</v>
      </c>
      <c r="P1161" t="str">
        <f t="shared" si="18"/>
        <v>N</v>
      </c>
      <c r="Q1161" t="s">
        <v>6891</v>
      </c>
    </row>
    <row r="1162" spans="1:17" x14ac:dyDescent="0.25">
      <c r="A1162" t="s">
        <v>3276</v>
      </c>
      <c r="B1162" t="s">
        <v>1080</v>
      </c>
      <c r="C1162">
        <v>2027</v>
      </c>
      <c r="D1162" t="s">
        <v>536</v>
      </c>
      <c r="E1162" t="s">
        <v>831</v>
      </c>
      <c r="F1162" s="32">
        <v>46395</v>
      </c>
      <c r="G1162" t="s">
        <v>514</v>
      </c>
      <c r="H1162">
        <v>47128944</v>
      </c>
      <c r="I1162" t="s">
        <v>1137</v>
      </c>
      <c r="J1162" t="s">
        <v>1513</v>
      </c>
      <c r="K1162" t="s">
        <v>530</v>
      </c>
      <c r="N1162">
        <v>0</v>
      </c>
      <c r="O1162">
        <v>0</v>
      </c>
      <c r="P1162" t="str">
        <f t="shared" si="18"/>
        <v>N</v>
      </c>
      <c r="Q1162" t="s">
        <v>6892</v>
      </c>
    </row>
    <row r="1163" spans="1:17" x14ac:dyDescent="0.25">
      <c r="A1163" t="s">
        <v>3277</v>
      </c>
      <c r="B1163" t="s">
        <v>1080</v>
      </c>
      <c r="C1163">
        <v>2027</v>
      </c>
      <c r="D1163" t="s">
        <v>536</v>
      </c>
      <c r="E1163" t="s">
        <v>831</v>
      </c>
      <c r="F1163" s="32">
        <v>46395</v>
      </c>
      <c r="G1163" t="s">
        <v>514</v>
      </c>
      <c r="H1163">
        <v>47147546</v>
      </c>
      <c r="I1163" t="s">
        <v>1077</v>
      </c>
      <c r="J1163" t="s">
        <v>1076</v>
      </c>
      <c r="K1163" t="s">
        <v>530</v>
      </c>
      <c r="N1163">
        <v>0</v>
      </c>
      <c r="O1163">
        <v>0</v>
      </c>
      <c r="P1163" t="str">
        <f t="shared" si="18"/>
        <v>N</v>
      </c>
      <c r="Q1163" t="s">
        <v>6893</v>
      </c>
    </row>
    <row r="1164" spans="1:17" x14ac:dyDescent="0.25">
      <c r="A1164" t="s">
        <v>3278</v>
      </c>
      <c r="B1164" t="s">
        <v>1080</v>
      </c>
      <c r="C1164">
        <v>2027</v>
      </c>
      <c r="D1164" t="s">
        <v>536</v>
      </c>
      <c r="E1164" t="s">
        <v>831</v>
      </c>
      <c r="F1164" s="32">
        <v>46395</v>
      </c>
      <c r="G1164" t="s">
        <v>514</v>
      </c>
      <c r="H1164">
        <v>47128346</v>
      </c>
      <c r="I1164" t="s">
        <v>1157</v>
      </c>
      <c r="J1164" t="s">
        <v>1156</v>
      </c>
      <c r="K1164" t="s">
        <v>530</v>
      </c>
      <c r="N1164">
        <v>0</v>
      </c>
      <c r="O1164">
        <v>0</v>
      </c>
      <c r="P1164" t="str">
        <f t="shared" si="18"/>
        <v>N</v>
      </c>
      <c r="Q1164" t="s">
        <v>6894</v>
      </c>
    </row>
    <row r="1165" spans="1:17" x14ac:dyDescent="0.25">
      <c r="A1165" t="s">
        <v>3279</v>
      </c>
      <c r="B1165" t="s">
        <v>1080</v>
      </c>
      <c r="C1165">
        <v>2027</v>
      </c>
      <c r="D1165" t="s">
        <v>536</v>
      </c>
      <c r="E1165" t="s">
        <v>831</v>
      </c>
      <c r="F1165" s="32">
        <v>46395</v>
      </c>
      <c r="G1165" t="s">
        <v>514</v>
      </c>
      <c r="H1165">
        <v>47128800</v>
      </c>
      <c r="I1165" t="s">
        <v>1145</v>
      </c>
      <c r="J1165" t="s">
        <v>1144</v>
      </c>
      <c r="K1165" t="s">
        <v>530</v>
      </c>
      <c r="N1165">
        <v>0</v>
      </c>
      <c r="O1165">
        <v>0</v>
      </c>
      <c r="P1165" t="str">
        <f t="shared" si="18"/>
        <v>N</v>
      </c>
      <c r="Q1165" t="s">
        <v>6895</v>
      </c>
    </row>
    <row r="1166" spans="1:17" x14ac:dyDescent="0.25">
      <c r="A1166" t="s">
        <v>3280</v>
      </c>
      <c r="B1166" t="s">
        <v>1080</v>
      </c>
      <c r="C1166">
        <v>2027</v>
      </c>
      <c r="D1166" t="s">
        <v>536</v>
      </c>
      <c r="E1166" t="s">
        <v>831</v>
      </c>
      <c r="F1166" s="32">
        <v>46395</v>
      </c>
      <c r="G1166" t="s">
        <v>514</v>
      </c>
      <c r="H1166">
        <v>47128109</v>
      </c>
      <c r="I1166" t="s">
        <v>1336</v>
      </c>
      <c r="J1166" t="s">
        <v>1335</v>
      </c>
      <c r="K1166" t="s">
        <v>530</v>
      </c>
      <c r="N1166">
        <v>0</v>
      </c>
      <c r="O1166">
        <v>0</v>
      </c>
      <c r="P1166" t="str">
        <f t="shared" si="18"/>
        <v>N</v>
      </c>
      <c r="Q1166" t="s">
        <v>6896</v>
      </c>
    </row>
    <row r="1167" spans="1:17" x14ac:dyDescent="0.25">
      <c r="A1167" t="s">
        <v>3281</v>
      </c>
      <c r="B1167" t="s">
        <v>1080</v>
      </c>
      <c r="C1167">
        <v>2027</v>
      </c>
      <c r="D1167" t="s">
        <v>536</v>
      </c>
      <c r="E1167" t="s">
        <v>831</v>
      </c>
      <c r="F1167" s="32">
        <v>46395</v>
      </c>
      <c r="G1167" t="s">
        <v>514</v>
      </c>
      <c r="H1167">
        <v>47128430</v>
      </c>
      <c r="I1167" t="s">
        <v>1401</v>
      </c>
      <c r="J1167" t="s">
        <v>1400</v>
      </c>
      <c r="K1167" t="s">
        <v>530</v>
      </c>
      <c r="N1167">
        <v>0</v>
      </c>
      <c r="O1167">
        <v>0</v>
      </c>
      <c r="P1167" t="str">
        <f t="shared" si="18"/>
        <v>N</v>
      </c>
      <c r="Q1167" t="s">
        <v>6897</v>
      </c>
    </row>
    <row r="1168" spans="1:17" x14ac:dyDescent="0.25">
      <c r="A1168" t="s">
        <v>3282</v>
      </c>
      <c r="B1168" t="s">
        <v>1080</v>
      </c>
      <c r="C1168">
        <v>2027</v>
      </c>
      <c r="D1168" t="s">
        <v>536</v>
      </c>
      <c r="E1168" t="s">
        <v>831</v>
      </c>
      <c r="F1168" s="32">
        <v>46395</v>
      </c>
      <c r="G1168" t="s">
        <v>514</v>
      </c>
      <c r="H1168">
        <v>47128522</v>
      </c>
      <c r="I1168" t="s">
        <v>1092</v>
      </c>
      <c r="J1168" t="s">
        <v>1091</v>
      </c>
      <c r="K1168" t="s">
        <v>530</v>
      </c>
      <c r="N1168">
        <v>0</v>
      </c>
      <c r="O1168">
        <v>0</v>
      </c>
      <c r="P1168" t="str">
        <f t="shared" si="18"/>
        <v>N</v>
      </c>
      <c r="Q1168" t="s">
        <v>6898</v>
      </c>
    </row>
    <row r="1169" spans="1:17" x14ac:dyDescent="0.25">
      <c r="A1169" t="s">
        <v>3283</v>
      </c>
      <c r="B1169" t="s">
        <v>1080</v>
      </c>
      <c r="C1169">
        <v>2027</v>
      </c>
      <c r="D1169" t="s">
        <v>536</v>
      </c>
      <c r="E1169" t="s">
        <v>831</v>
      </c>
      <c r="F1169" s="32">
        <v>46395</v>
      </c>
      <c r="G1169" t="s">
        <v>514</v>
      </c>
      <c r="H1169">
        <v>47147546</v>
      </c>
      <c r="I1169" t="s">
        <v>1077</v>
      </c>
      <c r="J1169" t="s">
        <v>1381</v>
      </c>
      <c r="K1169" t="s">
        <v>530</v>
      </c>
      <c r="N1169">
        <v>0</v>
      </c>
      <c r="O1169">
        <v>0</v>
      </c>
      <c r="P1169" t="str">
        <f t="shared" si="18"/>
        <v>N</v>
      </c>
      <c r="Q1169" t="s">
        <v>6899</v>
      </c>
    </row>
    <row r="1170" spans="1:17" x14ac:dyDescent="0.25">
      <c r="A1170" t="s">
        <v>3284</v>
      </c>
      <c r="B1170" t="s">
        <v>1080</v>
      </c>
      <c r="C1170">
        <v>2027</v>
      </c>
      <c r="D1170" t="s">
        <v>536</v>
      </c>
      <c r="E1170" t="s">
        <v>831</v>
      </c>
      <c r="F1170" s="32">
        <v>46395</v>
      </c>
      <c r="G1170" t="s">
        <v>514</v>
      </c>
      <c r="H1170">
        <v>47147658</v>
      </c>
      <c r="I1170" t="s">
        <v>1276</v>
      </c>
      <c r="J1170" t="s">
        <v>1275</v>
      </c>
      <c r="K1170" t="s">
        <v>530</v>
      </c>
      <c r="N1170">
        <v>0</v>
      </c>
      <c r="O1170">
        <v>0</v>
      </c>
      <c r="P1170" t="str">
        <f t="shared" si="18"/>
        <v>N</v>
      </c>
      <c r="Q1170" t="s">
        <v>6900</v>
      </c>
    </row>
    <row r="1171" spans="1:17" x14ac:dyDescent="0.25">
      <c r="A1171" t="s">
        <v>3285</v>
      </c>
      <c r="B1171" t="s">
        <v>1080</v>
      </c>
      <c r="C1171">
        <v>2027</v>
      </c>
      <c r="D1171" t="s">
        <v>536</v>
      </c>
      <c r="E1171" t="s">
        <v>831</v>
      </c>
      <c r="F1171" s="32">
        <v>46395</v>
      </c>
      <c r="G1171" t="s">
        <v>514</v>
      </c>
      <c r="H1171">
        <v>47147546</v>
      </c>
      <c r="I1171" t="s">
        <v>1077</v>
      </c>
      <c r="J1171" t="s">
        <v>1171</v>
      </c>
      <c r="K1171" t="s">
        <v>530</v>
      </c>
      <c r="N1171">
        <v>0</v>
      </c>
      <c r="O1171">
        <v>0</v>
      </c>
      <c r="P1171" t="str">
        <f t="shared" si="18"/>
        <v>N</v>
      </c>
      <c r="Q1171" t="s">
        <v>6901</v>
      </c>
    </row>
    <row r="1172" spans="1:17" x14ac:dyDescent="0.25">
      <c r="A1172" t="s">
        <v>3286</v>
      </c>
      <c r="B1172" t="s">
        <v>1080</v>
      </c>
      <c r="C1172">
        <v>2027</v>
      </c>
      <c r="D1172" t="s">
        <v>536</v>
      </c>
      <c r="E1172" t="s">
        <v>831</v>
      </c>
      <c r="F1172" s="32">
        <v>46395</v>
      </c>
      <c r="G1172" t="s">
        <v>514</v>
      </c>
      <c r="H1172">
        <v>47128028</v>
      </c>
      <c r="I1172" t="s">
        <v>1035</v>
      </c>
      <c r="J1172" t="s">
        <v>1034</v>
      </c>
      <c r="K1172" t="s">
        <v>530</v>
      </c>
      <c r="N1172">
        <v>0</v>
      </c>
      <c r="O1172">
        <v>0</v>
      </c>
      <c r="P1172" t="str">
        <f t="shared" si="18"/>
        <v>N</v>
      </c>
      <c r="Q1172" t="s">
        <v>6902</v>
      </c>
    </row>
    <row r="1173" spans="1:17" x14ac:dyDescent="0.25">
      <c r="A1173" t="s">
        <v>3287</v>
      </c>
      <c r="B1173" t="s">
        <v>1080</v>
      </c>
      <c r="C1173">
        <v>2027</v>
      </c>
      <c r="D1173" t="s">
        <v>536</v>
      </c>
      <c r="E1173" t="s">
        <v>831</v>
      </c>
      <c r="F1173" s="32">
        <v>46395</v>
      </c>
      <c r="G1173" t="s">
        <v>514</v>
      </c>
      <c r="H1173">
        <v>47128465</v>
      </c>
      <c r="I1173" t="s">
        <v>1333</v>
      </c>
      <c r="J1173" t="s">
        <v>1332</v>
      </c>
      <c r="K1173" t="s">
        <v>530</v>
      </c>
      <c r="N1173">
        <v>0</v>
      </c>
      <c r="O1173">
        <v>0</v>
      </c>
      <c r="P1173" t="str">
        <f t="shared" si="18"/>
        <v>N</v>
      </c>
      <c r="Q1173" t="s">
        <v>6903</v>
      </c>
    </row>
    <row r="1174" spans="1:17" x14ac:dyDescent="0.25">
      <c r="A1174" t="s">
        <v>3288</v>
      </c>
      <c r="B1174" t="s">
        <v>1080</v>
      </c>
      <c r="C1174">
        <v>2027</v>
      </c>
      <c r="D1174" t="s">
        <v>536</v>
      </c>
      <c r="E1174" t="s">
        <v>831</v>
      </c>
      <c r="F1174" s="32">
        <v>46395</v>
      </c>
      <c r="G1174" t="s">
        <v>514</v>
      </c>
      <c r="H1174">
        <v>47128548</v>
      </c>
      <c r="I1174" t="s">
        <v>958</v>
      </c>
      <c r="J1174" t="s">
        <v>957</v>
      </c>
      <c r="K1174" t="s">
        <v>530</v>
      </c>
      <c r="N1174">
        <v>0</v>
      </c>
      <c r="O1174">
        <v>0</v>
      </c>
      <c r="P1174" t="str">
        <f t="shared" si="18"/>
        <v>N</v>
      </c>
      <c r="Q1174" t="s">
        <v>6904</v>
      </c>
    </row>
    <row r="1175" spans="1:17" x14ac:dyDescent="0.25">
      <c r="A1175" t="s">
        <v>3832</v>
      </c>
      <c r="B1175" t="s">
        <v>912</v>
      </c>
      <c r="C1175">
        <v>2027</v>
      </c>
      <c r="D1175" t="s">
        <v>536</v>
      </c>
      <c r="E1175" t="s">
        <v>831</v>
      </c>
      <c r="F1175" s="32">
        <v>46395</v>
      </c>
      <c r="G1175" t="s">
        <v>514</v>
      </c>
      <c r="H1175">
        <v>47140037</v>
      </c>
      <c r="I1175" t="s">
        <v>2347</v>
      </c>
      <c r="J1175" t="s">
        <v>2348</v>
      </c>
      <c r="K1175" t="s">
        <v>530</v>
      </c>
      <c r="N1175">
        <v>0</v>
      </c>
      <c r="O1175">
        <v>0</v>
      </c>
      <c r="P1175" t="str">
        <f t="shared" si="18"/>
        <v>N</v>
      </c>
      <c r="Q1175" t="s">
        <v>6905</v>
      </c>
    </row>
    <row r="1176" spans="1:17" x14ac:dyDescent="0.25">
      <c r="A1176" t="s">
        <v>3833</v>
      </c>
      <c r="B1176" t="s">
        <v>912</v>
      </c>
      <c r="C1176">
        <v>2027</v>
      </c>
      <c r="D1176" t="s">
        <v>536</v>
      </c>
      <c r="E1176" t="s">
        <v>831</v>
      </c>
      <c r="F1176" s="32">
        <v>46395</v>
      </c>
      <c r="G1176" t="s">
        <v>514</v>
      </c>
      <c r="H1176">
        <v>47128769</v>
      </c>
      <c r="I1176" t="s">
        <v>2386</v>
      </c>
      <c r="J1176" t="s">
        <v>2387</v>
      </c>
      <c r="K1176" t="s">
        <v>530</v>
      </c>
      <c r="N1176">
        <v>0</v>
      </c>
      <c r="O1176">
        <v>0</v>
      </c>
      <c r="P1176" t="str">
        <f t="shared" si="18"/>
        <v>N</v>
      </c>
      <c r="Q1176" t="s">
        <v>6906</v>
      </c>
    </row>
    <row r="1177" spans="1:17" x14ac:dyDescent="0.25">
      <c r="A1177" t="s">
        <v>3834</v>
      </c>
      <c r="B1177" t="s">
        <v>912</v>
      </c>
      <c r="C1177">
        <v>2027</v>
      </c>
      <c r="D1177" t="s">
        <v>536</v>
      </c>
      <c r="E1177" t="s">
        <v>831</v>
      </c>
      <c r="F1177" s="32">
        <v>46395</v>
      </c>
      <c r="G1177" t="s">
        <v>514</v>
      </c>
      <c r="H1177">
        <v>47128378</v>
      </c>
      <c r="I1177" t="s">
        <v>2392</v>
      </c>
      <c r="J1177" t="s">
        <v>2393</v>
      </c>
      <c r="K1177" t="s">
        <v>530</v>
      </c>
      <c r="N1177">
        <v>0</v>
      </c>
      <c r="O1177">
        <v>0</v>
      </c>
      <c r="P1177" t="str">
        <f t="shared" si="18"/>
        <v>N</v>
      </c>
      <c r="Q1177" t="s">
        <v>6907</v>
      </c>
    </row>
    <row r="1178" spans="1:17" x14ac:dyDescent="0.25">
      <c r="A1178" t="s">
        <v>3835</v>
      </c>
      <c r="B1178" t="s">
        <v>912</v>
      </c>
      <c r="C1178">
        <v>2027</v>
      </c>
      <c r="D1178" t="s">
        <v>536</v>
      </c>
      <c r="E1178" t="s">
        <v>831</v>
      </c>
      <c r="F1178" s="32">
        <v>46395</v>
      </c>
      <c r="G1178" t="s">
        <v>514</v>
      </c>
      <c r="H1178">
        <v>47128020</v>
      </c>
      <c r="I1178" t="s">
        <v>2395</v>
      </c>
      <c r="J1178" t="s">
        <v>2396</v>
      </c>
      <c r="K1178" t="s">
        <v>530</v>
      </c>
      <c r="N1178">
        <v>51</v>
      </c>
      <c r="O1178">
        <v>51</v>
      </c>
      <c r="P1178" t="str">
        <f t="shared" si="18"/>
        <v>N</v>
      </c>
      <c r="Q1178" t="s">
        <v>6908</v>
      </c>
    </row>
    <row r="1179" spans="1:17" x14ac:dyDescent="0.25">
      <c r="A1179" t="s">
        <v>3836</v>
      </c>
      <c r="B1179" t="s">
        <v>912</v>
      </c>
      <c r="C1179">
        <v>2027</v>
      </c>
      <c r="D1179" t="s">
        <v>536</v>
      </c>
      <c r="E1179" t="s">
        <v>831</v>
      </c>
      <c r="F1179" s="32">
        <v>46395</v>
      </c>
      <c r="G1179" t="s">
        <v>514</v>
      </c>
      <c r="H1179">
        <v>47128459</v>
      </c>
      <c r="I1179" t="s">
        <v>2398</v>
      </c>
      <c r="J1179" t="s">
        <v>2399</v>
      </c>
      <c r="K1179" t="s">
        <v>530</v>
      </c>
      <c r="N1179">
        <v>56</v>
      </c>
      <c r="O1179">
        <v>56</v>
      </c>
      <c r="P1179" t="str">
        <f t="shared" si="18"/>
        <v>N</v>
      </c>
      <c r="Q1179" t="s">
        <v>6909</v>
      </c>
    </row>
    <row r="1180" spans="1:17" x14ac:dyDescent="0.25">
      <c r="A1180" t="s">
        <v>3887</v>
      </c>
      <c r="B1180" t="s">
        <v>1043</v>
      </c>
      <c r="C1180">
        <v>2027</v>
      </c>
      <c r="D1180" t="s">
        <v>536</v>
      </c>
      <c r="E1180" t="s">
        <v>831</v>
      </c>
      <c r="F1180" s="32">
        <v>46395</v>
      </c>
      <c r="G1180" t="s">
        <v>514</v>
      </c>
      <c r="H1180">
        <v>47128421</v>
      </c>
      <c r="I1180" t="s">
        <v>1086</v>
      </c>
      <c r="J1180" t="s">
        <v>1085</v>
      </c>
      <c r="K1180" t="s">
        <v>530</v>
      </c>
      <c r="N1180">
        <v>20</v>
      </c>
      <c r="O1180">
        <v>20</v>
      </c>
      <c r="P1180" t="str">
        <f t="shared" si="18"/>
        <v>N</v>
      </c>
      <c r="Q1180" t="s">
        <v>6910</v>
      </c>
    </row>
    <row r="1181" spans="1:17" x14ac:dyDescent="0.25">
      <c r="A1181" t="s">
        <v>3888</v>
      </c>
      <c r="B1181" t="s">
        <v>1043</v>
      </c>
      <c r="C1181">
        <v>2027</v>
      </c>
      <c r="D1181" t="s">
        <v>536</v>
      </c>
      <c r="E1181" t="s">
        <v>831</v>
      </c>
      <c r="F1181" s="32">
        <v>46395</v>
      </c>
      <c r="G1181" t="s">
        <v>514</v>
      </c>
      <c r="H1181">
        <v>47128364</v>
      </c>
      <c r="I1181" t="s">
        <v>1264</v>
      </c>
      <c r="J1181" t="s">
        <v>1263</v>
      </c>
      <c r="K1181" t="s">
        <v>530</v>
      </c>
      <c r="N1181">
        <v>0</v>
      </c>
      <c r="O1181">
        <v>0</v>
      </c>
      <c r="P1181" t="str">
        <f t="shared" si="18"/>
        <v>N</v>
      </c>
      <c r="Q1181" t="s">
        <v>6911</v>
      </c>
    </row>
    <row r="1182" spans="1:17" x14ac:dyDescent="0.25">
      <c r="A1182" t="s">
        <v>3889</v>
      </c>
      <c r="B1182" t="s">
        <v>1043</v>
      </c>
      <c r="C1182">
        <v>2027</v>
      </c>
      <c r="D1182" t="s">
        <v>536</v>
      </c>
      <c r="E1182" t="s">
        <v>831</v>
      </c>
      <c r="F1182" s="32">
        <v>46395</v>
      </c>
      <c r="G1182" t="s">
        <v>514</v>
      </c>
      <c r="H1182">
        <v>47128706</v>
      </c>
      <c r="I1182" t="s">
        <v>1201</v>
      </c>
      <c r="J1182" t="s">
        <v>1200</v>
      </c>
      <c r="K1182" t="s">
        <v>530</v>
      </c>
      <c r="N1182">
        <v>0</v>
      </c>
      <c r="O1182">
        <v>0</v>
      </c>
      <c r="P1182" t="str">
        <f t="shared" si="18"/>
        <v>N</v>
      </c>
      <c r="Q1182" t="s">
        <v>6912</v>
      </c>
    </row>
    <row r="1183" spans="1:17" x14ac:dyDescent="0.25">
      <c r="A1183" t="s">
        <v>3979</v>
      </c>
      <c r="B1183" t="s">
        <v>3939</v>
      </c>
      <c r="C1183">
        <v>2027</v>
      </c>
      <c r="D1183" t="s">
        <v>536</v>
      </c>
      <c r="E1183" t="s">
        <v>831</v>
      </c>
      <c r="F1183" s="32">
        <v>46395</v>
      </c>
      <c r="G1183" t="s">
        <v>514</v>
      </c>
      <c r="H1183">
        <v>47140037</v>
      </c>
      <c r="I1183" t="s">
        <v>2347</v>
      </c>
      <c r="J1183" t="s">
        <v>2348</v>
      </c>
      <c r="K1183" t="s">
        <v>530</v>
      </c>
      <c r="N1183">
        <v>0</v>
      </c>
      <c r="O1183">
        <v>0</v>
      </c>
      <c r="P1183" t="str">
        <f t="shared" si="18"/>
        <v>N</v>
      </c>
      <c r="Q1183" t="s">
        <v>6913</v>
      </c>
    </row>
    <row r="1184" spans="1:17" x14ac:dyDescent="0.25">
      <c r="A1184" t="s">
        <v>3980</v>
      </c>
      <c r="B1184" t="s">
        <v>3939</v>
      </c>
      <c r="C1184">
        <v>2027</v>
      </c>
      <c r="D1184" t="s">
        <v>536</v>
      </c>
      <c r="E1184" t="s">
        <v>831</v>
      </c>
      <c r="F1184" s="32">
        <v>46395</v>
      </c>
      <c r="G1184" t="s">
        <v>514</v>
      </c>
      <c r="H1184">
        <v>47128769</v>
      </c>
      <c r="I1184" t="s">
        <v>2386</v>
      </c>
      <c r="J1184" t="s">
        <v>2387</v>
      </c>
      <c r="K1184" t="s">
        <v>530</v>
      </c>
      <c r="N1184">
        <v>0</v>
      </c>
      <c r="O1184">
        <v>0</v>
      </c>
      <c r="P1184" t="str">
        <f t="shared" si="18"/>
        <v>N</v>
      </c>
      <c r="Q1184" t="s">
        <v>6914</v>
      </c>
    </row>
    <row r="1185" spans="1:17" x14ac:dyDescent="0.25">
      <c r="A1185" t="s">
        <v>3981</v>
      </c>
      <c r="B1185" t="s">
        <v>3939</v>
      </c>
      <c r="C1185">
        <v>2027</v>
      </c>
      <c r="D1185" t="s">
        <v>536</v>
      </c>
      <c r="E1185" t="s">
        <v>831</v>
      </c>
      <c r="F1185" s="32">
        <v>46395</v>
      </c>
      <c r="G1185" t="s">
        <v>514</v>
      </c>
      <c r="H1185">
        <v>47128378</v>
      </c>
      <c r="I1185" t="s">
        <v>2392</v>
      </c>
      <c r="J1185" t="s">
        <v>2393</v>
      </c>
      <c r="K1185" t="s">
        <v>530</v>
      </c>
      <c r="N1185">
        <v>38.5</v>
      </c>
      <c r="O1185">
        <v>38.5</v>
      </c>
      <c r="P1185" t="str">
        <f t="shared" si="18"/>
        <v>N</v>
      </c>
      <c r="Q1185" t="s">
        <v>6915</v>
      </c>
    </row>
    <row r="1186" spans="1:17" x14ac:dyDescent="0.25">
      <c r="A1186" t="s">
        <v>3982</v>
      </c>
      <c r="B1186" t="s">
        <v>3939</v>
      </c>
      <c r="C1186">
        <v>2027</v>
      </c>
      <c r="D1186" t="s">
        <v>536</v>
      </c>
      <c r="E1186" t="s">
        <v>831</v>
      </c>
      <c r="F1186" s="32">
        <v>46395</v>
      </c>
      <c r="G1186" t="s">
        <v>514</v>
      </c>
      <c r="H1186">
        <v>47128020</v>
      </c>
      <c r="I1186" t="s">
        <v>2395</v>
      </c>
      <c r="J1186" t="s">
        <v>2396</v>
      </c>
      <c r="K1186" t="s">
        <v>530</v>
      </c>
      <c r="N1186">
        <v>17.5</v>
      </c>
      <c r="O1186">
        <v>17.5</v>
      </c>
      <c r="P1186" t="str">
        <f t="shared" si="18"/>
        <v>N</v>
      </c>
      <c r="Q1186" t="s">
        <v>6916</v>
      </c>
    </row>
    <row r="1187" spans="1:17" x14ac:dyDescent="0.25">
      <c r="A1187" t="s">
        <v>3983</v>
      </c>
      <c r="B1187" t="s">
        <v>3939</v>
      </c>
      <c r="C1187">
        <v>2027</v>
      </c>
      <c r="D1187" t="s">
        <v>536</v>
      </c>
      <c r="E1187" t="s">
        <v>831</v>
      </c>
      <c r="F1187" s="32">
        <v>46395</v>
      </c>
      <c r="G1187" t="s">
        <v>514</v>
      </c>
      <c r="H1187">
        <v>47128459</v>
      </c>
      <c r="I1187" t="s">
        <v>2398</v>
      </c>
      <c r="J1187" t="s">
        <v>2399</v>
      </c>
      <c r="K1187" t="s">
        <v>530</v>
      </c>
      <c r="N1187">
        <v>5</v>
      </c>
      <c r="O1187">
        <v>5</v>
      </c>
      <c r="P1187" t="str">
        <f t="shared" si="18"/>
        <v>N</v>
      </c>
      <c r="Q1187" t="s">
        <v>6917</v>
      </c>
    </row>
    <row r="1188" spans="1:17" x14ac:dyDescent="0.25">
      <c r="A1188" t="s">
        <v>4068</v>
      </c>
      <c r="B1188" t="s">
        <v>1489</v>
      </c>
      <c r="C1188">
        <v>2027</v>
      </c>
      <c r="D1188" t="s">
        <v>536</v>
      </c>
      <c r="E1188" t="s">
        <v>831</v>
      </c>
      <c r="F1188" s="32">
        <v>46395</v>
      </c>
      <c r="G1188" t="s">
        <v>514</v>
      </c>
      <c r="H1188">
        <v>47128967</v>
      </c>
      <c r="I1188" t="s">
        <v>1062</v>
      </c>
      <c r="J1188" t="s">
        <v>1061</v>
      </c>
      <c r="K1188" t="s">
        <v>530</v>
      </c>
      <c r="N1188">
        <v>0</v>
      </c>
      <c r="O1188">
        <v>0</v>
      </c>
      <c r="P1188" t="str">
        <f t="shared" si="18"/>
        <v>N</v>
      </c>
      <c r="Q1188" t="s">
        <v>6918</v>
      </c>
    </row>
    <row r="1189" spans="1:17" x14ac:dyDescent="0.25">
      <c r="A1189" t="s">
        <v>4069</v>
      </c>
      <c r="B1189" t="s">
        <v>1489</v>
      </c>
      <c r="C1189">
        <v>2027</v>
      </c>
      <c r="D1189" t="s">
        <v>536</v>
      </c>
      <c r="E1189" t="s">
        <v>831</v>
      </c>
      <c r="F1189" s="32">
        <v>46395</v>
      </c>
      <c r="G1189" t="s">
        <v>514</v>
      </c>
      <c r="H1189">
        <v>47133720</v>
      </c>
      <c r="I1189" t="s">
        <v>1217</v>
      </c>
      <c r="J1189" t="s">
        <v>1216</v>
      </c>
      <c r="K1189" t="s">
        <v>530</v>
      </c>
      <c r="N1189">
        <v>0</v>
      </c>
      <c r="O1189">
        <v>0</v>
      </c>
      <c r="P1189" t="str">
        <f t="shared" si="18"/>
        <v>N</v>
      </c>
      <c r="Q1189" t="s">
        <v>6919</v>
      </c>
    </row>
    <row r="1190" spans="1:17" x14ac:dyDescent="0.25">
      <c r="A1190" t="s">
        <v>4070</v>
      </c>
      <c r="B1190" t="s">
        <v>1489</v>
      </c>
      <c r="C1190">
        <v>2027</v>
      </c>
      <c r="D1190" t="s">
        <v>536</v>
      </c>
      <c r="E1190" t="s">
        <v>831</v>
      </c>
      <c r="F1190" s="32">
        <v>46395</v>
      </c>
      <c r="G1190" t="s">
        <v>514</v>
      </c>
      <c r="H1190">
        <v>47127948</v>
      </c>
      <c r="I1190" t="s">
        <v>1247</v>
      </c>
      <c r="J1190" t="s">
        <v>1246</v>
      </c>
      <c r="K1190" t="s">
        <v>530</v>
      </c>
      <c r="N1190">
        <v>0</v>
      </c>
      <c r="O1190">
        <v>0</v>
      </c>
      <c r="P1190" t="str">
        <f t="shared" si="18"/>
        <v>N</v>
      </c>
      <c r="Q1190" t="s">
        <v>6920</v>
      </c>
    </row>
    <row r="1191" spans="1:17" x14ac:dyDescent="0.25">
      <c r="A1191" t="s">
        <v>4071</v>
      </c>
      <c r="B1191" t="s">
        <v>1489</v>
      </c>
      <c r="C1191">
        <v>2027</v>
      </c>
      <c r="D1191" t="s">
        <v>536</v>
      </c>
      <c r="E1191" t="s">
        <v>831</v>
      </c>
      <c r="F1191" s="32">
        <v>46395</v>
      </c>
      <c r="G1191" t="s">
        <v>514</v>
      </c>
      <c r="H1191">
        <v>47128337</v>
      </c>
      <c r="I1191" t="s">
        <v>1120</v>
      </c>
      <c r="J1191" t="s">
        <v>1119</v>
      </c>
      <c r="K1191" t="s">
        <v>530</v>
      </c>
      <c r="N1191">
        <v>0</v>
      </c>
      <c r="O1191">
        <v>0</v>
      </c>
      <c r="P1191" t="str">
        <f t="shared" si="18"/>
        <v>N</v>
      </c>
      <c r="Q1191" t="s">
        <v>6921</v>
      </c>
    </row>
    <row r="1192" spans="1:17" x14ac:dyDescent="0.25">
      <c r="A1192" t="s">
        <v>4072</v>
      </c>
      <c r="B1192" t="s">
        <v>1489</v>
      </c>
      <c r="C1192">
        <v>2027</v>
      </c>
      <c r="D1192" t="s">
        <v>536</v>
      </c>
      <c r="E1192" t="s">
        <v>831</v>
      </c>
      <c r="F1192" s="32">
        <v>46395</v>
      </c>
      <c r="G1192" t="s">
        <v>514</v>
      </c>
      <c r="H1192">
        <v>47128977</v>
      </c>
      <c r="I1192" t="s">
        <v>1449</v>
      </c>
      <c r="J1192" t="s">
        <v>1448</v>
      </c>
      <c r="K1192" t="s">
        <v>530</v>
      </c>
      <c r="N1192">
        <v>0</v>
      </c>
      <c r="O1192">
        <v>0</v>
      </c>
      <c r="P1192" t="str">
        <f t="shared" si="18"/>
        <v>N</v>
      </c>
      <c r="Q1192" t="s">
        <v>6922</v>
      </c>
    </row>
    <row r="1193" spans="1:17" x14ac:dyDescent="0.25">
      <c r="A1193" t="s">
        <v>4179</v>
      </c>
      <c r="B1193" t="s">
        <v>916</v>
      </c>
      <c r="C1193">
        <v>2027</v>
      </c>
      <c r="D1193" t="s">
        <v>536</v>
      </c>
      <c r="E1193" t="s">
        <v>831</v>
      </c>
      <c r="F1193" s="32">
        <v>46395</v>
      </c>
      <c r="G1193" t="s">
        <v>514</v>
      </c>
      <c r="H1193">
        <v>47128421</v>
      </c>
      <c r="I1193" t="s">
        <v>1086</v>
      </c>
      <c r="J1193" t="s">
        <v>1085</v>
      </c>
      <c r="K1193" t="s">
        <v>530</v>
      </c>
      <c r="N1193">
        <v>70</v>
      </c>
      <c r="O1193">
        <v>70</v>
      </c>
      <c r="P1193" t="str">
        <f t="shared" si="18"/>
        <v>N</v>
      </c>
      <c r="Q1193" t="s">
        <v>6923</v>
      </c>
    </row>
    <row r="1194" spans="1:17" x14ac:dyDescent="0.25">
      <c r="A1194" t="s">
        <v>4180</v>
      </c>
      <c r="B1194" t="s">
        <v>916</v>
      </c>
      <c r="C1194">
        <v>2027</v>
      </c>
      <c r="D1194" t="s">
        <v>536</v>
      </c>
      <c r="E1194" t="s">
        <v>831</v>
      </c>
      <c r="F1194" s="32">
        <v>46395</v>
      </c>
      <c r="G1194" t="s">
        <v>514</v>
      </c>
      <c r="H1194">
        <v>47128706</v>
      </c>
      <c r="I1194" t="s">
        <v>1201</v>
      </c>
      <c r="J1194" t="s">
        <v>1200</v>
      </c>
      <c r="K1194" t="s">
        <v>530</v>
      </c>
      <c r="N1194">
        <v>0</v>
      </c>
      <c r="O1194">
        <v>0</v>
      </c>
      <c r="P1194" t="str">
        <f t="shared" si="18"/>
        <v>N</v>
      </c>
      <c r="Q1194" t="s">
        <v>6924</v>
      </c>
    </row>
    <row r="1195" spans="1:17" x14ac:dyDescent="0.25">
      <c r="A1195" t="s">
        <v>4181</v>
      </c>
      <c r="B1195" t="s">
        <v>916</v>
      </c>
      <c r="C1195">
        <v>2027</v>
      </c>
      <c r="D1195" t="s">
        <v>536</v>
      </c>
      <c r="E1195" t="s">
        <v>831</v>
      </c>
      <c r="F1195" s="32">
        <v>46395</v>
      </c>
      <c r="G1195" t="s">
        <v>514</v>
      </c>
      <c r="H1195">
        <v>47128364</v>
      </c>
      <c r="I1195" t="s">
        <v>1264</v>
      </c>
      <c r="J1195" t="s">
        <v>1263</v>
      </c>
      <c r="K1195" t="s">
        <v>530</v>
      </c>
      <c r="N1195">
        <v>0</v>
      </c>
      <c r="O1195">
        <v>0</v>
      </c>
      <c r="P1195" t="str">
        <f t="shared" si="18"/>
        <v>N</v>
      </c>
      <c r="Q1195" t="s">
        <v>6925</v>
      </c>
    </row>
    <row r="1196" spans="1:17" x14ac:dyDescent="0.25">
      <c r="A1196" t="s">
        <v>4182</v>
      </c>
      <c r="B1196" t="s">
        <v>916</v>
      </c>
      <c r="C1196">
        <v>2027</v>
      </c>
      <c r="D1196" t="s">
        <v>536</v>
      </c>
      <c r="E1196" t="s">
        <v>831</v>
      </c>
      <c r="F1196" s="32">
        <v>46395</v>
      </c>
      <c r="G1196" t="s">
        <v>514</v>
      </c>
      <c r="H1196">
        <v>47128633</v>
      </c>
      <c r="I1196" t="s">
        <v>1164</v>
      </c>
      <c r="J1196" t="s">
        <v>1163</v>
      </c>
      <c r="K1196" t="s">
        <v>530</v>
      </c>
      <c r="N1196">
        <v>0</v>
      </c>
      <c r="O1196">
        <v>0</v>
      </c>
      <c r="P1196" t="str">
        <f t="shared" si="18"/>
        <v>N</v>
      </c>
      <c r="Q1196" t="s">
        <v>6926</v>
      </c>
    </row>
    <row r="1197" spans="1:17" x14ac:dyDescent="0.25">
      <c r="A1197" t="s">
        <v>4183</v>
      </c>
      <c r="B1197" t="s">
        <v>916</v>
      </c>
      <c r="C1197">
        <v>2027</v>
      </c>
      <c r="D1197" t="s">
        <v>536</v>
      </c>
      <c r="E1197" t="s">
        <v>831</v>
      </c>
      <c r="F1197" s="32">
        <v>46395</v>
      </c>
      <c r="G1197" t="s">
        <v>514</v>
      </c>
      <c r="H1197">
        <v>47128046</v>
      </c>
      <c r="I1197" t="s">
        <v>1389</v>
      </c>
      <c r="J1197" t="s">
        <v>1388</v>
      </c>
      <c r="K1197" t="s">
        <v>530</v>
      </c>
      <c r="N1197">
        <v>0</v>
      </c>
      <c r="O1197">
        <v>0</v>
      </c>
      <c r="P1197" t="str">
        <f t="shared" si="18"/>
        <v>N</v>
      </c>
      <c r="Q1197" t="s">
        <v>6927</v>
      </c>
    </row>
    <row r="1198" spans="1:17" x14ac:dyDescent="0.25">
      <c r="A1198" t="s">
        <v>4184</v>
      </c>
      <c r="B1198" t="s">
        <v>916</v>
      </c>
      <c r="C1198">
        <v>2027</v>
      </c>
      <c r="D1198" t="s">
        <v>536</v>
      </c>
      <c r="E1198" t="s">
        <v>831</v>
      </c>
      <c r="F1198" s="32">
        <v>46395</v>
      </c>
      <c r="G1198" t="s">
        <v>514</v>
      </c>
      <c r="H1198">
        <v>47128355</v>
      </c>
      <c r="I1198" t="s">
        <v>964</v>
      </c>
      <c r="J1198" t="s">
        <v>963</v>
      </c>
      <c r="K1198" t="s">
        <v>530</v>
      </c>
      <c r="N1198">
        <v>0</v>
      </c>
      <c r="O1198">
        <v>0</v>
      </c>
      <c r="P1198" t="str">
        <f t="shared" si="18"/>
        <v>N</v>
      </c>
      <c r="Q1198" t="s">
        <v>6928</v>
      </c>
    </row>
    <row r="1199" spans="1:17" x14ac:dyDescent="0.25">
      <c r="A1199" t="s">
        <v>4185</v>
      </c>
      <c r="B1199" t="s">
        <v>916</v>
      </c>
      <c r="C1199">
        <v>2027</v>
      </c>
      <c r="D1199" t="s">
        <v>536</v>
      </c>
      <c r="E1199" t="s">
        <v>831</v>
      </c>
      <c r="F1199" s="32">
        <v>46395</v>
      </c>
      <c r="G1199" t="s">
        <v>514</v>
      </c>
      <c r="H1199">
        <v>47129548</v>
      </c>
      <c r="I1199" t="s">
        <v>1340</v>
      </c>
      <c r="J1199" t="s">
        <v>1339</v>
      </c>
      <c r="K1199" t="s">
        <v>530</v>
      </c>
      <c r="N1199">
        <v>0</v>
      </c>
      <c r="O1199">
        <v>0</v>
      </c>
      <c r="P1199" t="str">
        <f t="shared" si="18"/>
        <v>N</v>
      </c>
      <c r="Q1199" t="s">
        <v>6929</v>
      </c>
    </row>
    <row r="1200" spans="1:17" x14ac:dyDescent="0.25">
      <c r="A1200" t="s">
        <v>4186</v>
      </c>
      <c r="B1200" t="s">
        <v>916</v>
      </c>
      <c r="C1200">
        <v>2027</v>
      </c>
      <c r="D1200" t="s">
        <v>536</v>
      </c>
      <c r="E1200" t="s">
        <v>831</v>
      </c>
      <c r="F1200" s="32">
        <v>46395</v>
      </c>
      <c r="G1200" t="s">
        <v>514</v>
      </c>
      <c r="H1200">
        <v>47128835</v>
      </c>
      <c r="I1200" t="s">
        <v>998</v>
      </c>
      <c r="J1200" t="s">
        <v>997</v>
      </c>
      <c r="K1200" t="s">
        <v>530</v>
      </c>
      <c r="N1200">
        <v>0</v>
      </c>
      <c r="O1200">
        <v>0</v>
      </c>
      <c r="P1200" t="str">
        <f t="shared" si="18"/>
        <v>N</v>
      </c>
      <c r="Q1200" t="s">
        <v>6930</v>
      </c>
    </row>
    <row r="1201" spans="1:17" x14ac:dyDescent="0.25">
      <c r="A1201" t="s">
        <v>4187</v>
      </c>
      <c r="B1201" t="s">
        <v>916</v>
      </c>
      <c r="C1201">
        <v>2027</v>
      </c>
      <c r="D1201" t="s">
        <v>536</v>
      </c>
      <c r="E1201" t="s">
        <v>831</v>
      </c>
      <c r="F1201" s="32">
        <v>46395</v>
      </c>
      <c r="G1201" t="s">
        <v>514</v>
      </c>
      <c r="H1201">
        <v>47128788</v>
      </c>
      <c r="I1201" t="s">
        <v>4188</v>
      </c>
      <c r="J1201" t="s">
        <v>4189</v>
      </c>
      <c r="K1201" t="s">
        <v>530</v>
      </c>
      <c r="N1201">
        <v>0</v>
      </c>
      <c r="O1201">
        <v>0</v>
      </c>
      <c r="P1201" t="str">
        <f t="shared" si="18"/>
        <v>N</v>
      </c>
      <c r="Q1201" t="s">
        <v>6931</v>
      </c>
    </row>
    <row r="1202" spans="1:17" x14ac:dyDescent="0.25">
      <c r="A1202" t="s">
        <v>4190</v>
      </c>
      <c r="B1202" t="s">
        <v>916</v>
      </c>
      <c r="C1202">
        <v>2027</v>
      </c>
      <c r="D1202" t="s">
        <v>536</v>
      </c>
      <c r="E1202" t="s">
        <v>831</v>
      </c>
      <c r="F1202" s="32">
        <v>46395</v>
      </c>
      <c r="G1202" t="s">
        <v>514</v>
      </c>
      <c r="H1202">
        <v>47136348</v>
      </c>
      <c r="I1202" t="s">
        <v>1025</v>
      </c>
      <c r="J1202" t="s">
        <v>1024</v>
      </c>
      <c r="K1202" t="s">
        <v>530</v>
      </c>
      <c r="N1202">
        <v>0</v>
      </c>
      <c r="O1202">
        <v>0</v>
      </c>
      <c r="P1202" t="str">
        <f t="shared" si="18"/>
        <v>N</v>
      </c>
      <c r="Q1202" t="s">
        <v>6932</v>
      </c>
    </row>
    <row r="1203" spans="1:17" x14ac:dyDescent="0.25">
      <c r="A1203" t="s">
        <v>4191</v>
      </c>
      <c r="B1203" t="s">
        <v>916</v>
      </c>
      <c r="C1203">
        <v>2027</v>
      </c>
      <c r="D1203" t="s">
        <v>536</v>
      </c>
      <c r="E1203" t="s">
        <v>831</v>
      </c>
      <c r="F1203" s="32">
        <v>46395</v>
      </c>
      <c r="G1203" t="s">
        <v>514</v>
      </c>
      <c r="H1203">
        <v>47135083</v>
      </c>
      <c r="I1203" t="s">
        <v>4192</v>
      </c>
      <c r="J1203" t="s">
        <v>4193</v>
      </c>
      <c r="K1203" t="s">
        <v>530</v>
      </c>
      <c r="N1203">
        <v>0</v>
      </c>
      <c r="O1203">
        <v>0</v>
      </c>
      <c r="P1203" t="str">
        <f t="shared" si="18"/>
        <v>N</v>
      </c>
      <c r="Q1203" t="s">
        <v>6933</v>
      </c>
    </row>
    <row r="1204" spans="1:17" x14ac:dyDescent="0.25">
      <c r="A1204" t="s">
        <v>4194</v>
      </c>
      <c r="B1204" t="s">
        <v>916</v>
      </c>
      <c r="C1204">
        <v>2027</v>
      </c>
      <c r="D1204" t="s">
        <v>536</v>
      </c>
      <c r="E1204" t="s">
        <v>831</v>
      </c>
      <c r="F1204" s="32">
        <v>46395</v>
      </c>
      <c r="G1204" t="s">
        <v>514</v>
      </c>
      <c r="H1204">
        <v>47128684</v>
      </c>
      <c r="I1204" t="s">
        <v>1005</v>
      </c>
      <c r="J1204" t="s">
        <v>1004</v>
      </c>
      <c r="K1204" t="s">
        <v>530</v>
      </c>
      <c r="N1204">
        <v>0</v>
      </c>
      <c r="O1204">
        <v>0</v>
      </c>
      <c r="P1204" t="str">
        <f t="shared" si="18"/>
        <v>N</v>
      </c>
      <c r="Q1204" t="s">
        <v>6934</v>
      </c>
    </row>
    <row r="1205" spans="1:17" x14ac:dyDescent="0.25">
      <c r="A1205" t="s">
        <v>4195</v>
      </c>
      <c r="B1205" t="s">
        <v>916</v>
      </c>
      <c r="C1205">
        <v>2027</v>
      </c>
      <c r="D1205" t="s">
        <v>536</v>
      </c>
      <c r="E1205" t="s">
        <v>831</v>
      </c>
      <c r="F1205" s="32">
        <v>46395</v>
      </c>
      <c r="G1205" t="s">
        <v>514</v>
      </c>
      <c r="H1205">
        <v>47128469</v>
      </c>
      <c r="I1205" t="s">
        <v>928</v>
      </c>
      <c r="J1205" t="s">
        <v>927</v>
      </c>
      <c r="K1205" t="s">
        <v>530</v>
      </c>
      <c r="N1205">
        <v>0</v>
      </c>
      <c r="O1205">
        <v>0</v>
      </c>
      <c r="P1205" t="str">
        <f t="shared" si="18"/>
        <v>N</v>
      </c>
      <c r="Q1205" t="s">
        <v>6935</v>
      </c>
    </row>
    <row r="1206" spans="1:17" x14ac:dyDescent="0.25">
      <c r="A1206" t="s">
        <v>4196</v>
      </c>
      <c r="B1206" t="s">
        <v>916</v>
      </c>
      <c r="C1206">
        <v>2027</v>
      </c>
      <c r="D1206" t="s">
        <v>536</v>
      </c>
      <c r="E1206" t="s">
        <v>831</v>
      </c>
      <c r="F1206" s="32">
        <v>46395</v>
      </c>
      <c r="G1206" t="s">
        <v>514</v>
      </c>
      <c r="H1206">
        <v>47128359</v>
      </c>
      <c r="I1206" t="s">
        <v>961</v>
      </c>
      <c r="J1206" t="s">
        <v>960</v>
      </c>
      <c r="K1206" t="s">
        <v>530</v>
      </c>
      <c r="N1206">
        <v>0</v>
      </c>
      <c r="O1206">
        <v>0</v>
      </c>
      <c r="P1206" t="str">
        <f t="shared" si="18"/>
        <v>N</v>
      </c>
      <c r="Q1206" t="s">
        <v>6936</v>
      </c>
    </row>
    <row r="1207" spans="1:17" x14ac:dyDescent="0.25">
      <c r="A1207" t="s">
        <v>4197</v>
      </c>
      <c r="B1207" t="s">
        <v>916</v>
      </c>
      <c r="C1207">
        <v>2027</v>
      </c>
      <c r="D1207" t="s">
        <v>536</v>
      </c>
      <c r="E1207" t="s">
        <v>831</v>
      </c>
      <c r="F1207" s="32">
        <v>46395</v>
      </c>
      <c r="G1207" t="s">
        <v>514</v>
      </c>
      <c r="H1207">
        <v>47128202</v>
      </c>
      <c r="I1207" t="s">
        <v>967</v>
      </c>
      <c r="J1207" t="s">
        <v>966</v>
      </c>
      <c r="K1207" t="s">
        <v>530</v>
      </c>
      <c r="N1207">
        <v>0</v>
      </c>
      <c r="O1207">
        <v>0</v>
      </c>
      <c r="P1207" t="str">
        <f t="shared" si="18"/>
        <v>N</v>
      </c>
      <c r="Q1207" t="s">
        <v>6937</v>
      </c>
    </row>
    <row r="1208" spans="1:17" x14ac:dyDescent="0.25">
      <c r="A1208" t="s">
        <v>4198</v>
      </c>
      <c r="B1208" t="s">
        <v>916</v>
      </c>
      <c r="C1208">
        <v>2027</v>
      </c>
      <c r="D1208" t="s">
        <v>536</v>
      </c>
      <c r="E1208" t="s">
        <v>831</v>
      </c>
      <c r="F1208" s="32">
        <v>46395</v>
      </c>
      <c r="G1208" t="s">
        <v>514</v>
      </c>
      <c r="H1208">
        <v>47128154</v>
      </c>
      <c r="I1208" t="s">
        <v>933</v>
      </c>
      <c r="J1208" t="s">
        <v>932</v>
      </c>
      <c r="K1208" t="s">
        <v>530</v>
      </c>
      <c r="N1208">
        <v>0</v>
      </c>
      <c r="O1208">
        <v>0</v>
      </c>
      <c r="P1208" t="str">
        <f t="shared" si="18"/>
        <v>N</v>
      </c>
      <c r="Q1208" t="s">
        <v>6938</v>
      </c>
    </row>
    <row r="1209" spans="1:17" x14ac:dyDescent="0.25">
      <c r="A1209" t="s">
        <v>4199</v>
      </c>
      <c r="B1209" t="s">
        <v>916</v>
      </c>
      <c r="C1209">
        <v>2027</v>
      </c>
      <c r="D1209" t="s">
        <v>536</v>
      </c>
      <c r="E1209" t="s">
        <v>831</v>
      </c>
      <c r="F1209" s="32">
        <v>46395</v>
      </c>
      <c r="G1209" t="s">
        <v>514</v>
      </c>
      <c r="H1209">
        <v>47128108</v>
      </c>
      <c r="I1209" t="s">
        <v>1011</v>
      </c>
      <c r="J1209" t="s">
        <v>1010</v>
      </c>
      <c r="K1209" t="s">
        <v>530</v>
      </c>
      <c r="N1209">
        <v>0</v>
      </c>
      <c r="O1209">
        <v>0</v>
      </c>
      <c r="P1209" t="str">
        <f t="shared" si="18"/>
        <v>N</v>
      </c>
      <c r="Q1209" t="s">
        <v>6939</v>
      </c>
    </row>
    <row r="1210" spans="1:17" x14ac:dyDescent="0.25">
      <c r="A1210" t="s">
        <v>4200</v>
      </c>
      <c r="B1210" t="s">
        <v>916</v>
      </c>
      <c r="C1210">
        <v>2027</v>
      </c>
      <c r="D1210" t="s">
        <v>536</v>
      </c>
      <c r="E1210" t="s">
        <v>831</v>
      </c>
      <c r="F1210" s="32">
        <v>46395</v>
      </c>
      <c r="G1210" t="s">
        <v>514</v>
      </c>
      <c r="H1210">
        <v>47129069</v>
      </c>
      <c r="I1210" t="s">
        <v>1325</v>
      </c>
      <c r="J1210" t="s">
        <v>1324</v>
      </c>
      <c r="K1210" t="s">
        <v>530</v>
      </c>
      <c r="N1210">
        <v>0</v>
      </c>
      <c r="O1210">
        <v>0</v>
      </c>
      <c r="P1210" t="str">
        <f t="shared" si="18"/>
        <v>N</v>
      </c>
      <c r="Q1210" t="s">
        <v>6940</v>
      </c>
    </row>
    <row r="1211" spans="1:17" x14ac:dyDescent="0.25">
      <c r="A1211" t="s">
        <v>4431</v>
      </c>
      <c r="B1211" t="s">
        <v>4428</v>
      </c>
      <c r="C1211">
        <v>2027</v>
      </c>
      <c r="D1211" t="s">
        <v>536</v>
      </c>
      <c r="E1211" t="s">
        <v>831</v>
      </c>
      <c r="F1211" s="32">
        <v>46395</v>
      </c>
      <c r="G1211" t="s">
        <v>514</v>
      </c>
      <c r="H1211">
        <v>47128132</v>
      </c>
      <c r="I1211" t="s">
        <v>4429</v>
      </c>
      <c r="J1211" t="s">
        <v>4430</v>
      </c>
      <c r="K1211" t="s">
        <v>530</v>
      </c>
      <c r="N1211">
        <v>0</v>
      </c>
      <c r="O1211">
        <v>0</v>
      </c>
      <c r="P1211" t="str">
        <f t="shared" si="18"/>
        <v>N</v>
      </c>
      <c r="Q1211" t="s">
        <v>6941</v>
      </c>
    </row>
    <row r="1212" spans="1:17" x14ac:dyDescent="0.25">
      <c r="A1212" t="s">
        <v>4474</v>
      </c>
      <c r="B1212" t="s">
        <v>4445</v>
      </c>
      <c r="C1212">
        <v>2027</v>
      </c>
      <c r="D1212" t="s">
        <v>536</v>
      </c>
      <c r="E1212" t="s">
        <v>831</v>
      </c>
      <c r="F1212" s="32">
        <v>46395</v>
      </c>
      <c r="G1212" t="s">
        <v>514</v>
      </c>
      <c r="H1212">
        <v>47129711</v>
      </c>
      <c r="I1212" t="s">
        <v>4446</v>
      </c>
      <c r="J1212" t="s">
        <v>4447</v>
      </c>
      <c r="K1212" t="s">
        <v>530</v>
      </c>
      <c r="N1212">
        <v>32</v>
      </c>
      <c r="O1212">
        <v>32</v>
      </c>
      <c r="P1212" t="str">
        <f t="shared" si="18"/>
        <v>N</v>
      </c>
      <c r="Q1212" t="s">
        <v>6942</v>
      </c>
    </row>
    <row r="1213" spans="1:17" x14ac:dyDescent="0.25">
      <c r="A1213" t="s">
        <v>4475</v>
      </c>
      <c r="B1213" t="s">
        <v>4445</v>
      </c>
      <c r="C1213">
        <v>2027</v>
      </c>
      <c r="D1213" t="s">
        <v>536</v>
      </c>
      <c r="E1213" t="s">
        <v>831</v>
      </c>
      <c r="F1213" s="32">
        <v>46395</v>
      </c>
      <c r="G1213" t="s">
        <v>514</v>
      </c>
      <c r="H1213">
        <v>47129228</v>
      </c>
      <c r="I1213" t="s">
        <v>4449</v>
      </c>
      <c r="J1213" t="s">
        <v>4450</v>
      </c>
      <c r="K1213" t="s">
        <v>530</v>
      </c>
      <c r="N1213">
        <v>20</v>
      </c>
      <c r="O1213">
        <v>20</v>
      </c>
      <c r="P1213" t="str">
        <f t="shared" si="18"/>
        <v>N</v>
      </c>
      <c r="Q1213" t="s">
        <v>6943</v>
      </c>
    </row>
    <row r="1214" spans="1:17" x14ac:dyDescent="0.25">
      <c r="A1214" t="s">
        <v>4577</v>
      </c>
      <c r="B1214" t="s">
        <v>1044</v>
      </c>
      <c r="C1214">
        <v>2027</v>
      </c>
      <c r="D1214" t="s">
        <v>536</v>
      </c>
      <c r="E1214" t="s">
        <v>831</v>
      </c>
      <c r="F1214" s="32">
        <v>46395</v>
      </c>
      <c r="G1214" t="s">
        <v>514</v>
      </c>
      <c r="H1214">
        <v>47128967</v>
      </c>
      <c r="I1214" t="s">
        <v>1062</v>
      </c>
      <c r="J1214" t="s">
        <v>1061</v>
      </c>
      <c r="K1214" t="s">
        <v>530</v>
      </c>
      <c r="N1214">
        <v>0</v>
      </c>
      <c r="O1214">
        <v>0</v>
      </c>
      <c r="P1214" t="str">
        <f t="shared" si="18"/>
        <v>N</v>
      </c>
      <c r="Q1214" t="s">
        <v>6944</v>
      </c>
    </row>
    <row r="1215" spans="1:17" x14ac:dyDescent="0.25">
      <c r="A1215" t="s">
        <v>4578</v>
      </c>
      <c r="B1215" t="s">
        <v>1044</v>
      </c>
      <c r="C1215">
        <v>2027</v>
      </c>
      <c r="D1215" t="s">
        <v>536</v>
      </c>
      <c r="E1215" t="s">
        <v>831</v>
      </c>
      <c r="F1215" s="32">
        <v>46395</v>
      </c>
      <c r="G1215" t="s">
        <v>514</v>
      </c>
      <c r="H1215">
        <v>47133720</v>
      </c>
      <c r="I1215" t="s">
        <v>1217</v>
      </c>
      <c r="J1215" t="s">
        <v>1216</v>
      </c>
      <c r="K1215" t="s">
        <v>530</v>
      </c>
      <c r="N1215">
        <v>0</v>
      </c>
      <c r="O1215">
        <v>0</v>
      </c>
      <c r="P1215" t="str">
        <f t="shared" si="18"/>
        <v>N</v>
      </c>
      <c r="Q1215" t="s">
        <v>6945</v>
      </c>
    </row>
    <row r="1216" spans="1:17" x14ac:dyDescent="0.25">
      <c r="A1216" t="s">
        <v>4579</v>
      </c>
      <c r="B1216" t="s">
        <v>1044</v>
      </c>
      <c r="C1216">
        <v>2027</v>
      </c>
      <c r="D1216" t="s">
        <v>536</v>
      </c>
      <c r="E1216" t="s">
        <v>831</v>
      </c>
      <c r="F1216" s="32">
        <v>46395</v>
      </c>
      <c r="G1216" t="s">
        <v>514</v>
      </c>
      <c r="H1216">
        <v>47127948</v>
      </c>
      <c r="I1216" t="s">
        <v>1247</v>
      </c>
      <c r="J1216" t="s">
        <v>1246</v>
      </c>
      <c r="K1216" t="s">
        <v>530</v>
      </c>
      <c r="N1216">
        <v>0</v>
      </c>
      <c r="O1216">
        <v>0</v>
      </c>
      <c r="P1216" t="str">
        <f t="shared" si="18"/>
        <v>N</v>
      </c>
      <c r="Q1216" t="s">
        <v>6946</v>
      </c>
    </row>
    <row r="1217" spans="1:17" x14ac:dyDescent="0.25">
      <c r="A1217" t="s">
        <v>4580</v>
      </c>
      <c r="B1217" t="s">
        <v>1044</v>
      </c>
      <c r="C1217">
        <v>2027</v>
      </c>
      <c r="D1217" t="s">
        <v>536</v>
      </c>
      <c r="E1217" t="s">
        <v>831</v>
      </c>
      <c r="F1217" s="32">
        <v>46395</v>
      </c>
      <c r="G1217" t="s">
        <v>514</v>
      </c>
      <c r="H1217">
        <v>47128710</v>
      </c>
      <c r="I1217" t="s">
        <v>1189</v>
      </c>
      <c r="J1217" t="s">
        <v>1188</v>
      </c>
      <c r="K1217" t="s">
        <v>530</v>
      </c>
      <c r="N1217">
        <v>0</v>
      </c>
      <c r="O1217">
        <v>0</v>
      </c>
      <c r="P1217" t="str">
        <f t="shared" si="18"/>
        <v>N</v>
      </c>
      <c r="Q1217" t="s">
        <v>6947</v>
      </c>
    </row>
    <row r="1218" spans="1:17" x14ac:dyDescent="0.25">
      <c r="A1218" t="s">
        <v>4581</v>
      </c>
      <c r="B1218" t="s">
        <v>1044</v>
      </c>
      <c r="C1218">
        <v>2027</v>
      </c>
      <c r="D1218" t="s">
        <v>536</v>
      </c>
      <c r="E1218" t="s">
        <v>831</v>
      </c>
      <c r="F1218" s="32">
        <v>46395</v>
      </c>
      <c r="G1218" t="s">
        <v>514</v>
      </c>
      <c r="H1218">
        <v>47128572</v>
      </c>
      <c r="I1218" t="s">
        <v>1197</v>
      </c>
      <c r="J1218" t="s">
        <v>1196</v>
      </c>
      <c r="K1218" t="s">
        <v>530</v>
      </c>
      <c r="N1218">
        <v>0</v>
      </c>
      <c r="O1218">
        <v>0</v>
      </c>
      <c r="P1218" t="str">
        <f t="shared" si="18"/>
        <v>N</v>
      </c>
      <c r="Q1218" t="s">
        <v>6948</v>
      </c>
    </row>
    <row r="1219" spans="1:17" x14ac:dyDescent="0.25">
      <c r="A1219" t="s">
        <v>4582</v>
      </c>
      <c r="B1219" t="s">
        <v>1044</v>
      </c>
      <c r="C1219">
        <v>2027</v>
      </c>
      <c r="D1219" t="s">
        <v>536</v>
      </c>
      <c r="E1219" t="s">
        <v>831</v>
      </c>
      <c r="F1219" s="32">
        <v>46395</v>
      </c>
      <c r="G1219" t="s">
        <v>514</v>
      </c>
      <c r="H1219">
        <v>47128482</v>
      </c>
      <c r="I1219" t="s">
        <v>1393</v>
      </c>
      <c r="J1219" t="s">
        <v>1392</v>
      </c>
      <c r="K1219" t="s">
        <v>530</v>
      </c>
      <c r="N1219">
        <v>0</v>
      </c>
      <c r="O1219">
        <v>0</v>
      </c>
      <c r="P1219" t="str">
        <f t="shared" ref="P1219:P1282" si="19">IF(N1219=O1219,"N","Y")</f>
        <v>N</v>
      </c>
      <c r="Q1219" t="s">
        <v>6949</v>
      </c>
    </row>
    <row r="1220" spans="1:17" x14ac:dyDescent="0.25">
      <c r="A1220" t="s">
        <v>4583</v>
      </c>
      <c r="B1220" t="s">
        <v>1044</v>
      </c>
      <c r="C1220">
        <v>2027</v>
      </c>
      <c r="D1220" t="s">
        <v>536</v>
      </c>
      <c r="E1220" t="s">
        <v>831</v>
      </c>
      <c r="F1220" s="32">
        <v>46395</v>
      </c>
      <c r="G1220" t="s">
        <v>514</v>
      </c>
      <c r="H1220">
        <v>47128337</v>
      </c>
      <c r="I1220" t="s">
        <v>1120</v>
      </c>
      <c r="J1220" t="s">
        <v>1119</v>
      </c>
      <c r="K1220" t="s">
        <v>530</v>
      </c>
      <c r="N1220">
        <v>0</v>
      </c>
      <c r="O1220">
        <v>0</v>
      </c>
      <c r="P1220" t="str">
        <f t="shared" si="19"/>
        <v>N</v>
      </c>
      <c r="Q1220" t="s">
        <v>6950</v>
      </c>
    </row>
    <row r="1221" spans="1:17" x14ac:dyDescent="0.25">
      <c r="A1221" t="s">
        <v>4584</v>
      </c>
      <c r="B1221" t="s">
        <v>1044</v>
      </c>
      <c r="C1221">
        <v>2027</v>
      </c>
      <c r="D1221" t="s">
        <v>536</v>
      </c>
      <c r="E1221" t="s">
        <v>831</v>
      </c>
      <c r="F1221" s="32">
        <v>46395</v>
      </c>
      <c r="G1221" t="s">
        <v>514</v>
      </c>
      <c r="H1221">
        <v>47128833</v>
      </c>
      <c r="I1221" t="s">
        <v>1193</v>
      </c>
      <c r="J1221" t="s">
        <v>1192</v>
      </c>
      <c r="K1221" t="s">
        <v>530</v>
      </c>
      <c r="N1221">
        <v>0</v>
      </c>
      <c r="O1221">
        <v>0</v>
      </c>
      <c r="P1221" t="str">
        <f t="shared" si="19"/>
        <v>N</v>
      </c>
      <c r="Q1221" t="s">
        <v>6951</v>
      </c>
    </row>
    <row r="1222" spans="1:17" x14ac:dyDescent="0.25">
      <c r="A1222" t="s">
        <v>4585</v>
      </c>
      <c r="B1222" t="s">
        <v>1044</v>
      </c>
      <c r="C1222">
        <v>2027</v>
      </c>
      <c r="D1222" t="s">
        <v>536</v>
      </c>
      <c r="E1222" t="s">
        <v>831</v>
      </c>
      <c r="F1222" s="32">
        <v>46395</v>
      </c>
      <c r="G1222" t="s">
        <v>514</v>
      </c>
      <c r="H1222">
        <v>47128784</v>
      </c>
      <c r="I1222" t="s">
        <v>1426</v>
      </c>
      <c r="J1222" t="s">
        <v>1425</v>
      </c>
      <c r="K1222" t="s">
        <v>530</v>
      </c>
      <c r="N1222">
        <v>0</v>
      </c>
      <c r="O1222">
        <v>0</v>
      </c>
      <c r="P1222" t="str">
        <f t="shared" si="19"/>
        <v>N</v>
      </c>
      <c r="Q1222" t="s">
        <v>6952</v>
      </c>
    </row>
    <row r="1223" spans="1:17" x14ac:dyDescent="0.25">
      <c r="A1223" t="s">
        <v>4586</v>
      </c>
      <c r="B1223" t="s">
        <v>1044</v>
      </c>
      <c r="C1223">
        <v>2027</v>
      </c>
      <c r="D1223" t="s">
        <v>536</v>
      </c>
      <c r="E1223" t="s">
        <v>831</v>
      </c>
      <c r="F1223" s="32">
        <v>46395</v>
      </c>
      <c r="G1223" t="s">
        <v>514</v>
      </c>
      <c r="H1223">
        <v>47129020</v>
      </c>
      <c r="I1223" t="s">
        <v>1058</v>
      </c>
      <c r="J1223" t="s">
        <v>1057</v>
      </c>
      <c r="K1223" t="s">
        <v>530</v>
      </c>
      <c r="N1223">
        <v>0</v>
      </c>
      <c r="O1223">
        <v>0</v>
      </c>
      <c r="P1223" t="str">
        <f t="shared" si="19"/>
        <v>N</v>
      </c>
      <c r="Q1223" t="s">
        <v>6953</v>
      </c>
    </row>
    <row r="1224" spans="1:17" x14ac:dyDescent="0.25">
      <c r="A1224" t="s">
        <v>4587</v>
      </c>
      <c r="B1224" t="s">
        <v>1044</v>
      </c>
      <c r="C1224">
        <v>2027</v>
      </c>
      <c r="D1224" t="s">
        <v>536</v>
      </c>
      <c r="E1224" t="s">
        <v>831</v>
      </c>
      <c r="F1224" s="32">
        <v>46395</v>
      </c>
      <c r="G1224" t="s">
        <v>514</v>
      </c>
      <c r="H1224">
        <v>47129473</v>
      </c>
      <c r="I1224" t="s">
        <v>1430</v>
      </c>
      <c r="J1224" t="s">
        <v>1429</v>
      </c>
      <c r="K1224" t="s">
        <v>530</v>
      </c>
      <c r="N1224">
        <v>20</v>
      </c>
      <c r="O1224">
        <v>20</v>
      </c>
      <c r="P1224" t="str">
        <f t="shared" si="19"/>
        <v>N</v>
      </c>
      <c r="Q1224" t="s">
        <v>6954</v>
      </c>
    </row>
    <row r="1225" spans="1:17" x14ac:dyDescent="0.25">
      <c r="A1225" t="s">
        <v>4588</v>
      </c>
      <c r="B1225" t="s">
        <v>1044</v>
      </c>
      <c r="C1225">
        <v>2027</v>
      </c>
      <c r="D1225" t="s">
        <v>536</v>
      </c>
      <c r="E1225" t="s">
        <v>831</v>
      </c>
      <c r="F1225" s="32">
        <v>46395</v>
      </c>
      <c r="G1225" t="s">
        <v>514</v>
      </c>
      <c r="H1225">
        <v>47128429</v>
      </c>
      <c r="I1225" t="s">
        <v>1371</v>
      </c>
      <c r="J1225" t="s">
        <v>1370</v>
      </c>
      <c r="K1225" t="s">
        <v>530</v>
      </c>
      <c r="N1225">
        <v>0</v>
      </c>
      <c r="O1225">
        <v>0</v>
      </c>
      <c r="P1225" t="str">
        <f t="shared" si="19"/>
        <v>N</v>
      </c>
      <c r="Q1225" t="s">
        <v>6955</v>
      </c>
    </row>
    <row r="1226" spans="1:17" x14ac:dyDescent="0.25">
      <c r="A1226" t="s">
        <v>4589</v>
      </c>
      <c r="B1226" t="s">
        <v>1044</v>
      </c>
      <c r="C1226">
        <v>2027</v>
      </c>
      <c r="D1226" t="s">
        <v>536</v>
      </c>
      <c r="E1226" t="s">
        <v>831</v>
      </c>
      <c r="F1226" s="32">
        <v>46395</v>
      </c>
      <c r="G1226" t="s">
        <v>514</v>
      </c>
      <c r="H1226">
        <v>47128181</v>
      </c>
      <c r="I1226" t="s">
        <v>1301</v>
      </c>
      <c r="J1226" t="s">
        <v>1300</v>
      </c>
      <c r="K1226" t="s">
        <v>530</v>
      </c>
      <c r="N1226">
        <v>0</v>
      </c>
      <c r="O1226">
        <v>0</v>
      </c>
      <c r="P1226" t="str">
        <f t="shared" si="19"/>
        <v>N</v>
      </c>
      <c r="Q1226" t="s">
        <v>6956</v>
      </c>
    </row>
    <row r="1227" spans="1:17" x14ac:dyDescent="0.25">
      <c r="A1227" t="s">
        <v>4855</v>
      </c>
      <c r="B1227" t="s">
        <v>1090</v>
      </c>
      <c r="C1227">
        <v>2027</v>
      </c>
      <c r="D1227" t="s">
        <v>536</v>
      </c>
      <c r="E1227" t="s">
        <v>831</v>
      </c>
      <c r="F1227" s="32">
        <v>46395</v>
      </c>
      <c r="G1227" t="s">
        <v>514</v>
      </c>
      <c r="H1227">
        <v>47128477</v>
      </c>
      <c r="I1227" t="s">
        <v>1029</v>
      </c>
      <c r="J1227" t="s">
        <v>1028</v>
      </c>
      <c r="K1227" t="s">
        <v>530</v>
      </c>
      <c r="N1227">
        <v>0</v>
      </c>
      <c r="O1227">
        <v>0</v>
      </c>
      <c r="P1227" t="str">
        <f t="shared" si="19"/>
        <v>N</v>
      </c>
      <c r="Q1227" t="s">
        <v>6957</v>
      </c>
    </row>
    <row r="1228" spans="1:17" x14ac:dyDescent="0.25">
      <c r="A1228" t="s">
        <v>4856</v>
      </c>
      <c r="B1228" t="s">
        <v>1090</v>
      </c>
      <c r="C1228">
        <v>2027</v>
      </c>
      <c r="D1228" t="s">
        <v>536</v>
      </c>
      <c r="E1228" t="s">
        <v>831</v>
      </c>
      <c r="F1228" s="32">
        <v>46395</v>
      </c>
      <c r="G1228" t="s">
        <v>514</v>
      </c>
      <c r="H1228">
        <v>47128353</v>
      </c>
      <c r="I1228" t="s">
        <v>982</v>
      </c>
      <c r="J1228" t="s">
        <v>981</v>
      </c>
      <c r="K1228" t="s">
        <v>530</v>
      </c>
      <c r="N1228">
        <v>100</v>
      </c>
      <c r="O1228">
        <v>100</v>
      </c>
      <c r="P1228" t="str">
        <f t="shared" si="19"/>
        <v>N</v>
      </c>
      <c r="Q1228" t="s">
        <v>6958</v>
      </c>
    </row>
    <row r="1229" spans="1:17" x14ac:dyDescent="0.25">
      <c r="A1229" t="s">
        <v>4857</v>
      </c>
      <c r="B1229" t="s">
        <v>1090</v>
      </c>
      <c r="C1229">
        <v>2027</v>
      </c>
      <c r="D1229" t="s">
        <v>536</v>
      </c>
      <c r="E1229" t="s">
        <v>831</v>
      </c>
      <c r="F1229" s="32">
        <v>46395</v>
      </c>
      <c r="G1229" t="s">
        <v>514</v>
      </c>
      <c r="H1229">
        <v>47128350</v>
      </c>
      <c r="I1229" t="s">
        <v>1032</v>
      </c>
      <c r="J1229" t="s">
        <v>1031</v>
      </c>
      <c r="K1229" t="s">
        <v>530</v>
      </c>
      <c r="N1229">
        <v>0</v>
      </c>
      <c r="O1229">
        <v>0</v>
      </c>
      <c r="P1229" t="str">
        <f t="shared" si="19"/>
        <v>N</v>
      </c>
      <c r="Q1229" t="s">
        <v>6959</v>
      </c>
    </row>
    <row r="1230" spans="1:17" x14ac:dyDescent="0.25">
      <c r="A1230" t="s">
        <v>4858</v>
      </c>
      <c r="B1230" t="s">
        <v>1090</v>
      </c>
      <c r="C1230">
        <v>2027</v>
      </c>
      <c r="D1230" t="s">
        <v>536</v>
      </c>
      <c r="E1230" t="s">
        <v>831</v>
      </c>
      <c r="F1230" s="32">
        <v>46395</v>
      </c>
      <c r="G1230" t="s">
        <v>514</v>
      </c>
      <c r="H1230">
        <v>47128349</v>
      </c>
      <c r="I1230" t="s">
        <v>975</v>
      </c>
      <c r="J1230" t="s">
        <v>974</v>
      </c>
      <c r="K1230" t="s">
        <v>530</v>
      </c>
      <c r="N1230">
        <v>0</v>
      </c>
      <c r="O1230">
        <v>0</v>
      </c>
      <c r="P1230" t="str">
        <f t="shared" si="19"/>
        <v>N</v>
      </c>
      <c r="Q1230" t="s">
        <v>6960</v>
      </c>
    </row>
    <row r="1231" spans="1:17" x14ac:dyDescent="0.25">
      <c r="A1231" t="s">
        <v>4859</v>
      </c>
      <c r="B1231" t="s">
        <v>1090</v>
      </c>
      <c r="C1231">
        <v>2027</v>
      </c>
      <c r="D1231" t="s">
        <v>536</v>
      </c>
      <c r="E1231" t="s">
        <v>831</v>
      </c>
      <c r="F1231" s="32">
        <v>46395</v>
      </c>
      <c r="G1231" t="s">
        <v>514</v>
      </c>
      <c r="H1231">
        <v>47128939</v>
      </c>
      <c r="I1231" t="s">
        <v>1224</v>
      </c>
      <c r="J1231" t="s">
        <v>1223</v>
      </c>
      <c r="K1231" t="s">
        <v>530</v>
      </c>
      <c r="N1231">
        <v>34</v>
      </c>
      <c r="O1231">
        <v>34</v>
      </c>
      <c r="P1231" t="str">
        <f t="shared" si="19"/>
        <v>N</v>
      </c>
      <c r="Q1231" t="s">
        <v>6961</v>
      </c>
    </row>
    <row r="1232" spans="1:17" x14ac:dyDescent="0.25">
      <c r="A1232" t="s">
        <v>4860</v>
      </c>
      <c r="B1232" t="s">
        <v>1090</v>
      </c>
      <c r="C1232">
        <v>2027</v>
      </c>
      <c r="D1232" t="s">
        <v>536</v>
      </c>
      <c r="E1232" t="s">
        <v>831</v>
      </c>
      <c r="F1232" s="32">
        <v>46395</v>
      </c>
      <c r="G1232" t="s">
        <v>514</v>
      </c>
      <c r="H1232">
        <v>47128449</v>
      </c>
      <c r="I1232" t="s">
        <v>1364</v>
      </c>
      <c r="J1232" t="s">
        <v>1363</v>
      </c>
      <c r="K1232" t="s">
        <v>530</v>
      </c>
      <c r="N1232">
        <v>2</v>
      </c>
      <c r="O1232">
        <v>2</v>
      </c>
      <c r="P1232" t="str">
        <f t="shared" si="19"/>
        <v>N</v>
      </c>
      <c r="Q1232" t="s">
        <v>6962</v>
      </c>
    </row>
    <row r="1233" spans="1:17" x14ac:dyDescent="0.25">
      <c r="A1233" t="s">
        <v>4861</v>
      </c>
      <c r="B1233" t="s">
        <v>1090</v>
      </c>
      <c r="C1233">
        <v>2027</v>
      </c>
      <c r="D1233" t="s">
        <v>536</v>
      </c>
      <c r="E1233" t="s">
        <v>831</v>
      </c>
      <c r="F1233" s="32">
        <v>46395</v>
      </c>
      <c r="G1233" t="s">
        <v>514</v>
      </c>
      <c r="H1233">
        <v>47128902</v>
      </c>
      <c r="I1233" t="s">
        <v>1243</v>
      </c>
      <c r="J1233" t="s">
        <v>1242</v>
      </c>
      <c r="K1233" t="s">
        <v>530</v>
      </c>
      <c r="N1233">
        <v>0</v>
      </c>
      <c r="O1233">
        <v>0</v>
      </c>
      <c r="P1233" t="str">
        <f t="shared" si="19"/>
        <v>N</v>
      </c>
      <c r="Q1233" t="s">
        <v>6963</v>
      </c>
    </row>
    <row r="1234" spans="1:17" x14ac:dyDescent="0.25">
      <c r="A1234" t="s">
        <v>4862</v>
      </c>
      <c r="B1234" t="s">
        <v>1090</v>
      </c>
      <c r="C1234">
        <v>2027</v>
      </c>
      <c r="D1234" t="s">
        <v>536</v>
      </c>
      <c r="E1234" t="s">
        <v>831</v>
      </c>
      <c r="F1234" s="32">
        <v>46395</v>
      </c>
      <c r="G1234" t="s">
        <v>514</v>
      </c>
      <c r="H1234">
        <v>47128417</v>
      </c>
      <c r="I1234" t="s">
        <v>1069</v>
      </c>
      <c r="J1234" t="s">
        <v>1068</v>
      </c>
      <c r="K1234" t="s">
        <v>530</v>
      </c>
      <c r="N1234">
        <v>0</v>
      </c>
      <c r="O1234">
        <v>0</v>
      </c>
      <c r="P1234" t="str">
        <f t="shared" si="19"/>
        <v>N</v>
      </c>
      <c r="Q1234" t="s">
        <v>6964</v>
      </c>
    </row>
    <row r="1235" spans="1:17" x14ac:dyDescent="0.25">
      <c r="A1235" t="s">
        <v>4863</v>
      </c>
      <c r="B1235" t="s">
        <v>1090</v>
      </c>
      <c r="C1235">
        <v>2027</v>
      </c>
      <c r="D1235" t="s">
        <v>536</v>
      </c>
      <c r="E1235" t="s">
        <v>831</v>
      </c>
      <c r="F1235" s="32">
        <v>46395</v>
      </c>
      <c r="G1235" t="s">
        <v>514</v>
      </c>
      <c r="H1235">
        <v>47129017</v>
      </c>
      <c r="I1235" t="s">
        <v>1073</v>
      </c>
      <c r="J1235" t="s">
        <v>1072</v>
      </c>
      <c r="K1235" t="s">
        <v>530</v>
      </c>
      <c r="N1235">
        <v>0</v>
      </c>
      <c r="O1235">
        <v>0</v>
      </c>
      <c r="P1235" t="str">
        <f t="shared" si="19"/>
        <v>N</v>
      </c>
      <c r="Q1235" t="s">
        <v>6965</v>
      </c>
    </row>
    <row r="1236" spans="1:17" x14ac:dyDescent="0.25">
      <c r="A1236" t="s">
        <v>4864</v>
      </c>
      <c r="B1236" t="s">
        <v>1090</v>
      </c>
      <c r="C1236">
        <v>2027</v>
      </c>
      <c r="D1236" t="s">
        <v>536</v>
      </c>
      <c r="E1236" t="s">
        <v>831</v>
      </c>
      <c r="F1236" s="32">
        <v>46395</v>
      </c>
      <c r="G1236" t="s">
        <v>514</v>
      </c>
      <c r="H1236">
        <v>47128936</v>
      </c>
      <c r="I1236" t="s">
        <v>1173</v>
      </c>
      <c r="J1236" t="s">
        <v>1172</v>
      </c>
      <c r="K1236" t="s">
        <v>530</v>
      </c>
      <c r="N1236">
        <v>0</v>
      </c>
      <c r="O1236">
        <v>0</v>
      </c>
      <c r="P1236" t="str">
        <f t="shared" si="19"/>
        <v>N</v>
      </c>
      <c r="Q1236" t="s">
        <v>6966</v>
      </c>
    </row>
    <row r="1237" spans="1:17" x14ac:dyDescent="0.25">
      <c r="A1237" t="s">
        <v>4865</v>
      </c>
      <c r="B1237" t="s">
        <v>1090</v>
      </c>
      <c r="C1237">
        <v>2027</v>
      </c>
      <c r="D1237" t="s">
        <v>536</v>
      </c>
      <c r="E1237" t="s">
        <v>831</v>
      </c>
      <c r="F1237" s="32">
        <v>46395</v>
      </c>
      <c r="G1237" t="s">
        <v>514</v>
      </c>
      <c r="H1237">
        <v>47129715</v>
      </c>
      <c r="I1237" t="s">
        <v>1272</v>
      </c>
      <c r="J1237" t="s">
        <v>1271</v>
      </c>
      <c r="K1237" t="s">
        <v>530</v>
      </c>
      <c r="N1237">
        <v>0</v>
      </c>
      <c r="O1237">
        <v>0</v>
      </c>
      <c r="P1237" t="str">
        <f t="shared" si="19"/>
        <v>N</v>
      </c>
      <c r="Q1237" t="s">
        <v>6967</v>
      </c>
    </row>
    <row r="1238" spans="1:17" x14ac:dyDescent="0.25">
      <c r="A1238" t="s">
        <v>4866</v>
      </c>
      <c r="B1238" t="s">
        <v>1090</v>
      </c>
      <c r="C1238">
        <v>2027</v>
      </c>
      <c r="D1238" t="s">
        <v>536</v>
      </c>
      <c r="E1238" t="s">
        <v>831</v>
      </c>
      <c r="F1238" s="32">
        <v>46395</v>
      </c>
      <c r="G1238" t="s">
        <v>514</v>
      </c>
      <c r="H1238">
        <v>47129702</v>
      </c>
      <c r="I1238" t="s">
        <v>1309</v>
      </c>
      <c r="J1238" t="s">
        <v>1308</v>
      </c>
      <c r="K1238" t="s">
        <v>530</v>
      </c>
      <c r="N1238">
        <v>0</v>
      </c>
      <c r="O1238">
        <v>0</v>
      </c>
      <c r="P1238" t="str">
        <f t="shared" si="19"/>
        <v>N</v>
      </c>
      <c r="Q1238" t="s">
        <v>6968</v>
      </c>
    </row>
    <row r="1239" spans="1:17" x14ac:dyDescent="0.25">
      <c r="A1239" t="s">
        <v>4867</v>
      </c>
      <c r="B1239" t="s">
        <v>1090</v>
      </c>
      <c r="C1239">
        <v>2027</v>
      </c>
      <c r="D1239" t="s">
        <v>536</v>
      </c>
      <c r="E1239" t="s">
        <v>831</v>
      </c>
      <c r="F1239" s="32">
        <v>46395</v>
      </c>
      <c r="G1239" t="s">
        <v>514</v>
      </c>
      <c r="H1239">
        <v>47128777</v>
      </c>
      <c r="I1239" t="s">
        <v>1329</v>
      </c>
      <c r="J1239" t="s">
        <v>1328</v>
      </c>
      <c r="K1239" t="s">
        <v>530</v>
      </c>
      <c r="N1239">
        <v>0</v>
      </c>
      <c r="O1239">
        <v>0</v>
      </c>
      <c r="P1239" t="str">
        <f t="shared" si="19"/>
        <v>N</v>
      </c>
      <c r="Q1239" t="s">
        <v>6969</v>
      </c>
    </row>
    <row r="1240" spans="1:17" x14ac:dyDescent="0.25">
      <c r="A1240" t="s">
        <v>4868</v>
      </c>
      <c r="B1240" t="s">
        <v>1090</v>
      </c>
      <c r="C1240">
        <v>2027</v>
      </c>
      <c r="D1240" t="s">
        <v>536</v>
      </c>
      <c r="E1240" t="s">
        <v>831</v>
      </c>
      <c r="F1240" s="32">
        <v>46395</v>
      </c>
      <c r="G1240" t="s">
        <v>514</v>
      </c>
      <c r="H1240">
        <v>47148880</v>
      </c>
      <c r="I1240" t="s">
        <v>1305</v>
      </c>
      <c r="J1240" t="s">
        <v>1304</v>
      </c>
      <c r="K1240" t="s">
        <v>530</v>
      </c>
      <c r="N1240">
        <v>0</v>
      </c>
      <c r="O1240">
        <v>0</v>
      </c>
      <c r="P1240" t="str">
        <f t="shared" si="19"/>
        <v>N</v>
      </c>
      <c r="Q1240" t="s">
        <v>6970</v>
      </c>
    </row>
    <row r="1241" spans="1:17" x14ac:dyDescent="0.25">
      <c r="A1241" t="s">
        <v>4869</v>
      </c>
      <c r="B1241" t="s">
        <v>1090</v>
      </c>
      <c r="C1241">
        <v>2027</v>
      </c>
      <c r="D1241" t="s">
        <v>536</v>
      </c>
      <c r="E1241" t="s">
        <v>831</v>
      </c>
      <c r="F1241" s="32">
        <v>46395</v>
      </c>
      <c r="G1241" t="s">
        <v>514</v>
      </c>
      <c r="H1241">
        <v>47128467</v>
      </c>
      <c r="I1241" t="s">
        <v>1292</v>
      </c>
      <c r="J1241" t="s">
        <v>1291</v>
      </c>
      <c r="K1241" t="s">
        <v>530</v>
      </c>
      <c r="N1241">
        <v>0</v>
      </c>
      <c r="O1241">
        <v>0</v>
      </c>
      <c r="P1241" t="str">
        <f t="shared" si="19"/>
        <v>N</v>
      </c>
      <c r="Q1241" t="s">
        <v>6971</v>
      </c>
    </row>
    <row r="1242" spans="1:17" x14ac:dyDescent="0.25">
      <c r="A1242" t="s">
        <v>4870</v>
      </c>
      <c r="B1242" t="s">
        <v>1090</v>
      </c>
      <c r="C1242">
        <v>2027</v>
      </c>
      <c r="D1242" t="s">
        <v>536</v>
      </c>
      <c r="E1242" t="s">
        <v>831</v>
      </c>
      <c r="F1242" s="32">
        <v>46395</v>
      </c>
      <c r="G1242" t="s">
        <v>514</v>
      </c>
      <c r="H1242">
        <v>47128643</v>
      </c>
      <c r="I1242" t="s">
        <v>1367</v>
      </c>
      <c r="J1242" t="s">
        <v>1366</v>
      </c>
      <c r="K1242" t="s">
        <v>530</v>
      </c>
      <c r="N1242">
        <v>0</v>
      </c>
      <c r="O1242">
        <v>0</v>
      </c>
      <c r="P1242" t="str">
        <f t="shared" si="19"/>
        <v>N</v>
      </c>
      <c r="Q1242" t="s">
        <v>6972</v>
      </c>
    </row>
    <row r="1243" spans="1:17" x14ac:dyDescent="0.25">
      <c r="A1243" t="s">
        <v>4871</v>
      </c>
      <c r="B1243" t="s">
        <v>1090</v>
      </c>
      <c r="C1243">
        <v>2027</v>
      </c>
      <c r="D1243" t="s">
        <v>536</v>
      </c>
      <c r="E1243" t="s">
        <v>831</v>
      </c>
      <c r="F1243" s="32">
        <v>46395</v>
      </c>
      <c r="G1243" t="s">
        <v>514</v>
      </c>
      <c r="H1243">
        <v>47151576</v>
      </c>
      <c r="I1243" t="s">
        <v>1506</v>
      </c>
      <c r="J1243" t="s">
        <v>1505</v>
      </c>
      <c r="K1243" t="s">
        <v>530</v>
      </c>
      <c r="N1243">
        <v>0</v>
      </c>
      <c r="O1243">
        <v>0</v>
      </c>
      <c r="P1243" t="str">
        <f t="shared" si="19"/>
        <v>N</v>
      </c>
      <c r="Q1243" t="s">
        <v>6973</v>
      </c>
    </row>
    <row r="1244" spans="1:17" x14ac:dyDescent="0.25">
      <c r="A1244" t="s">
        <v>4872</v>
      </c>
      <c r="B1244" t="s">
        <v>1090</v>
      </c>
      <c r="C1244">
        <v>2027</v>
      </c>
      <c r="D1244" t="s">
        <v>536</v>
      </c>
      <c r="E1244" t="s">
        <v>831</v>
      </c>
      <c r="F1244" s="32">
        <v>46395</v>
      </c>
      <c r="G1244" t="s">
        <v>514</v>
      </c>
      <c r="H1244">
        <v>47129459</v>
      </c>
      <c r="I1244" t="s">
        <v>1321</v>
      </c>
      <c r="J1244" t="s">
        <v>1320</v>
      </c>
      <c r="K1244" t="s">
        <v>530</v>
      </c>
      <c r="N1244">
        <v>0</v>
      </c>
      <c r="O1244">
        <v>0</v>
      </c>
      <c r="P1244" t="str">
        <f t="shared" si="19"/>
        <v>N</v>
      </c>
      <c r="Q1244" t="s">
        <v>6974</v>
      </c>
    </row>
    <row r="1245" spans="1:17" x14ac:dyDescent="0.25">
      <c r="A1245" t="s">
        <v>4873</v>
      </c>
      <c r="B1245" t="s">
        <v>1090</v>
      </c>
      <c r="C1245">
        <v>2027</v>
      </c>
      <c r="D1245" t="s">
        <v>536</v>
      </c>
      <c r="E1245" t="s">
        <v>831</v>
      </c>
      <c r="F1245" s="32">
        <v>46395</v>
      </c>
      <c r="G1245" t="s">
        <v>514</v>
      </c>
      <c r="H1245">
        <v>47129130</v>
      </c>
      <c r="I1245" t="s">
        <v>1434</v>
      </c>
      <c r="J1245" t="s">
        <v>1433</v>
      </c>
      <c r="K1245" t="s">
        <v>530</v>
      </c>
      <c r="N1245">
        <v>0</v>
      </c>
      <c r="O1245">
        <v>0</v>
      </c>
      <c r="P1245" t="str">
        <f t="shared" si="19"/>
        <v>N</v>
      </c>
      <c r="Q1245" t="s">
        <v>6975</v>
      </c>
    </row>
    <row r="1246" spans="1:17" x14ac:dyDescent="0.25">
      <c r="A1246" t="s">
        <v>4874</v>
      </c>
      <c r="B1246" t="s">
        <v>1090</v>
      </c>
      <c r="C1246">
        <v>2027</v>
      </c>
      <c r="D1246" t="s">
        <v>536</v>
      </c>
      <c r="E1246" t="s">
        <v>831</v>
      </c>
      <c r="F1246" s="32">
        <v>46395</v>
      </c>
      <c r="G1246" t="s">
        <v>514</v>
      </c>
      <c r="H1246">
        <v>47129692</v>
      </c>
      <c r="I1246" t="s">
        <v>1475</v>
      </c>
      <c r="J1246" t="s">
        <v>1474</v>
      </c>
      <c r="K1246" t="s">
        <v>530</v>
      </c>
      <c r="N1246">
        <v>0</v>
      </c>
      <c r="O1246">
        <v>0</v>
      </c>
      <c r="P1246" t="str">
        <f t="shared" si="19"/>
        <v>N</v>
      </c>
      <c r="Q1246" t="s">
        <v>6976</v>
      </c>
    </row>
    <row r="1247" spans="1:17" x14ac:dyDescent="0.25">
      <c r="A1247" t="s">
        <v>4875</v>
      </c>
      <c r="B1247" t="s">
        <v>1090</v>
      </c>
      <c r="C1247">
        <v>2027</v>
      </c>
      <c r="D1247" t="s">
        <v>536</v>
      </c>
      <c r="E1247" t="s">
        <v>831</v>
      </c>
      <c r="F1247" s="32">
        <v>46395</v>
      </c>
      <c r="G1247" t="s">
        <v>514</v>
      </c>
      <c r="H1247">
        <v>47153262</v>
      </c>
      <c r="I1247" t="s">
        <v>1502</v>
      </c>
      <c r="J1247" t="s">
        <v>1501</v>
      </c>
      <c r="K1247" t="s">
        <v>530</v>
      </c>
      <c r="N1247">
        <v>0</v>
      </c>
      <c r="O1247">
        <v>0</v>
      </c>
      <c r="P1247" t="str">
        <f t="shared" si="19"/>
        <v>N</v>
      </c>
      <c r="Q1247" t="s">
        <v>6977</v>
      </c>
    </row>
    <row r="1248" spans="1:17" x14ac:dyDescent="0.25">
      <c r="A1248" t="s">
        <v>4876</v>
      </c>
      <c r="B1248" t="s">
        <v>1090</v>
      </c>
      <c r="C1248">
        <v>2027</v>
      </c>
      <c r="D1248" t="s">
        <v>536</v>
      </c>
      <c r="E1248" t="s">
        <v>831</v>
      </c>
      <c r="F1248" s="32">
        <v>46395</v>
      </c>
      <c r="G1248" t="s">
        <v>514</v>
      </c>
      <c r="H1248">
        <v>47146895</v>
      </c>
      <c r="I1248" t="s">
        <v>1375</v>
      </c>
      <c r="J1248" t="s">
        <v>1374</v>
      </c>
      <c r="K1248" t="s">
        <v>530</v>
      </c>
      <c r="N1248">
        <v>0</v>
      </c>
      <c r="O1248">
        <v>0</v>
      </c>
      <c r="P1248" t="str">
        <f t="shared" si="19"/>
        <v>N</v>
      </c>
      <c r="Q1248" t="s">
        <v>6978</v>
      </c>
    </row>
    <row r="1249" spans="1:17" x14ac:dyDescent="0.25">
      <c r="A1249" t="s">
        <v>4877</v>
      </c>
      <c r="B1249" t="s">
        <v>1090</v>
      </c>
      <c r="C1249">
        <v>2027</v>
      </c>
      <c r="D1249" t="s">
        <v>536</v>
      </c>
      <c r="E1249" t="s">
        <v>831</v>
      </c>
      <c r="F1249" s="32">
        <v>46395</v>
      </c>
      <c r="G1249" t="s">
        <v>514</v>
      </c>
      <c r="H1249">
        <v>47128115</v>
      </c>
      <c r="I1249" t="s">
        <v>1260</v>
      </c>
      <c r="J1249" t="s">
        <v>1499</v>
      </c>
      <c r="K1249" t="s">
        <v>530</v>
      </c>
      <c r="N1249">
        <v>0</v>
      </c>
      <c r="O1249">
        <v>0</v>
      </c>
      <c r="P1249" t="str">
        <f t="shared" si="19"/>
        <v>N</v>
      </c>
      <c r="Q1249" t="s">
        <v>6979</v>
      </c>
    </row>
    <row r="1250" spans="1:17" x14ac:dyDescent="0.25">
      <c r="A1250" t="s">
        <v>4878</v>
      </c>
      <c r="B1250" t="s">
        <v>1090</v>
      </c>
      <c r="C1250">
        <v>2027</v>
      </c>
      <c r="D1250" t="s">
        <v>536</v>
      </c>
      <c r="E1250" t="s">
        <v>831</v>
      </c>
      <c r="F1250" s="32">
        <v>46395</v>
      </c>
      <c r="G1250" t="s">
        <v>514</v>
      </c>
      <c r="H1250">
        <v>47129679</v>
      </c>
      <c r="I1250" t="s">
        <v>1422</v>
      </c>
      <c r="J1250" t="s">
        <v>1421</v>
      </c>
      <c r="K1250" t="s">
        <v>530</v>
      </c>
      <c r="N1250">
        <v>0</v>
      </c>
      <c r="O1250">
        <v>0</v>
      </c>
      <c r="P1250" t="str">
        <f t="shared" si="19"/>
        <v>N</v>
      </c>
      <c r="Q1250" t="s">
        <v>6980</v>
      </c>
    </row>
    <row r="1251" spans="1:17" x14ac:dyDescent="0.25">
      <c r="A1251" t="s">
        <v>4879</v>
      </c>
      <c r="B1251" t="s">
        <v>1090</v>
      </c>
      <c r="C1251">
        <v>2027</v>
      </c>
      <c r="D1251" t="s">
        <v>536</v>
      </c>
      <c r="E1251" t="s">
        <v>831</v>
      </c>
      <c r="F1251" s="32">
        <v>46395</v>
      </c>
      <c r="G1251" t="s">
        <v>514</v>
      </c>
      <c r="H1251">
        <v>47129432</v>
      </c>
      <c r="I1251" t="s">
        <v>1468</v>
      </c>
      <c r="J1251" t="s">
        <v>1467</v>
      </c>
      <c r="K1251" t="s">
        <v>530</v>
      </c>
      <c r="N1251">
        <v>0</v>
      </c>
      <c r="O1251">
        <v>0</v>
      </c>
      <c r="P1251" t="str">
        <f t="shared" si="19"/>
        <v>N</v>
      </c>
      <c r="Q1251" t="s">
        <v>6981</v>
      </c>
    </row>
    <row r="1252" spans="1:17" x14ac:dyDescent="0.25">
      <c r="A1252" t="s">
        <v>4880</v>
      </c>
      <c r="B1252" t="s">
        <v>1090</v>
      </c>
      <c r="C1252">
        <v>2027</v>
      </c>
      <c r="D1252" t="s">
        <v>536</v>
      </c>
      <c r="E1252" t="s">
        <v>831</v>
      </c>
      <c r="F1252" s="32">
        <v>46395</v>
      </c>
      <c r="G1252" t="s">
        <v>514</v>
      </c>
      <c r="H1252">
        <v>47129050</v>
      </c>
      <c r="I1252" t="s">
        <v>1482</v>
      </c>
      <c r="J1252" t="s">
        <v>1481</v>
      </c>
      <c r="K1252" t="s">
        <v>530</v>
      </c>
      <c r="N1252">
        <v>0</v>
      </c>
      <c r="O1252">
        <v>0</v>
      </c>
      <c r="P1252" t="str">
        <f t="shared" si="19"/>
        <v>N</v>
      </c>
      <c r="Q1252" t="s">
        <v>6982</v>
      </c>
    </row>
    <row r="1253" spans="1:17" x14ac:dyDescent="0.25">
      <c r="A1253" t="s">
        <v>4881</v>
      </c>
      <c r="B1253" t="s">
        <v>1090</v>
      </c>
      <c r="C1253">
        <v>2027</v>
      </c>
      <c r="D1253" t="s">
        <v>536</v>
      </c>
      <c r="E1253" t="s">
        <v>831</v>
      </c>
      <c r="F1253" s="32">
        <v>46395</v>
      </c>
      <c r="G1253" t="s">
        <v>514</v>
      </c>
      <c r="H1253">
        <v>47148279</v>
      </c>
      <c r="I1253" t="s">
        <v>1236</v>
      </c>
      <c r="J1253" t="s">
        <v>1235</v>
      </c>
      <c r="K1253" t="s">
        <v>530</v>
      </c>
      <c r="N1253">
        <v>0</v>
      </c>
      <c r="O1253">
        <v>0</v>
      </c>
      <c r="P1253" t="str">
        <f t="shared" si="19"/>
        <v>N</v>
      </c>
      <c r="Q1253" t="s">
        <v>6983</v>
      </c>
    </row>
    <row r="1254" spans="1:17" x14ac:dyDescent="0.25">
      <c r="A1254" t="s">
        <v>5236</v>
      </c>
      <c r="B1254" t="s">
        <v>1089</v>
      </c>
      <c r="C1254">
        <v>2027</v>
      </c>
      <c r="D1254" t="s">
        <v>536</v>
      </c>
      <c r="E1254" t="s">
        <v>831</v>
      </c>
      <c r="F1254" s="32">
        <v>46395</v>
      </c>
      <c r="G1254" t="s">
        <v>514</v>
      </c>
      <c r="H1254">
        <v>47128421</v>
      </c>
      <c r="I1254" t="s">
        <v>1086</v>
      </c>
      <c r="J1254" t="s">
        <v>1085</v>
      </c>
      <c r="K1254" t="s">
        <v>530</v>
      </c>
      <c r="N1254">
        <v>70</v>
      </c>
      <c r="O1254">
        <v>70</v>
      </c>
      <c r="P1254" t="str">
        <f t="shared" si="19"/>
        <v>N</v>
      </c>
      <c r="Q1254" t="s">
        <v>6984</v>
      </c>
    </row>
    <row r="1255" spans="1:17" x14ac:dyDescent="0.25">
      <c r="A1255" t="s">
        <v>5237</v>
      </c>
      <c r="B1255" t="s">
        <v>1089</v>
      </c>
      <c r="C1255">
        <v>2027</v>
      </c>
      <c r="D1255" t="s">
        <v>536</v>
      </c>
      <c r="E1255" t="s">
        <v>831</v>
      </c>
      <c r="F1255" s="32">
        <v>46395</v>
      </c>
      <c r="G1255" t="s">
        <v>514</v>
      </c>
      <c r="H1255">
        <v>47128706</v>
      </c>
      <c r="I1255" t="s">
        <v>1201</v>
      </c>
      <c r="J1255" t="s">
        <v>1200</v>
      </c>
      <c r="K1255" t="s">
        <v>530</v>
      </c>
      <c r="N1255">
        <v>0</v>
      </c>
      <c r="O1255">
        <v>0</v>
      </c>
      <c r="P1255" t="str">
        <f t="shared" si="19"/>
        <v>N</v>
      </c>
      <c r="Q1255" t="s">
        <v>6985</v>
      </c>
    </row>
    <row r="1256" spans="1:17" x14ac:dyDescent="0.25">
      <c r="A1256" t="s">
        <v>5238</v>
      </c>
      <c r="B1256" t="s">
        <v>1089</v>
      </c>
      <c r="C1256">
        <v>2027</v>
      </c>
      <c r="D1256" t="s">
        <v>536</v>
      </c>
      <c r="E1256" t="s">
        <v>831</v>
      </c>
      <c r="F1256" s="32">
        <v>46395</v>
      </c>
      <c r="G1256" t="s">
        <v>514</v>
      </c>
      <c r="H1256">
        <v>47128364</v>
      </c>
      <c r="I1256" t="s">
        <v>1264</v>
      </c>
      <c r="J1256" t="s">
        <v>1263</v>
      </c>
      <c r="K1256" t="s">
        <v>530</v>
      </c>
      <c r="N1256">
        <v>0</v>
      </c>
      <c r="O1256">
        <v>0</v>
      </c>
      <c r="P1256" t="str">
        <f t="shared" si="19"/>
        <v>N</v>
      </c>
      <c r="Q1256" t="s">
        <v>6986</v>
      </c>
    </row>
    <row r="1257" spans="1:17" x14ac:dyDescent="0.25">
      <c r="A1257" t="s">
        <v>5239</v>
      </c>
      <c r="B1257" t="s">
        <v>1089</v>
      </c>
      <c r="C1257">
        <v>2027</v>
      </c>
      <c r="D1257" t="s">
        <v>536</v>
      </c>
      <c r="E1257" t="s">
        <v>831</v>
      </c>
      <c r="F1257" s="32">
        <v>46395</v>
      </c>
      <c r="G1257" t="s">
        <v>514</v>
      </c>
      <c r="H1257">
        <v>47128633</v>
      </c>
      <c r="I1257" t="s">
        <v>1164</v>
      </c>
      <c r="J1257" t="s">
        <v>1163</v>
      </c>
      <c r="K1257" t="s">
        <v>530</v>
      </c>
      <c r="N1257">
        <v>0</v>
      </c>
      <c r="O1257">
        <v>0</v>
      </c>
      <c r="P1257" t="str">
        <f t="shared" si="19"/>
        <v>N</v>
      </c>
      <c r="Q1257" t="s">
        <v>6987</v>
      </c>
    </row>
    <row r="1258" spans="1:17" x14ac:dyDescent="0.25">
      <c r="A1258" t="s">
        <v>5240</v>
      </c>
      <c r="B1258" t="s">
        <v>1089</v>
      </c>
      <c r="C1258">
        <v>2027</v>
      </c>
      <c r="D1258" t="s">
        <v>536</v>
      </c>
      <c r="E1258" t="s">
        <v>831</v>
      </c>
      <c r="F1258" s="32">
        <v>46395</v>
      </c>
      <c r="G1258" t="s">
        <v>514</v>
      </c>
      <c r="H1258">
        <v>47128046</v>
      </c>
      <c r="I1258" t="s">
        <v>1389</v>
      </c>
      <c r="J1258" t="s">
        <v>1388</v>
      </c>
      <c r="K1258" t="s">
        <v>530</v>
      </c>
      <c r="N1258">
        <v>0</v>
      </c>
      <c r="O1258">
        <v>0</v>
      </c>
      <c r="P1258" t="str">
        <f t="shared" si="19"/>
        <v>N</v>
      </c>
      <c r="Q1258" t="s">
        <v>6988</v>
      </c>
    </row>
    <row r="1259" spans="1:17" x14ac:dyDescent="0.25">
      <c r="A1259" t="s">
        <v>5241</v>
      </c>
      <c r="B1259" t="s">
        <v>1089</v>
      </c>
      <c r="C1259">
        <v>2027</v>
      </c>
      <c r="D1259" t="s">
        <v>536</v>
      </c>
      <c r="E1259" t="s">
        <v>831</v>
      </c>
      <c r="F1259" s="32">
        <v>46395</v>
      </c>
      <c r="G1259" t="s">
        <v>514</v>
      </c>
      <c r="H1259">
        <v>47129548</v>
      </c>
      <c r="I1259" t="s">
        <v>1340</v>
      </c>
      <c r="J1259" t="s">
        <v>1339</v>
      </c>
      <c r="K1259" t="s">
        <v>530</v>
      </c>
      <c r="N1259">
        <v>0</v>
      </c>
      <c r="O1259">
        <v>0</v>
      </c>
      <c r="P1259" t="str">
        <f t="shared" si="19"/>
        <v>N</v>
      </c>
      <c r="Q1259" t="s">
        <v>6989</v>
      </c>
    </row>
    <row r="1260" spans="1:17" x14ac:dyDescent="0.25">
      <c r="A1260" t="s">
        <v>5242</v>
      </c>
      <c r="B1260" t="s">
        <v>1089</v>
      </c>
      <c r="C1260">
        <v>2027</v>
      </c>
      <c r="D1260" t="s">
        <v>536</v>
      </c>
      <c r="E1260" t="s">
        <v>831</v>
      </c>
      <c r="F1260" s="32">
        <v>46395</v>
      </c>
      <c r="G1260" t="s">
        <v>514</v>
      </c>
      <c r="H1260">
        <v>47128835</v>
      </c>
      <c r="I1260" t="s">
        <v>998</v>
      </c>
      <c r="J1260" t="s">
        <v>997</v>
      </c>
      <c r="K1260" t="s">
        <v>530</v>
      </c>
      <c r="N1260">
        <v>0</v>
      </c>
      <c r="O1260">
        <v>0</v>
      </c>
      <c r="P1260" t="str">
        <f t="shared" si="19"/>
        <v>N</v>
      </c>
      <c r="Q1260" t="s">
        <v>6990</v>
      </c>
    </row>
    <row r="1261" spans="1:17" x14ac:dyDescent="0.25">
      <c r="A1261" t="s">
        <v>5243</v>
      </c>
      <c r="B1261" t="s">
        <v>1089</v>
      </c>
      <c r="C1261">
        <v>2027</v>
      </c>
      <c r="D1261" t="s">
        <v>536</v>
      </c>
      <c r="E1261" t="s">
        <v>831</v>
      </c>
      <c r="F1261" s="32">
        <v>46395</v>
      </c>
      <c r="G1261" t="s">
        <v>514</v>
      </c>
      <c r="H1261">
        <v>47128788</v>
      </c>
      <c r="I1261" t="s">
        <v>4188</v>
      </c>
      <c r="J1261" t="s">
        <v>4189</v>
      </c>
      <c r="K1261" t="s">
        <v>530</v>
      </c>
      <c r="N1261">
        <v>0</v>
      </c>
      <c r="O1261">
        <v>0</v>
      </c>
      <c r="P1261" t="str">
        <f t="shared" si="19"/>
        <v>N</v>
      </c>
      <c r="Q1261" t="s">
        <v>6991</v>
      </c>
    </row>
    <row r="1262" spans="1:17" x14ac:dyDescent="0.25">
      <c r="A1262" t="s">
        <v>5244</v>
      </c>
      <c r="B1262" t="s">
        <v>1089</v>
      </c>
      <c r="C1262">
        <v>2027</v>
      </c>
      <c r="D1262" t="s">
        <v>536</v>
      </c>
      <c r="E1262" t="s">
        <v>831</v>
      </c>
      <c r="F1262" s="32">
        <v>46395</v>
      </c>
      <c r="G1262" t="s">
        <v>514</v>
      </c>
      <c r="H1262">
        <v>47136348</v>
      </c>
      <c r="I1262" t="s">
        <v>1025</v>
      </c>
      <c r="J1262" t="s">
        <v>1024</v>
      </c>
      <c r="K1262" t="s">
        <v>530</v>
      </c>
      <c r="N1262">
        <v>0</v>
      </c>
      <c r="O1262">
        <v>0</v>
      </c>
      <c r="P1262" t="str">
        <f t="shared" si="19"/>
        <v>N</v>
      </c>
      <c r="Q1262" t="s">
        <v>6992</v>
      </c>
    </row>
    <row r="1263" spans="1:17" x14ac:dyDescent="0.25">
      <c r="A1263" t="s">
        <v>5245</v>
      </c>
      <c r="B1263" t="s">
        <v>1089</v>
      </c>
      <c r="C1263">
        <v>2027</v>
      </c>
      <c r="D1263" t="s">
        <v>536</v>
      </c>
      <c r="E1263" t="s">
        <v>831</v>
      </c>
      <c r="F1263" s="32">
        <v>46395</v>
      </c>
      <c r="G1263" t="s">
        <v>514</v>
      </c>
      <c r="H1263">
        <v>47135083</v>
      </c>
      <c r="I1263" t="s">
        <v>4192</v>
      </c>
      <c r="J1263" t="s">
        <v>4193</v>
      </c>
      <c r="K1263" t="s">
        <v>530</v>
      </c>
      <c r="N1263">
        <v>0</v>
      </c>
      <c r="O1263">
        <v>0</v>
      </c>
      <c r="P1263" t="str">
        <f t="shared" si="19"/>
        <v>N</v>
      </c>
      <c r="Q1263" t="s">
        <v>6993</v>
      </c>
    </row>
    <row r="1264" spans="1:17" x14ac:dyDescent="0.25">
      <c r="A1264" t="s">
        <v>5246</v>
      </c>
      <c r="B1264" t="s">
        <v>1089</v>
      </c>
      <c r="C1264">
        <v>2027</v>
      </c>
      <c r="D1264" t="s">
        <v>536</v>
      </c>
      <c r="E1264" t="s">
        <v>831</v>
      </c>
      <c r="F1264" s="32">
        <v>46395</v>
      </c>
      <c r="G1264" t="s">
        <v>514</v>
      </c>
      <c r="H1264">
        <v>47128515</v>
      </c>
      <c r="I1264" t="s">
        <v>1185</v>
      </c>
      <c r="J1264" t="s">
        <v>1184</v>
      </c>
      <c r="K1264" t="s">
        <v>530</v>
      </c>
      <c r="N1264">
        <v>0</v>
      </c>
      <c r="O1264">
        <v>0</v>
      </c>
      <c r="P1264" t="str">
        <f t="shared" si="19"/>
        <v>N</v>
      </c>
      <c r="Q1264" t="s">
        <v>6994</v>
      </c>
    </row>
    <row r="1265" spans="1:17" x14ac:dyDescent="0.25">
      <c r="A1265" t="s">
        <v>5247</v>
      </c>
      <c r="B1265" t="s">
        <v>1089</v>
      </c>
      <c r="C1265">
        <v>2027</v>
      </c>
      <c r="D1265" t="s">
        <v>536</v>
      </c>
      <c r="E1265" t="s">
        <v>831</v>
      </c>
      <c r="F1265" s="32">
        <v>46395</v>
      </c>
      <c r="G1265" t="s">
        <v>514</v>
      </c>
      <c r="H1265">
        <v>47128472</v>
      </c>
      <c r="I1265" t="s">
        <v>995</v>
      </c>
      <c r="J1265" t="s">
        <v>994</v>
      </c>
      <c r="K1265" t="s">
        <v>530</v>
      </c>
      <c r="N1265">
        <v>0</v>
      </c>
      <c r="O1265">
        <v>0</v>
      </c>
      <c r="P1265" t="str">
        <f t="shared" si="19"/>
        <v>N</v>
      </c>
      <c r="Q1265" t="s">
        <v>6995</v>
      </c>
    </row>
    <row r="1266" spans="1:17" x14ac:dyDescent="0.25">
      <c r="A1266" t="s">
        <v>5248</v>
      </c>
      <c r="B1266" t="s">
        <v>1089</v>
      </c>
      <c r="C1266">
        <v>2027</v>
      </c>
      <c r="D1266" t="s">
        <v>536</v>
      </c>
      <c r="E1266" t="s">
        <v>831</v>
      </c>
      <c r="F1266" s="32">
        <v>46395</v>
      </c>
      <c r="G1266" t="s">
        <v>514</v>
      </c>
      <c r="H1266">
        <v>47128202</v>
      </c>
      <c r="I1266" t="s">
        <v>967</v>
      </c>
      <c r="J1266" t="s">
        <v>966</v>
      </c>
      <c r="K1266" t="s">
        <v>530</v>
      </c>
      <c r="N1266">
        <v>0</v>
      </c>
      <c r="O1266">
        <v>0</v>
      </c>
      <c r="P1266" t="str">
        <f t="shared" si="19"/>
        <v>N</v>
      </c>
      <c r="Q1266" t="s">
        <v>6996</v>
      </c>
    </row>
    <row r="1267" spans="1:17" x14ac:dyDescent="0.25">
      <c r="A1267" t="s">
        <v>5249</v>
      </c>
      <c r="B1267" t="s">
        <v>1089</v>
      </c>
      <c r="C1267">
        <v>2027</v>
      </c>
      <c r="D1267" t="s">
        <v>536</v>
      </c>
      <c r="E1267" t="s">
        <v>831</v>
      </c>
      <c r="F1267" s="32">
        <v>46395</v>
      </c>
      <c r="G1267" t="s">
        <v>514</v>
      </c>
      <c r="H1267">
        <v>47128132</v>
      </c>
      <c r="I1267" t="s">
        <v>4429</v>
      </c>
      <c r="J1267" t="s">
        <v>4430</v>
      </c>
      <c r="K1267" t="s">
        <v>530</v>
      </c>
      <c r="N1267">
        <v>0</v>
      </c>
      <c r="O1267">
        <v>0</v>
      </c>
      <c r="P1267" t="str">
        <f t="shared" si="19"/>
        <v>N</v>
      </c>
      <c r="Q1267" t="s">
        <v>6997</v>
      </c>
    </row>
    <row r="1268" spans="1:17" x14ac:dyDescent="0.25">
      <c r="A1268" t="s">
        <v>5250</v>
      </c>
      <c r="B1268" t="s">
        <v>1089</v>
      </c>
      <c r="C1268">
        <v>2027</v>
      </c>
      <c r="D1268" t="s">
        <v>536</v>
      </c>
      <c r="E1268" t="s">
        <v>831</v>
      </c>
      <c r="F1268" s="32">
        <v>46395</v>
      </c>
      <c r="G1268" t="s">
        <v>514</v>
      </c>
      <c r="H1268">
        <v>47127971</v>
      </c>
      <c r="I1268" t="s">
        <v>991</v>
      </c>
      <c r="J1268" t="s">
        <v>990</v>
      </c>
      <c r="K1268" t="s">
        <v>530</v>
      </c>
      <c r="N1268">
        <v>0</v>
      </c>
      <c r="O1268">
        <v>0</v>
      </c>
      <c r="P1268" t="str">
        <f t="shared" si="19"/>
        <v>N</v>
      </c>
      <c r="Q1268" t="s">
        <v>6998</v>
      </c>
    </row>
    <row r="1269" spans="1:17" x14ac:dyDescent="0.25">
      <c r="A1269" t="s">
        <v>5510</v>
      </c>
      <c r="B1269" t="s">
        <v>5437</v>
      </c>
      <c r="C1269">
        <v>2027</v>
      </c>
      <c r="D1269" t="s">
        <v>536</v>
      </c>
      <c r="E1269" t="s">
        <v>831</v>
      </c>
      <c r="F1269" s="32">
        <v>46395</v>
      </c>
      <c r="G1269" t="s">
        <v>514</v>
      </c>
      <c r="H1269">
        <v>47128967</v>
      </c>
      <c r="I1269" t="s">
        <v>1062</v>
      </c>
      <c r="J1269" t="s">
        <v>1061</v>
      </c>
      <c r="K1269" t="s">
        <v>530</v>
      </c>
      <c r="N1269">
        <v>0</v>
      </c>
      <c r="O1269">
        <v>0</v>
      </c>
      <c r="P1269" t="str">
        <f t="shared" si="19"/>
        <v>N</v>
      </c>
      <c r="Q1269" t="s">
        <v>6999</v>
      </c>
    </row>
    <row r="1270" spans="1:17" x14ac:dyDescent="0.25">
      <c r="A1270" t="s">
        <v>5511</v>
      </c>
      <c r="B1270" t="s">
        <v>5437</v>
      </c>
      <c r="C1270">
        <v>2027</v>
      </c>
      <c r="D1270" t="s">
        <v>536</v>
      </c>
      <c r="E1270" t="s">
        <v>831</v>
      </c>
      <c r="F1270" s="32">
        <v>46395</v>
      </c>
      <c r="G1270" t="s">
        <v>514</v>
      </c>
      <c r="H1270">
        <v>47127948</v>
      </c>
      <c r="I1270" t="s">
        <v>1247</v>
      </c>
      <c r="J1270" t="s">
        <v>1246</v>
      </c>
      <c r="K1270" t="s">
        <v>530</v>
      </c>
      <c r="N1270">
        <v>0</v>
      </c>
      <c r="O1270">
        <v>0</v>
      </c>
      <c r="P1270" t="str">
        <f t="shared" si="19"/>
        <v>N</v>
      </c>
      <c r="Q1270" t="s">
        <v>7000</v>
      </c>
    </row>
    <row r="1271" spans="1:17" x14ac:dyDescent="0.25">
      <c r="A1271" t="s">
        <v>5512</v>
      </c>
      <c r="B1271" t="s">
        <v>5437</v>
      </c>
      <c r="C1271">
        <v>2027</v>
      </c>
      <c r="D1271" t="s">
        <v>536</v>
      </c>
      <c r="E1271" t="s">
        <v>831</v>
      </c>
      <c r="F1271" s="32">
        <v>46395</v>
      </c>
      <c r="G1271" t="s">
        <v>514</v>
      </c>
      <c r="H1271">
        <v>47128710</v>
      </c>
      <c r="I1271" t="s">
        <v>1189</v>
      </c>
      <c r="J1271" t="s">
        <v>1188</v>
      </c>
      <c r="K1271" t="s">
        <v>530</v>
      </c>
      <c r="N1271">
        <v>0</v>
      </c>
      <c r="O1271">
        <v>0</v>
      </c>
      <c r="P1271" t="str">
        <f t="shared" si="19"/>
        <v>N</v>
      </c>
      <c r="Q1271" t="s">
        <v>7001</v>
      </c>
    </row>
    <row r="1272" spans="1:17" x14ac:dyDescent="0.25">
      <c r="A1272" t="s">
        <v>5513</v>
      </c>
      <c r="B1272" t="s">
        <v>5437</v>
      </c>
      <c r="C1272">
        <v>2027</v>
      </c>
      <c r="D1272" t="s">
        <v>536</v>
      </c>
      <c r="E1272" t="s">
        <v>831</v>
      </c>
      <c r="F1272" s="32">
        <v>46395</v>
      </c>
      <c r="G1272" t="s">
        <v>514</v>
      </c>
      <c r="H1272">
        <v>47128572</v>
      </c>
      <c r="I1272" t="s">
        <v>1197</v>
      </c>
      <c r="J1272" t="s">
        <v>1196</v>
      </c>
      <c r="K1272" t="s">
        <v>530</v>
      </c>
      <c r="N1272">
        <v>0</v>
      </c>
      <c r="O1272">
        <v>0</v>
      </c>
      <c r="P1272" t="str">
        <f t="shared" si="19"/>
        <v>N</v>
      </c>
      <c r="Q1272" t="s">
        <v>7002</v>
      </c>
    </row>
    <row r="1273" spans="1:17" x14ac:dyDescent="0.25">
      <c r="A1273" t="s">
        <v>5514</v>
      </c>
      <c r="B1273" t="s">
        <v>5437</v>
      </c>
      <c r="C1273">
        <v>2027</v>
      </c>
      <c r="D1273" t="s">
        <v>536</v>
      </c>
      <c r="E1273" t="s">
        <v>831</v>
      </c>
      <c r="F1273" s="32">
        <v>46395</v>
      </c>
      <c r="G1273" t="s">
        <v>514</v>
      </c>
      <c r="H1273">
        <v>47128482</v>
      </c>
      <c r="I1273" t="s">
        <v>1393</v>
      </c>
      <c r="J1273" t="s">
        <v>1392</v>
      </c>
      <c r="K1273" t="s">
        <v>530</v>
      </c>
      <c r="N1273">
        <v>2</v>
      </c>
      <c r="O1273">
        <v>2</v>
      </c>
      <c r="P1273" t="str">
        <f t="shared" si="19"/>
        <v>N</v>
      </c>
      <c r="Q1273" t="s">
        <v>7003</v>
      </c>
    </row>
    <row r="1274" spans="1:17" x14ac:dyDescent="0.25">
      <c r="A1274" t="s">
        <v>5515</v>
      </c>
      <c r="B1274" t="s">
        <v>5437</v>
      </c>
      <c r="C1274">
        <v>2027</v>
      </c>
      <c r="D1274" t="s">
        <v>536</v>
      </c>
      <c r="E1274" t="s">
        <v>831</v>
      </c>
      <c r="F1274" s="32">
        <v>46395</v>
      </c>
      <c r="G1274" t="s">
        <v>514</v>
      </c>
      <c r="H1274">
        <v>47128115</v>
      </c>
      <c r="I1274" t="s">
        <v>1260</v>
      </c>
      <c r="J1274" t="s">
        <v>1259</v>
      </c>
      <c r="K1274" t="s">
        <v>530</v>
      </c>
      <c r="N1274">
        <v>0</v>
      </c>
      <c r="O1274">
        <v>0</v>
      </c>
      <c r="P1274" t="str">
        <f t="shared" si="19"/>
        <v>N</v>
      </c>
      <c r="Q1274" t="s">
        <v>7004</v>
      </c>
    </row>
    <row r="1275" spans="1:17" x14ac:dyDescent="0.25">
      <c r="A1275" t="s">
        <v>5516</v>
      </c>
      <c r="B1275" t="s">
        <v>5437</v>
      </c>
      <c r="C1275">
        <v>2027</v>
      </c>
      <c r="D1275" t="s">
        <v>536</v>
      </c>
      <c r="E1275" t="s">
        <v>831</v>
      </c>
      <c r="F1275" s="32">
        <v>46395</v>
      </c>
      <c r="G1275" t="s">
        <v>514</v>
      </c>
      <c r="H1275">
        <v>47128337</v>
      </c>
      <c r="I1275" t="s">
        <v>1120</v>
      </c>
      <c r="J1275" t="s">
        <v>1119</v>
      </c>
      <c r="K1275" t="s">
        <v>530</v>
      </c>
      <c r="N1275">
        <v>0</v>
      </c>
      <c r="O1275">
        <v>0</v>
      </c>
      <c r="P1275" t="str">
        <f t="shared" si="19"/>
        <v>N</v>
      </c>
      <c r="Q1275" t="s">
        <v>7005</v>
      </c>
    </row>
    <row r="1276" spans="1:17" x14ac:dyDescent="0.25">
      <c r="A1276" t="s">
        <v>5517</v>
      </c>
      <c r="B1276" t="s">
        <v>5437</v>
      </c>
      <c r="C1276">
        <v>2027</v>
      </c>
      <c r="D1276" t="s">
        <v>536</v>
      </c>
      <c r="E1276" t="s">
        <v>831</v>
      </c>
      <c r="F1276" s="32">
        <v>46395</v>
      </c>
      <c r="G1276" t="s">
        <v>514</v>
      </c>
      <c r="H1276">
        <v>47128833</v>
      </c>
      <c r="I1276" t="s">
        <v>1193</v>
      </c>
      <c r="J1276" t="s">
        <v>1192</v>
      </c>
      <c r="K1276" t="s">
        <v>530</v>
      </c>
      <c r="N1276">
        <v>0</v>
      </c>
      <c r="O1276">
        <v>0</v>
      </c>
      <c r="P1276" t="str">
        <f t="shared" si="19"/>
        <v>N</v>
      </c>
      <c r="Q1276" t="s">
        <v>7006</v>
      </c>
    </row>
    <row r="1277" spans="1:17" x14ac:dyDescent="0.25">
      <c r="A1277" t="s">
        <v>5518</v>
      </c>
      <c r="B1277" t="s">
        <v>5437</v>
      </c>
      <c r="C1277">
        <v>2027</v>
      </c>
      <c r="D1277" t="s">
        <v>536</v>
      </c>
      <c r="E1277" t="s">
        <v>831</v>
      </c>
      <c r="F1277" s="32">
        <v>46395</v>
      </c>
      <c r="G1277" t="s">
        <v>514</v>
      </c>
      <c r="H1277">
        <v>47128784</v>
      </c>
      <c r="I1277" t="s">
        <v>1426</v>
      </c>
      <c r="J1277" t="s">
        <v>1425</v>
      </c>
      <c r="K1277" t="s">
        <v>530</v>
      </c>
      <c r="N1277">
        <v>2</v>
      </c>
      <c r="O1277">
        <v>2</v>
      </c>
      <c r="P1277" t="str">
        <f t="shared" si="19"/>
        <v>N</v>
      </c>
      <c r="Q1277" t="s">
        <v>7007</v>
      </c>
    </row>
    <row r="1278" spans="1:17" x14ac:dyDescent="0.25">
      <c r="A1278" t="s">
        <v>5519</v>
      </c>
      <c r="B1278" t="s">
        <v>5437</v>
      </c>
      <c r="C1278">
        <v>2027</v>
      </c>
      <c r="D1278" t="s">
        <v>536</v>
      </c>
      <c r="E1278" t="s">
        <v>831</v>
      </c>
      <c r="F1278" s="32">
        <v>46395</v>
      </c>
      <c r="G1278" t="s">
        <v>514</v>
      </c>
      <c r="H1278">
        <v>47129020</v>
      </c>
      <c r="I1278" t="s">
        <v>1058</v>
      </c>
      <c r="J1278" t="s">
        <v>1057</v>
      </c>
      <c r="K1278" t="s">
        <v>530</v>
      </c>
      <c r="N1278">
        <v>0</v>
      </c>
      <c r="O1278">
        <v>0</v>
      </c>
      <c r="P1278" t="str">
        <f t="shared" si="19"/>
        <v>N</v>
      </c>
      <c r="Q1278" t="s">
        <v>7008</v>
      </c>
    </row>
    <row r="1279" spans="1:17" x14ac:dyDescent="0.25">
      <c r="A1279" t="s">
        <v>5520</v>
      </c>
      <c r="B1279" t="s">
        <v>5437</v>
      </c>
      <c r="C1279">
        <v>2027</v>
      </c>
      <c r="D1279" t="s">
        <v>536</v>
      </c>
      <c r="E1279" t="s">
        <v>831</v>
      </c>
      <c r="F1279" s="32">
        <v>46395</v>
      </c>
      <c r="G1279" t="s">
        <v>514</v>
      </c>
      <c r="H1279">
        <v>47129473</v>
      </c>
      <c r="I1279" t="s">
        <v>1430</v>
      </c>
      <c r="J1279" t="s">
        <v>1429</v>
      </c>
      <c r="K1279" t="s">
        <v>530</v>
      </c>
      <c r="N1279">
        <v>40</v>
      </c>
      <c r="O1279">
        <v>40</v>
      </c>
      <c r="P1279" t="str">
        <f t="shared" si="19"/>
        <v>N</v>
      </c>
      <c r="Q1279" t="s">
        <v>7009</v>
      </c>
    </row>
    <row r="1280" spans="1:17" x14ac:dyDescent="0.25">
      <c r="A1280" t="s">
        <v>5521</v>
      </c>
      <c r="B1280" t="s">
        <v>5437</v>
      </c>
      <c r="C1280">
        <v>2027</v>
      </c>
      <c r="D1280" t="s">
        <v>536</v>
      </c>
      <c r="E1280" t="s">
        <v>831</v>
      </c>
      <c r="F1280" s="32">
        <v>46395</v>
      </c>
      <c r="G1280" t="s">
        <v>514</v>
      </c>
      <c r="H1280">
        <v>47128429</v>
      </c>
      <c r="I1280" t="s">
        <v>1371</v>
      </c>
      <c r="J1280" t="s">
        <v>1370</v>
      </c>
      <c r="K1280" t="s">
        <v>530</v>
      </c>
      <c r="N1280">
        <v>0</v>
      </c>
      <c r="O1280">
        <v>0</v>
      </c>
      <c r="P1280" t="str">
        <f t="shared" si="19"/>
        <v>N</v>
      </c>
      <c r="Q1280" t="s">
        <v>7010</v>
      </c>
    </row>
    <row r="1281" spans="1:17" x14ac:dyDescent="0.25">
      <c r="A1281" t="s">
        <v>5522</v>
      </c>
      <c r="B1281" t="s">
        <v>5437</v>
      </c>
      <c r="C1281">
        <v>2027</v>
      </c>
      <c r="D1281" t="s">
        <v>536</v>
      </c>
      <c r="E1281" t="s">
        <v>831</v>
      </c>
      <c r="F1281" s="32">
        <v>46395</v>
      </c>
      <c r="G1281" t="s">
        <v>514</v>
      </c>
      <c r="H1281">
        <v>47128181</v>
      </c>
      <c r="I1281" t="s">
        <v>1301</v>
      </c>
      <c r="J1281" t="s">
        <v>1300</v>
      </c>
      <c r="K1281" t="s">
        <v>530</v>
      </c>
      <c r="N1281">
        <v>0</v>
      </c>
      <c r="O1281">
        <v>0</v>
      </c>
      <c r="P1281" t="str">
        <f t="shared" si="19"/>
        <v>N</v>
      </c>
      <c r="Q1281" t="s">
        <v>7011</v>
      </c>
    </row>
    <row r="1282" spans="1:17" x14ac:dyDescent="0.25">
      <c r="A1282" t="s">
        <v>1580</v>
      </c>
      <c r="B1282" t="s">
        <v>1520</v>
      </c>
      <c r="C1282">
        <v>2027</v>
      </c>
      <c r="D1282" t="s">
        <v>538</v>
      </c>
      <c r="E1282" t="s">
        <v>832</v>
      </c>
      <c r="F1282" s="32">
        <v>46402</v>
      </c>
      <c r="G1282" t="s">
        <v>514</v>
      </c>
      <c r="H1282">
        <v>47128207</v>
      </c>
      <c r="I1282" t="s">
        <v>1522</v>
      </c>
      <c r="J1282" t="s">
        <v>1523</v>
      </c>
      <c r="K1282" t="s">
        <v>530</v>
      </c>
      <c r="N1282">
        <v>0</v>
      </c>
      <c r="O1282">
        <v>0</v>
      </c>
      <c r="P1282" t="str">
        <f t="shared" si="19"/>
        <v>N</v>
      </c>
      <c r="Q1282" t="s">
        <v>7012</v>
      </c>
    </row>
    <row r="1283" spans="1:17" x14ac:dyDescent="0.25">
      <c r="A1283" t="s">
        <v>1581</v>
      </c>
      <c r="B1283" t="s">
        <v>1520</v>
      </c>
      <c r="C1283">
        <v>2027</v>
      </c>
      <c r="D1283" t="s">
        <v>538</v>
      </c>
      <c r="E1283" t="s">
        <v>832</v>
      </c>
      <c r="F1283" s="32">
        <v>46402</v>
      </c>
      <c r="G1283" t="s">
        <v>514</v>
      </c>
      <c r="H1283">
        <v>47128581</v>
      </c>
      <c r="I1283" t="s">
        <v>1525</v>
      </c>
      <c r="J1283" t="s">
        <v>1526</v>
      </c>
      <c r="K1283" t="s">
        <v>530</v>
      </c>
      <c r="N1283">
        <v>0</v>
      </c>
      <c r="O1283">
        <v>0</v>
      </c>
      <c r="P1283" t="str">
        <f t="shared" ref="P1283:P1346" si="20">IF(N1283=O1283,"N","Y")</f>
        <v>N</v>
      </c>
      <c r="Q1283" t="s">
        <v>7013</v>
      </c>
    </row>
    <row r="1284" spans="1:17" x14ac:dyDescent="0.25">
      <c r="A1284" t="s">
        <v>1582</v>
      </c>
      <c r="B1284" t="s">
        <v>1520</v>
      </c>
      <c r="C1284">
        <v>2027</v>
      </c>
      <c r="D1284" t="s">
        <v>538</v>
      </c>
      <c r="E1284" t="s">
        <v>832</v>
      </c>
      <c r="F1284" s="32">
        <v>46402</v>
      </c>
      <c r="G1284" t="s">
        <v>514</v>
      </c>
      <c r="H1284">
        <v>47127959</v>
      </c>
      <c r="I1284" t="s">
        <v>1528</v>
      </c>
      <c r="J1284" t="s">
        <v>1529</v>
      </c>
      <c r="K1284" t="s">
        <v>530</v>
      </c>
      <c r="N1284">
        <v>0</v>
      </c>
      <c r="O1284">
        <v>0</v>
      </c>
      <c r="P1284" t="str">
        <f t="shared" si="20"/>
        <v>N</v>
      </c>
      <c r="Q1284" t="s">
        <v>7014</v>
      </c>
    </row>
    <row r="1285" spans="1:17" x14ac:dyDescent="0.25">
      <c r="A1285" t="s">
        <v>1583</v>
      </c>
      <c r="B1285" t="s">
        <v>1520</v>
      </c>
      <c r="C1285">
        <v>2027</v>
      </c>
      <c r="D1285" t="s">
        <v>538</v>
      </c>
      <c r="E1285" t="s">
        <v>832</v>
      </c>
      <c r="F1285" s="32">
        <v>46402</v>
      </c>
      <c r="G1285" t="s">
        <v>514</v>
      </c>
      <c r="H1285">
        <v>47128204</v>
      </c>
      <c r="I1285" t="s">
        <v>1531</v>
      </c>
      <c r="J1285" t="s">
        <v>1532</v>
      </c>
      <c r="K1285" t="s">
        <v>530</v>
      </c>
      <c r="N1285">
        <v>60</v>
      </c>
      <c r="O1285">
        <v>60</v>
      </c>
      <c r="P1285" t="str">
        <f t="shared" si="20"/>
        <v>N</v>
      </c>
      <c r="Q1285" t="s">
        <v>7015</v>
      </c>
    </row>
    <row r="1286" spans="1:17" x14ac:dyDescent="0.25">
      <c r="A1286" t="s">
        <v>1584</v>
      </c>
      <c r="B1286" t="s">
        <v>1520</v>
      </c>
      <c r="C1286">
        <v>2027</v>
      </c>
      <c r="D1286" t="s">
        <v>538</v>
      </c>
      <c r="E1286" t="s">
        <v>832</v>
      </c>
      <c r="F1286" s="32">
        <v>46402</v>
      </c>
      <c r="G1286" t="s">
        <v>514</v>
      </c>
      <c r="H1286">
        <v>47128207</v>
      </c>
      <c r="I1286" t="s">
        <v>1522</v>
      </c>
      <c r="J1286" t="s">
        <v>1534</v>
      </c>
      <c r="K1286" t="s">
        <v>530</v>
      </c>
      <c r="N1286">
        <v>0</v>
      </c>
      <c r="O1286">
        <v>0</v>
      </c>
      <c r="P1286" t="str">
        <f t="shared" si="20"/>
        <v>N</v>
      </c>
      <c r="Q1286" t="s">
        <v>7016</v>
      </c>
    </row>
    <row r="1287" spans="1:17" x14ac:dyDescent="0.25">
      <c r="A1287" t="s">
        <v>1585</v>
      </c>
      <c r="B1287" t="s">
        <v>1520</v>
      </c>
      <c r="C1287">
        <v>2027</v>
      </c>
      <c r="D1287" t="s">
        <v>538</v>
      </c>
      <c r="E1287" t="s">
        <v>832</v>
      </c>
      <c r="F1287" s="32">
        <v>46402</v>
      </c>
      <c r="G1287" t="s">
        <v>563</v>
      </c>
      <c r="H1287">
        <v>10000015</v>
      </c>
      <c r="I1287" t="s">
        <v>562</v>
      </c>
      <c r="K1287" t="s">
        <v>530</v>
      </c>
      <c r="N1287">
        <v>0</v>
      </c>
      <c r="O1287">
        <v>0</v>
      </c>
      <c r="P1287" t="str">
        <f t="shared" si="20"/>
        <v>N</v>
      </c>
      <c r="Q1287" t="s">
        <v>7017</v>
      </c>
    </row>
    <row r="1288" spans="1:17" x14ac:dyDescent="0.25">
      <c r="A1288" t="s">
        <v>1586</v>
      </c>
      <c r="B1288" t="s">
        <v>1520</v>
      </c>
      <c r="C1288">
        <v>2027</v>
      </c>
      <c r="D1288" t="s">
        <v>538</v>
      </c>
      <c r="E1288" t="s">
        <v>832</v>
      </c>
      <c r="F1288" s="32">
        <v>46402</v>
      </c>
      <c r="G1288" t="s">
        <v>514</v>
      </c>
      <c r="H1288">
        <v>47127959</v>
      </c>
      <c r="I1288" t="s">
        <v>1528</v>
      </c>
      <c r="J1288" t="s">
        <v>1537</v>
      </c>
      <c r="K1288" t="s">
        <v>530</v>
      </c>
      <c r="N1288">
        <v>0</v>
      </c>
      <c r="O1288">
        <v>0</v>
      </c>
      <c r="P1288" t="str">
        <f t="shared" si="20"/>
        <v>N</v>
      </c>
      <c r="Q1288" t="s">
        <v>7018</v>
      </c>
    </row>
    <row r="1289" spans="1:17" x14ac:dyDescent="0.25">
      <c r="A1289" t="s">
        <v>1587</v>
      </c>
      <c r="B1289" t="s">
        <v>1520</v>
      </c>
      <c r="C1289">
        <v>2027</v>
      </c>
      <c r="D1289" t="s">
        <v>538</v>
      </c>
      <c r="E1289" t="s">
        <v>832</v>
      </c>
      <c r="F1289" s="32">
        <v>46402</v>
      </c>
      <c r="G1289" t="s">
        <v>514</v>
      </c>
      <c r="H1289">
        <v>47128581</v>
      </c>
      <c r="I1289" t="s">
        <v>1525</v>
      </c>
      <c r="J1289" t="s">
        <v>1539</v>
      </c>
      <c r="K1289" t="s">
        <v>530</v>
      </c>
      <c r="N1289">
        <v>0</v>
      </c>
      <c r="O1289">
        <v>0</v>
      </c>
      <c r="P1289" t="str">
        <f t="shared" si="20"/>
        <v>N</v>
      </c>
      <c r="Q1289" t="s">
        <v>7019</v>
      </c>
    </row>
    <row r="1290" spans="1:17" x14ac:dyDescent="0.25">
      <c r="A1290" t="s">
        <v>1871</v>
      </c>
      <c r="B1290" t="s">
        <v>1135</v>
      </c>
      <c r="C1290">
        <v>2027</v>
      </c>
      <c r="D1290" t="s">
        <v>538</v>
      </c>
      <c r="E1290" t="s">
        <v>832</v>
      </c>
      <c r="F1290" s="32">
        <v>46402</v>
      </c>
      <c r="G1290" t="s">
        <v>514</v>
      </c>
      <c r="H1290">
        <v>47146464</v>
      </c>
      <c r="I1290" t="s">
        <v>1438</v>
      </c>
      <c r="J1290" t="s">
        <v>1437</v>
      </c>
      <c r="K1290" t="s">
        <v>530</v>
      </c>
      <c r="N1290">
        <v>0</v>
      </c>
      <c r="O1290">
        <v>0</v>
      </c>
      <c r="P1290" t="str">
        <f t="shared" si="20"/>
        <v>N</v>
      </c>
      <c r="Q1290" t="s">
        <v>7020</v>
      </c>
    </row>
    <row r="1291" spans="1:17" x14ac:dyDescent="0.25">
      <c r="A1291" t="s">
        <v>1872</v>
      </c>
      <c r="B1291" t="s">
        <v>1135</v>
      </c>
      <c r="C1291">
        <v>2027</v>
      </c>
      <c r="D1291" t="s">
        <v>538</v>
      </c>
      <c r="E1291" t="s">
        <v>832</v>
      </c>
      <c r="F1291" s="32">
        <v>46402</v>
      </c>
      <c r="G1291" t="s">
        <v>514</v>
      </c>
      <c r="H1291">
        <v>47146463</v>
      </c>
      <c r="I1291" t="s">
        <v>1441</v>
      </c>
      <c r="J1291" t="s">
        <v>1440</v>
      </c>
      <c r="K1291" t="s">
        <v>530</v>
      </c>
      <c r="N1291">
        <v>0</v>
      </c>
      <c r="O1291">
        <v>0</v>
      </c>
      <c r="P1291" t="str">
        <f t="shared" si="20"/>
        <v>N</v>
      </c>
      <c r="Q1291" t="s">
        <v>7021</v>
      </c>
    </row>
    <row r="1292" spans="1:17" x14ac:dyDescent="0.25">
      <c r="A1292" t="s">
        <v>1873</v>
      </c>
      <c r="B1292" t="s">
        <v>1135</v>
      </c>
      <c r="C1292">
        <v>2027</v>
      </c>
      <c r="D1292" t="s">
        <v>538</v>
      </c>
      <c r="E1292" t="s">
        <v>832</v>
      </c>
      <c r="F1292" s="32">
        <v>46402</v>
      </c>
      <c r="G1292" t="s">
        <v>514</v>
      </c>
      <c r="H1292">
        <v>47128729</v>
      </c>
      <c r="I1292" t="s">
        <v>1149</v>
      </c>
      <c r="J1292" t="s">
        <v>1148</v>
      </c>
      <c r="K1292" t="s">
        <v>530</v>
      </c>
      <c r="N1292">
        <v>0</v>
      </c>
      <c r="O1292">
        <v>0</v>
      </c>
      <c r="P1292" t="str">
        <f t="shared" si="20"/>
        <v>N</v>
      </c>
      <c r="Q1292" t="s">
        <v>7022</v>
      </c>
    </row>
    <row r="1293" spans="1:17" x14ac:dyDescent="0.25">
      <c r="A1293" t="s">
        <v>1874</v>
      </c>
      <c r="B1293" t="s">
        <v>1135</v>
      </c>
      <c r="C1293">
        <v>2027</v>
      </c>
      <c r="D1293" t="s">
        <v>538</v>
      </c>
      <c r="E1293" t="s">
        <v>832</v>
      </c>
      <c r="F1293" s="32">
        <v>46402</v>
      </c>
      <c r="G1293" t="s">
        <v>514</v>
      </c>
      <c r="H1293">
        <v>47128413</v>
      </c>
      <c r="I1293" t="s">
        <v>1397</v>
      </c>
      <c r="J1293" t="s">
        <v>1396</v>
      </c>
      <c r="K1293" t="s">
        <v>530</v>
      </c>
      <c r="N1293">
        <v>0</v>
      </c>
      <c r="O1293">
        <v>0</v>
      </c>
      <c r="P1293" t="str">
        <f t="shared" si="20"/>
        <v>N</v>
      </c>
      <c r="Q1293" t="s">
        <v>7023</v>
      </c>
    </row>
    <row r="1294" spans="1:17" x14ac:dyDescent="0.25">
      <c r="A1294" t="s">
        <v>1875</v>
      </c>
      <c r="B1294" t="s">
        <v>1135</v>
      </c>
      <c r="C1294">
        <v>2027</v>
      </c>
      <c r="D1294" t="s">
        <v>538</v>
      </c>
      <c r="E1294" t="s">
        <v>832</v>
      </c>
      <c r="F1294" s="32">
        <v>46402</v>
      </c>
      <c r="G1294" t="s">
        <v>514</v>
      </c>
      <c r="H1294">
        <v>47128783</v>
      </c>
      <c r="I1294" t="s">
        <v>1280</v>
      </c>
      <c r="J1294" t="s">
        <v>1279</v>
      </c>
      <c r="K1294" t="s">
        <v>530</v>
      </c>
      <c r="N1294">
        <v>0</v>
      </c>
      <c r="O1294">
        <v>0</v>
      </c>
      <c r="P1294" t="str">
        <f t="shared" si="20"/>
        <v>N</v>
      </c>
      <c r="Q1294" t="s">
        <v>7024</v>
      </c>
    </row>
    <row r="1295" spans="1:17" x14ac:dyDescent="0.25">
      <c r="A1295" t="s">
        <v>1876</v>
      </c>
      <c r="B1295" t="s">
        <v>1135</v>
      </c>
      <c r="C1295">
        <v>2027</v>
      </c>
      <c r="D1295" t="s">
        <v>538</v>
      </c>
      <c r="E1295" t="s">
        <v>832</v>
      </c>
      <c r="F1295" s="32">
        <v>46402</v>
      </c>
      <c r="G1295" t="s">
        <v>514</v>
      </c>
      <c r="H1295">
        <v>47128944</v>
      </c>
      <c r="I1295" t="s">
        <v>1137</v>
      </c>
      <c r="J1295" t="s">
        <v>1136</v>
      </c>
      <c r="K1295" t="s">
        <v>530</v>
      </c>
      <c r="N1295">
        <v>0</v>
      </c>
      <c r="O1295">
        <v>0</v>
      </c>
      <c r="P1295" t="str">
        <f t="shared" si="20"/>
        <v>N</v>
      </c>
      <c r="Q1295" t="s">
        <v>7025</v>
      </c>
    </row>
    <row r="1296" spans="1:17" x14ac:dyDescent="0.25">
      <c r="A1296" t="s">
        <v>1877</v>
      </c>
      <c r="B1296" t="s">
        <v>1135</v>
      </c>
      <c r="C1296">
        <v>2027</v>
      </c>
      <c r="D1296" t="s">
        <v>538</v>
      </c>
      <c r="E1296" t="s">
        <v>832</v>
      </c>
      <c r="F1296" s="32">
        <v>46402</v>
      </c>
      <c r="G1296" t="s">
        <v>514</v>
      </c>
      <c r="H1296">
        <v>47129547</v>
      </c>
      <c r="I1296" t="s">
        <v>1128</v>
      </c>
      <c r="J1296" t="s">
        <v>1352</v>
      </c>
      <c r="K1296" t="s">
        <v>530</v>
      </c>
      <c r="N1296">
        <v>0</v>
      </c>
      <c r="O1296">
        <v>0</v>
      </c>
      <c r="P1296" t="str">
        <f t="shared" si="20"/>
        <v>N</v>
      </c>
      <c r="Q1296" t="s">
        <v>7026</v>
      </c>
    </row>
    <row r="1297" spans="1:17" x14ac:dyDescent="0.25">
      <c r="A1297" t="s">
        <v>1878</v>
      </c>
      <c r="B1297" t="s">
        <v>1135</v>
      </c>
      <c r="C1297">
        <v>2027</v>
      </c>
      <c r="D1297" t="s">
        <v>538</v>
      </c>
      <c r="E1297" t="s">
        <v>832</v>
      </c>
      <c r="F1297" s="32">
        <v>46402</v>
      </c>
      <c r="G1297" t="s">
        <v>514</v>
      </c>
      <c r="H1297">
        <v>47128518</v>
      </c>
      <c r="I1297" t="s">
        <v>1232</v>
      </c>
      <c r="J1297" t="s">
        <v>1493</v>
      </c>
      <c r="K1297" t="s">
        <v>530</v>
      </c>
      <c r="N1297">
        <v>0</v>
      </c>
      <c r="O1297">
        <v>0</v>
      </c>
      <c r="P1297" t="str">
        <f t="shared" si="20"/>
        <v>N</v>
      </c>
      <c r="Q1297" t="s">
        <v>7027</v>
      </c>
    </row>
    <row r="1298" spans="1:17" x14ac:dyDescent="0.25">
      <c r="A1298" t="s">
        <v>1879</v>
      </c>
      <c r="B1298" t="s">
        <v>1135</v>
      </c>
      <c r="C1298">
        <v>2027</v>
      </c>
      <c r="D1298" t="s">
        <v>538</v>
      </c>
      <c r="E1298" t="s">
        <v>832</v>
      </c>
      <c r="F1298" s="32">
        <v>46402</v>
      </c>
      <c r="G1298" t="s">
        <v>514</v>
      </c>
      <c r="H1298">
        <v>47128168</v>
      </c>
      <c r="I1298" t="s">
        <v>1100</v>
      </c>
      <c r="J1298" t="s">
        <v>1099</v>
      </c>
      <c r="K1298" t="s">
        <v>530</v>
      </c>
      <c r="N1298">
        <v>0</v>
      </c>
      <c r="O1298">
        <v>0</v>
      </c>
      <c r="P1298" t="str">
        <f t="shared" si="20"/>
        <v>N</v>
      </c>
      <c r="Q1298" t="s">
        <v>7028</v>
      </c>
    </row>
    <row r="1299" spans="1:17" x14ac:dyDescent="0.25">
      <c r="A1299" t="s">
        <v>1880</v>
      </c>
      <c r="B1299" t="s">
        <v>1135</v>
      </c>
      <c r="C1299">
        <v>2027</v>
      </c>
      <c r="D1299" t="s">
        <v>538</v>
      </c>
      <c r="E1299" t="s">
        <v>832</v>
      </c>
      <c r="F1299" s="32">
        <v>46402</v>
      </c>
      <c r="G1299" t="s">
        <v>514</v>
      </c>
      <c r="H1299">
        <v>47128687</v>
      </c>
      <c r="I1299" t="s">
        <v>1153</v>
      </c>
      <c r="J1299" t="s">
        <v>1152</v>
      </c>
      <c r="K1299" t="s">
        <v>530</v>
      </c>
      <c r="N1299">
        <v>0</v>
      </c>
      <c r="O1299">
        <v>0</v>
      </c>
      <c r="P1299" t="str">
        <f t="shared" si="20"/>
        <v>N</v>
      </c>
      <c r="Q1299" t="s">
        <v>7029</v>
      </c>
    </row>
    <row r="1300" spans="1:17" x14ac:dyDescent="0.25">
      <c r="A1300" t="s">
        <v>1881</v>
      </c>
      <c r="B1300" t="s">
        <v>1135</v>
      </c>
      <c r="C1300">
        <v>2027</v>
      </c>
      <c r="D1300" t="s">
        <v>538</v>
      </c>
      <c r="E1300" t="s">
        <v>832</v>
      </c>
      <c r="F1300" s="32">
        <v>46402</v>
      </c>
      <c r="G1300" t="s">
        <v>514</v>
      </c>
      <c r="H1300">
        <v>47128585</v>
      </c>
      <c r="I1300" t="s">
        <v>1141</v>
      </c>
      <c r="J1300" t="s">
        <v>1140</v>
      </c>
      <c r="K1300" t="s">
        <v>530</v>
      </c>
      <c r="N1300">
        <v>0</v>
      </c>
      <c r="O1300">
        <v>0</v>
      </c>
      <c r="P1300" t="str">
        <f t="shared" si="20"/>
        <v>N</v>
      </c>
      <c r="Q1300" t="s">
        <v>7030</v>
      </c>
    </row>
    <row r="1301" spans="1:17" x14ac:dyDescent="0.25">
      <c r="A1301" t="s">
        <v>1882</v>
      </c>
      <c r="B1301" t="s">
        <v>1135</v>
      </c>
      <c r="C1301">
        <v>2027</v>
      </c>
      <c r="D1301" t="s">
        <v>538</v>
      </c>
      <c r="E1301" t="s">
        <v>832</v>
      </c>
      <c r="F1301" s="32">
        <v>46402</v>
      </c>
      <c r="G1301" t="s">
        <v>514</v>
      </c>
      <c r="H1301">
        <v>47128906</v>
      </c>
      <c r="I1301" t="s">
        <v>1349</v>
      </c>
      <c r="J1301" t="s">
        <v>1348</v>
      </c>
      <c r="K1301" t="s">
        <v>530</v>
      </c>
      <c r="N1301">
        <v>0</v>
      </c>
      <c r="O1301">
        <v>0</v>
      </c>
      <c r="P1301" t="str">
        <f t="shared" si="20"/>
        <v>N</v>
      </c>
      <c r="Q1301" t="s">
        <v>7031</v>
      </c>
    </row>
    <row r="1302" spans="1:17" x14ac:dyDescent="0.25">
      <c r="A1302" t="s">
        <v>1883</v>
      </c>
      <c r="B1302" t="s">
        <v>1135</v>
      </c>
      <c r="C1302">
        <v>2027</v>
      </c>
      <c r="D1302" t="s">
        <v>538</v>
      </c>
      <c r="E1302" t="s">
        <v>832</v>
      </c>
      <c r="F1302" s="32">
        <v>46402</v>
      </c>
      <c r="G1302" t="s">
        <v>514</v>
      </c>
      <c r="H1302">
        <v>47128585</v>
      </c>
      <c r="I1302" t="s">
        <v>1141</v>
      </c>
      <c r="J1302" t="s">
        <v>1408</v>
      </c>
      <c r="K1302" t="s">
        <v>530</v>
      </c>
      <c r="N1302">
        <v>0</v>
      </c>
      <c r="O1302">
        <v>0</v>
      </c>
      <c r="P1302" t="str">
        <f t="shared" si="20"/>
        <v>N</v>
      </c>
      <c r="Q1302" t="s">
        <v>7032</v>
      </c>
    </row>
    <row r="1303" spans="1:17" x14ac:dyDescent="0.25">
      <c r="A1303" t="s">
        <v>1884</v>
      </c>
      <c r="B1303" t="s">
        <v>1135</v>
      </c>
      <c r="C1303">
        <v>2027</v>
      </c>
      <c r="D1303" t="s">
        <v>538</v>
      </c>
      <c r="E1303" t="s">
        <v>832</v>
      </c>
      <c r="F1303" s="32">
        <v>46402</v>
      </c>
      <c r="G1303" t="s">
        <v>514</v>
      </c>
      <c r="H1303">
        <v>47128518</v>
      </c>
      <c r="I1303" t="s">
        <v>1232</v>
      </c>
      <c r="J1303" t="s">
        <v>1231</v>
      </c>
      <c r="K1303" t="s">
        <v>530</v>
      </c>
      <c r="N1303">
        <v>0</v>
      </c>
      <c r="O1303">
        <v>0</v>
      </c>
      <c r="P1303" t="str">
        <f t="shared" si="20"/>
        <v>N</v>
      </c>
      <c r="Q1303" t="s">
        <v>7033</v>
      </c>
    </row>
    <row r="1304" spans="1:17" x14ac:dyDescent="0.25">
      <c r="A1304" t="s">
        <v>1885</v>
      </c>
      <c r="B1304" t="s">
        <v>1135</v>
      </c>
      <c r="C1304">
        <v>2027</v>
      </c>
      <c r="D1304" t="s">
        <v>538</v>
      </c>
      <c r="E1304" t="s">
        <v>832</v>
      </c>
      <c r="F1304" s="32">
        <v>46402</v>
      </c>
      <c r="G1304" t="s">
        <v>514</v>
      </c>
      <c r="H1304">
        <v>47128680</v>
      </c>
      <c r="I1304" t="s">
        <v>1284</v>
      </c>
      <c r="J1304" t="s">
        <v>1283</v>
      </c>
      <c r="K1304" t="s">
        <v>530</v>
      </c>
      <c r="N1304">
        <v>0</v>
      </c>
      <c r="O1304">
        <v>0</v>
      </c>
      <c r="P1304" t="str">
        <f t="shared" si="20"/>
        <v>N</v>
      </c>
      <c r="Q1304" t="s">
        <v>7034</v>
      </c>
    </row>
    <row r="1305" spans="1:17" x14ac:dyDescent="0.25">
      <c r="A1305" t="s">
        <v>1886</v>
      </c>
      <c r="B1305" t="s">
        <v>1135</v>
      </c>
      <c r="C1305">
        <v>2027</v>
      </c>
      <c r="D1305" t="s">
        <v>538</v>
      </c>
      <c r="E1305" t="s">
        <v>832</v>
      </c>
      <c r="F1305" s="32">
        <v>46402</v>
      </c>
      <c r="G1305" t="s">
        <v>514</v>
      </c>
      <c r="H1305">
        <v>47128024</v>
      </c>
      <c r="I1305" t="s">
        <v>1108</v>
      </c>
      <c r="J1305" t="s">
        <v>1107</v>
      </c>
      <c r="K1305" t="s">
        <v>530</v>
      </c>
      <c r="N1305">
        <v>0</v>
      </c>
      <c r="O1305">
        <v>0</v>
      </c>
      <c r="P1305" t="str">
        <f t="shared" si="20"/>
        <v>N</v>
      </c>
      <c r="Q1305" t="s">
        <v>7035</v>
      </c>
    </row>
    <row r="1306" spans="1:17" x14ac:dyDescent="0.25">
      <c r="A1306" t="s">
        <v>1887</v>
      </c>
      <c r="B1306" t="s">
        <v>1135</v>
      </c>
      <c r="C1306">
        <v>2027</v>
      </c>
      <c r="D1306" t="s">
        <v>538</v>
      </c>
      <c r="E1306" t="s">
        <v>832</v>
      </c>
      <c r="F1306" s="32">
        <v>46402</v>
      </c>
      <c r="G1306" t="s">
        <v>514</v>
      </c>
      <c r="H1306">
        <v>47128944</v>
      </c>
      <c r="I1306" t="s">
        <v>1137</v>
      </c>
      <c r="J1306" t="s">
        <v>1513</v>
      </c>
      <c r="K1306" t="s">
        <v>530</v>
      </c>
      <c r="N1306">
        <v>0</v>
      </c>
      <c r="O1306">
        <v>0</v>
      </c>
      <c r="P1306" t="str">
        <f t="shared" si="20"/>
        <v>N</v>
      </c>
      <c r="Q1306" t="s">
        <v>7036</v>
      </c>
    </row>
    <row r="1307" spans="1:17" x14ac:dyDescent="0.25">
      <c r="A1307" t="s">
        <v>1888</v>
      </c>
      <c r="B1307" t="s">
        <v>1135</v>
      </c>
      <c r="C1307">
        <v>2027</v>
      </c>
      <c r="D1307" t="s">
        <v>538</v>
      </c>
      <c r="E1307" t="s">
        <v>832</v>
      </c>
      <c r="F1307" s="32">
        <v>46402</v>
      </c>
      <c r="G1307" t="s">
        <v>514</v>
      </c>
      <c r="H1307">
        <v>47147546</v>
      </c>
      <c r="I1307" t="s">
        <v>1077</v>
      </c>
      <c r="J1307" t="s">
        <v>1076</v>
      </c>
      <c r="K1307" t="s">
        <v>530</v>
      </c>
      <c r="N1307">
        <v>0</v>
      </c>
      <c r="O1307">
        <v>0</v>
      </c>
      <c r="P1307" t="str">
        <f t="shared" si="20"/>
        <v>N</v>
      </c>
      <c r="Q1307" t="s">
        <v>7037</v>
      </c>
    </row>
    <row r="1308" spans="1:17" x14ac:dyDescent="0.25">
      <c r="A1308" t="s">
        <v>1889</v>
      </c>
      <c r="B1308" t="s">
        <v>1135</v>
      </c>
      <c r="C1308">
        <v>2027</v>
      </c>
      <c r="D1308" t="s">
        <v>538</v>
      </c>
      <c r="E1308" t="s">
        <v>832</v>
      </c>
      <c r="F1308" s="32">
        <v>46402</v>
      </c>
      <c r="G1308" t="s">
        <v>514</v>
      </c>
      <c r="H1308">
        <v>47128346</v>
      </c>
      <c r="I1308" t="s">
        <v>1157</v>
      </c>
      <c r="J1308" t="s">
        <v>1156</v>
      </c>
      <c r="K1308" t="s">
        <v>530</v>
      </c>
      <c r="N1308">
        <v>0</v>
      </c>
      <c r="O1308">
        <v>0</v>
      </c>
      <c r="P1308" t="str">
        <f t="shared" si="20"/>
        <v>N</v>
      </c>
      <c r="Q1308" t="s">
        <v>7038</v>
      </c>
    </row>
    <row r="1309" spans="1:17" x14ac:dyDescent="0.25">
      <c r="A1309" t="s">
        <v>1890</v>
      </c>
      <c r="B1309" t="s">
        <v>1135</v>
      </c>
      <c r="C1309">
        <v>2027</v>
      </c>
      <c r="D1309" t="s">
        <v>538</v>
      </c>
      <c r="E1309" t="s">
        <v>832</v>
      </c>
      <c r="F1309" s="32">
        <v>46402</v>
      </c>
      <c r="G1309" t="s">
        <v>514</v>
      </c>
      <c r="H1309">
        <v>47128800</v>
      </c>
      <c r="I1309" t="s">
        <v>1145</v>
      </c>
      <c r="J1309" t="s">
        <v>1144</v>
      </c>
      <c r="K1309" t="s">
        <v>530</v>
      </c>
      <c r="N1309">
        <v>0</v>
      </c>
      <c r="O1309">
        <v>0</v>
      </c>
      <c r="P1309" t="str">
        <f t="shared" si="20"/>
        <v>N</v>
      </c>
      <c r="Q1309" t="s">
        <v>7039</v>
      </c>
    </row>
    <row r="1310" spans="1:17" x14ac:dyDescent="0.25">
      <c r="A1310" t="s">
        <v>1891</v>
      </c>
      <c r="B1310" t="s">
        <v>1135</v>
      </c>
      <c r="C1310">
        <v>2027</v>
      </c>
      <c r="D1310" t="s">
        <v>538</v>
      </c>
      <c r="E1310" t="s">
        <v>832</v>
      </c>
      <c r="F1310" s="32">
        <v>46402</v>
      </c>
      <c r="G1310" t="s">
        <v>514</v>
      </c>
      <c r="H1310">
        <v>47128109</v>
      </c>
      <c r="I1310" t="s">
        <v>1336</v>
      </c>
      <c r="J1310" t="s">
        <v>1335</v>
      </c>
      <c r="K1310" t="s">
        <v>530</v>
      </c>
      <c r="N1310">
        <v>0</v>
      </c>
      <c r="O1310">
        <v>0</v>
      </c>
      <c r="P1310" t="str">
        <f t="shared" si="20"/>
        <v>N</v>
      </c>
      <c r="Q1310" t="s">
        <v>7040</v>
      </c>
    </row>
    <row r="1311" spans="1:17" x14ac:dyDescent="0.25">
      <c r="A1311" t="s">
        <v>1892</v>
      </c>
      <c r="B1311" t="s">
        <v>1135</v>
      </c>
      <c r="C1311">
        <v>2027</v>
      </c>
      <c r="D1311" t="s">
        <v>538</v>
      </c>
      <c r="E1311" t="s">
        <v>832</v>
      </c>
      <c r="F1311" s="32">
        <v>46402</v>
      </c>
      <c r="G1311" t="s">
        <v>514</v>
      </c>
      <c r="H1311">
        <v>47128430</v>
      </c>
      <c r="I1311" t="s">
        <v>1401</v>
      </c>
      <c r="J1311" t="s">
        <v>1400</v>
      </c>
      <c r="K1311" t="s">
        <v>530</v>
      </c>
      <c r="N1311">
        <v>0</v>
      </c>
      <c r="O1311">
        <v>0</v>
      </c>
      <c r="P1311" t="str">
        <f t="shared" si="20"/>
        <v>N</v>
      </c>
      <c r="Q1311" t="s">
        <v>7041</v>
      </c>
    </row>
    <row r="1312" spans="1:17" x14ac:dyDescent="0.25">
      <c r="A1312" t="s">
        <v>1893</v>
      </c>
      <c r="B1312" t="s">
        <v>1135</v>
      </c>
      <c r="C1312">
        <v>2027</v>
      </c>
      <c r="D1312" t="s">
        <v>538</v>
      </c>
      <c r="E1312" t="s">
        <v>832</v>
      </c>
      <c r="F1312" s="32">
        <v>46402</v>
      </c>
      <c r="G1312" t="s">
        <v>514</v>
      </c>
      <c r="H1312">
        <v>47128522</v>
      </c>
      <c r="I1312" t="s">
        <v>1092</v>
      </c>
      <c r="J1312" t="s">
        <v>1091</v>
      </c>
      <c r="K1312" t="s">
        <v>530</v>
      </c>
      <c r="N1312">
        <v>0</v>
      </c>
      <c r="O1312">
        <v>0</v>
      </c>
      <c r="P1312" t="str">
        <f t="shared" si="20"/>
        <v>N</v>
      </c>
      <c r="Q1312" t="s">
        <v>7042</v>
      </c>
    </row>
    <row r="1313" spans="1:17" x14ac:dyDescent="0.25">
      <c r="A1313" t="s">
        <v>1894</v>
      </c>
      <c r="B1313" t="s">
        <v>1135</v>
      </c>
      <c r="C1313">
        <v>2027</v>
      </c>
      <c r="D1313" t="s">
        <v>538</v>
      </c>
      <c r="E1313" t="s">
        <v>832</v>
      </c>
      <c r="F1313" s="32">
        <v>46402</v>
      </c>
      <c r="G1313" t="s">
        <v>514</v>
      </c>
      <c r="H1313">
        <v>47147546</v>
      </c>
      <c r="I1313" t="s">
        <v>1077</v>
      </c>
      <c r="J1313" t="s">
        <v>1381</v>
      </c>
      <c r="K1313" t="s">
        <v>530</v>
      </c>
      <c r="N1313">
        <v>0</v>
      </c>
      <c r="O1313">
        <v>0</v>
      </c>
      <c r="P1313" t="str">
        <f t="shared" si="20"/>
        <v>N</v>
      </c>
      <c r="Q1313" t="s">
        <v>7043</v>
      </c>
    </row>
    <row r="1314" spans="1:17" x14ac:dyDescent="0.25">
      <c r="A1314" t="s">
        <v>1895</v>
      </c>
      <c r="B1314" t="s">
        <v>1135</v>
      </c>
      <c r="C1314">
        <v>2027</v>
      </c>
      <c r="D1314" t="s">
        <v>538</v>
      </c>
      <c r="E1314" t="s">
        <v>832</v>
      </c>
      <c r="F1314" s="32">
        <v>46402</v>
      </c>
      <c r="G1314" t="s">
        <v>514</v>
      </c>
      <c r="H1314">
        <v>47147658</v>
      </c>
      <c r="I1314" t="s">
        <v>1276</v>
      </c>
      <c r="J1314" t="s">
        <v>1275</v>
      </c>
      <c r="K1314" t="s">
        <v>530</v>
      </c>
      <c r="N1314">
        <v>0</v>
      </c>
      <c r="O1314">
        <v>0</v>
      </c>
      <c r="P1314" t="str">
        <f t="shared" si="20"/>
        <v>N</v>
      </c>
      <c r="Q1314" t="s">
        <v>7044</v>
      </c>
    </row>
    <row r="1315" spans="1:17" x14ac:dyDescent="0.25">
      <c r="A1315" t="s">
        <v>1896</v>
      </c>
      <c r="B1315" t="s">
        <v>1135</v>
      </c>
      <c r="C1315">
        <v>2027</v>
      </c>
      <c r="D1315" t="s">
        <v>538</v>
      </c>
      <c r="E1315" t="s">
        <v>832</v>
      </c>
      <c r="F1315" s="32">
        <v>46402</v>
      </c>
      <c r="G1315" t="s">
        <v>514</v>
      </c>
      <c r="H1315">
        <v>47147546</v>
      </c>
      <c r="I1315" t="s">
        <v>1077</v>
      </c>
      <c r="J1315" t="s">
        <v>1171</v>
      </c>
      <c r="K1315" t="s">
        <v>530</v>
      </c>
      <c r="N1315">
        <v>0</v>
      </c>
      <c r="O1315">
        <v>0</v>
      </c>
      <c r="P1315" t="str">
        <f t="shared" si="20"/>
        <v>N</v>
      </c>
      <c r="Q1315" t="s">
        <v>7045</v>
      </c>
    </row>
    <row r="1316" spans="1:17" x14ac:dyDescent="0.25">
      <c r="A1316" t="s">
        <v>1897</v>
      </c>
      <c r="B1316" t="s">
        <v>1135</v>
      </c>
      <c r="C1316">
        <v>2027</v>
      </c>
      <c r="D1316" t="s">
        <v>538</v>
      </c>
      <c r="E1316" t="s">
        <v>832</v>
      </c>
      <c r="F1316" s="32">
        <v>46402</v>
      </c>
      <c r="G1316" t="s">
        <v>514</v>
      </c>
      <c r="H1316">
        <v>47128028</v>
      </c>
      <c r="I1316" t="s">
        <v>1035</v>
      </c>
      <c r="J1316" t="s">
        <v>1034</v>
      </c>
      <c r="K1316" t="s">
        <v>530</v>
      </c>
      <c r="N1316">
        <v>0</v>
      </c>
      <c r="O1316">
        <v>0</v>
      </c>
      <c r="P1316" t="str">
        <f t="shared" si="20"/>
        <v>N</v>
      </c>
      <c r="Q1316" t="s">
        <v>7046</v>
      </c>
    </row>
    <row r="1317" spans="1:17" x14ac:dyDescent="0.25">
      <c r="A1317" t="s">
        <v>1898</v>
      </c>
      <c r="B1317" t="s">
        <v>1135</v>
      </c>
      <c r="C1317">
        <v>2027</v>
      </c>
      <c r="D1317" t="s">
        <v>538</v>
      </c>
      <c r="E1317" t="s">
        <v>832</v>
      </c>
      <c r="F1317" s="32">
        <v>46402</v>
      </c>
      <c r="G1317" t="s">
        <v>514</v>
      </c>
      <c r="H1317">
        <v>47128465</v>
      </c>
      <c r="I1317" t="s">
        <v>1333</v>
      </c>
      <c r="J1317" t="s">
        <v>1332</v>
      </c>
      <c r="K1317" t="s">
        <v>530</v>
      </c>
      <c r="N1317">
        <v>0</v>
      </c>
      <c r="O1317">
        <v>0</v>
      </c>
      <c r="P1317" t="str">
        <f t="shared" si="20"/>
        <v>N</v>
      </c>
      <c r="Q1317" t="s">
        <v>7047</v>
      </c>
    </row>
    <row r="1318" spans="1:17" x14ac:dyDescent="0.25">
      <c r="A1318" t="s">
        <v>1899</v>
      </c>
      <c r="B1318" t="s">
        <v>1135</v>
      </c>
      <c r="C1318">
        <v>2027</v>
      </c>
      <c r="D1318" t="s">
        <v>538</v>
      </c>
      <c r="E1318" t="s">
        <v>832</v>
      </c>
      <c r="F1318" s="32">
        <v>46402</v>
      </c>
      <c r="G1318" t="s">
        <v>514</v>
      </c>
      <c r="H1318">
        <v>47128548</v>
      </c>
      <c r="I1318" t="s">
        <v>958</v>
      </c>
      <c r="J1318" t="s">
        <v>957</v>
      </c>
      <c r="K1318" t="s">
        <v>530</v>
      </c>
      <c r="N1318">
        <v>0</v>
      </c>
      <c r="O1318">
        <v>0</v>
      </c>
      <c r="P1318" t="str">
        <f t="shared" si="20"/>
        <v>N</v>
      </c>
      <c r="Q1318" t="s">
        <v>7048</v>
      </c>
    </row>
    <row r="1319" spans="1:17" x14ac:dyDescent="0.25">
      <c r="A1319" t="s">
        <v>2405</v>
      </c>
      <c r="B1319" t="s">
        <v>2344</v>
      </c>
      <c r="C1319">
        <v>2027</v>
      </c>
      <c r="D1319" t="s">
        <v>538</v>
      </c>
      <c r="E1319" t="s">
        <v>832</v>
      </c>
      <c r="F1319" s="32">
        <v>46402</v>
      </c>
      <c r="G1319" t="s">
        <v>514</v>
      </c>
      <c r="H1319">
        <v>47140037</v>
      </c>
      <c r="I1319" t="s">
        <v>2347</v>
      </c>
      <c r="J1319" t="s">
        <v>2348</v>
      </c>
      <c r="K1319" t="s">
        <v>530</v>
      </c>
      <c r="N1319">
        <v>0</v>
      </c>
      <c r="O1319">
        <v>0</v>
      </c>
      <c r="P1319" t="str">
        <f t="shared" si="20"/>
        <v>N</v>
      </c>
      <c r="Q1319" t="s">
        <v>7049</v>
      </c>
    </row>
    <row r="1320" spans="1:17" x14ac:dyDescent="0.25">
      <c r="A1320" t="s">
        <v>2406</v>
      </c>
      <c r="B1320" t="s">
        <v>2344</v>
      </c>
      <c r="C1320">
        <v>2027</v>
      </c>
      <c r="D1320" t="s">
        <v>538</v>
      </c>
      <c r="E1320" t="s">
        <v>832</v>
      </c>
      <c r="F1320" s="32">
        <v>46402</v>
      </c>
      <c r="G1320" t="s">
        <v>514</v>
      </c>
      <c r="H1320">
        <v>47128769</v>
      </c>
      <c r="I1320" t="s">
        <v>2386</v>
      </c>
      <c r="J1320" t="s">
        <v>2387</v>
      </c>
      <c r="K1320" t="s">
        <v>530</v>
      </c>
      <c r="N1320">
        <v>25.8</v>
      </c>
      <c r="O1320">
        <v>25.8</v>
      </c>
      <c r="P1320" t="str">
        <f t="shared" si="20"/>
        <v>N</v>
      </c>
      <c r="Q1320" t="s">
        <v>7050</v>
      </c>
    </row>
    <row r="1321" spans="1:17" x14ac:dyDescent="0.25">
      <c r="A1321" t="s">
        <v>2407</v>
      </c>
      <c r="B1321" t="s">
        <v>2344</v>
      </c>
      <c r="C1321">
        <v>2027</v>
      </c>
      <c r="D1321" t="s">
        <v>538</v>
      </c>
      <c r="E1321" t="s">
        <v>832</v>
      </c>
      <c r="F1321" s="32">
        <v>46402</v>
      </c>
      <c r="G1321" t="s">
        <v>514</v>
      </c>
      <c r="H1321">
        <v>47129006</v>
      </c>
      <c r="I1321" t="s">
        <v>2408</v>
      </c>
      <c r="J1321" t="s">
        <v>2409</v>
      </c>
      <c r="K1321" t="s">
        <v>530</v>
      </c>
      <c r="N1321">
        <v>32</v>
      </c>
      <c r="O1321">
        <v>32</v>
      </c>
      <c r="P1321" t="str">
        <f t="shared" si="20"/>
        <v>N</v>
      </c>
      <c r="Q1321" t="s">
        <v>7051</v>
      </c>
    </row>
    <row r="1322" spans="1:17" x14ac:dyDescent="0.25">
      <c r="A1322" t="s">
        <v>2410</v>
      </c>
      <c r="B1322" t="s">
        <v>2344</v>
      </c>
      <c r="C1322">
        <v>2027</v>
      </c>
      <c r="D1322" t="s">
        <v>538</v>
      </c>
      <c r="E1322" t="s">
        <v>832</v>
      </c>
      <c r="F1322" s="32">
        <v>46402</v>
      </c>
      <c r="G1322" t="s">
        <v>514</v>
      </c>
      <c r="H1322">
        <v>47128820</v>
      </c>
      <c r="I1322" t="s">
        <v>2411</v>
      </c>
      <c r="J1322" t="s">
        <v>2412</v>
      </c>
      <c r="K1322" t="s">
        <v>530</v>
      </c>
      <c r="N1322">
        <v>0</v>
      </c>
      <c r="O1322">
        <v>0</v>
      </c>
      <c r="P1322" t="str">
        <f t="shared" si="20"/>
        <v>N</v>
      </c>
      <c r="Q1322" t="s">
        <v>7052</v>
      </c>
    </row>
    <row r="1323" spans="1:17" x14ac:dyDescent="0.25">
      <c r="A1323" t="s">
        <v>2413</v>
      </c>
      <c r="B1323" t="s">
        <v>2344</v>
      </c>
      <c r="C1323">
        <v>2027</v>
      </c>
      <c r="D1323" t="s">
        <v>538</v>
      </c>
      <c r="E1323" t="s">
        <v>832</v>
      </c>
      <c r="F1323" s="32">
        <v>46402</v>
      </c>
      <c r="G1323" t="s">
        <v>514</v>
      </c>
      <c r="H1323">
        <v>47128378</v>
      </c>
      <c r="I1323" t="s">
        <v>2392</v>
      </c>
      <c r="J1323" t="s">
        <v>2393</v>
      </c>
      <c r="K1323" t="s">
        <v>530</v>
      </c>
      <c r="N1323">
        <v>0</v>
      </c>
      <c r="O1323">
        <v>0</v>
      </c>
      <c r="P1323" t="str">
        <f t="shared" si="20"/>
        <v>N</v>
      </c>
      <c r="Q1323" t="s">
        <v>7053</v>
      </c>
    </row>
    <row r="1324" spans="1:17" x14ac:dyDescent="0.25">
      <c r="A1324" t="s">
        <v>2414</v>
      </c>
      <c r="B1324" t="s">
        <v>2344</v>
      </c>
      <c r="C1324">
        <v>2027</v>
      </c>
      <c r="D1324" t="s">
        <v>538</v>
      </c>
      <c r="E1324" t="s">
        <v>832</v>
      </c>
      <c r="F1324" s="32">
        <v>46402</v>
      </c>
      <c r="G1324" t="s">
        <v>514</v>
      </c>
      <c r="H1324">
        <v>47128020</v>
      </c>
      <c r="I1324" t="s">
        <v>2395</v>
      </c>
      <c r="J1324" t="s">
        <v>2396</v>
      </c>
      <c r="K1324" t="s">
        <v>530</v>
      </c>
      <c r="N1324">
        <v>0</v>
      </c>
      <c r="O1324">
        <v>0</v>
      </c>
      <c r="P1324" t="str">
        <f t="shared" si="20"/>
        <v>N</v>
      </c>
      <c r="Q1324" t="s">
        <v>7054</v>
      </c>
    </row>
    <row r="1325" spans="1:17" x14ac:dyDescent="0.25">
      <c r="A1325" t="s">
        <v>2415</v>
      </c>
      <c r="B1325" t="s">
        <v>2344</v>
      </c>
      <c r="C1325">
        <v>2027</v>
      </c>
      <c r="D1325" t="s">
        <v>538</v>
      </c>
      <c r="E1325" t="s">
        <v>832</v>
      </c>
      <c r="F1325" s="32">
        <v>46402</v>
      </c>
      <c r="G1325" t="s">
        <v>514</v>
      </c>
      <c r="H1325">
        <v>47128459</v>
      </c>
      <c r="I1325" t="s">
        <v>2398</v>
      </c>
      <c r="J1325" t="s">
        <v>2399</v>
      </c>
      <c r="K1325" t="s">
        <v>530</v>
      </c>
      <c r="N1325">
        <v>4</v>
      </c>
      <c r="O1325">
        <v>4</v>
      </c>
      <c r="P1325" t="str">
        <f t="shared" si="20"/>
        <v>N</v>
      </c>
      <c r="Q1325" t="s">
        <v>7055</v>
      </c>
    </row>
    <row r="1326" spans="1:17" x14ac:dyDescent="0.25">
      <c r="A1326" t="s">
        <v>2574</v>
      </c>
      <c r="B1326" t="s">
        <v>2444</v>
      </c>
      <c r="C1326">
        <v>2027</v>
      </c>
      <c r="D1326" t="s">
        <v>538</v>
      </c>
      <c r="E1326" t="s">
        <v>832</v>
      </c>
      <c r="F1326" s="32">
        <v>46402</v>
      </c>
      <c r="G1326" t="s">
        <v>514</v>
      </c>
      <c r="H1326">
        <v>47128006</v>
      </c>
      <c r="I1326" t="s">
        <v>2447</v>
      </c>
      <c r="J1326" t="s">
        <v>2448</v>
      </c>
      <c r="K1326" t="s">
        <v>530</v>
      </c>
      <c r="N1326">
        <v>0</v>
      </c>
      <c r="O1326">
        <v>0</v>
      </c>
      <c r="P1326" t="str">
        <f t="shared" si="20"/>
        <v>N</v>
      </c>
      <c r="Q1326" t="s">
        <v>7056</v>
      </c>
    </row>
    <row r="1327" spans="1:17" x14ac:dyDescent="0.25">
      <c r="A1327" t="s">
        <v>2575</v>
      </c>
      <c r="B1327" t="s">
        <v>2444</v>
      </c>
      <c r="C1327">
        <v>2027</v>
      </c>
      <c r="D1327" t="s">
        <v>538</v>
      </c>
      <c r="E1327" t="s">
        <v>832</v>
      </c>
      <c r="F1327" s="32">
        <v>46402</v>
      </c>
      <c r="G1327" t="s">
        <v>514</v>
      </c>
      <c r="H1327">
        <v>47128300</v>
      </c>
      <c r="I1327" t="s">
        <v>2471</v>
      </c>
      <c r="J1327" t="s">
        <v>2472</v>
      </c>
      <c r="K1327" t="s">
        <v>530</v>
      </c>
      <c r="N1327">
        <v>60</v>
      </c>
      <c r="O1327">
        <v>60</v>
      </c>
      <c r="P1327" t="str">
        <f t="shared" si="20"/>
        <v>N</v>
      </c>
      <c r="Q1327" t="s">
        <v>7057</v>
      </c>
    </row>
    <row r="1328" spans="1:17" x14ac:dyDescent="0.25">
      <c r="A1328" t="s">
        <v>2576</v>
      </c>
      <c r="B1328" t="s">
        <v>2444</v>
      </c>
      <c r="C1328">
        <v>2027</v>
      </c>
      <c r="D1328" t="s">
        <v>538</v>
      </c>
      <c r="E1328" t="s">
        <v>832</v>
      </c>
      <c r="F1328" s="32">
        <v>46402</v>
      </c>
      <c r="G1328" t="s">
        <v>514</v>
      </c>
      <c r="H1328">
        <v>47128213</v>
      </c>
      <c r="I1328" t="s">
        <v>2456</v>
      </c>
      <c r="J1328" t="s">
        <v>2457</v>
      </c>
      <c r="K1328" t="s">
        <v>530</v>
      </c>
      <c r="N1328">
        <v>0</v>
      </c>
      <c r="O1328">
        <v>0</v>
      </c>
      <c r="P1328" t="str">
        <f t="shared" si="20"/>
        <v>N</v>
      </c>
      <c r="Q1328" t="s">
        <v>7058</v>
      </c>
    </row>
    <row r="1329" spans="1:17" x14ac:dyDescent="0.25">
      <c r="A1329" t="s">
        <v>2577</v>
      </c>
      <c r="B1329" t="s">
        <v>2444</v>
      </c>
      <c r="C1329">
        <v>2027</v>
      </c>
      <c r="D1329" t="s">
        <v>538</v>
      </c>
      <c r="E1329" t="s">
        <v>832</v>
      </c>
      <c r="F1329" s="32">
        <v>46402</v>
      </c>
      <c r="G1329" t="s">
        <v>514</v>
      </c>
      <c r="H1329">
        <v>47128667</v>
      </c>
      <c r="I1329" t="s">
        <v>2450</v>
      </c>
      <c r="J1329" t="s">
        <v>2451</v>
      </c>
      <c r="K1329" t="s">
        <v>530</v>
      </c>
      <c r="N1329">
        <v>0</v>
      </c>
      <c r="O1329">
        <v>0</v>
      </c>
      <c r="P1329" t="str">
        <f t="shared" si="20"/>
        <v>N</v>
      </c>
      <c r="Q1329" t="s">
        <v>7059</v>
      </c>
    </row>
    <row r="1330" spans="1:17" x14ac:dyDescent="0.25">
      <c r="A1330" t="s">
        <v>2578</v>
      </c>
      <c r="B1330" t="s">
        <v>2444</v>
      </c>
      <c r="C1330">
        <v>2027</v>
      </c>
      <c r="D1330" t="s">
        <v>538</v>
      </c>
      <c r="E1330" t="s">
        <v>832</v>
      </c>
      <c r="F1330" s="32">
        <v>46402</v>
      </c>
      <c r="G1330" t="s">
        <v>514</v>
      </c>
      <c r="H1330">
        <v>47128179</v>
      </c>
      <c r="I1330" t="s">
        <v>2477</v>
      </c>
      <c r="J1330" t="s">
        <v>2478</v>
      </c>
      <c r="K1330" t="s">
        <v>530</v>
      </c>
      <c r="N1330">
        <v>0</v>
      </c>
      <c r="O1330">
        <v>0</v>
      </c>
      <c r="P1330" t="str">
        <f t="shared" si="20"/>
        <v>N</v>
      </c>
      <c r="Q1330" t="s">
        <v>7060</v>
      </c>
    </row>
    <row r="1331" spans="1:17" x14ac:dyDescent="0.25">
      <c r="A1331" t="s">
        <v>2579</v>
      </c>
      <c r="B1331" t="s">
        <v>2444</v>
      </c>
      <c r="C1331">
        <v>2027</v>
      </c>
      <c r="D1331" t="s">
        <v>538</v>
      </c>
      <c r="E1331" t="s">
        <v>832</v>
      </c>
      <c r="F1331" s="32">
        <v>46402</v>
      </c>
      <c r="G1331" t="s">
        <v>514</v>
      </c>
      <c r="H1331">
        <v>47128655</v>
      </c>
      <c r="I1331" t="s">
        <v>2474</v>
      </c>
      <c r="J1331" t="s">
        <v>2475</v>
      </c>
      <c r="K1331" t="s">
        <v>530</v>
      </c>
      <c r="N1331">
        <v>0</v>
      </c>
      <c r="O1331">
        <v>0</v>
      </c>
      <c r="P1331" t="str">
        <f t="shared" si="20"/>
        <v>N</v>
      </c>
      <c r="Q1331" t="s">
        <v>7061</v>
      </c>
    </row>
    <row r="1332" spans="1:17" x14ac:dyDescent="0.25">
      <c r="A1332" t="s">
        <v>2580</v>
      </c>
      <c r="B1332" t="s">
        <v>2444</v>
      </c>
      <c r="C1332">
        <v>2027</v>
      </c>
      <c r="D1332" t="s">
        <v>538</v>
      </c>
      <c r="E1332" t="s">
        <v>832</v>
      </c>
      <c r="F1332" s="32">
        <v>46402</v>
      </c>
      <c r="G1332" t="s">
        <v>514</v>
      </c>
      <c r="H1332">
        <v>47129222</v>
      </c>
      <c r="I1332" t="s">
        <v>2459</v>
      </c>
      <c r="J1332" t="s">
        <v>2460</v>
      </c>
      <c r="K1332" t="s">
        <v>530</v>
      </c>
      <c r="N1332">
        <v>0</v>
      </c>
      <c r="O1332">
        <v>0</v>
      </c>
      <c r="P1332" t="str">
        <f t="shared" si="20"/>
        <v>N</v>
      </c>
      <c r="Q1332" t="s">
        <v>7062</v>
      </c>
    </row>
    <row r="1333" spans="1:17" x14ac:dyDescent="0.25">
      <c r="A1333" t="s">
        <v>2581</v>
      </c>
      <c r="B1333" t="s">
        <v>2444</v>
      </c>
      <c r="C1333">
        <v>2027</v>
      </c>
      <c r="D1333" t="s">
        <v>538</v>
      </c>
      <c r="E1333" t="s">
        <v>832</v>
      </c>
      <c r="F1333" s="32">
        <v>46402</v>
      </c>
      <c r="G1333" t="s">
        <v>514</v>
      </c>
      <c r="H1333">
        <v>47132096</v>
      </c>
      <c r="I1333" t="s">
        <v>2468</v>
      </c>
      <c r="J1333" t="s">
        <v>2469</v>
      </c>
      <c r="K1333" t="s">
        <v>530</v>
      </c>
      <c r="N1333">
        <v>0</v>
      </c>
      <c r="O1333">
        <v>0</v>
      </c>
      <c r="P1333" t="str">
        <f t="shared" si="20"/>
        <v>N</v>
      </c>
      <c r="Q1333" t="s">
        <v>7063</v>
      </c>
    </row>
    <row r="1334" spans="1:17" x14ac:dyDescent="0.25">
      <c r="A1334" t="s">
        <v>2582</v>
      </c>
      <c r="B1334" t="s">
        <v>2444</v>
      </c>
      <c r="C1334">
        <v>2027</v>
      </c>
      <c r="D1334" t="s">
        <v>538</v>
      </c>
      <c r="E1334" t="s">
        <v>832</v>
      </c>
      <c r="F1334" s="32">
        <v>46402</v>
      </c>
      <c r="G1334" t="s">
        <v>514</v>
      </c>
      <c r="H1334">
        <v>47128561</v>
      </c>
      <c r="I1334" t="s">
        <v>2462</v>
      </c>
      <c r="J1334" t="s">
        <v>2463</v>
      </c>
      <c r="K1334" t="s">
        <v>530</v>
      </c>
      <c r="N1334">
        <v>0</v>
      </c>
      <c r="O1334">
        <v>0</v>
      </c>
      <c r="P1334" t="str">
        <f t="shared" si="20"/>
        <v>N</v>
      </c>
      <c r="Q1334" t="s">
        <v>7064</v>
      </c>
    </row>
    <row r="1335" spans="1:17" x14ac:dyDescent="0.25">
      <c r="A1335" t="s">
        <v>2583</v>
      </c>
      <c r="B1335" t="s">
        <v>2444</v>
      </c>
      <c r="C1335">
        <v>2027</v>
      </c>
      <c r="D1335" t="s">
        <v>538</v>
      </c>
      <c r="E1335" t="s">
        <v>832</v>
      </c>
      <c r="F1335" s="32">
        <v>46402</v>
      </c>
      <c r="G1335" t="s">
        <v>514</v>
      </c>
      <c r="H1335">
        <v>47129274</v>
      </c>
      <c r="I1335" t="s">
        <v>2486</v>
      </c>
      <c r="J1335" t="s">
        <v>2487</v>
      </c>
      <c r="K1335" t="s">
        <v>530</v>
      </c>
      <c r="N1335">
        <v>0</v>
      </c>
      <c r="O1335">
        <v>0</v>
      </c>
      <c r="P1335" t="str">
        <f t="shared" si="20"/>
        <v>N</v>
      </c>
      <c r="Q1335" t="s">
        <v>7065</v>
      </c>
    </row>
    <row r="1336" spans="1:17" x14ac:dyDescent="0.25">
      <c r="A1336" t="s">
        <v>2584</v>
      </c>
      <c r="B1336" t="s">
        <v>2444</v>
      </c>
      <c r="C1336">
        <v>2027</v>
      </c>
      <c r="D1336" t="s">
        <v>538</v>
      </c>
      <c r="E1336" t="s">
        <v>832</v>
      </c>
      <c r="F1336" s="32">
        <v>46402</v>
      </c>
      <c r="G1336" t="s">
        <v>514</v>
      </c>
      <c r="H1336">
        <v>47129262</v>
      </c>
      <c r="I1336" t="s">
        <v>2453</v>
      </c>
      <c r="J1336" t="s">
        <v>2454</v>
      </c>
      <c r="K1336" t="s">
        <v>530</v>
      </c>
      <c r="N1336">
        <v>0</v>
      </c>
      <c r="O1336">
        <v>0</v>
      </c>
      <c r="P1336" t="str">
        <f t="shared" si="20"/>
        <v>N</v>
      </c>
      <c r="Q1336" t="s">
        <v>7066</v>
      </c>
    </row>
    <row r="1337" spans="1:17" x14ac:dyDescent="0.25">
      <c r="A1337" t="s">
        <v>2585</v>
      </c>
      <c r="B1337" t="s">
        <v>2444</v>
      </c>
      <c r="C1337">
        <v>2027</v>
      </c>
      <c r="D1337" t="s">
        <v>538</v>
      </c>
      <c r="E1337" t="s">
        <v>832</v>
      </c>
      <c r="F1337" s="32">
        <v>46402</v>
      </c>
      <c r="G1337" t="s">
        <v>514</v>
      </c>
      <c r="H1337">
        <v>47129558</v>
      </c>
      <c r="I1337" t="s">
        <v>2480</v>
      </c>
      <c r="J1337" t="s">
        <v>2481</v>
      </c>
      <c r="K1337" t="s">
        <v>530</v>
      </c>
      <c r="N1337">
        <v>0</v>
      </c>
      <c r="O1337">
        <v>0</v>
      </c>
      <c r="P1337" t="str">
        <f t="shared" si="20"/>
        <v>N</v>
      </c>
      <c r="Q1337" t="s">
        <v>7067</v>
      </c>
    </row>
    <row r="1338" spans="1:17" x14ac:dyDescent="0.25">
      <c r="A1338" t="s">
        <v>2586</v>
      </c>
      <c r="B1338" t="s">
        <v>2444</v>
      </c>
      <c r="C1338">
        <v>2027</v>
      </c>
      <c r="D1338" t="s">
        <v>538</v>
      </c>
      <c r="E1338" t="s">
        <v>832</v>
      </c>
      <c r="F1338" s="32">
        <v>46402</v>
      </c>
      <c r="G1338" t="s">
        <v>514</v>
      </c>
      <c r="H1338">
        <v>47129727</v>
      </c>
      <c r="I1338" t="s">
        <v>2465</v>
      </c>
      <c r="J1338" t="s">
        <v>2466</v>
      </c>
      <c r="K1338" t="s">
        <v>530</v>
      </c>
      <c r="N1338">
        <v>0</v>
      </c>
      <c r="O1338">
        <v>0</v>
      </c>
      <c r="P1338" t="str">
        <f t="shared" si="20"/>
        <v>N</v>
      </c>
      <c r="Q1338" t="s">
        <v>7068</v>
      </c>
    </row>
    <row r="1339" spans="1:17" x14ac:dyDescent="0.25">
      <c r="A1339" t="s">
        <v>2587</v>
      </c>
      <c r="B1339" t="s">
        <v>2444</v>
      </c>
      <c r="C1339">
        <v>2027</v>
      </c>
      <c r="D1339" t="s">
        <v>538</v>
      </c>
      <c r="E1339" t="s">
        <v>832</v>
      </c>
      <c r="F1339" s="32">
        <v>46402</v>
      </c>
      <c r="G1339" t="s">
        <v>514</v>
      </c>
      <c r="H1339">
        <v>47129273</v>
      </c>
      <c r="I1339" t="s">
        <v>2483</v>
      </c>
      <c r="J1339" t="s">
        <v>2484</v>
      </c>
      <c r="K1339" t="s">
        <v>530</v>
      </c>
      <c r="N1339">
        <v>0</v>
      </c>
      <c r="O1339">
        <v>0</v>
      </c>
      <c r="P1339" t="str">
        <f t="shared" si="20"/>
        <v>N</v>
      </c>
      <c r="Q1339" t="s">
        <v>7069</v>
      </c>
    </row>
    <row r="1340" spans="1:17" x14ac:dyDescent="0.25">
      <c r="A1340" t="s">
        <v>2588</v>
      </c>
      <c r="B1340" t="s">
        <v>2444</v>
      </c>
      <c r="C1340">
        <v>2027</v>
      </c>
      <c r="D1340" t="s">
        <v>538</v>
      </c>
      <c r="E1340" t="s">
        <v>832</v>
      </c>
      <c r="F1340" s="32">
        <v>46402</v>
      </c>
      <c r="G1340" t="s">
        <v>514</v>
      </c>
      <c r="H1340">
        <v>47128587</v>
      </c>
      <c r="I1340" t="s">
        <v>2489</v>
      </c>
      <c r="J1340" t="s">
        <v>2490</v>
      </c>
      <c r="K1340" t="s">
        <v>530</v>
      </c>
      <c r="N1340">
        <v>0</v>
      </c>
      <c r="O1340">
        <v>0</v>
      </c>
      <c r="P1340" t="str">
        <f t="shared" si="20"/>
        <v>N</v>
      </c>
      <c r="Q1340" t="s">
        <v>7070</v>
      </c>
    </row>
    <row r="1341" spans="1:17" x14ac:dyDescent="0.25">
      <c r="A1341" t="s">
        <v>2589</v>
      </c>
      <c r="B1341" t="s">
        <v>2444</v>
      </c>
      <c r="C1341">
        <v>2027</v>
      </c>
      <c r="D1341" t="s">
        <v>538</v>
      </c>
      <c r="E1341" t="s">
        <v>832</v>
      </c>
      <c r="F1341" s="32">
        <v>46402</v>
      </c>
      <c r="G1341" t="s">
        <v>514</v>
      </c>
      <c r="H1341">
        <v>47128247</v>
      </c>
      <c r="I1341" t="s">
        <v>2492</v>
      </c>
      <c r="J1341" t="s">
        <v>2493</v>
      </c>
      <c r="K1341" t="s">
        <v>530</v>
      </c>
      <c r="N1341">
        <v>0</v>
      </c>
      <c r="O1341">
        <v>0</v>
      </c>
      <c r="P1341" t="str">
        <f t="shared" si="20"/>
        <v>N</v>
      </c>
      <c r="Q1341" t="s">
        <v>7071</v>
      </c>
    </row>
    <row r="1342" spans="1:17" x14ac:dyDescent="0.25">
      <c r="A1342" t="s">
        <v>2880</v>
      </c>
      <c r="B1342" t="s">
        <v>2783</v>
      </c>
      <c r="C1342">
        <v>2027</v>
      </c>
      <c r="D1342" t="s">
        <v>538</v>
      </c>
      <c r="E1342" t="s">
        <v>832</v>
      </c>
      <c r="F1342" s="32">
        <v>46402</v>
      </c>
      <c r="G1342" t="s">
        <v>514</v>
      </c>
      <c r="H1342">
        <v>47128006</v>
      </c>
      <c r="I1342" t="s">
        <v>2447</v>
      </c>
      <c r="J1342" t="s">
        <v>2448</v>
      </c>
      <c r="K1342" t="s">
        <v>530</v>
      </c>
      <c r="N1342">
        <v>0</v>
      </c>
      <c r="O1342">
        <v>0</v>
      </c>
      <c r="P1342" t="str">
        <f t="shared" si="20"/>
        <v>N</v>
      </c>
      <c r="Q1342" t="s">
        <v>7072</v>
      </c>
    </row>
    <row r="1343" spans="1:17" x14ac:dyDescent="0.25">
      <c r="A1343" t="s">
        <v>2881</v>
      </c>
      <c r="B1343" t="s">
        <v>2783</v>
      </c>
      <c r="C1343">
        <v>2027</v>
      </c>
      <c r="D1343" t="s">
        <v>538</v>
      </c>
      <c r="E1343" t="s">
        <v>832</v>
      </c>
      <c r="F1343" s="32">
        <v>46402</v>
      </c>
      <c r="G1343" t="s">
        <v>514</v>
      </c>
      <c r="H1343">
        <v>47128300</v>
      </c>
      <c r="I1343" t="s">
        <v>2471</v>
      </c>
      <c r="J1343" t="s">
        <v>2472</v>
      </c>
      <c r="K1343" t="s">
        <v>530</v>
      </c>
      <c r="N1343">
        <v>60</v>
      </c>
      <c r="O1343">
        <v>60</v>
      </c>
      <c r="P1343" t="str">
        <f t="shared" si="20"/>
        <v>N</v>
      </c>
      <c r="Q1343" t="s">
        <v>7073</v>
      </c>
    </row>
    <row r="1344" spans="1:17" x14ac:dyDescent="0.25">
      <c r="A1344" t="s">
        <v>2882</v>
      </c>
      <c r="B1344" t="s">
        <v>2783</v>
      </c>
      <c r="C1344">
        <v>2027</v>
      </c>
      <c r="D1344" t="s">
        <v>538</v>
      </c>
      <c r="E1344" t="s">
        <v>832</v>
      </c>
      <c r="F1344" s="32">
        <v>46402</v>
      </c>
      <c r="G1344" t="s">
        <v>514</v>
      </c>
      <c r="H1344">
        <v>47128213</v>
      </c>
      <c r="I1344" t="s">
        <v>2456</v>
      </c>
      <c r="J1344" t="s">
        <v>2457</v>
      </c>
      <c r="K1344" t="s">
        <v>530</v>
      </c>
      <c r="N1344">
        <v>0</v>
      </c>
      <c r="O1344">
        <v>0</v>
      </c>
      <c r="P1344" t="str">
        <f t="shared" si="20"/>
        <v>N</v>
      </c>
      <c r="Q1344" t="s">
        <v>7074</v>
      </c>
    </row>
    <row r="1345" spans="1:17" x14ac:dyDescent="0.25">
      <c r="A1345" t="s">
        <v>2883</v>
      </c>
      <c r="B1345" t="s">
        <v>2783</v>
      </c>
      <c r="C1345">
        <v>2027</v>
      </c>
      <c r="D1345" t="s">
        <v>538</v>
      </c>
      <c r="E1345" t="s">
        <v>832</v>
      </c>
      <c r="F1345" s="32">
        <v>46402</v>
      </c>
      <c r="G1345" t="s">
        <v>514</v>
      </c>
      <c r="H1345">
        <v>47128667</v>
      </c>
      <c r="I1345" t="s">
        <v>2450</v>
      </c>
      <c r="J1345" t="s">
        <v>2451</v>
      </c>
      <c r="K1345" t="s">
        <v>530</v>
      </c>
      <c r="N1345">
        <v>0</v>
      </c>
      <c r="O1345">
        <v>0</v>
      </c>
      <c r="P1345" t="str">
        <f t="shared" si="20"/>
        <v>N</v>
      </c>
      <c r="Q1345" t="s">
        <v>7075</v>
      </c>
    </row>
    <row r="1346" spans="1:17" x14ac:dyDescent="0.25">
      <c r="A1346" t="s">
        <v>2884</v>
      </c>
      <c r="B1346" t="s">
        <v>2783</v>
      </c>
      <c r="C1346">
        <v>2027</v>
      </c>
      <c r="D1346" t="s">
        <v>538</v>
      </c>
      <c r="E1346" t="s">
        <v>832</v>
      </c>
      <c r="F1346" s="32">
        <v>46402</v>
      </c>
      <c r="G1346" t="s">
        <v>514</v>
      </c>
      <c r="H1346">
        <v>47128179</v>
      </c>
      <c r="I1346" t="s">
        <v>2477</v>
      </c>
      <c r="J1346" t="s">
        <v>2478</v>
      </c>
      <c r="K1346" t="s">
        <v>530</v>
      </c>
      <c r="N1346">
        <v>0</v>
      </c>
      <c r="O1346">
        <v>0</v>
      </c>
      <c r="P1346" t="str">
        <f t="shared" si="20"/>
        <v>N</v>
      </c>
      <c r="Q1346" t="s">
        <v>7076</v>
      </c>
    </row>
    <row r="1347" spans="1:17" x14ac:dyDescent="0.25">
      <c r="A1347" t="s">
        <v>2885</v>
      </c>
      <c r="B1347" t="s">
        <v>2783</v>
      </c>
      <c r="C1347">
        <v>2027</v>
      </c>
      <c r="D1347" t="s">
        <v>538</v>
      </c>
      <c r="E1347" t="s">
        <v>832</v>
      </c>
      <c r="F1347" s="32">
        <v>46402</v>
      </c>
      <c r="G1347" t="s">
        <v>514</v>
      </c>
      <c r="H1347">
        <v>47128655</v>
      </c>
      <c r="I1347" t="s">
        <v>2474</v>
      </c>
      <c r="J1347" t="s">
        <v>2475</v>
      </c>
      <c r="K1347" t="s">
        <v>530</v>
      </c>
      <c r="N1347">
        <v>0</v>
      </c>
      <c r="O1347">
        <v>0</v>
      </c>
      <c r="P1347" t="str">
        <f t="shared" ref="P1347:P1410" si="21">IF(N1347=O1347,"N","Y")</f>
        <v>N</v>
      </c>
      <c r="Q1347" t="s">
        <v>7077</v>
      </c>
    </row>
    <row r="1348" spans="1:17" x14ac:dyDescent="0.25">
      <c r="A1348" t="s">
        <v>2886</v>
      </c>
      <c r="B1348" t="s">
        <v>2783</v>
      </c>
      <c r="C1348">
        <v>2027</v>
      </c>
      <c r="D1348" t="s">
        <v>538</v>
      </c>
      <c r="E1348" t="s">
        <v>832</v>
      </c>
      <c r="F1348" s="32">
        <v>46402</v>
      </c>
      <c r="G1348" t="s">
        <v>514</v>
      </c>
      <c r="H1348">
        <v>47132096</v>
      </c>
      <c r="I1348" t="s">
        <v>2468</v>
      </c>
      <c r="J1348" t="s">
        <v>2469</v>
      </c>
      <c r="K1348" t="s">
        <v>530</v>
      </c>
      <c r="N1348">
        <v>0</v>
      </c>
      <c r="O1348">
        <v>0</v>
      </c>
      <c r="P1348" t="str">
        <f t="shared" si="21"/>
        <v>N</v>
      </c>
      <c r="Q1348" t="s">
        <v>7078</v>
      </c>
    </row>
    <row r="1349" spans="1:17" x14ac:dyDescent="0.25">
      <c r="A1349" t="s">
        <v>2887</v>
      </c>
      <c r="B1349" t="s">
        <v>2783</v>
      </c>
      <c r="C1349">
        <v>2027</v>
      </c>
      <c r="D1349" t="s">
        <v>538</v>
      </c>
      <c r="E1349" t="s">
        <v>832</v>
      </c>
      <c r="F1349" s="32">
        <v>46402</v>
      </c>
      <c r="G1349" t="s">
        <v>514</v>
      </c>
      <c r="H1349">
        <v>47129222</v>
      </c>
      <c r="I1349" t="s">
        <v>2459</v>
      </c>
      <c r="J1349" t="s">
        <v>2460</v>
      </c>
      <c r="K1349" t="s">
        <v>530</v>
      </c>
      <c r="N1349">
        <v>0</v>
      </c>
      <c r="O1349">
        <v>0</v>
      </c>
      <c r="P1349" t="str">
        <f t="shared" si="21"/>
        <v>N</v>
      </c>
      <c r="Q1349" t="s">
        <v>7079</v>
      </c>
    </row>
    <row r="1350" spans="1:17" x14ac:dyDescent="0.25">
      <c r="A1350" t="s">
        <v>2888</v>
      </c>
      <c r="B1350" t="s">
        <v>2783</v>
      </c>
      <c r="C1350">
        <v>2027</v>
      </c>
      <c r="D1350" t="s">
        <v>538</v>
      </c>
      <c r="E1350" t="s">
        <v>832</v>
      </c>
      <c r="F1350" s="32">
        <v>46402</v>
      </c>
      <c r="G1350" t="s">
        <v>514</v>
      </c>
      <c r="H1350">
        <v>47128561</v>
      </c>
      <c r="I1350" t="s">
        <v>2462</v>
      </c>
      <c r="J1350" t="s">
        <v>2463</v>
      </c>
      <c r="K1350" t="s">
        <v>530</v>
      </c>
      <c r="N1350">
        <v>0</v>
      </c>
      <c r="O1350">
        <v>0</v>
      </c>
      <c r="P1350" t="str">
        <f t="shared" si="21"/>
        <v>N</v>
      </c>
      <c r="Q1350" t="s">
        <v>7080</v>
      </c>
    </row>
    <row r="1351" spans="1:17" x14ac:dyDescent="0.25">
      <c r="A1351" t="s">
        <v>2889</v>
      </c>
      <c r="B1351" t="s">
        <v>2783</v>
      </c>
      <c r="C1351">
        <v>2027</v>
      </c>
      <c r="D1351" t="s">
        <v>538</v>
      </c>
      <c r="E1351" t="s">
        <v>832</v>
      </c>
      <c r="F1351" s="32">
        <v>46402</v>
      </c>
      <c r="G1351" t="s">
        <v>514</v>
      </c>
      <c r="H1351">
        <v>47129274</v>
      </c>
      <c r="I1351" t="s">
        <v>2486</v>
      </c>
      <c r="J1351" t="s">
        <v>2487</v>
      </c>
      <c r="K1351" t="s">
        <v>530</v>
      </c>
      <c r="N1351">
        <v>0</v>
      </c>
      <c r="O1351">
        <v>0</v>
      </c>
      <c r="P1351" t="str">
        <f t="shared" si="21"/>
        <v>N</v>
      </c>
      <c r="Q1351" t="s">
        <v>7081</v>
      </c>
    </row>
    <row r="1352" spans="1:17" x14ac:dyDescent="0.25">
      <c r="A1352" t="s">
        <v>2890</v>
      </c>
      <c r="B1352" t="s">
        <v>2783</v>
      </c>
      <c r="C1352">
        <v>2027</v>
      </c>
      <c r="D1352" t="s">
        <v>538</v>
      </c>
      <c r="E1352" t="s">
        <v>832</v>
      </c>
      <c r="F1352" s="32">
        <v>46402</v>
      </c>
      <c r="G1352" t="s">
        <v>514</v>
      </c>
      <c r="H1352">
        <v>47129262</v>
      </c>
      <c r="I1352" t="s">
        <v>2453</v>
      </c>
      <c r="J1352" t="s">
        <v>2454</v>
      </c>
      <c r="K1352" t="s">
        <v>530</v>
      </c>
      <c r="N1352">
        <v>0</v>
      </c>
      <c r="O1352">
        <v>0</v>
      </c>
      <c r="P1352" t="str">
        <f t="shared" si="21"/>
        <v>N</v>
      </c>
      <c r="Q1352" t="s">
        <v>7082</v>
      </c>
    </row>
    <row r="1353" spans="1:17" x14ac:dyDescent="0.25">
      <c r="A1353" t="s">
        <v>2891</v>
      </c>
      <c r="B1353" t="s">
        <v>2783</v>
      </c>
      <c r="C1353">
        <v>2027</v>
      </c>
      <c r="D1353" t="s">
        <v>538</v>
      </c>
      <c r="E1353" t="s">
        <v>832</v>
      </c>
      <c r="F1353" s="32">
        <v>46402</v>
      </c>
      <c r="G1353" t="s">
        <v>514</v>
      </c>
      <c r="H1353">
        <v>47129558</v>
      </c>
      <c r="I1353" t="s">
        <v>2480</v>
      </c>
      <c r="J1353" t="s">
        <v>2481</v>
      </c>
      <c r="K1353" t="s">
        <v>530</v>
      </c>
      <c r="N1353">
        <v>0</v>
      </c>
      <c r="O1353">
        <v>0</v>
      </c>
      <c r="P1353" t="str">
        <f t="shared" si="21"/>
        <v>N</v>
      </c>
      <c r="Q1353" t="s">
        <v>7083</v>
      </c>
    </row>
    <row r="1354" spans="1:17" x14ac:dyDescent="0.25">
      <c r="A1354" t="s">
        <v>2892</v>
      </c>
      <c r="B1354" t="s">
        <v>2783</v>
      </c>
      <c r="C1354">
        <v>2027</v>
      </c>
      <c r="D1354" t="s">
        <v>538</v>
      </c>
      <c r="E1354" t="s">
        <v>832</v>
      </c>
      <c r="F1354" s="32">
        <v>46402</v>
      </c>
      <c r="G1354" t="s">
        <v>514</v>
      </c>
      <c r="H1354">
        <v>47129727</v>
      </c>
      <c r="I1354" t="s">
        <v>2465</v>
      </c>
      <c r="J1354" t="s">
        <v>2466</v>
      </c>
      <c r="K1354" t="s">
        <v>530</v>
      </c>
      <c r="N1354">
        <v>0</v>
      </c>
      <c r="O1354">
        <v>0</v>
      </c>
      <c r="P1354" t="str">
        <f t="shared" si="21"/>
        <v>N</v>
      </c>
      <c r="Q1354" t="s">
        <v>7084</v>
      </c>
    </row>
    <row r="1355" spans="1:17" x14ac:dyDescent="0.25">
      <c r="A1355" t="s">
        <v>2893</v>
      </c>
      <c r="B1355" t="s">
        <v>2783</v>
      </c>
      <c r="C1355">
        <v>2027</v>
      </c>
      <c r="D1355" t="s">
        <v>538</v>
      </c>
      <c r="E1355" t="s">
        <v>832</v>
      </c>
      <c r="F1355" s="32">
        <v>46402</v>
      </c>
      <c r="G1355" t="s">
        <v>514</v>
      </c>
      <c r="H1355">
        <v>47129273</v>
      </c>
      <c r="I1355" t="s">
        <v>2483</v>
      </c>
      <c r="J1355" t="s">
        <v>2484</v>
      </c>
      <c r="K1355" t="s">
        <v>530</v>
      </c>
      <c r="N1355">
        <v>0</v>
      </c>
      <c r="O1355">
        <v>0</v>
      </c>
      <c r="P1355" t="str">
        <f t="shared" si="21"/>
        <v>N</v>
      </c>
      <c r="Q1355" t="s">
        <v>7085</v>
      </c>
    </row>
    <row r="1356" spans="1:17" x14ac:dyDescent="0.25">
      <c r="A1356" t="s">
        <v>2894</v>
      </c>
      <c r="B1356" t="s">
        <v>2783</v>
      </c>
      <c r="C1356">
        <v>2027</v>
      </c>
      <c r="D1356" t="s">
        <v>538</v>
      </c>
      <c r="E1356" t="s">
        <v>832</v>
      </c>
      <c r="F1356" s="32">
        <v>46402</v>
      </c>
      <c r="G1356" t="s">
        <v>514</v>
      </c>
      <c r="H1356">
        <v>47128587</v>
      </c>
      <c r="I1356" t="s">
        <v>2489</v>
      </c>
      <c r="J1356" t="s">
        <v>2490</v>
      </c>
      <c r="K1356" t="s">
        <v>530</v>
      </c>
      <c r="N1356">
        <v>0</v>
      </c>
      <c r="O1356">
        <v>0</v>
      </c>
      <c r="P1356" t="str">
        <f t="shared" si="21"/>
        <v>N</v>
      </c>
      <c r="Q1356" t="s">
        <v>7086</v>
      </c>
    </row>
    <row r="1357" spans="1:17" x14ac:dyDescent="0.25">
      <c r="A1357" t="s">
        <v>2895</v>
      </c>
      <c r="B1357" t="s">
        <v>2783</v>
      </c>
      <c r="C1357">
        <v>2027</v>
      </c>
      <c r="D1357" t="s">
        <v>538</v>
      </c>
      <c r="E1357" t="s">
        <v>832</v>
      </c>
      <c r="F1357" s="32">
        <v>46402</v>
      </c>
      <c r="G1357" t="s">
        <v>514</v>
      </c>
      <c r="H1357">
        <v>47128247</v>
      </c>
      <c r="I1357" t="s">
        <v>2492</v>
      </c>
      <c r="J1357" t="s">
        <v>2493</v>
      </c>
      <c r="K1357" t="s">
        <v>530</v>
      </c>
      <c r="N1357">
        <v>0</v>
      </c>
      <c r="O1357">
        <v>0</v>
      </c>
      <c r="P1357" t="str">
        <f t="shared" si="21"/>
        <v>N</v>
      </c>
      <c r="Q1357" t="s">
        <v>7087</v>
      </c>
    </row>
    <row r="1358" spans="1:17" x14ac:dyDescent="0.25">
      <c r="A1358" t="s">
        <v>3289</v>
      </c>
      <c r="B1358" t="s">
        <v>1080</v>
      </c>
      <c r="C1358">
        <v>2027</v>
      </c>
      <c r="D1358" t="s">
        <v>538</v>
      </c>
      <c r="E1358" t="s">
        <v>832</v>
      </c>
      <c r="F1358" s="32">
        <v>46402</v>
      </c>
      <c r="G1358" t="s">
        <v>514</v>
      </c>
      <c r="H1358">
        <v>47128787</v>
      </c>
      <c r="I1358" t="s">
        <v>1453</v>
      </c>
      <c r="J1358" t="s">
        <v>1452</v>
      </c>
      <c r="K1358" t="s">
        <v>530</v>
      </c>
      <c r="N1358">
        <v>0</v>
      </c>
      <c r="O1358">
        <v>0</v>
      </c>
      <c r="P1358" t="str">
        <f t="shared" si="21"/>
        <v>N</v>
      </c>
      <c r="Q1358" t="s">
        <v>7088</v>
      </c>
    </row>
    <row r="1359" spans="1:17" x14ac:dyDescent="0.25">
      <c r="A1359" t="s">
        <v>3290</v>
      </c>
      <c r="B1359" t="s">
        <v>1080</v>
      </c>
      <c r="C1359">
        <v>2027</v>
      </c>
      <c r="D1359" t="s">
        <v>538</v>
      </c>
      <c r="E1359" t="s">
        <v>832</v>
      </c>
      <c r="F1359" s="32">
        <v>46402</v>
      </c>
      <c r="G1359" t="s">
        <v>514</v>
      </c>
      <c r="H1359">
        <v>47146464</v>
      </c>
      <c r="I1359" t="s">
        <v>1438</v>
      </c>
      <c r="J1359" t="s">
        <v>1437</v>
      </c>
      <c r="K1359" t="s">
        <v>530</v>
      </c>
      <c r="N1359">
        <v>0</v>
      </c>
      <c r="O1359">
        <v>0</v>
      </c>
      <c r="P1359" t="str">
        <f t="shared" si="21"/>
        <v>N</v>
      </c>
      <c r="Q1359" t="s">
        <v>7089</v>
      </c>
    </row>
    <row r="1360" spans="1:17" x14ac:dyDescent="0.25">
      <c r="A1360" t="s">
        <v>3291</v>
      </c>
      <c r="B1360" t="s">
        <v>1080</v>
      </c>
      <c r="C1360">
        <v>2027</v>
      </c>
      <c r="D1360" t="s">
        <v>538</v>
      </c>
      <c r="E1360" t="s">
        <v>832</v>
      </c>
      <c r="F1360" s="32">
        <v>46402</v>
      </c>
      <c r="G1360" t="s">
        <v>514</v>
      </c>
      <c r="H1360">
        <v>47146463</v>
      </c>
      <c r="I1360" t="s">
        <v>1441</v>
      </c>
      <c r="J1360" t="s">
        <v>1440</v>
      </c>
      <c r="K1360" t="s">
        <v>530</v>
      </c>
      <c r="N1360">
        <v>0</v>
      </c>
      <c r="O1360">
        <v>0</v>
      </c>
      <c r="P1360" t="str">
        <f t="shared" si="21"/>
        <v>N</v>
      </c>
      <c r="Q1360" t="s">
        <v>7090</v>
      </c>
    </row>
    <row r="1361" spans="1:17" x14ac:dyDescent="0.25">
      <c r="A1361" t="s">
        <v>3292</v>
      </c>
      <c r="B1361" t="s">
        <v>1080</v>
      </c>
      <c r="C1361">
        <v>2027</v>
      </c>
      <c r="D1361" t="s">
        <v>538</v>
      </c>
      <c r="E1361" t="s">
        <v>832</v>
      </c>
      <c r="F1361" s="32">
        <v>46402</v>
      </c>
      <c r="G1361" t="s">
        <v>514</v>
      </c>
      <c r="H1361">
        <v>47128729</v>
      </c>
      <c r="I1361" t="s">
        <v>1149</v>
      </c>
      <c r="J1361" t="s">
        <v>1148</v>
      </c>
      <c r="K1361" t="s">
        <v>530</v>
      </c>
      <c r="N1361">
        <v>0</v>
      </c>
      <c r="O1361">
        <v>0</v>
      </c>
      <c r="P1361" t="str">
        <f t="shared" si="21"/>
        <v>N</v>
      </c>
      <c r="Q1361" t="s">
        <v>7091</v>
      </c>
    </row>
    <row r="1362" spans="1:17" x14ac:dyDescent="0.25">
      <c r="A1362" t="s">
        <v>3293</v>
      </c>
      <c r="B1362" t="s">
        <v>1080</v>
      </c>
      <c r="C1362">
        <v>2027</v>
      </c>
      <c r="D1362" t="s">
        <v>538</v>
      </c>
      <c r="E1362" t="s">
        <v>832</v>
      </c>
      <c r="F1362" s="32">
        <v>46402</v>
      </c>
      <c r="G1362" t="s">
        <v>514</v>
      </c>
      <c r="H1362">
        <v>47128413</v>
      </c>
      <c r="I1362" t="s">
        <v>1397</v>
      </c>
      <c r="J1362" t="s">
        <v>1396</v>
      </c>
      <c r="K1362" t="s">
        <v>530</v>
      </c>
      <c r="N1362">
        <v>0</v>
      </c>
      <c r="O1362">
        <v>0</v>
      </c>
      <c r="P1362" t="str">
        <f t="shared" si="21"/>
        <v>N</v>
      </c>
      <c r="Q1362" t="s">
        <v>7092</v>
      </c>
    </row>
    <row r="1363" spans="1:17" x14ac:dyDescent="0.25">
      <c r="A1363" t="s">
        <v>3294</v>
      </c>
      <c r="B1363" t="s">
        <v>1080</v>
      </c>
      <c r="C1363">
        <v>2027</v>
      </c>
      <c r="D1363" t="s">
        <v>538</v>
      </c>
      <c r="E1363" t="s">
        <v>832</v>
      </c>
      <c r="F1363" s="32">
        <v>46402</v>
      </c>
      <c r="G1363" t="s">
        <v>514</v>
      </c>
      <c r="H1363">
        <v>47128783</v>
      </c>
      <c r="I1363" t="s">
        <v>1280</v>
      </c>
      <c r="J1363" t="s">
        <v>1279</v>
      </c>
      <c r="K1363" t="s">
        <v>530</v>
      </c>
      <c r="N1363">
        <v>0</v>
      </c>
      <c r="O1363">
        <v>0</v>
      </c>
      <c r="P1363" t="str">
        <f t="shared" si="21"/>
        <v>N</v>
      </c>
      <c r="Q1363" t="s">
        <v>7093</v>
      </c>
    </row>
    <row r="1364" spans="1:17" x14ac:dyDescent="0.25">
      <c r="A1364" t="s">
        <v>3295</v>
      </c>
      <c r="B1364" t="s">
        <v>1080</v>
      </c>
      <c r="C1364">
        <v>2027</v>
      </c>
      <c r="D1364" t="s">
        <v>538</v>
      </c>
      <c r="E1364" t="s">
        <v>832</v>
      </c>
      <c r="F1364" s="32">
        <v>46402</v>
      </c>
      <c r="G1364" t="s">
        <v>514</v>
      </c>
      <c r="H1364">
        <v>47128944</v>
      </c>
      <c r="I1364" t="s">
        <v>1137</v>
      </c>
      <c r="J1364" t="s">
        <v>1136</v>
      </c>
      <c r="K1364" t="s">
        <v>530</v>
      </c>
      <c r="N1364">
        <v>0</v>
      </c>
      <c r="O1364">
        <v>0</v>
      </c>
      <c r="P1364" t="str">
        <f t="shared" si="21"/>
        <v>N</v>
      </c>
      <c r="Q1364" t="s">
        <v>7094</v>
      </c>
    </row>
    <row r="1365" spans="1:17" x14ac:dyDescent="0.25">
      <c r="A1365" t="s">
        <v>3296</v>
      </c>
      <c r="B1365" t="s">
        <v>1080</v>
      </c>
      <c r="C1365">
        <v>2027</v>
      </c>
      <c r="D1365" t="s">
        <v>538</v>
      </c>
      <c r="E1365" t="s">
        <v>832</v>
      </c>
      <c r="F1365" s="32">
        <v>46402</v>
      </c>
      <c r="G1365" t="s">
        <v>514</v>
      </c>
      <c r="H1365">
        <v>47129547</v>
      </c>
      <c r="I1365" t="s">
        <v>1128</v>
      </c>
      <c r="J1365" t="s">
        <v>1352</v>
      </c>
      <c r="K1365" t="s">
        <v>530</v>
      </c>
      <c r="N1365">
        <v>0</v>
      </c>
      <c r="O1365">
        <v>0</v>
      </c>
      <c r="P1365" t="str">
        <f t="shared" si="21"/>
        <v>N</v>
      </c>
      <c r="Q1365" t="s">
        <v>7095</v>
      </c>
    </row>
    <row r="1366" spans="1:17" x14ac:dyDescent="0.25">
      <c r="A1366" t="s">
        <v>3297</v>
      </c>
      <c r="B1366" t="s">
        <v>1080</v>
      </c>
      <c r="C1366">
        <v>2027</v>
      </c>
      <c r="D1366" t="s">
        <v>538</v>
      </c>
      <c r="E1366" t="s">
        <v>832</v>
      </c>
      <c r="F1366" s="32">
        <v>46402</v>
      </c>
      <c r="G1366" t="s">
        <v>514</v>
      </c>
      <c r="H1366">
        <v>47128518</v>
      </c>
      <c r="I1366" t="s">
        <v>1232</v>
      </c>
      <c r="J1366" t="s">
        <v>1493</v>
      </c>
      <c r="K1366" t="s">
        <v>530</v>
      </c>
      <c r="N1366">
        <v>0</v>
      </c>
      <c r="O1366">
        <v>0</v>
      </c>
      <c r="P1366" t="str">
        <f t="shared" si="21"/>
        <v>N</v>
      </c>
      <c r="Q1366" t="s">
        <v>7096</v>
      </c>
    </row>
    <row r="1367" spans="1:17" x14ac:dyDescent="0.25">
      <c r="A1367" t="s">
        <v>3298</v>
      </c>
      <c r="B1367" t="s">
        <v>1080</v>
      </c>
      <c r="C1367">
        <v>2027</v>
      </c>
      <c r="D1367" t="s">
        <v>538</v>
      </c>
      <c r="E1367" t="s">
        <v>832</v>
      </c>
      <c r="F1367" s="32">
        <v>46402</v>
      </c>
      <c r="G1367" t="s">
        <v>514</v>
      </c>
      <c r="H1367">
        <v>47128977</v>
      </c>
      <c r="I1367" t="s">
        <v>1449</v>
      </c>
      <c r="J1367" t="s">
        <v>1448</v>
      </c>
      <c r="K1367" t="s">
        <v>530</v>
      </c>
      <c r="N1367">
        <v>0</v>
      </c>
      <c r="O1367">
        <v>0</v>
      </c>
      <c r="P1367" t="str">
        <f t="shared" si="21"/>
        <v>N</v>
      </c>
      <c r="Q1367" t="s">
        <v>7097</v>
      </c>
    </row>
    <row r="1368" spans="1:17" x14ac:dyDescent="0.25">
      <c r="A1368" t="s">
        <v>3299</v>
      </c>
      <c r="B1368" t="s">
        <v>1080</v>
      </c>
      <c r="C1368">
        <v>2027</v>
      </c>
      <c r="D1368" t="s">
        <v>538</v>
      </c>
      <c r="E1368" t="s">
        <v>832</v>
      </c>
      <c r="F1368" s="32">
        <v>46402</v>
      </c>
      <c r="G1368" t="s">
        <v>514</v>
      </c>
      <c r="H1368">
        <v>47128168</v>
      </c>
      <c r="I1368" t="s">
        <v>1100</v>
      </c>
      <c r="J1368" t="s">
        <v>1099</v>
      </c>
      <c r="K1368" t="s">
        <v>530</v>
      </c>
      <c r="N1368">
        <v>0</v>
      </c>
      <c r="O1368">
        <v>0</v>
      </c>
      <c r="P1368" t="str">
        <f t="shared" si="21"/>
        <v>N</v>
      </c>
      <c r="Q1368" t="s">
        <v>7098</v>
      </c>
    </row>
    <row r="1369" spans="1:17" x14ac:dyDescent="0.25">
      <c r="A1369" t="s">
        <v>3300</v>
      </c>
      <c r="B1369" t="s">
        <v>1080</v>
      </c>
      <c r="C1369">
        <v>2027</v>
      </c>
      <c r="D1369" t="s">
        <v>538</v>
      </c>
      <c r="E1369" t="s">
        <v>832</v>
      </c>
      <c r="F1369" s="32">
        <v>46402</v>
      </c>
      <c r="G1369" t="s">
        <v>514</v>
      </c>
      <c r="H1369">
        <v>47128687</v>
      </c>
      <c r="I1369" t="s">
        <v>1153</v>
      </c>
      <c r="J1369" t="s">
        <v>1152</v>
      </c>
      <c r="K1369" t="s">
        <v>530</v>
      </c>
      <c r="N1369">
        <v>0</v>
      </c>
      <c r="O1369">
        <v>0</v>
      </c>
      <c r="P1369" t="str">
        <f t="shared" si="21"/>
        <v>N</v>
      </c>
      <c r="Q1369" t="s">
        <v>7099</v>
      </c>
    </row>
    <row r="1370" spans="1:17" x14ac:dyDescent="0.25">
      <c r="A1370" t="s">
        <v>3301</v>
      </c>
      <c r="B1370" t="s">
        <v>1080</v>
      </c>
      <c r="C1370">
        <v>2027</v>
      </c>
      <c r="D1370" t="s">
        <v>538</v>
      </c>
      <c r="E1370" t="s">
        <v>832</v>
      </c>
      <c r="F1370" s="32">
        <v>46402</v>
      </c>
      <c r="G1370" t="s">
        <v>514</v>
      </c>
      <c r="H1370">
        <v>47128585</v>
      </c>
      <c r="I1370" t="s">
        <v>1141</v>
      </c>
      <c r="J1370" t="s">
        <v>1140</v>
      </c>
      <c r="K1370" t="s">
        <v>530</v>
      </c>
      <c r="N1370">
        <v>0</v>
      </c>
      <c r="O1370">
        <v>0</v>
      </c>
      <c r="P1370" t="str">
        <f t="shared" si="21"/>
        <v>N</v>
      </c>
      <c r="Q1370" t="s">
        <v>7100</v>
      </c>
    </row>
    <row r="1371" spans="1:17" x14ac:dyDescent="0.25">
      <c r="A1371" t="s">
        <v>3302</v>
      </c>
      <c r="B1371" t="s">
        <v>1080</v>
      </c>
      <c r="C1371">
        <v>2027</v>
      </c>
      <c r="D1371" t="s">
        <v>538</v>
      </c>
      <c r="E1371" t="s">
        <v>832</v>
      </c>
      <c r="F1371" s="32">
        <v>46402</v>
      </c>
      <c r="G1371" t="s">
        <v>514</v>
      </c>
      <c r="H1371">
        <v>47128906</v>
      </c>
      <c r="I1371" t="s">
        <v>1349</v>
      </c>
      <c r="J1371" t="s">
        <v>1348</v>
      </c>
      <c r="K1371" t="s">
        <v>530</v>
      </c>
      <c r="N1371">
        <v>0</v>
      </c>
      <c r="O1371">
        <v>0</v>
      </c>
      <c r="P1371" t="str">
        <f t="shared" si="21"/>
        <v>N</v>
      </c>
      <c r="Q1371" t="s">
        <v>7101</v>
      </c>
    </row>
    <row r="1372" spans="1:17" x14ac:dyDescent="0.25">
      <c r="A1372" t="s">
        <v>3303</v>
      </c>
      <c r="B1372" t="s">
        <v>1080</v>
      </c>
      <c r="C1372">
        <v>2027</v>
      </c>
      <c r="D1372" t="s">
        <v>538</v>
      </c>
      <c r="E1372" t="s">
        <v>832</v>
      </c>
      <c r="F1372" s="32">
        <v>46402</v>
      </c>
      <c r="G1372" t="s">
        <v>514</v>
      </c>
      <c r="H1372">
        <v>47128585</v>
      </c>
      <c r="I1372" t="s">
        <v>1141</v>
      </c>
      <c r="J1372" t="s">
        <v>1408</v>
      </c>
      <c r="K1372" t="s">
        <v>530</v>
      </c>
      <c r="N1372">
        <v>0</v>
      </c>
      <c r="O1372">
        <v>0</v>
      </c>
      <c r="P1372" t="str">
        <f t="shared" si="21"/>
        <v>N</v>
      </c>
      <c r="Q1372" t="s">
        <v>7102</v>
      </c>
    </row>
    <row r="1373" spans="1:17" x14ac:dyDescent="0.25">
      <c r="A1373" t="s">
        <v>3304</v>
      </c>
      <c r="B1373" t="s">
        <v>1080</v>
      </c>
      <c r="C1373">
        <v>2027</v>
      </c>
      <c r="D1373" t="s">
        <v>538</v>
      </c>
      <c r="E1373" t="s">
        <v>832</v>
      </c>
      <c r="F1373" s="32">
        <v>46402</v>
      </c>
      <c r="G1373" t="s">
        <v>514</v>
      </c>
      <c r="H1373">
        <v>47128518</v>
      </c>
      <c r="I1373" t="s">
        <v>1232</v>
      </c>
      <c r="J1373" t="s">
        <v>1231</v>
      </c>
      <c r="K1373" t="s">
        <v>530</v>
      </c>
      <c r="N1373">
        <v>0</v>
      </c>
      <c r="O1373">
        <v>0</v>
      </c>
      <c r="P1373" t="str">
        <f t="shared" si="21"/>
        <v>N</v>
      </c>
      <c r="Q1373" t="s">
        <v>7103</v>
      </c>
    </row>
    <row r="1374" spans="1:17" x14ac:dyDescent="0.25">
      <c r="A1374" t="s">
        <v>3305</v>
      </c>
      <c r="B1374" t="s">
        <v>1080</v>
      </c>
      <c r="C1374">
        <v>2027</v>
      </c>
      <c r="D1374" t="s">
        <v>538</v>
      </c>
      <c r="E1374" t="s">
        <v>832</v>
      </c>
      <c r="F1374" s="32">
        <v>46402</v>
      </c>
      <c r="G1374" t="s">
        <v>514</v>
      </c>
      <c r="H1374">
        <v>47128680</v>
      </c>
      <c r="I1374" t="s">
        <v>1284</v>
      </c>
      <c r="J1374" t="s">
        <v>1283</v>
      </c>
      <c r="K1374" t="s">
        <v>530</v>
      </c>
      <c r="N1374">
        <v>0</v>
      </c>
      <c r="O1374">
        <v>0</v>
      </c>
      <c r="P1374" t="str">
        <f t="shared" si="21"/>
        <v>N</v>
      </c>
      <c r="Q1374" t="s">
        <v>7104</v>
      </c>
    </row>
    <row r="1375" spans="1:17" x14ac:dyDescent="0.25">
      <c r="A1375" t="s">
        <v>3306</v>
      </c>
      <c r="B1375" t="s">
        <v>1080</v>
      </c>
      <c r="C1375">
        <v>2027</v>
      </c>
      <c r="D1375" t="s">
        <v>538</v>
      </c>
      <c r="E1375" t="s">
        <v>832</v>
      </c>
      <c r="F1375" s="32">
        <v>46402</v>
      </c>
      <c r="G1375" t="s">
        <v>514</v>
      </c>
      <c r="H1375">
        <v>47128024</v>
      </c>
      <c r="I1375" t="s">
        <v>1108</v>
      </c>
      <c r="J1375" t="s">
        <v>1107</v>
      </c>
      <c r="K1375" t="s">
        <v>530</v>
      </c>
      <c r="N1375">
        <v>0</v>
      </c>
      <c r="O1375">
        <v>0</v>
      </c>
      <c r="P1375" t="str">
        <f t="shared" si="21"/>
        <v>N</v>
      </c>
      <c r="Q1375" t="s">
        <v>7105</v>
      </c>
    </row>
    <row r="1376" spans="1:17" x14ac:dyDescent="0.25">
      <c r="A1376" t="s">
        <v>3307</v>
      </c>
      <c r="B1376" t="s">
        <v>1080</v>
      </c>
      <c r="C1376">
        <v>2027</v>
      </c>
      <c r="D1376" t="s">
        <v>538</v>
      </c>
      <c r="E1376" t="s">
        <v>832</v>
      </c>
      <c r="F1376" s="32">
        <v>46402</v>
      </c>
      <c r="G1376" t="s">
        <v>514</v>
      </c>
      <c r="H1376">
        <v>47128944</v>
      </c>
      <c r="I1376" t="s">
        <v>1137</v>
      </c>
      <c r="J1376" t="s">
        <v>1513</v>
      </c>
      <c r="K1376" t="s">
        <v>530</v>
      </c>
      <c r="N1376">
        <v>0</v>
      </c>
      <c r="O1376">
        <v>0</v>
      </c>
      <c r="P1376" t="str">
        <f t="shared" si="21"/>
        <v>N</v>
      </c>
      <c r="Q1376" t="s">
        <v>7106</v>
      </c>
    </row>
    <row r="1377" spans="1:17" x14ac:dyDescent="0.25">
      <c r="A1377" t="s">
        <v>3308</v>
      </c>
      <c r="B1377" t="s">
        <v>1080</v>
      </c>
      <c r="C1377">
        <v>2027</v>
      </c>
      <c r="D1377" t="s">
        <v>538</v>
      </c>
      <c r="E1377" t="s">
        <v>832</v>
      </c>
      <c r="F1377" s="32">
        <v>46402</v>
      </c>
      <c r="G1377" t="s">
        <v>514</v>
      </c>
      <c r="H1377">
        <v>47147546</v>
      </c>
      <c r="I1377" t="s">
        <v>1077</v>
      </c>
      <c r="J1377" t="s">
        <v>1076</v>
      </c>
      <c r="K1377" t="s">
        <v>530</v>
      </c>
      <c r="N1377">
        <v>0</v>
      </c>
      <c r="O1377">
        <v>0</v>
      </c>
      <c r="P1377" t="str">
        <f t="shared" si="21"/>
        <v>N</v>
      </c>
      <c r="Q1377" t="s">
        <v>7107</v>
      </c>
    </row>
    <row r="1378" spans="1:17" x14ac:dyDescent="0.25">
      <c r="A1378" t="s">
        <v>3309</v>
      </c>
      <c r="B1378" t="s">
        <v>1080</v>
      </c>
      <c r="C1378">
        <v>2027</v>
      </c>
      <c r="D1378" t="s">
        <v>538</v>
      </c>
      <c r="E1378" t="s">
        <v>832</v>
      </c>
      <c r="F1378" s="32">
        <v>46402</v>
      </c>
      <c r="G1378" t="s">
        <v>514</v>
      </c>
      <c r="H1378">
        <v>47128346</v>
      </c>
      <c r="I1378" t="s">
        <v>1157</v>
      </c>
      <c r="J1378" t="s">
        <v>1156</v>
      </c>
      <c r="K1378" t="s">
        <v>530</v>
      </c>
      <c r="N1378">
        <v>0</v>
      </c>
      <c r="O1378">
        <v>0</v>
      </c>
      <c r="P1378" t="str">
        <f t="shared" si="21"/>
        <v>N</v>
      </c>
      <c r="Q1378" t="s">
        <v>7108</v>
      </c>
    </row>
    <row r="1379" spans="1:17" x14ac:dyDescent="0.25">
      <c r="A1379" t="s">
        <v>3310</v>
      </c>
      <c r="B1379" t="s">
        <v>1080</v>
      </c>
      <c r="C1379">
        <v>2027</v>
      </c>
      <c r="D1379" t="s">
        <v>538</v>
      </c>
      <c r="E1379" t="s">
        <v>832</v>
      </c>
      <c r="F1379" s="32">
        <v>46402</v>
      </c>
      <c r="G1379" t="s">
        <v>514</v>
      </c>
      <c r="H1379">
        <v>47128800</v>
      </c>
      <c r="I1379" t="s">
        <v>1145</v>
      </c>
      <c r="J1379" t="s">
        <v>1144</v>
      </c>
      <c r="K1379" t="s">
        <v>530</v>
      </c>
      <c r="N1379">
        <v>0</v>
      </c>
      <c r="O1379">
        <v>0</v>
      </c>
      <c r="P1379" t="str">
        <f t="shared" si="21"/>
        <v>N</v>
      </c>
      <c r="Q1379" t="s">
        <v>7109</v>
      </c>
    </row>
    <row r="1380" spans="1:17" x14ac:dyDescent="0.25">
      <c r="A1380" t="s">
        <v>3311</v>
      </c>
      <c r="B1380" t="s">
        <v>1080</v>
      </c>
      <c r="C1380">
        <v>2027</v>
      </c>
      <c r="D1380" t="s">
        <v>538</v>
      </c>
      <c r="E1380" t="s">
        <v>832</v>
      </c>
      <c r="F1380" s="32">
        <v>46402</v>
      </c>
      <c r="G1380" t="s">
        <v>514</v>
      </c>
      <c r="H1380">
        <v>47128109</v>
      </c>
      <c r="I1380" t="s">
        <v>1336</v>
      </c>
      <c r="J1380" t="s">
        <v>1335</v>
      </c>
      <c r="K1380" t="s">
        <v>530</v>
      </c>
      <c r="N1380">
        <v>0</v>
      </c>
      <c r="O1380">
        <v>0</v>
      </c>
      <c r="P1380" t="str">
        <f t="shared" si="21"/>
        <v>N</v>
      </c>
      <c r="Q1380" t="s">
        <v>7110</v>
      </c>
    </row>
    <row r="1381" spans="1:17" x14ac:dyDescent="0.25">
      <c r="A1381" t="s">
        <v>3312</v>
      </c>
      <c r="B1381" t="s">
        <v>1080</v>
      </c>
      <c r="C1381">
        <v>2027</v>
      </c>
      <c r="D1381" t="s">
        <v>538</v>
      </c>
      <c r="E1381" t="s">
        <v>832</v>
      </c>
      <c r="F1381" s="32">
        <v>46402</v>
      </c>
      <c r="G1381" t="s">
        <v>514</v>
      </c>
      <c r="H1381">
        <v>47128430</v>
      </c>
      <c r="I1381" t="s">
        <v>1401</v>
      </c>
      <c r="J1381" t="s">
        <v>1400</v>
      </c>
      <c r="K1381" t="s">
        <v>530</v>
      </c>
      <c r="N1381">
        <v>0</v>
      </c>
      <c r="O1381">
        <v>0</v>
      </c>
      <c r="P1381" t="str">
        <f t="shared" si="21"/>
        <v>N</v>
      </c>
      <c r="Q1381" t="s">
        <v>7111</v>
      </c>
    </row>
    <row r="1382" spans="1:17" x14ac:dyDescent="0.25">
      <c r="A1382" t="s">
        <v>3313</v>
      </c>
      <c r="B1382" t="s">
        <v>1080</v>
      </c>
      <c r="C1382">
        <v>2027</v>
      </c>
      <c r="D1382" t="s">
        <v>538</v>
      </c>
      <c r="E1382" t="s">
        <v>832</v>
      </c>
      <c r="F1382" s="32">
        <v>46402</v>
      </c>
      <c r="G1382" t="s">
        <v>514</v>
      </c>
      <c r="H1382">
        <v>47128522</v>
      </c>
      <c r="I1382" t="s">
        <v>1092</v>
      </c>
      <c r="J1382" t="s">
        <v>1091</v>
      </c>
      <c r="K1382" t="s">
        <v>530</v>
      </c>
      <c r="N1382">
        <v>0</v>
      </c>
      <c r="O1382">
        <v>0</v>
      </c>
      <c r="P1382" t="str">
        <f t="shared" si="21"/>
        <v>N</v>
      </c>
      <c r="Q1382" t="s">
        <v>7112</v>
      </c>
    </row>
    <row r="1383" spans="1:17" x14ac:dyDescent="0.25">
      <c r="A1383" t="s">
        <v>3314</v>
      </c>
      <c r="B1383" t="s">
        <v>1080</v>
      </c>
      <c r="C1383">
        <v>2027</v>
      </c>
      <c r="D1383" t="s">
        <v>538</v>
      </c>
      <c r="E1383" t="s">
        <v>832</v>
      </c>
      <c r="F1383" s="32">
        <v>46402</v>
      </c>
      <c r="G1383" t="s">
        <v>514</v>
      </c>
      <c r="H1383">
        <v>47147546</v>
      </c>
      <c r="I1383" t="s">
        <v>1077</v>
      </c>
      <c r="J1383" t="s">
        <v>1381</v>
      </c>
      <c r="K1383" t="s">
        <v>530</v>
      </c>
      <c r="N1383">
        <v>0</v>
      </c>
      <c r="O1383">
        <v>0</v>
      </c>
      <c r="P1383" t="str">
        <f t="shared" si="21"/>
        <v>N</v>
      </c>
      <c r="Q1383" t="s">
        <v>7113</v>
      </c>
    </row>
    <row r="1384" spans="1:17" x14ac:dyDescent="0.25">
      <c r="A1384" t="s">
        <v>3315</v>
      </c>
      <c r="B1384" t="s">
        <v>1080</v>
      </c>
      <c r="C1384">
        <v>2027</v>
      </c>
      <c r="D1384" t="s">
        <v>538</v>
      </c>
      <c r="E1384" t="s">
        <v>832</v>
      </c>
      <c r="F1384" s="32">
        <v>46402</v>
      </c>
      <c r="G1384" t="s">
        <v>514</v>
      </c>
      <c r="H1384">
        <v>47147658</v>
      </c>
      <c r="I1384" t="s">
        <v>1276</v>
      </c>
      <c r="J1384" t="s">
        <v>1275</v>
      </c>
      <c r="K1384" t="s">
        <v>530</v>
      </c>
      <c r="N1384">
        <v>0</v>
      </c>
      <c r="O1384">
        <v>0</v>
      </c>
      <c r="P1384" t="str">
        <f t="shared" si="21"/>
        <v>N</v>
      </c>
      <c r="Q1384" t="s">
        <v>7114</v>
      </c>
    </row>
    <row r="1385" spans="1:17" x14ac:dyDescent="0.25">
      <c r="A1385" t="s">
        <v>3316</v>
      </c>
      <c r="B1385" t="s">
        <v>1080</v>
      </c>
      <c r="C1385">
        <v>2027</v>
      </c>
      <c r="D1385" t="s">
        <v>538</v>
      </c>
      <c r="E1385" t="s">
        <v>832</v>
      </c>
      <c r="F1385" s="32">
        <v>46402</v>
      </c>
      <c r="G1385" t="s">
        <v>514</v>
      </c>
      <c r="H1385">
        <v>47147546</v>
      </c>
      <c r="I1385" t="s">
        <v>1077</v>
      </c>
      <c r="J1385" t="s">
        <v>1171</v>
      </c>
      <c r="K1385" t="s">
        <v>530</v>
      </c>
      <c r="N1385">
        <v>0</v>
      </c>
      <c r="O1385">
        <v>0</v>
      </c>
      <c r="P1385" t="str">
        <f t="shared" si="21"/>
        <v>N</v>
      </c>
      <c r="Q1385" t="s">
        <v>7115</v>
      </c>
    </row>
    <row r="1386" spans="1:17" x14ac:dyDescent="0.25">
      <c r="A1386" t="s">
        <v>3317</v>
      </c>
      <c r="B1386" t="s">
        <v>1080</v>
      </c>
      <c r="C1386">
        <v>2027</v>
      </c>
      <c r="D1386" t="s">
        <v>538</v>
      </c>
      <c r="E1386" t="s">
        <v>832</v>
      </c>
      <c r="F1386" s="32">
        <v>46402</v>
      </c>
      <c r="G1386" t="s">
        <v>514</v>
      </c>
      <c r="H1386">
        <v>47128028</v>
      </c>
      <c r="I1386" t="s">
        <v>1035</v>
      </c>
      <c r="J1386" t="s">
        <v>1034</v>
      </c>
      <c r="K1386" t="s">
        <v>530</v>
      </c>
      <c r="N1386">
        <v>0</v>
      </c>
      <c r="O1386">
        <v>0</v>
      </c>
      <c r="P1386" t="str">
        <f t="shared" si="21"/>
        <v>N</v>
      </c>
      <c r="Q1386" t="s">
        <v>7116</v>
      </c>
    </row>
    <row r="1387" spans="1:17" x14ac:dyDescent="0.25">
      <c r="A1387" t="s">
        <v>3318</v>
      </c>
      <c r="B1387" t="s">
        <v>1080</v>
      </c>
      <c r="C1387">
        <v>2027</v>
      </c>
      <c r="D1387" t="s">
        <v>538</v>
      </c>
      <c r="E1387" t="s">
        <v>832</v>
      </c>
      <c r="F1387" s="32">
        <v>46402</v>
      </c>
      <c r="G1387" t="s">
        <v>514</v>
      </c>
      <c r="H1387">
        <v>47128465</v>
      </c>
      <c r="I1387" t="s">
        <v>1333</v>
      </c>
      <c r="J1387" t="s">
        <v>1332</v>
      </c>
      <c r="K1387" t="s">
        <v>530</v>
      </c>
      <c r="N1387">
        <v>278</v>
      </c>
      <c r="O1387">
        <v>278</v>
      </c>
      <c r="P1387" t="str">
        <f t="shared" si="21"/>
        <v>N</v>
      </c>
      <c r="Q1387" t="s">
        <v>7117</v>
      </c>
    </row>
    <row r="1388" spans="1:17" x14ac:dyDescent="0.25">
      <c r="A1388" t="s">
        <v>3319</v>
      </c>
      <c r="B1388" t="s">
        <v>1080</v>
      </c>
      <c r="C1388">
        <v>2027</v>
      </c>
      <c r="D1388" t="s">
        <v>538</v>
      </c>
      <c r="E1388" t="s">
        <v>832</v>
      </c>
      <c r="F1388" s="32">
        <v>46402</v>
      </c>
      <c r="G1388" t="s">
        <v>514</v>
      </c>
      <c r="H1388">
        <v>47128548</v>
      </c>
      <c r="I1388" t="s">
        <v>958</v>
      </c>
      <c r="J1388" t="s">
        <v>957</v>
      </c>
      <c r="K1388" t="s">
        <v>530</v>
      </c>
      <c r="N1388">
        <v>0</v>
      </c>
      <c r="O1388">
        <v>0</v>
      </c>
      <c r="P1388" t="str">
        <f t="shared" si="21"/>
        <v>N</v>
      </c>
      <c r="Q1388" t="s">
        <v>7118</v>
      </c>
    </row>
    <row r="1389" spans="1:17" x14ac:dyDescent="0.25">
      <c r="A1389" t="s">
        <v>3837</v>
      </c>
      <c r="B1389" t="s">
        <v>912</v>
      </c>
      <c r="C1389">
        <v>2027</v>
      </c>
      <c r="D1389" t="s">
        <v>538</v>
      </c>
      <c r="E1389" t="s">
        <v>832</v>
      </c>
      <c r="F1389" s="32">
        <v>46402</v>
      </c>
      <c r="G1389" t="s">
        <v>514</v>
      </c>
      <c r="H1389">
        <v>47140037</v>
      </c>
      <c r="I1389" t="s">
        <v>2347</v>
      </c>
      <c r="J1389" t="s">
        <v>2348</v>
      </c>
      <c r="K1389" t="s">
        <v>530</v>
      </c>
      <c r="N1389">
        <v>0</v>
      </c>
      <c r="O1389">
        <v>0</v>
      </c>
      <c r="P1389" t="str">
        <f t="shared" si="21"/>
        <v>N</v>
      </c>
      <c r="Q1389" t="s">
        <v>7119</v>
      </c>
    </row>
    <row r="1390" spans="1:17" x14ac:dyDescent="0.25">
      <c r="A1390" t="s">
        <v>3838</v>
      </c>
      <c r="B1390" t="s">
        <v>912</v>
      </c>
      <c r="C1390">
        <v>2027</v>
      </c>
      <c r="D1390" t="s">
        <v>538</v>
      </c>
      <c r="E1390" t="s">
        <v>832</v>
      </c>
      <c r="F1390" s="32">
        <v>46402</v>
      </c>
      <c r="G1390" t="s">
        <v>514</v>
      </c>
      <c r="H1390">
        <v>47128769</v>
      </c>
      <c r="I1390" t="s">
        <v>2386</v>
      </c>
      <c r="J1390" t="s">
        <v>2387</v>
      </c>
      <c r="K1390" t="s">
        <v>530</v>
      </c>
      <c r="N1390">
        <v>0</v>
      </c>
      <c r="O1390">
        <v>0</v>
      </c>
      <c r="P1390" t="str">
        <f t="shared" si="21"/>
        <v>N</v>
      </c>
      <c r="Q1390" t="s">
        <v>7120</v>
      </c>
    </row>
    <row r="1391" spans="1:17" x14ac:dyDescent="0.25">
      <c r="A1391" t="s">
        <v>3839</v>
      </c>
      <c r="B1391" t="s">
        <v>912</v>
      </c>
      <c r="C1391">
        <v>2027</v>
      </c>
      <c r="D1391" t="s">
        <v>538</v>
      </c>
      <c r="E1391" t="s">
        <v>832</v>
      </c>
      <c r="F1391" s="32">
        <v>46402</v>
      </c>
      <c r="G1391" t="s">
        <v>514</v>
      </c>
      <c r="H1391">
        <v>47129006</v>
      </c>
      <c r="I1391" t="s">
        <v>2408</v>
      </c>
      <c r="J1391" t="s">
        <v>2409</v>
      </c>
      <c r="K1391" t="s">
        <v>530</v>
      </c>
      <c r="N1391">
        <v>0</v>
      </c>
      <c r="O1391">
        <v>0</v>
      </c>
      <c r="P1391" t="str">
        <f t="shared" si="21"/>
        <v>N</v>
      </c>
      <c r="Q1391" t="s">
        <v>7121</v>
      </c>
    </row>
    <row r="1392" spans="1:17" x14ac:dyDescent="0.25">
      <c r="A1392" t="s">
        <v>3840</v>
      </c>
      <c r="B1392" t="s">
        <v>912</v>
      </c>
      <c r="C1392">
        <v>2027</v>
      </c>
      <c r="D1392" t="s">
        <v>538</v>
      </c>
      <c r="E1392" t="s">
        <v>832</v>
      </c>
      <c r="F1392" s="32">
        <v>46402</v>
      </c>
      <c r="G1392" t="s">
        <v>514</v>
      </c>
      <c r="H1392">
        <v>47128820</v>
      </c>
      <c r="I1392" t="s">
        <v>2411</v>
      </c>
      <c r="J1392" t="s">
        <v>2412</v>
      </c>
      <c r="K1392" t="s">
        <v>530</v>
      </c>
      <c r="N1392">
        <v>0</v>
      </c>
      <c r="O1392">
        <v>0</v>
      </c>
      <c r="P1392" t="str">
        <f t="shared" si="21"/>
        <v>N</v>
      </c>
      <c r="Q1392" t="s">
        <v>7122</v>
      </c>
    </row>
    <row r="1393" spans="1:17" x14ac:dyDescent="0.25">
      <c r="A1393" t="s">
        <v>3841</v>
      </c>
      <c r="B1393" t="s">
        <v>912</v>
      </c>
      <c r="C1393">
        <v>2027</v>
      </c>
      <c r="D1393" t="s">
        <v>538</v>
      </c>
      <c r="E1393" t="s">
        <v>832</v>
      </c>
      <c r="F1393" s="32">
        <v>46402</v>
      </c>
      <c r="G1393" t="s">
        <v>514</v>
      </c>
      <c r="H1393">
        <v>47128378</v>
      </c>
      <c r="I1393" t="s">
        <v>2392</v>
      </c>
      <c r="J1393" t="s">
        <v>2393</v>
      </c>
      <c r="K1393" t="s">
        <v>530</v>
      </c>
      <c r="N1393">
        <v>0</v>
      </c>
      <c r="O1393">
        <v>0</v>
      </c>
      <c r="P1393" t="str">
        <f t="shared" si="21"/>
        <v>N</v>
      </c>
      <c r="Q1393" t="s">
        <v>7123</v>
      </c>
    </row>
    <row r="1394" spans="1:17" x14ac:dyDescent="0.25">
      <c r="A1394" t="s">
        <v>3842</v>
      </c>
      <c r="B1394" t="s">
        <v>912</v>
      </c>
      <c r="C1394">
        <v>2027</v>
      </c>
      <c r="D1394" t="s">
        <v>538</v>
      </c>
      <c r="E1394" t="s">
        <v>832</v>
      </c>
      <c r="F1394" s="32">
        <v>46402</v>
      </c>
      <c r="G1394" t="s">
        <v>514</v>
      </c>
      <c r="H1394">
        <v>47128020</v>
      </c>
      <c r="I1394" t="s">
        <v>2395</v>
      </c>
      <c r="J1394" t="s">
        <v>2396</v>
      </c>
      <c r="K1394" t="s">
        <v>530</v>
      </c>
      <c r="N1394">
        <v>0</v>
      </c>
      <c r="O1394">
        <v>0</v>
      </c>
      <c r="P1394" t="str">
        <f t="shared" si="21"/>
        <v>N</v>
      </c>
      <c r="Q1394" t="s">
        <v>7124</v>
      </c>
    </row>
    <row r="1395" spans="1:17" x14ac:dyDescent="0.25">
      <c r="A1395" t="s">
        <v>3843</v>
      </c>
      <c r="B1395" t="s">
        <v>912</v>
      </c>
      <c r="C1395">
        <v>2027</v>
      </c>
      <c r="D1395" t="s">
        <v>538</v>
      </c>
      <c r="E1395" t="s">
        <v>832</v>
      </c>
      <c r="F1395" s="32">
        <v>46402</v>
      </c>
      <c r="G1395" t="s">
        <v>514</v>
      </c>
      <c r="H1395">
        <v>47128459</v>
      </c>
      <c r="I1395" t="s">
        <v>2398</v>
      </c>
      <c r="J1395" t="s">
        <v>2399</v>
      </c>
      <c r="K1395" t="s">
        <v>530</v>
      </c>
      <c r="N1395">
        <v>56</v>
      </c>
      <c r="O1395">
        <v>56</v>
      </c>
      <c r="P1395" t="str">
        <f t="shared" si="21"/>
        <v>N</v>
      </c>
      <c r="Q1395" t="s">
        <v>7125</v>
      </c>
    </row>
    <row r="1396" spans="1:17" x14ac:dyDescent="0.25">
      <c r="A1396" t="s">
        <v>3890</v>
      </c>
      <c r="B1396" t="s">
        <v>1043</v>
      </c>
      <c r="C1396">
        <v>2027</v>
      </c>
      <c r="D1396" t="s">
        <v>538</v>
      </c>
      <c r="E1396" t="s">
        <v>832</v>
      </c>
      <c r="F1396" s="32">
        <v>46402</v>
      </c>
      <c r="G1396" t="s">
        <v>514</v>
      </c>
      <c r="H1396">
        <v>47128421</v>
      </c>
      <c r="I1396" t="s">
        <v>1086</v>
      </c>
      <c r="J1396" t="s">
        <v>1085</v>
      </c>
      <c r="K1396" t="s">
        <v>530</v>
      </c>
      <c r="N1396">
        <v>26</v>
      </c>
      <c r="O1396">
        <v>26</v>
      </c>
      <c r="P1396" t="str">
        <f t="shared" si="21"/>
        <v>N</v>
      </c>
      <c r="Q1396" t="s">
        <v>7126</v>
      </c>
    </row>
    <row r="1397" spans="1:17" x14ac:dyDescent="0.25">
      <c r="A1397" t="s">
        <v>3891</v>
      </c>
      <c r="B1397" t="s">
        <v>1043</v>
      </c>
      <c r="C1397">
        <v>2027</v>
      </c>
      <c r="D1397" t="s">
        <v>538</v>
      </c>
      <c r="E1397" t="s">
        <v>832</v>
      </c>
      <c r="F1397" s="32">
        <v>46402</v>
      </c>
      <c r="G1397" t="s">
        <v>514</v>
      </c>
      <c r="H1397">
        <v>47128364</v>
      </c>
      <c r="I1397" t="s">
        <v>1264</v>
      </c>
      <c r="J1397" t="s">
        <v>1263</v>
      </c>
      <c r="K1397" t="s">
        <v>530</v>
      </c>
      <c r="N1397">
        <v>0</v>
      </c>
      <c r="O1397">
        <v>0</v>
      </c>
      <c r="P1397" t="str">
        <f t="shared" si="21"/>
        <v>N</v>
      </c>
      <c r="Q1397" t="s">
        <v>7127</v>
      </c>
    </row>
    <row r="1398" spans="1:17" x14ac:dyDescent="0.25">
      <c r="A1398" t="s">
        <v>3892</v>
      </c>
      <c r="B1398" t="s">
        <v>1043</v>
      </c>
      <c r="C1398">
        <v>2027</v>
      </c>
      <c r="D1398" t="s">
        <v>538</v>
      </c>
      <c r="E1398" t="s">
        <v>832</v>
      </c>
      <c r="F1398" s="32">
        <v>46402</v>
      </c>
      <c r="G1398" t="s">
        <v>514</v>
      </c>
      <c r="H1398">
        <v>47128706</v>
      </c>
      <c r="I1398" t="s">
        <v>1201</v>
      </c>
      <c r="J1398" t="s">
        <v>1200</v>
      </c>
      <c r="K1398" t="s">
        <v>530</v>
      </c>
      <c r="N1398">
        <v>0</v>
      </c>
      <c r="O1398">
        <v>0</v>
      </c>
      <c r="P1398" t="str">
        <f t="shared" si="21"/>
        <v>N</v>
      </c>
      <c r="Q1398" t="s">
        <v>7128</v>
      </c>
    </row>
    <row r="1399" spans="1:17" x14ac:dyDescent="0.25">
      <c r="A1399" t="s">
        <v>3984</v>
      </c>
      <c r="B1399" t="s">
        <v>3939</v>
      </c>
      <c r="C1399">
        <v>2027</v>
      </c>
      <c r="D1399" t="s">
        <v>538</v>
      </c>
      <c r="E1399" t="s">
        <v>832</v>
      </c>
      <c r="F1399" s="32">
        <v>46402</v>
      </c>
      <c r="G1399" t="s">
        <v>514</v>
      </c>
      <c r="H1399">
        <v>47140037</v>
      </c>
      <c r="I1399" t="s">
        <v>2347</v>
      </c>
      <c r="J1399" t="s">
        <v>2348</v>
      </c>
      <c r="K1399" t="s">
        <v>530</v>
      </c>
      <c r="N1399">
        <v>0</v>
      </c>
      <c r="O1399">
        <v>0</v>
      </c>
      <c r="P1399" t="str">
        <f t="shared" si="21"/>
        <v>N</v>
      </c>
      <c r="Q1399" t="s">
        <v>7129</v>
      </c>
    </row>
    <row r="1400" spans="1:17" x14ac:dyDescent="0.25">
      <c r="A1400" t="s">
        <v>3985</v>
      </c>
      <c r="B1400" t="s">
        <v>3939</v>
      </c>
      <c r="C1400">
        <v>2027</v>
      </c>
      <c r="D1400" t="s">
        <v>538</v>
      </c>
      <c r="E1400" t="s">
        <v>832</v>
      </c>
      <c r="F1400" s="32">
        <v>46402</v>
      </c>
      <c r="G1400" t="s">
        <v>514</v>
      </c>
      <c r="H1400">
        <v>47128769</v>
      </c>
      <c r="I1400" t="s">
        <v>2386</v>
      </c>
      <c r="J1400" t="s">
        <v>2387</v>
      </c>
      <c r="K1400" t="s">
        <v>530</v>
      </c>
      <c r="N1400">
        <v>0</v>
      </c>
      <c r="O1400">
        <v>0</v>
      </c>
      <c r="P1400" t="str">
        <f t="shared" si="21"/>
        <v>N</v>
      </c>
      <c r="Q1400" t="s">
        <v>7130</v>
      </c>
    </row>
    <row r="1401" spans="1:17" x14ac:dyDescent="0.25">
      <c r="A1401" t="s">
        <v>3986</v>
      </c>
      <c r="B1401" t="s">
        <v>3939</v>
      </c>
      <c r="C1401">
        <v>2027</v>
      </c>
      <c r="D1401" t="s">
        <v>538</v>
      </c>
      <c r="E1401" t="s">
        <v>832</v>
      </c>
      <c r="F1401" s="32">
        <v>46402</v>
      </c>
      <c r="G1401" t="s">
        <v>514</v>
      </c>
      <c r="H1401">
        <v>47129006</v>
      </c>
      <c r="I1401" t="s">
        <v>2408</v>
      </c>
      <c r="J1401" t="s">
        <v>2409</v>
      </c>
      <c r="K1401" t="s">
        <v>530</v>
      </c>
      <c r="N1401">
        <v>0</v>
      </c>
      <c r="O1401">
        <v>0</v>
      </c>
      <c r="P1401" t="str">
        <f t="shared" si="21"/>
        <v>N</v>
      </c>
      <c r="Q1401" t="s">
        <v>7131</v>
      </c>
    </row>
    <row r="1402" spans="1:17" x14ac:dyDescent="0.25">
      <c r="A1402" t="s">
        <v>3987</v>
      </c>
      <c r="B1402" t="s">
        <v>3939</v>
      </c>
      <c r="C1402">
        <v>2027</v>
      </c>
      <c r="D1402" t="s">
        <v>538</v>
      </c>
      <c r="E1402" t="s">
        <v>832</v>
      </c>
      <c r="F1402" s="32">
        <v>46402</v>
      </c>
      <c r="G1402" t="s">
        <v>514</v>
      </c>
      <c r="H1402">
        <v>47128820</v>
      </c>
      <c r="I1402" t="s">
        <v>2411</v>
      </c>
      <c r="J1402" t="s">
        <v>2412</v>
      </c>
      <c r="K1402" t="s">
        <v>530</v>
      </c>
      <c r="N1402">
        <v>0</v>
      </c>
      <c r="O1402">
        <v>0</v>
      </c>
      <c r="P1402" t="str">
        <f t="shared" si="21"/>
        <v>N</v>
      </c>
      <c r="Q1402" t="s">
        <v>7132</v>
      </c>
    </row>
    <row r="1403" spans="1:17" x14ac:dyDescent="0.25">
      <c r="A1403" t="s">
        <v>3988</v>
      </c>
      <c r="B1403" t="s">
        <v>3939</v>
      </c>
      <c r="C1403">
        <v>2027</v>
      </c>
      <c r="D1403" t="s">
        <v>538</v>
      </c>
      <c r="E1403" t="s">
        <v>832</v>
      </c>
      <c r="F1403" s="32">
        <v>46402</v>
      </c>
      <c r="G1403" t="s">
        <v>514</v>
      </c>
      <c r="H1403">
        <v>47128378</v>
      </c>
      <c r="I1403" t="s">
        <v>2392</v>
      </c>
      <c r="J1403" t="s">
        <v>2393</v>
      </c>
      <c r="K1403" t="s">
        <v>530</v>
      </c>
      <c r="N1403">
        <v>0</v>
      </c>
      <c r="O1403">
        <v>0</v>
      </c>
      <c r="P1403" t="str">
        <f t="shared" si="21"/>
        <v>N</v>
      </c>
      <c r="Q1403" t="s">
        <v>7133</v>
      </c>
    </row>
    <row r="1404" spans="1:17" x14ac:dyDescent="0.25">
      <c r="A1404" t="s">
        <v>3989</v>
      </c>
      <c r="B1404" t="s">
        <v>3939</v>
      </c>
      <c r="C1404">
        <v>2027</v>
      </c>
      <c r="D1404" t="s">
        <v>538</v>
      </c>
      <c r="E1404" t="s">
        <v>832</v>
      </c>
      <c r="F1404" s="32">
        <v>46402</v>
      </c>
      <c r="G1404" t="s">
        <v>514</v>
      </c>
      <c r="H1404">
        <v>47128020</v>
      </c>
      <c r="I1404" t="s">
        <v>2395</v>
      </c>
      <c r="J1404" t="s">
        <v>2396</v>
      </c>
      <c r="K1404" t="s">
        <v>530</v>
      </c>
      <c r="N1404">
        <v>0</v>
      </c>
      <c r="O1404">
        <v>0</v>
      </c>
      <c r="P1404" t="str">
        <f t="shared" si="21"/>
        <v>N</v>
      </c>
      <c r="Q1404" t="s">
        <v>7134</v>
      </c>
    </row>
    <row r="1405" spans="1:17" x14ac:dyDescent="0.25">
      <c r="A1405" t="s">
        <v>3990</v>
      </c>
      <c r="B1405" t="s">
        <v>3939</v>
      </c>
      <c r="C1405">
        <v>2027</v>
      </c>
      <c r="D1405" t="s">
        <v>538</v>
      </c>
      <c r="E1405" t="s">
        <v>832</v>
      </c>
      <c r="F1405" s="32">
        <v>46402</v>
      </c>
      <c r="G1405" t="s">
        <v>514</v>
      </c>
      <c r="H1405">
        <v>47128459</v>
      </c>
      <c r="I1405" t="s">
        <v>2398</v>
      </c>
      <c r="J1405" t="s">
        <v>2399</v>
      </c>
      <c r="K1405" t="s">
        <v>530</v>
      </c>
      <c r="N1405">
        <v>56</v>
      </c>
      <c r="O1405">
        <v>56</v>
      </c>
      <c r="P1405" t="str">
        <f t="shared" si="21"/>
        <v>N</v>
      </c>
      <c r="Q1405" t="s">
        <v>7135</v>
      </c>
    </row>
    <row r="1406" spans="1:17" x14ac:dyDescent="0.25">
      <c r="A1406" t="s">
        <v>4073</v>
      </c>
      <c r="B1406" t="s">
        <v>1489</v>
      </c>
      <c r="C1406">
        <v>2027</v>
      </c>
      <c r="D1406" t="s">
        <v>538</v>
      </c>
      <c r="E1406" t="s">
        <v>832</v>
      </c>
      <c r="F1406" s="32">
        <v>46402</v>
      </c>
      <c r="G1406" t="s">
        <v>514</v>
      </c>
      <c r="H1406">
        <v>47128967</v>
      </c>
      <c r="I1406" t="s">
        <v>1062</v>
      </c>
      <c r="J1406" t="s">
        <v>1061</v>
      </c>
      <c r="K1406" t="s">
        <v>530</v>
      </c>
      <c r="N1406">
        <v>10</v>
      </c>
      <c r="O1406">
        <v>10</v>
      </c>
      <c r="P1406" t="str">
        <f t="shared" si="21"/>
        <v>N</v>
      </c>
      <c r="Q1406" t="s">
        <v>7136</v>
      </c>
    </row>
    <row r="1407" spans="1:17" x14ac:dyDescent="0.25">
      <c r="A1407" t="s">
        <v>4074</v>
      </c>
      <c r="B1407" t="s">
        <v>1489</v>
      </c>
      <c r="C1407">
        <v>2027</v>
      </c>
      <c r="D1407" t="s">
        <v>538</v>
      </c>
      <c r="E1407" t="s">
        <v>832</v>
      </c>
      <c r="F1407" s="32">
        <v>46402</v>
      </c>
      <c r="G1407" t="s">
        <v>514</v>
      </c>
      <c r="H1407">
        <v>47133720</v>
      </c>
      <c r="I1407" t="s">
        <v>1217</v>
      </c>
      <c r="J1407" t="s">
        <v>1216</v>
      </c>
      <c r="K1407" t="s">
        <v>530</v>
      </c>
      <c r="N1407">
        <v>0</v>
      </c>
      <c r="O1407">
        <v>0</v>
      </c>
      <c r="P1407" t="str">
        <f t="shared" si="21"/>
        <v>N</v>
      </c>
      <c r="Q1407" t="s">
        <v>7137</v>
      </c>
    </row>
    <row r="1408" spans="1:17" x14ac:dyDescent="0.25">
      <c r="A1408" t="s">
        <v>4075</v>
      </c>
      <c r="B1408" t="s">
        <v>1489</v>
      </c>
      <c r="C1408">
        <v>2027</v>
      </c>
      <c r="D1408" t="s">
        <v>538</v>
      </c>
      <c r="E1408" t="s">
        <v>832</v>
      </c>
      <c r="F1408" s="32">
        <v>46402</v>
      </c>
      <c r="G1408" t="s">
        <v>514</v>
      </c>
      <c r="H1408">
        <v>47127948</v>
      </c>
      <c r="I1408" t="s">
        <v>1247</v>
      </c>
      <c r="J1408" t="s">
        <v>1246</v>
      </c>
      <c r="K1408" t="s">
        <v>530</v>
      </c>
      <c r="N1408">
        <v>60</v>
      </c>
      <c r="O1408">
        <v>60</v>
      </c>
      <c r="P1408" t="str">
        <f t="shared" si="21"/>
        <v>N</v>
      </c>
      <c r="Q1408" t="s">
        <v>7138</v>
      </c>
    </row>
    <row r="1409" spans="1:17" x14ac:dyDescent="0.25">
      <c r="A1409" t="s">
        <v>4076</v>
      </c>
      <c r="B1409" t="s">
        <v>1489</v>
      </c>
      <c r="C1409">
        <v>2027</v>
      </c>
      <c r="D1409" t="s">
        <v>538</v>
      </c>
      <c r="E1409" t="s">
        <v>832</v>
      </c>
      <c r="F1409" s="32">
        <v>46402</v>
      </c>
      <c r="G1409" t="s">
        <v>514</v>
      </c>
      <c r="H1409">
        <v>47128337</v>
      </c>
      <c r="I1409" t="s">
        <v>1120</v>
      </c>
      <c r="J1409" t="s">
        <v>1119</v>
      </c>
      <c r="K1409" t="s">
        <v>530</v>
      </c>
      <c r="N1409">
        <v>0</v>
      </c>
      <c r="O1409">
        <v>0</v>
      </c>
      <c r="P1409" t="str">
        <f t="shared" si="21"/>
        <v>N</v>
      </c>
      <c r="Q1409" t="s">
        <v>7139</v>
      </c>
    </row>
    <row r="1410" spans="1:17" x14ac:dyDescent="0.25">
      <c r="A1410" t="s">
        <v>4077</v>
      </c>
      <c r="B1410" t="s">
        <v>1489</v>
      </c>
      <c r="C1410">
        <v>2027</v>
      </c>
      <c r="D1410" t="s">
        <v>538</v>
      </c>
      <c r="E1410" t="s">
        <v>832</v>
      </c>
      <c r="F1410" s="32">
        <v>46402</v>
      </c>
      <c r="G1410" t="s">
        <v>514</v>
      </c>
      <c r="H1410">
        <v>47128977</v>
      </c>
      <c r="I1410" t="s">
        <v>1449</v>
      </c>
      <c r="J1410" t="s">
        <v>1448</v>
      </c>
      <c r="K1410" t="s">
        <v>530</v>
      </c>
      <c r="N1410">
        <v>0</v>
      </c>
      <c r="O1410">
        <v>0</v>
      </c>
      <c r="P1410" t="str">
        <f t="shared" si="21"/>
        <v>N</v>
      </c>
      <c r="Q1410" t="s">
        <v>7140</v>
      </c>
    </row>
    <row r="1411" spans="1:17" x14ac:dyDescent="0.25">
      <c r="A1411" t="s">
        <v>4201</v>
      </c>
      <c r="B1411" t="s">
        <v>916</v>
      </c>
      <c r="C1411">
        <v>2027</v>
      </c>
      <c r="D1411" t="s">
        <v>538</v>
      </c>
      <c r="E1411" t="s">
        <v>832</v>
      </c>
      <c r="F1411" s="32">
        <v>46402</v>
      </c>
      <c r="G1411" t="s">
        <v>514</v>
      </c>
      <c r="H1411">
        <v>47128421</v>
      </c>
      <c r="I1411" t="s">
        <v>1086</v>
      </c>
      <c r="J1411" t="s">
        <v>1085</v>
      </c>
      <c r="K1411" t="s">
        <v>530</v>
      </c>
      <c r="N1411">
        <v>70</v>
      </c>
      <c r="O1411">
        <v>70</v>
      </c>
      <c r="P1411" t="str">
        <f t="shared" ref="P1411:P1474" si="22">IF(N1411=O1411,"N","Y")</f>
        <v>N</v>
      </c>
      <c r="Q1411" t="s">
        <v>7141</v>
      </c>
    </row>
    <row r="1412" spans="1:17" x14ac:dyDescent="0.25">
      <c r="A1412" t="s">
        <v>4202</v>
      </c>
      <c r="B1412" t="s">
        <v>916</v>
      </c>
      <c r="C1412">
        <v>2027</v>
      </c>
      <c r="D1412" t="s">
        <v>538</v>
      </c>
      <c r="E1412" t="s">
        <v>832</v>
      </c>
      <c r="F1412" s="32">
        <v>46402</v>
      </c>
      <c r="G1412" t="s">
        <v>514</v>
      </c>
      <c r="H1412">
        <v>47128706</v>
      </c>
      <c r="I1412" t="s">
        <v>1201</v>
      </c>
      <c r="J1412" t="s">
        <v>1200</v>
      </c>
      <c r="K1412" t="s">
        <v>530</v>
      </c>
      <c r="N1412">
        <v>0</v>
      </c>
      <c r="O1412">
        <v>0</v>
      </c>
      <c r="P1412" t="str">
        <f t="shared" si="22"/>
        <v>N</v>
      </c>
      <c r="Q1412" t="s">
        <v>7142</v>
      </c>
    </row>
    <row r="1413" spans="1:17" x14ac:dyDescent="0.25">
      <c r="A1413" t="s">
        <v>4203</v>
      </c>
      <c r="B1413" t="s">
        <v>916</v>
      </c>
      <c r="C1413">
        <v>2027</v>
      </c>
      <c r="D1413" t="s">
        <v>538</v>
      </c>
      <c r="E1413" t="s">
        <v>832</v>
      </c>
      <c r="F1413" s="32">
        <v>46402</v>
      </c>
      <c r="G1413" t="s">
        <v>514</v>
      </c>
      <c r="H1413">
        <v>47128364</v>
      </c>
      <c r="I1413" t="s">
        <v>1264</v>
      </c>
      <c r="J1413" t="s">
        <v>1263</v>
      </c>
      <c r="K1413" t="s">
        <v>530</v>
      </c>
      <c r="N1413">
        <v>0</v>
      </c>
      <c r="O1413">
        <v>0</v>
      </c>
      <c r="P1413" t="str">
        <f t="shared" si="22"/>
        <v>N</v>
      </c>
      <c r="Q1413" t="s">
        <v>7143</v>
      </c>
    </row>
    <row r="1414" spans="1:17" x14ac:dyDescent="0.25">
      <c r="A1414" t="s">
        <v>4204</v>
      </c>
      <c r="B1414" t="s">
        <v>916</v>
      </c>
      <c r="C1414">
        <v>2027</v>
      </c>
      <c r="D1414" t="s">
        <v>538</v>
      </c>
      <c r="E1414" t="s">
        <v>832</v>
      </c>
      <c r="F1414" s="32">
        <v>46402</v>
      </c>
      <c r="G1414" t="s">
        <v>514</v>
      </c>
      <c r="H1414">
        <v>47128633</v>
      </c>
      <c r="I1414" t="s">
        <v>1164</v>
      </c>
      <c r="J1414" t="s">
        <v>1163</v>
      </c>
      <c r="K1414" t="s">
        <v>530</v>
      </c>
      <c r="N1414">
        <v>0</v>
      </c>
      <c r="O1414">
        <v>0</v>
      </c>
      <c r="P1414" t="str">
        <f t="shared" si="22"/>
        <v>N</v>
      </c>
      <c r="Q1414" t="s">
        <v>7144</v>
      </c>
    </row>
    <row r="1415" spans="1:17" x14ac:dyDescent="0.25">
      <c r="A1415" t="s">
        <v>4205</v>
      </c>
      <c r="B1415" t="s">
        <v>916</v>
      </c>
      <c r="C1415">
        <v>2027</v>
      </c>
      <c r="D1415" t="s">
        <v>538</v>
      </c>
      <c r="E1415" t="s">
        <v>832</v>
      </c>
      <c r="F1415" s="32">
        <v>46402</v>
      </c>
      <c r="G1415" t="s">
        <v>514</v>
      </c>
      <c r="H1415">
        <v>47128046</v>
      </c>
      <c r="I1415" t="s">
        <v>1389</v>
      </c>
      <c r="J1415" t="s">
        <v>1388</v>
      </c>
      <c r="K1415" t="s">
        <v>530</v>
      </c>
      <c r="N1415">
        <v>0</v>
      </c>
      <c r="O1415">
        <v>0</v>
      </c>
      <c r="P1415" t="str">
        <f t="shared" si="22"/>
        <v>N</v>
      </c>
      <c r="Q1415" t="s">
        <v>7145</v>
      </c>
    </row>
    <row r="1416" spans="1:17" x14ac:dyDescent="0.25">
      <c r="A1416" t="s">
        <v>4206</v>
      </c>
      <c r="B1416" t="s">
        <v>916</v>
      </c>
      <c r="C1416">
        <v>2027</v>
      </c>
      <c r="D1416" t="s">
        <v>538</v>
      </c>
      <c r="E1416" t="s">
        <v>832</v>
      </c>
      <c r="F1416" s="32">
        <v>46402</v>
      </c>
      <c r="G1416" t="s">
        <v>514</v>
      </c>
      <c r="H1416">
        <v>47128355</v>
      </c>
      <c r="I1416" t="s">
        <v>964</v>
      </c>
      <c r="J1416" t="s">
        <v>963</v>
      </c>
      <c r="K1416" t="s">
        <v>530</v>
      </c>
      <c r="N1416">
        <v>39</v>
      </c>
      <c r="O1416">
        <v>39</v>
      </c>
      <c r="P1416" t="str">
        <f t="shared" si="22"/>
        <v>N</v>
      </c>
      <c r="Q1416" t="s">
        <v>7146</v>
      </c>
    </row>
    <row r="1417" spans="1:17" x14ac:dyDescent="0.25">
      <c r="A1417" t="s">
        <v>4207</v>
      </c>
      <c r="B1417" t="s">
        <v>916</v>
      </c>
      <c r="C1417">
        <v>2027</v>
      </c>
      <c r="D1417" t="s">
        <v>538</v>
      </c>
      <c r="E1417" t="s">
        <v>832</v>
      </c>
      <c r="F1417" s="32">
        <v>46402</v>
      </c>
      <c r="G1417" t="s">
        <v>514</v>
      </c>
      <c r="H1417">
        <v>47129548</v>
      </c>
      <c r="I1417" t="s">
        <v>1340</v>
      </c>
      <c r="J1417" t="s">
        <v>1339</v>
      </c>
      <c r="K1417" t="s">
        <v>530</v>
      </c>
      <c r="N1417">
        <v>56</v>
      </c>
      <c r="O1417">
        <v>56</v>
      </c>
      <c r="P1417" t="str">
        <f t="shared" si="22"/>
        <v>N</v>
      </c>
      <c r="Q1417" t="s">
        <v>7147</v>
      </c>
    </row>
    <row r="1418" spans="1:17" x14ac:dyDescent="0.25">
      <c r="A1418" t="s">
        <v>4208</v>
      </c>
      <c r="B1418" t="s">
        <v>916</v>
      </c>
      <c r="C1418">
        <v>2027</v>
      </c>
      <c r="D1418" t="s">
        <v>538</v>
      </c>
      <c r="E1418" t="s">
        <v>832</v>
      </c>
      <c r="F1418" s="32">
        <v>46402</v>
      </c>
      <c r="G1418" t="s">
        <v>514</v>
      </c>
      <c r="H1418">
        <v>47128835</v>
      </c>
      <c r="I1418" t="s">
        <v>998</v>
      </c>
      <c r="J1418" t="s">
        <v>997</v>
      </c>
      <c r="K1418" t="s">
        <v>530</v>
      </c>
      <c r="N1418">
        <v>0</v>
      </c>
      <c r="O1418">
        <v>0</v>
      </c>
      <c r="P1418" t="str">
        <f t="shared" si="22"/>
        <v>N</v>
      </c>
      <c r="Q1418" t="s">
        <v>7148</v>
      </c>
    </row>
    <row r="1419" spans="1:17" x14ac:dyDescent="0.25">
      <c r="A1419" t="s">
        <v>4209</v>
      </c>
      <c r="B1419" t="s">
        <v>916</v>
      </c>
      <c r="C1419">
        <v>2027</v>
      </c>
      <c r="D1419" t="s">
        <v>538</v>
      </c>
      <c r="E1419" t="s">
        <v>832</v>
      </c>
      <c r="F1419" s="32">
        <v>46402</v>
      </c>
      <c r="G1419" t="s">
        <v>514</v>
      </c>
      <c r="H1419">
        <v>47128788</v>
      </c>
      <c r="I1419" t="s">
        <v>4188</v>
      </c>
      <c r="J1419" t="s">
        <v>4189</v>
      </c>
      <c r="K1419" t="s">
        <v>530</v>
      </c>
      <c r="N1419">
        <v>0</v>
      </c>
      <c r="O1419">
        <v>0</v>
      </c>
      <c r="P1419" t="str">
        <f t="shared" si="22"/>
        <v>N</v>
      </c>
      <c r="Q1419" t="s">
        <v>7149</v>
      </c>
    </row>
    <row r="1420" spans="1:17" x14ac:dyDescent="0.25">
      <c r="A1420" t="s">
        <v>4210</v>
      </c>
      <c r="B1420" t="s">
        <v>916</v>
      </c>
      <c r="C1420">
        <v>2027</v>
      </c>
      <c r="D1420" t="s">
        <v>538</v>
      </c>
      <c r="E1420" t="s">
        <v>832</v>
      </c>
      <c r="F1420" s="32">
        <v>46402</v>
      </c>
      <c r="G1420" t="s">
        <v>514</v>
      </c>
      <c r="H1420">
        <v>47136348</v>
      </c>
      <c r="I1420" t="s">
        <v>1025</v>
      </c>
      <c r="J1420" t="s">
        <v>1024</v>
      </c>
      <c r="K1420" t="s">
        <v>530</v>
      </c>
      <c r="N1420">
        <v>0</v>
      </c>
      <c r="O1420">
        <v>0</v>
      </c>
      <c r="P1420" t="str">
        <f t="shared" si="22"/>
        <v>N</v>
      </c>
      <c r="Q1420" t="s">
        <v>7150</v>
      </c>
    </row>
    <row r="1421" spans="1:17" x14ac:dyDescent="0.25">
      <c r="A1421" t="s">
        <v>4211</v>
      </c>
      <c r="B1421" t="s">
        <v>916</v>
      </c>
      <c r="C1421">
        <v>2027</v>
      </c>
      <c r="D1421" t="s">
        <v>538</v>
      </c>
      <c r="E1421" t="s">
        <v>832</v>
      </c>
      <c r="F1421" s="32">
        <v>46402</v>
      </c>
      <c r="G1421" t="s">
        <v>514</v>
      </c>
      <c r="H1421">
        <v>47135083</v>
      </c>
      <c r="I1421" t="s">
        <v>4192</v>
      </c>
      <c r="J1421" t="s">
        <v>4193</v>
      </c>
      <c r="K1421" t="s">
        <v>530</v>
      </c>
      <c r="N1421">
        <v>0</v>
      </c>
      <c r="O1421">
        <v>0</v>
      </c>
      <c r="P1421" t="str">
        <f t="shared" si="22"/>
        <v>N</v>
      </c>
      <c r="Q1421" t="s">
        <v>7151</v>
      </c>
    </row>
    <row r="1422" spans="1:17" x14ac:dyDescent="0.25">
      <c r="A1422" t="s">
        <v>4212</v>
      </c>
      <c r="B1422" t="s">
        <v>916</v>
      </c>
      <c r="C1422">
        <v>2027</v>
      </c>
      <c r="D1422" t="s">
        <v>538</v>
      </c>
      <c r="E1422" t="s">
        <v>832</v>
      </c>
      <c r="F1422" s="32">
        <v>46402</v>
      </c>
      <c r="G1422" t="s">
        <v>514</v>
      </c>
      <c r="H1422">
        <v>47128684</v>
      </c>
      <c r="I1422" t="s">
        <v>1005</v>
      </c>
      <c r="J1422" t="s">
        <v>1004</v>
      </c>
      <c r="K1422" t="s">
        <v>530</v>
      </c>
      <c r="N1422">
        <v>0</v>
      </c>
      <c r="O1422">
        <v>0</v>
      </c>
      <c r="P1422" t="str">
        <f t="shared" si="22"/>
        <v>N</v>
      </c>
      <c r="Q1422" t="s">
        <v>7152</v>
      </c>
    </row>
    <row r="1423" spans="1:17" x14ac:dyDescent="0.25">
      <c r="A1423" t="s">
        <v>4213</v>
      </c>
      <c r="B1423" t="s">
        <v>916</v>
      </c>
      <c r="C1423">
        <v>2027</v>
      </c>
      <c r="D1423" t="s">
        <v>538</v>
      </c>
      <c r="E1423" t="s">
        <v>832</v>
      </c>
      <c r="F1423" s="32">
        <v>46402</v>
      </c>
      <c r="G1423" t="s">
        <v>514</v>
      </c>
      <c r="H1423">
        <v>47128469</v>
      </c>
      <c r="I1423" t="s">
        <v>928</v>
      </c>
      <c r="J1423" t="s">
        <v>927</v>
      </c>
      <c r="K1423" t="s">
        <v>530</v>
      </c>
      <c r="N1423">
        <v>0</v>
      </c>
      <c r="O1423">
        <v>0</v>
      </c>
      <c r="P1423" t="str">
        <f t="shared" si="22"/>
        <v>N</v>
      </c>
      <c r="Q1423" t="s">
        <v>7153</v>
      </c>
    </row>
    <row r="1424" spans="1:17" x14ac:dyDescent="0.25">
      <c r="A1424" t="s">
        <v>4214</v>
      </c>
      <c r="B1424" t="s">
        <v>916</v>
      </c>
      <c r="C1424">
        <v>2027</v>
      </c>
      <c r="D1424" t="s">
        <v>538</v>
      </c>
      <c r="E1424" t="s">
        <v>832</v>
      </c>
      <c r="F1424" s="32">
        <v>46402</v>
      </c>
      <c r="G1424" t="s">
        <v>514</v>
      </c>
      <c r="H1424">
        <v>47128359</v>
      </c>
      <c r="I1424" t="s">
        <v>961</v>
      </c>
      <c r="J1424" t="s">
        <v>960</v>
      </c>
      <c r="K1424" t="s">
        <v>530</v>
      </c>
      <c r="N1424">
        <v>26</v>
      </c>
      <c r="O1424">
        <v>26</v>
      </c>
      <c r="P1424" t="str">
        <f t="shared" si="22"/>
        <v>N</v>
      </c>
      <c r="Q1424" t="s">
        <v>7154</v>
      </c>
    </row>
    <row r="1425" spans="1:17" x14ac:dyDescent="0.25">
      <c r="A1425" t="s">
        <v>4215</v>
      </c>
      <c r="B1425" t="s">
        <v>916</v>
      </c>
      <c r="C1425">
        <v>2027</v>
      </c>
      <c r="D1425" t="s">
        <v>538</v>
      </c>
      <c r="E1425" t="s">
        <v>832</v>
      </c>
      <c r="F1425" s="32">
        <v>46402</v>
      </c>
      <c r="G1425" t="s">
        <v>514</v>
      </c>
      <c r="H1425">
        <v>47128202</v>
      </c>
      <c r="I1425" t="s">
        <v>967</v>
      </c>
      <c r="J1425" t="s">
        <v>966</v>
      </c>
      <c r="K1425" t="s">
        <v>530</v>
      </c>
      <c r="N1425">
        <v>0</v>
      </c>
      <c r="O1425">
        <v>0</v>
      </c>
      <c r="P1425" t="str">
        <f t="shared" si="22"/>
        <v>N</v>
      </c>
      <c r="Q1425" t="s">
        <v>7155</v>
      </c>
    </row>
    <row r="1426" spans="1:17" x14ac:dyDescent="0.25">
      <c r="A1426" t="s">
        <v>4216</v>
      </c>
      <c r="B1426" t="s">
        <v>916</v>
      </c>
      <c r="C1426">
        <v>2027</v>
      </c>
      <c r="D1426" t="s">
        <v>538</v>
      </c>
      <c r="E1426" t="s">
        <v>832</v>
      </c>
      <c r="F1426" s="32">
        <v>46402</v>
      </c>
      <c r="G1426" t="s">
        <v>514</v>
      </c>
      <c r="H1426">
        <v>47128154</v>
      </c>
      <c r="I1426" t="s">
        <v>933</v>
      </c>
      <c r="J1426" t="s">
        <v>932</v>
      </c>
      <c r="K1426" t="s">
        <v>530</v>
      </c>
      <c r="N1426">
        <v>0</v>
      </c>
      <c r="O1426">
        <v>0</v>
      </c>
      <c r="P1426" t="str">
        <f t="shared" si="22"/>
        <v>N</v>
      </c>
      <c r="Q1426" t="s">
        <v>7156</v>
      </c>
    </row>
    <row r="1427" spans="1:17" x14ac:dyDescent="0.25">
      <c r="A1427" t="s">
        <v>4217</v>
      </c>
      <c r="B1427" t="s">
        <v>916</v>
      </c>
      <c r="C1427">
        <v>2027</v>
      </c>
      <c r="D1427" t="s">
        <v>538</v>
      </c>
      <c r="E1427" t="s">
        <v>832</v>
      </c>
      <c r="F1427" s="32">
        <v>46402</v>
      </c>
      <c r="G1427" t="s">
        <v>514</v>
      </c>
      <c r="H1427">
        <v>47128108</v>
      </c>
      <c r="I1427" t="s">
        <v>1011</v>
      </c>
      <c r="J1427" t="s">
        <v>1010</v>
      </c>
      <c r="K1427" t="s">
        <v>530</v>
      </c>
      <c r="N1427">
        <v>0</v>
      </c>
      <c r="O1427">
        <v>0</v>
      </c>
      <c r="P1427" t="str">
        <f t="shared" si="22"/>
        <v>N</v>
      </c>
      <c r="Q1427" t="s">
        <v>7157</v>
      </c>
    </row>
    <row r="1428" spans="1:17" x14ac:dyDescent="0.25">
      <c r="A1428" t="s">
        <v>4218</v>
      </c>
      <c r="B1428" t="s">
        <v>916</v>
      </c>
      <c r="C1428">
        <v>2027</v>
      </c>
      <c r="D1428" t="s">
        <v>538</v>
      </c>
      <c r="E1428" t="s">
        <v>832</v>
      </c>
      <c r="F1428" s="32">
        <v>46402</v>
      </c>
      <c r="G1428" t="s">
        <v>514</v>
      </c>
      <c r="H1428">
        <v>47129069</v>
      </c>
      <c r="I1428" t="s">
        <v>1325</v>
      </c>
      <c r="J1428" t="s">
        <v>1324</v>
      </c>
      <c r="K1428" t="s">
        <v>530</v>
      </c>
      <c r="N1428">
        <v>0</v>
      </c>
      <c r="O1428">
        <v>0</v>
      </c>
      <c r="P1428" t="str">
        <f t="shared" si="22"/>
        <v>N</v>
      </c>
      <c r="Q1428" t="s">
        <v>7158</v>
      </c>
    </row>
    <row r="1429" spans="1:17" x14ac:dyDescent="0.25">
      <c r="A1429" t="s">
        <v>4432</v>
      </c>
      <c r="B1429" t="s">
        <v>4428</v>
      </c>
      <c r="C1429">
        <v>2027</v>
      </c>
      <c r="D1429" t="s">
        <v>538</v>
      </c>
      <c r="E1429" t="s">
        <v>832</v>
      </c>
      <c r="F1429" s="32">
        <v>46402</v>
      </c>
      <c r="G1429" t="s">
        <v>514</v>
      </c>
      <c r="H1429">
        <v>47128132</v>
      </c>
      <c r="I1429" t="s">
        <v>4429</v>
      </c>
      <c r="J1429" t="s">
        <v>4430</v>
      </c>
      <c r="K1429" t="s">
        <v>530</v>
      </c>
      <c r="N1429">
        <v>0</v>
      </c>
      <c r="O1429">
        <v>0</v>
      </c>
      <c r="P1429" t="str">
        <f t="shared" si="22"/>
        <v>N</v>
      </c>
      <c r="Q1429" t="s">
        <v>7159</v>
      </c>
    </row>
    <row r="1430" spans="1:17" x14ac:dyDescent="0.25">
      <c r="A1430" t="s">
        <v>4476</v>
      </c>
      <c r="B1430" t="s">
        <v>4445</v>
      </c>
      <c r="C1430">
        <v>2027</v>
      </c>
      <c r="D1430" t="s">
        <v>538</v>
      </c>
      <c r="E1430" t="s">
        <v>832</v>
      </c>
      <c r="F1430" s="32">
        <v>46402</v>
      </c>
      <c r="G1430" t="s">
        <v>514</v>
      </c>
      <c r="H1430">
        <v>47129711</v>
      </c>
      <c r="I1430" t="s">
        <v>4446</v>
      </c>
      <c r="J1430" t="s">
        <v>4447</v>
      </c>
      <c r="K1430" t="s">
        <v>530</v>
      </c>
      <c r="N1430">
        <v>32</v>
      </c>
      <c r="O1430">
        <v>32</v>
      </c>
      <c r="P1430" t="str">
        <f t="shared" si="22"/>
        <v>N</v>
      </c>
      <c r="Q1430" t="s">
        <v>7160</v>
      </c>
    </row>
    <row r="1431" spans="1:17" x14ac:dyDescent="0.25">
      <c r="A1431" t="s">
        <v>4477</v>
      </c>
      <c r="B1431" t="s">
        <v>4445</v>
      </c>
      <c r="C1431">
        <v>2027</v>
      </c>
      <c r="D1431" t="s">
        <v>538</v>
      </c>
      <c r="E1431" t="s">
        <v>832</v>
      </c>
      <c r="F1431" s="32">
        <v>46402</v>
      </c>
      <c r="G1431" t="s">
        <v>514</v>
      </c>
      <c r="H1431">
        <v>47129228</v>
      </c>
      <c r="I1431" t="s">
        <v>4449</v>
      </c>
      <c r="J1431" t="s">
        <v>4450</v>
      </c>
      <c r="K1431" t="s">
        <v>530</v>
      </c>
      <c r="N1431">
        <v>20</v>
      </c>
      <c r="O1431">
        <v>20</v>
      </c>
      <c r="P1431" t="str">
        <f t="shared" si="22"/>
        <v>N</v>
      </c>
      <c r="Q1431" t="s">
        <v>7161</v>
      </c>
    </row>
    <row r="1432" spans="1:17" x14ac:dyDescent="0.25">
      <c r="A1432" t="s">
        <v>4590</v>
      </c>
      <c r="B1432" t="s">
        <v>1044</v>
      </c>
      <c r="C1432">
        <v>2027</v>
      </c>
      <c r="D1432" t="s">
        <v>538</v>
      </c>
      <c r="E1432" t="s">
        <v>832</v>
      </c>
      <c r="F1432" s="32">
        <v>46402</v>
      </c>
      <c r="G1432" t="s">
        <v>514</v>
      </c>
      <c r="H1432">
        <v>47128967</v>
      </c>
      <c r="I1432" t="s">
        <v>1062</v>
      </c>
      <c r="J1432" t="s">
        <v>1061</v>
      </c>
      <c r="K1432" t="s">
        <v>530</v>
      </c>
      <c r="N1432">
        <v>40</v>
      </c>
      <c r="O1432">
        <v>40</v>
      </c>
      <c r="P1432" t="str">
        <f t="shared" si="22"/>
        <v>N</v>
      </c>
      <c r="Q1432" t="s">
        <v>7162</v>
      </c>
    </row>
    <row r="1433" spans="1:17" x14ac:dyDescent="0.25">
      <c r="A1433" t="s">
        <v>4591</v>
      </c>
      <c r="B1433" t="s">
        <v>1044</v>
      </c>
      <c r="C1433">
        <v>2027</v>
      </c>
      <c r="D1433" t="s">
        <v>538</v>
      </c>
      <c r="E1433" t="s">
        <v>832</v>
      </c>
      <c r="F1433" s="32">
        <v>46402</v>
      </c>
      <c r="G1433" t="s">
        <v>514</v>
      </c>
      <c r="H1433">
        <v>47133720</v>
      </c>
      <c r="I1433" t="s">
        <v>1217</v>
      </c>
      <c r="J1433" t="s">
        <v>1216</v>
      </c>
      <c r="K1433" t="s">
        <v>530</v>
      </c>
      <c r="N1433">
        <v>40</v>
      </c>
      <c r="O1433">
        <v>40</v>
      </c>
      <c r="P1433" t="str">
        <f t="shared" si="22"/>
        <v>N</v>
      </c>
      <c r="Q1433" t="s">
        <v>7163</v>
      </c>
    </row>
    <row r="1434" spans="1:17" x14ac:dyDescent="0.25">
      <c r="A1434" t="s">
        <v>4592</v>
      </c>
      <c r="B1434" t="s">
        <v>1044</v>
      </c>
      <c r="C1434">
        <v>2027</v>
      </c>
      <c r="D1434" t="s">
        <v>538</v>
      </c>
      <c r="E1434" t="s">
        <v>832</v>
      </c>
      <c r="F1434" s="32">
        <v>46402</v>
      </c>
      <c r="G1434" t="s">
        <v>514</v>
      </c>
      <c r="H1434">
        <v>47127948</v>
      </c>
      <c r="I1434" t="s">
        <v>1247</v>
      </c>
      <c r="J1434" t="s">
        <v>1246</v>
      </c>
      <c r="K1434" t="s">
        <v>530</v>
      </c>
      <c r="N1434">
        <v>60</v>
      </c>
      <c r="O1434">
        <v>60</v>
      </c>
      <c r="P1434" t="str">
        <f t="shared" si="22"/>
        <v>N</v>
      </c>
      <c r="Q1434" t="s">
        <v>7164</v>
      </c>
    </row>
    <row r="1435" spans="1:17" x14ac:dyDescent="0.25">
      <c r="A1435" t="s">
        <v>4593</v>
      </c>
      <c r="B1435" t="s">
        <v>1044</v>
      </c>
      <c r="C1435">
        <v>2027</v>
      </c>
      <c r="D1435" t="s">
        <v>538</v>
      </c>
      <c r="E1435" t="s">
        <v>832</v>
      </c>
      <c r="F1435" s="32">
        <v>46402</v>
      </c>
      <c r="G1435" t="s">
        <v>514</v>
      </c>
      <c r="H1435">
        <v>47128710</v>
      </c>
      <c r="I1435" t="s">
        <v>1189</v>
      </c>
      <c r="J1435" t="s">
        <v>1188</v>
      </c>
      <c r="K1435" t="s">
        <v>530</v>
      </c>
      <c r="N1435">
        <v>0</v>
      </c>
      <c r="O1435">
        <v>0</v>
      </c>
      <c r="P1435" t="str">
        <f t="shared" si="22"/>
        <v>N</v>
      </c>
      <c r="Q1435" t="s">
        <v>7165</v>
      </c>
    </row>
    <row r="1436" spans="1:17" x14ac:dyDescent="0.25">
      <c r="A1436" t="s">
        <v>4594</v>
      </c>
      <c r="B1436" t="s">
        <v>1044</v>
      </c>
      <c r="C1436">
        <v>2027</v>
      </c>
      <c r="D1436" t="s">
        <v>538</v>
      </c>
      <c r="E1436" t="s">
        <v>832</v>
      </c>
      <c r="F1436" s="32">
        <v>46402</v>
      </c>
      <c r="G1436" t="s">
        <v>514</v>
      </c>
      <c r="H1436">
        <v>47128572</v>
      </c>
      <c r="I1436" t="s">
        <v>1197</v>
      </c>
      <c r="J1436" t="s">
        <v>1196</v>
      </c>
      <c r="K1436" t="s">
        <v>530</v>
      </c>
      <c r="N1436">
        <v>0</v>
      </c>
      <c r="O1436">
        <v>0</v>
      </c>
      <c r="P1436" t="str">
        <f t="shared" si="22"/>
        <v>N</v>
      </c>
      <c r="Q1436" t="s">
        <v>7166</v>
      </c>
    </row>
    <row r="1437" spans="1:17" x14ac:dyDescent="0.25">
      <c r="A1437" t="s">
        <v>4595</v>
      </c>
      <c r="B1437" t="s">
        <v>1044</v>
      </c>
      <c r="C1437">
        <v>2027</v>
      </c>
      <c r="D1437" t="s">
        <v>538</v>
      </c>
      <c r="E1437" t="s">
        <v>832</v>
      </c>
      <c r="F1437" s="32">
        <v>46402</v>
      </c>
      <c r="G1437" t="s">
        <v>514</v>
      </c>
      <c r="H1437">
        <v>47128482</v>
      </c>
      <c r="I1437" t="s">
        <v>1393</v>
      </c>
      <c r="J1437" t="s">
        <v>1392</v>
      </c>
      <c r="K1437" t="s">
        <v>530</v>
      </c>
      <c r="N1437">
        <v>0</v>
      </c>
      <c r="O1437">
        <v>0</v>
      </c>
      <c r="P1437" t="str">
        <f t="shared" si="22"/>
        <v>N</v>
      </c>
      <c r="Q1437" t="s">
        <v>7167</v>
      </c>
    </row>
    <row r="1438" spans="1:17" x14ac:dyDescent="0.25">
      <c r="A1438" t="s">
        <v>4596</v>
      </c>
      <c r="B1438" t="s">
        <v>1044</v>
      </c>
      <c r="C1438">
        <v>2027</v>
      </c>
      <c r="D1438" t="s">
        <v>538</v>
      </c>
      <c r="E1438" t="s">
        <v>832</v>
      </c>
      <c r="F1438" s="32">
        <v>46402</v>
      </c>
      <c r="G1438" t="s">
        <v>514</v>
      </c>
      <c r="H1438">
        <v>47128337</v>
      </c>
      <c r="I1438" t="s">
        <v>1120</v>
      </c>
      <c r="J1438" t="s">
        <v>1119</v>
      </c>
      <c r="K1438" t="s">
        <v>530</v>
      </c>
      <c r="N1438">
        <v>0</v>
      </c>
      <c r="O1438">
        <v>0</v>
      </c>
      <c r="P1438" t="str">
        <f t="shared" si="22"/>
        <v>N</v>
      </c>
      <c r="Q1438" t="s">
        <v>7168</v>
      </c>
    </row>
    <row r="1439" spans="1:17" x14ac:dyDescent="0.25">
      <c r="A1439" t="s">
        <v>4597</v>
      </c>
      <c r="B1439" t="s">
        <v>1044</v>
      </c>
      <c r="C1439">
        <v>2027</v>
      </c>
      <c r="D1439" t="s">
        <v>538</v>
      </c>
      <c r="E1439" t="s">
        <v>832</v>
      </c>
      <c r="F1439" s="32">
        <v>46402</v>
      </c>
      <c r="G1439" t="s">
        <v>514</v>
      </c>
      <c r="H1439">
        <v>47128833</v>
      </c>
      <c r="I1439" t="s">
        <v>1193</v>
      </c>
      <c r="J1439" t="s">
        <v>1192</v>
      </c>
      <c r="K1439" t="s">
        <v>530</v>
      </c>
      <c r="N1439">
        <v>0</v>
      </c>
      <c r="O1439">
        <v>0</v>
      </c>
      <c r="P1439" t="str">
        <f t="shared" si="22"/>
        <v>N</v>
      </c>
      <c r="Q1439" t="s">
        <v>7169</v>
      </c>
    </row>
    <row r="1440" spans="1:17" x14ac:dyDescent="0.25">
      <c r="A1440" t="s">
        <v>4598</v>
      </c>
      <c r="B1440" t="s">
        <v>1044</v>
      </c>
      <c r="C1440">
        <v>2027</v>
      </c>
      <c r="D1440" t="s">
        <v>538</v>
      </c>
      <c r="E1440" t="s">
        <v>832</v>
      </c>
      <c r="F1440" s="32">
        <v>46402</v>
      </c>
      <c r="G1440" t="s">
        <v>514</v>
      </c>
      <c r="H1440">
        <v>47128784</v>
      </c>
      <c r="I1440" t="s">
        <v>1426</v>
      </c>
      <c r="J1440" t="s">
        <v>1425</v>
      </c>
      <c r="K1440" t="s">
        <v>530</v>
      </c>
      <c r="N1440">
        <v>0</v>
      </c>
      <c r="O1440">
        <v>0</v>
      </c>
      <c r="P1440" t="str">
        <f t="shared" si="22"/>
        <v>N</v>
      </c>
      <c r="Q1440" t="s">
        <v>7170</v>
      </c>
    </row>
    <row r="1441" spans="1:17" x14ac:dyDescent="0.25">
      <c r="A1441" t="s">
        <v>4599</v>
      </c>
      <c r="B1441" t="s">
        <v>1044</v>
      </c>
      <c r="C1441">
        <v>2027</v>
      </c>
      <c r="D1441" t="s">
        <v>538</v>
      </c>
      <c r="E1441" t="s">
        <v>832</v>
      </c>
      <c r="F1441" s="32">
        <v>46402</v>
      </c>
      <c r="G1441" t="s">
        <v>514</v>
      </c>
      <c r="H1441">
        <v>47129020</v>
      </c>
      <c r="I1441" t="s">
        <v>1058</v>
      </c>
      <c r="J1441" t="s">
        <v>1057</v>
      </c>
      <c r="K1441" t="s">
        <v>530</v>
      </c>
      <c r="N1441">
        <v>50</v>
      </c>
      <c r="O1441">
        <v>50</v>
      </c>
      <c r="P1441" t="str">
        <f t="shared" si="22"/>
        <v>N</v>
      </c>
      <c r="Q1441" t="s">
        <v>7171</v>
      </c>
    </row>
    <row r="1442" spans="1:17" x14ac:dyDescent="0.25">
      <c r="A1442" t="s">
        <v>4600</v>
      </c>
      <c r="B1442" t="s">
        <v>1044</v>
      </c>
      <c r="C1442">
        <v>2027</v>
      </c>
      <c r="D1442" t="s">
        <v>538</v>
      </c>
      <c r="E1442" t="s">
        <v>832</v>
      </c>
      <c r="F1442" s="32">
        <v>46402</v>
      </c>
      <c r="G1442" t="s">
        <v>514</v>
      </c>
      <c r="H1442">
        <v>47129473</v>
      </c>
      <c r="I1442" t="s">
        <v>1430</v>
      </c>
      <c r="J1442" t="s">
        <v>1429</v>
      </c>
      <c r="K1442" t="s">
        <v>530</v>
      </c>
      <c r="N1442">
        <v>10</v>
      </c>
      <c r="O1442">
        <v>10</v>
      </c>
      <c r="P1442" t="str">
        <f t="shared" si="22"/>
        <v>N</v>
      </c>
      <c r="Q1442" t="s">
        <v>7172</v>
      </c>
    </row>
    <row r="1443" spans="1:17" x14ac:dyDescent="0.25">
      <c r="A1443" t="s">
        <v>4601</v>
      </c>
      <c r="B1443" t="s">
        <v>1044</v>
      </c>
      <c r="C1443">
        <v>2027</v>
      </c>
      <c r="D1443" t="s">
        <v>538</v>
      </c>
      <c r="E1443" t="s">
        <v>832</v>
      </c>
      <c r="F1443" s="32">
        <v>46402</v>
      </c>
      <c r="G1443" t="s">
        <v>514</v>
      </c>
      <c r="H1443">
        <v>47128429</v>
      </c>
      <c r="I1443" t="s">
        <v>1371</v>
      </c>
      <c r="J1443" t="s">
        <v>1370</v>
      </c>
      <c r="K1443" t="s">
        <v>530</v>
      </c>
      <c r="N1443">
        <v>0</v>
      </c>
      <c r="O1443">
        <v>0</v>
      </c>
      <c r="P1443" t="str">
        <f t="shared" si="22"/>
        <v>N</v>
      </c>
      <c r="Q1443" t="s">
        <v>7173</v>
      </c>
    </row>
    <row r="1444" spans="1:17" x14ac:dyDescent="0.25">
      <c r="A1444" t="s">
        <v>4602</v>
      </c>
      <c r="B1444" t="s">
        <v>1044</v>
      </c>
      <c r="C1444">
        <v>2027</v>
      </c>
      <c r="D1444" t="s">
        <v>538</v>
      </c>
      <c r="E1444" t="s">
        <v>832</v>
      </c>
      <c r="F1444" s="32">
        <v>46402</v>
      </c>
      <c r="G1444" t="s">
        <v>514</v>
      </c>
      <c r="H1444">
        <v>47128181</v>
      </c>
      <c r="I1444" t="s">
        <v>1301</v>
      </c>
      <c r="J1444" t="s">
        <v>1300</v>
      </c>
      <c r="K1444" t="s">
        <v>530</v>
      </c>
      <c r="N1444">
        <v>0</v>
      </c>
      <c r="O1444">
        <v>0</v>
      </c>
      <c r="P1444" t="str">
        <f t="shared" si="22"/>
        <v>N</v>
      </c>
      <c r="Q1444" t="s">
        <v>7174</v>
      </c>
    </row>
    <row r="1445" spans="1:17" x14ac:dyDescent="0.25">
      <c r="A1445" t="s">
        <v>4882</v>
      </c>
      <c r="B1445" t="s">
        <v>1090</v>
      </c>
      <c r="C1445">
        <v>2027</v>
      </c>
      <c r="D1445" t="s">
        <v>538</v>
      </c>
      <c r="E1445" t="s">
        <v>832</v>
      </c>
      <c r="F1445" s="32">
        <v>46402</v>
      </c>
      <c r="G1445" t="s">
        <v>514</v>
      </c>
      <c r="H1445">
        <v>47128477</v>
      </c>
      <c r="I1445" t="s">
        <v>1029</v>
      </c>
      <c r="J1445" t="s">
        <v>1028</v>
      </c>
      <c r="K1445" t="s">
        <v>530</v>
      </c>
      <c r="N1445">
        <v>0</v>
      </c>
      <c r="O1445">
        <v>0</v>
      </c>
      <c r="P1445" t="str">
        <f t="shared" si="22"/>
        <v>N</v>
      </c>
      <c r="Q1445" t="s">
        <v>7175</v>
      </c>
    </row>
    <row r="1446" spans="1:17" x14ac:dyDescent="0.25">
      <c r="A1446" t="s">
        <v>4883</v>
      </c>
      <c r="B1446" t="s">
        <v>1090</v>
      </c>
      <c r="C1446">
        <v>2027</v>
      </c>
      <c r="D1446" t="s">
        <v>538</v>
      </c>
      <c r="E1446" t="s">
        <v>832</v>
      </c>
      <c r="F1446" s="32">
        <v>46402</v>
      </c>
      <c r="G1446" t="s">
        <v>514</v>
      </c>
      <c r="H1446">
        <v>47128353</v>
      </c>
      <c r="I1446" t="s">
        <v>982</v>
      </c>
      <c r="J1446" t="s">
        <v>981</v>
      </c>
      <c r="K1446" t="s">
        <v>530</v>
      </c>
      <c r="N1446">
        <v>100</v>
      </c>
      <c r="O1446">
        <v>100</v>
      </c>
      <c r="P1446" t="str">
        <f t="shared" si="22"/>
        <v>N</v>
      </c>
      <c r="Q1446" t="s">
        <v>7176</v>
      </c>
    </row>
    <row r="1447" spans="1:17" x14ac:dyDescent="0.25">
      <c r="A1447" t="s">
        <v>4884</v>
      </c>
      <c r="B1447" t="s">
        <v>1090</v>
      </c>
      <c r="C1447">
        <v>2027</v>
      </c>
      <c r="D1447" t="s">
        <v>538</v>
      </c>
      <c r="E1447" t="s">
        <v>832</v>
      </c>
      <c r="F1447" s="32">
        <v>46402</v>
      </c>
      <c r="G1447" t="s">
        <v>514</v>
      </c>
      <c r="H1447">
        <v>47128350</v>
      </c>
      <c r="I1447" t="s">
        <v>1032</v>
      </c>
      <c r="J1447" t="s">
        <v>1031</v>
      </c>
      <c r="K1447" t="s">
        <v>530</v>
      </c>
      <c r="N1447">
        <v>0</v>
      </c>
      <c r="O1447">
        <v>0</v>
      </c>
      <c r="P1447" t="str">
        <f t="shared" si="22"/>
        <v>N</v>
      </c>
      <c r="Q1447" t="s">
        <v>7177</v>
      </c>
    </row>
    <row r="1448" spans="1:17" x14ac:dyDescent="0.25">
      <c r="A1448" t="s">
        <v>4885</v>
      </c>
      <c r="B1448" t="s">
        <v>1090</v>
      </c>
      <c r="C1448">
        <v>2027</v>
      </c>
      <c r="D1448" t="s">
        <v>538</v>
      </c>
      <c r="E1448" t="s">
        <v>832</v>
      </c>
      <c r="F1448" s="32">
        <v>46402</v>
      </c>
      <c r="G1448" t="s">
        <v>514</v>
      </c>
      <c r="H1448">
        <v>47128349</v>
      </c>
      <c r="I1448" t="s">
        <v>975</v>
      </c>
      <c r="J1448" t="s">
        <v>974</v>
      </c>
      <c r="K1448" t="s">
        <v>530</v>
      </c>
      <c r="N1448">
        <v>0</v>
      </c>
      <c r="O1448">
        <v>0</v>
      </c>
      <c r="P1448" t="str">
        <f t="shared" si="22"/>
        <v>N</v>
      </c>
      <c r="Q1448" t="s">
        <v>7178</v>
      </c>
    </row>
    <row r="1449" spans="1:17" x14ac:dyDescent="0.25">
      <c r="A1449" t="s">
        <v>4886</v>
      </c>
      <c r="B1449" t="s">
        <v>1090</v>
      </c>
      <c r="C1449">
        <v>2027</v>
      </c>
      <c r="D1449" t="s">
        <v>538</v>
      </c>
      <c r="E1449" t="s">
        <v>832</v>
      </c>
      <c r="F1449" s="32">
        <v>46402</v>
      </c>
      <c r="G1449" t="s">
        <v>514</v>
      </c>
      <c r="H1449">
        <v>47128939</v>
      </c>
      <c r="I1449" t="s">
        <v>1224</v>
      </c>
      <c r="J1449" t="s">
        <v>1223</v>
      </c>
      <c r="K1449" t="s">
        <v>530</v>
      </c>
      <c r="N1449">
        <v>0</v>
      </c>
      <c r="O1449">
        <v>0</v>
      </c>
      <c r="P1449" t="str">
        <f t="shared" si="22"/>
        <v>N</v>
      </c>
      <c r="Q1449" t="s">
        <v>7179</v>
      </c>
    </row>
    <row r="1450" spans="1:17" x14ac:dyDescent="0.25">
      <c r="A1450" t="s">
        <v>4887</v>
      </c>
      <c r="B1450" t="s">
        <v>1090</v>
      </c>
      <c r="C1450">
        <v>2027</v>
      </c>
      <c r="D1450" t="s">
        <v>538</v>
      </c>
      <c r="E1450" t="s">
        <v>832</v>
      </c>
      <c r="F1450" s="32">
        <v>46402</v>
      </c>
      <c r="G1450" t="s">
        <v>514</v>
      </c>
      <c r="H1450">
        <v>47128449</v>
      </c>
      <c r="I1450" t="s">
        <v>1364</v>
      </c>
      <c r="J1450" t="s">
        <v>1363</v>
      </c>
      <c r="K1450" t="s">
        <v>530</v>
      </c>
      <c r="N1450">
        <v>0</v>
      </c>
      <c r="O1450">
        <v>0</v>
      </c>
      <c r="P1450" t="str">
        <f t="shared" si="22"/>
        <v>N</v>
      </c>
      <c r="Q1450" t="s">
        <v>7180</v>
      </c>
    </row>
    <row r="1451" spans="1:17" x14ac:dyDescent="0.25">
      <c r="A1451" t="s">
        <v>4888</v>
      </c>
      <c r="B1451" t="s">
        <v>1090</v>
      </c>
      <c r="C1451">
        <v>2027</v>
      </c>
      <c r="D1451" t="s">
        <v>538</v>
      </c>
      <c r="E1451" t="s">
        <v>832</v>
      </c>
      <c r="F1451" s="32">
        <v>46402</v>
      </c>
      <c r="G1451" t="s">
        <v>514</v>
      </c>
      <c r="H1451">
        <v>47128902</v>
      </c>
      <c r="I1451" t="s">
        <v>1243</v>
      </c>
      <c r="J1451" t="s">
        <v>1242</v>
      </c>
      <c r="K1451" t="s">
        <v>530</v>
      </c>
      <c r="N1451">
        <v>0</v>
      </c>
      <c r="O1451">
        <v>0</v>
      </c>
      <c r="P1451" t="str">
        <f t="shared" si="22"/>
        <v>N</v>
      </c>
      <c r="Q1451" t="s">
        <v>7181</v>
      </c>
    </row>
    <row r="1452" spans="1:17" x14ac:dyDescent="0.25">
      <c r="A1452" t="s">
        <v>4889</v>
      </c>
      <c r="B1452" t="s">
        <v>1090</v>
      </c>
      <c r="C1452">
        <v>2027</v>
      </c>
      <c r="D1452" t="s">
        <v>538</v>
      </c>
      <c r="E1452" t="s">
        <v>832</v>
      </c>
      <c r="F1452" s="32">
        <v>46402</v>
      </c>
      <c r="G1452" t="s">
        <v>514</v>
      </c>
      <c r="H1452">
        <v>47128417</v>
      </c>
      <c r="I1452" t="s">
        <v>1069</v>
      </c>
      <c r="J1452" t="s">
        <v>1068</v>
      </c>
      <c r="K1452" t="s">
        <v>530</v>
      </c>
      <c r="N1452">
        <v>0</v>
      </c>
      <c r="O1452">
        <v>0</v>
      </c>
      <c r="P1452" t="str">
        <f t="shared" si="22"/>
        <v>N</v>
      </c>
      <c r="Q1452" t="s">
        <v>7182</v>
      </c>
    </row>
    <row r="1453" spans="1:17" x14ac:dyDescent="0.25">
      <c r="A1453" t="s">
        <v>4890</v>
      </c>
      <c r="B1453" t="s">
        <v>1090</v>
      </c>
      <c r="C1453">
        <v>2027</v>
      </c>
      <c r="D1453" t="s">
        <v>538</v>
      </c>
      <c r="E1453" t="s">
        <v>832</v>
      </c>
      <c r="F1453" s="32">
        <v>46402</v>
      </c>
      <c r="G1453" t="s">
        <v>514</v>
      </c>
      <c r="H1453">
        <v>47129017</v>
      </c>
      <c r="I1453" t="s">
        <v>1073</v>
      </c>
      <c r="J1453" t="s">
        <v>1072</v>
      </c>
      <c r="K1453" t="s">
        <v>530</v>
      </c>
      <c r="N1453">
        <v>0</v>
      </c>
      <c r="O1453">
        <v>0</v>
      </c>
      <c r="P1453" t="str">
        <f t="shared" si="22"/>
        <v>N</v>
      </c>
      <c r="Q1453" t="s">
        <v>7183</v>
      </c>
    </row>
    <row r="1454" spans="1:17" x14ac:dyDescent="0.25">
      <c r="A1454" t="s">
        <v>4891</v>
      </c>
      <c r="B1454" t="s">
        <v>1090</v>
      </c>
      <c r="C1454">
        <v>2027</v>
      </c>
      <c r="D1454" t="s">
        <v>538</v>
      </c>
      <c r="E1454" t="s">
        <v>832</v>
      </c>
      <c r="F1454" s="32">
        <v>46402</v>
      </c>
      <c r="G1454" t="s">
        <v>514</v>
      </c>
      <c r="H1454">
        <v>47128936</v>
      </c>
      <c r="I1454" t="s">
        <v>1173</v>
      </c>
      <c r="J1454" t="s">
        <v>1172</v>
      </c>
      <c r="K1454" t="s">
        <v>530</v>
      </c>
      <c r="N1454">
        <v>0</v>
      </c>
      <c r="O1454">
        <v>0</v>
      </c>
      <c r="P1454" t="str">
        <f t="shared" si="22"/>
        <v>N</v>
      </c>
      <c r="Q1454" t="s">
        <v>7184</v>
      </c>
    </row>
    <row r="1455" spans="1:17" x14ac:dyDescent="0.25">
      <c r="A1455" t="s">
        <v>4892</v>
      </c>
      <c r="B1455" t="s">
        <v>1090</v>
      </c>
      <c r="C1455">
        <v>2027</v>
      </c>
      <c r="D1455" t="s">
        <v>538</v>
      </c>
      <c r="E1455" t="s">
        <v>832</v>
      </c>
      <c r="F1455" s="32">
        <v>46402</v>
      </c>
      <c r="G1455" t="s">
        <v>514</v>
      </c>
      <c r="H1455">
        <v>47129715</v>
      </c>
      <c r="I1455" t="s">
        <v>1272</v>
      </c>
      <c r="J1455" t="s">
        <v>1271</v>
      </c>
      <c r="K1455" t="s">
        <v>530</v>
      </c>
      <c r="N1455">
        <v>0</v>
      </c>
      <c r="O1455">
        <v>0</v>
      </c>
      <c r="P1455" t="str">
        <f t="shared" si="22"/>
        <v>N</v>
      </c>
      <c r="Q1455" t="s">
        <v>7185</v>
      </c>
    </row>
    <row r="1456" spans="1:17" x14ac:dyDescent="0.25">
      <c r="A1456" t="s">
        <v>4893</v>
      </c>
      <c r="B1456" t="s">
        <v>1090</v>
      </c>
      <c r="C1456">
        <v>2027</v>
      </c>
      <c r="D1456" t="s">
        <v>538</v>
      </c>
      <c r="E1456" t="s">
        <v>832</v>
      </c>
      <c r="F1456" s="32">
        <v>46402</v>
      </c>
      <c r="G1456" t="s">
        <v>514</v>
      </c>
      <c r="H1456">
        <v>47129702</v>
      </c>
      <c r="I1456" t="s">
        <v>1309</v>
      </c>
      <c r="J1456" t="s">
        <v>1308</v>
      </c>
      <c r="K1456" t="s">
        <v>530</v>
      </c>
      <c r="N1456">
        <v>0</v>
      </c>
      <c r="O1456">
        <v>0</v>
      </c>
      <c r="P1456" t="str">
        <f t="shared" si="22"/>
        <v>N</v>
      </c>
      <c r="Q1456" t="s">
        <v>7186</v>
      </c>
    </row>
    <row r="1457" spans="1:17" x14ac:dyDescent="0.25">
      <c r="A1457" t="s">
        <v>4894</v>
      </c>
      <c r="B1457" t="s">
        <v>1090</v>
      </c>
      <c r="C1457">
        <v>2027</v>
      </c>
      <c r="D1457" t="s">
        <v>538</v>
      </c>
      <c r="E1457" t="s">
        <v>832</v>
      </c>
      <c r="F1457" s="32">
        <v>46402</v>
      </c>
      <c r="G1457" t="s">
        <v>514</v>
      </c>
      <c r="H1457">
        <v>47128777</v>
      </c>
      <c r="I1457" t="s">
        <v>1329</v>
      </c>
      <c r="J1457" t="s">
        <v>1328</v>
      </c>
      <c r="K1457" t="s">
        <v>530</v>
      </c>
      <c r="N1457">
        <v>0</v>
      </c>
      <c r="O1457">
        <v>0</v>
      </c>
      <c r="P1457" t="str">
        <f t="shared" si="22"/>
        <v>N</v>
      </c>
      <c r="Q1457" t="s">
        <v>7187</v>
      </c>
    </row>
    <row r="1458" spans="1:17" x14ac:dyDescent="0.25">
      <c r="A1458" t="s">
        <v>4895</v>
      </c>
      <c r="B1458" t="s">
        <v>1090</v>
      </c>
      <c r="C1458">
        <v>2027</v>
      </c>
      <c r="D1458" t="s">
        <v>538</v>
      </c>
      <c r="E1458" t="s">
        <v>832</v>
      </c>
      <c r="F1458" s="32">
        <v>46402</v>
      </c>
      <c r="G1458" t="s">
        <v>514</v>
      </c>
      <c r="H1458">
        <v>47148880</v>
      </c>
      <c r="I1458" t="s">
        <v>1305</v>
      </c>
      <c r="J1458" t="s">
        <v>1304</v>
      </c>
      <c r="K1458" t="s">
        <v>530</v>
      </c>
      <c r="N1458">
        <v>0</v>
      </c>
      <c r="O1458">
        <v>0</v>
      </c>
      <c r="P1458" t="str">
        <f t="shared" si="22"/>
        <v>N</v>
      </c>
      <c r="Q1458" t="s">
        <v>7188</v>
      </c>
    </row>
    <row r="1459" spans="1:17" x14ac:dyDescent="0.25">
      <c r="A1459" t="s">
        <v>4896</v>
      </c>
      <c r="B1459" t="s">
        <v>1090</v>
      </c>
      <c r="C1459">
        <v>2027</v>
      </c>
      <c r="D1459" t="s">
        <v>538</v>
      </c>
      <c r="E1459" t="s">
        <v>832</v>
      </c>
      <c r="F1459" s="32">
        <v>46402</v>
      </c>
      <c r="G1459" t="s">
        <v>514</v>
      </c>
      <c r="H1459">
        <v>47128467</v>
      </c>
      <c r="I1459" t="s">
        <v>1292</v>
      </c>
      <c r="J1459" t="s">
        <v>1291</v>
      </c>
      <c r="K1459" t="s">
        <v>530</v>
      </c>
      <c r="N1459">
        <v>0</v>
      </c>
      <c r="O1459">
        <v>0</v>
      </c>
      <c r="P1459" t="str">
        <f t="shared" si="22"/>
        <v>N</v>
      </c>
      <c r="Q1459" t="s">
        <v>7189</v>
      </c>
    </row>
    <row r="1460" spans="1:17" x14ac:dyDescent="0.25">
      <c r="A1460" t="s">
        <v>4897</v>
      </c>
      <c r="B1460" t="s">
        <v>1090</v>
      </c>
      <c r="C1460">
        <v>2027</v>
      </c>
      <c r="D1460" t="s">
        <v>538</v>
      </c>
      <c r="E1460" t="s">
        <v>832</v>
      </c>
      <c r="F1460" s="32">
        <v>46402</v>
      </c>
      <c r="G1460" t="s">
        <v>514</v>
      </c>
      <c r="H1460">
        <v>47128643</v>
      </c>
      <c r="I1460" t="s">
        <v>1367</v>
      </c>
      <c r="J1460" t="s">
        <v>1366</v>
      </c>
      <c r="K1460" t="s">
        <v>530</v>
      </c>
      <c r="N1460">
        <v>0</v>
      </c>
      <c r="O1460">
        <v>0</v>
      </c>
      <c r="P1460" t="str">
        <f t="shared" si="22"/>
        <v>N</v>
      </c>
      <c r="Q1460" t="s">
        <v>7190</v>
      </c>
    </row>
    <row r="1461" spans="1:17" x14ac:dyDescent="0.25">
      <c r="A1461" t="s">
        <v>4898</v>
      </c>
      <c r="B1461" t="s">
        <v>1090</v>
      </c>
      <c r="C1461">
        <v>2027</v>
      </c>
      <c r="D1461" t="s">
        <v>538</v>
      </c>
      <c r="E1461" t="s">
        <v>832</v>
      </c>
      <c r="F1461" s="32">
        <v>46402</v>
      </c>
      <c r="G1461" t="s">
        <v>514</v>
      </c>
      <c r="H1461">
        <v>47151576</v>
      </c>
      <c r="I1461" t="s">
        <v>1506</v>
      </c>
      <c r="J1461" t="s">
        <v>1505</v>
      </c>
      <c r="K1461" t="s">
        <v>530</v>
      </c>
      <c r="N1461">
        <v>0</v>
      </c>
      <c r="O1461">
        <v>0</v>
      </c>
      <c r="P1461" t="str">
        <f t="shared" si="22"/>
        <v>N</v>
      </c>
      <c r="Q1461" t="s">
        <v>7191</v>
      </c>
    </row>
    <row r="1462" spans="1:17" x14ac:dyDescent="0.25">
      <c r="A1462" t="s">
        <v>4899</v>
      </c>
      <c r="B1462" t="s">
        <v>1090</v>
      </c>
      <c r="C1462">
        <v>2027</v>
      </c>
      <c r="D1462" t="s">
        <v>538</v>
      </c>
      <c r="E1462" t="s">
        <v>832</v>
      </c>
      <c r="F1462" s="32">
        <v>46402</v>
      </c>
      <c r="G1462" t="s">
        <v>514</v>
      </c>
      <c r="H1462">
        <v>47129459</v>
      </c>
      <c r="I1462" t="s">
        <v>1321</v>
      </c>
      <c r="J1462" t="s">
        <v>1320</v>
      </c>
      <c r="K1462" t="s">
        <v>530</v>
      </c>
      <c r="N1462">
        <v>0</v>
      </c>
      <c r="O1462">
        <v>0</v>
      </c>
      <c r="P1462" t="str">
        <f t="shared" si="22"/>
        <v>N</v>
      </c>
      <c r="Q1462" t="s">
        <v>7192</v>
      </c>
    </row>
    <row r="1463" spans="1:17" x14ac:dyDescent="0.25">
      <c r="A1463" t="s">
        <v>4900</v>
      </c>
      <c r="B1463" t="s">
        <v>1090</v>
      </c>
      <c r="C1463">
        <v>2027</v>
      </c>
      <c r="D1463" t="s">
        <v>538</v>
      </c>
      <c r="E1463" t="s">
        <v>832</v>
      </c>
      <c r="F1463" s="32">
        <v>46402</v>
      </c>
      <c r="G1463" t="s">
        <v>514</v>
      </c>
      <c r="H1463">
        <v>47129130</v>
      </c>
      <c r="I1463" t="s">
        <v>1434</v>
      </c>
      <c r="J1463" t="s">
        <v>1433</v>
      </c>
      <c r="K1463" t="s">
        <v>530</v>
      </c>
      <c r="N1463">
        <v>0</v>
      </c>
      <c r="O1463">
        <v>0</v>
      </c>
      <c r="P1463" t="str">
        <f t="shared" si="22"/>
        <v>N</v>
      </c>
      <c r="Q1463" t="s">
        <v>7193</v>
      </c>
    </row>
    <row r="1464" spans="1:17" x14ac:dyDescent="0.25">
      <c r="A1464" t="s">
        <v>4901</v>
      </c>
      <c r="B1464" t="s">
        <v>1090</v>
      </c>
      <c r="C1464">
        <v>2027</v>
      </c>
      <c r="D1464" t="s">
        <v>538</v>
      </c>
      <c r="E1464" t="s">
        <v>832</v>
      </c>
      <c r="F1464" s="32">
        <v>46402</v>
      </c>
      <c r="G1464" t="s">
        <v>514</v>
      </c>
      <c r="H1464">
        <v>47129692</v>
      </c>
      <c r="I1464" t="s">
        <v>1475</v>
      </c>
      <c r="J1464" t="s">
        <v>1474</v>
      </c>
      <c r="K1464" t="s">
        <v>530</v>
      </c>
      <c r="N1464">
        <v>0</v>
      </c>
      <c r="O1464">
        <v>0</v>
      </c>
      <c r="P1464" t="str">
        <f t="shared" si="22"/>
        <v>N</v>
      </c>
      <c r="Q1464" t="s">
        <v>7194</v>
      </c>
    </row>
    <row r="1465" spans="1:17" x14ac:dyDescent="0.25">
      <c r="A1465" t="s">
        <v>4902</v>
      </c>
      <c r="B1465" t="s">
        <v>1090</v>
      </c>
      <c r="C1465">
        <v>2027</v>
      </c>
      <c r="D1465" t="s">
        <v>538</v>
      </c>
      <c r="E1465" t="s">
        <v>832</v>
      </c>
      <c r="F1465" s="32">
        <v>46402</v>
      </c>
      <c r="G1465" t="s">
        <v>514</v>
      </c>
      <c r="H1465">
        <v>47153262</v>
      </c>
      <c r="I1465" t="s">
        <v>1502</v>
      </c>
      <c r="J1465" t="s">
        <v>1501</v>
      </c>
      <c r="K1465" t="s">
        <v>530</v>
      </c>
      <c r="N1465">
        <v>0</v>
      </c>
      <c r="O1465">
        <v>0</v>
      </c>
      <c r="P1465" t="str">
        <f t="shared" si="22"/>
        <v>N</v>
      </c>
      <c r="Q1465" t="s">
        <v>7195</v>
      </c>
    </row>
    <row r="1466" spans="1:17" x14ac:dyDescent="0.25">
      <c r="A1466" t="s">
        <v>4903</v>
      </c>
      <c r="B1466" t="s">
        <v>1090</v>
      </c>
      <c r="C1466">
        <v>2027</v>
      </c>
      <c r="D1466" t="s">
        <v>538</v>
      </c>
      <c r="E1466" t="s">
        <v>832</v>
      </c>
      <c r="F1466" s="32">
        <v>46402</v>
      </c>
      <c r="G1466" t="s">
        <v>514</v>
      </c>
      <c r="H1466">
        <v>47146895</v>
      </c>
      <c r="I1466" t="s">
        <v>1375</v>
      </c>
      <c r="J1466" t="s">
        <v>1374</v>
      </c>
      <c r="K1466" t="s">
        <v>530</v>
      </c>
      <c r="N1466">
        <v>0</v>
      </c>
      <c r="O1466">
        <v>0</v>
      </c>
      <c r="P1466" t="str">
        <f t="shared" si="22"/>
        <v>N</v>
      </c>
      <c r="Q1466" t="s">
        <v>7196</v>
      </c>
    </row>
    <row r="1467" spans="1:17" x14ac:dyDescent="0.25">
      <c r="A1467" t="s">
        <v>4904</v>
      </c>
      <c r="B1467" t="s">
        <v>1090</v>
      </c>
      <c r="C1467">
        <v>2027</v>
      </c>
      <c r="D1467" t="s">
        <v>538</v>
      </c>
      <c r="E1467" t="s">
        <v>832</v>
      </c>
      <c r="F1467" s="32">
        <v>46402</v>
      </c>
      <c r="G1467" t="s">
        <v>514</v>
      </c>
      <c r="H1467">
        <v>47148279</v>
      </c>
      <c r="I1467" t="s">
        <v>1236</v>
      </c>
      <c r="J1467" t="s">
        <v>1235</v>
      </c>
      <c r="K1467" t="s">
        <v>530</v>
      </c>
      <c r="N1467">
        <v>0</v>
      </c>
      <c r="O1467">
        <v>0</v>
      </c>
      <c r="P1467" t="str">
        <f t="shared" si="22"/>
        <v>N</v>
      </c>
      <c r="Q1467" t="s">
        <v>7197</v>
      </c>
    </row>
    <row r="1468" spans="1:17" x14ac:dyDescent="0.25">
      <c r="A1468" t="s">
        <v>4905</v>
      </c>
      <c r="B1468" t="s">
        <v>1090</v>
      </c>
      <c r="C1468">
        <v>2027</v>
      </c>
      <c r="D1468" t="s">
        <v>538</v>
      </c>
      <c r="E1468" t="s">
        <v>832</v>
      </c>
      <c r="F1468" s="32">
        <v>46402</v>
      </c>
      <c r="G1468" t="s">
        <v>514</v>
      </c>
      <c r="H1468">
        <v>47128115</v>
      </c>
      <c r="I1468" t="s">
        <v>1260</v>
      </c>
      <c r="J1468" t="s">
        <v>1499</v>
      </c>
      <c r="K1468" t="s">
        <v>530</v>
      </c>
      <c r="N1468">
        <v>0</v>
      </c>
      <c r="O1468">
        <v>0</v>
      </c>
      <c r="P1468" t="str">
        <f t="shared" si="22"/>
        <v>N</v>
      </c>
      <c r="Q1468" t="s">
        <v>7198</v>
      </c>
    </row>
    <row r="1469" spans="1:17" x14ac:dyDescent="0.25">
      <c r="A1469" t="s">
        <v>4906</v>
      </c>
      <c r="B1469" t="s">
        <v>1090</v>
      </c>
      <c r="C1469">
        <v>2027</v>
      </c>
      <c r="D1469" t="s">
        <v>538</v>
      </c>
      <c r="E1469" t="s">
        <v>832</v>
      </c>
      <c r="F1469" s="32">
        <v>46402</v>
      </c>
      <c r="G1469" t="s">
        <v>514</v>
      </c>
      <c r="H1469">
        <v>47129679</v>
      </c>
      <c r="I1469" t="s">
        <v>1422</v>
      </c>
      <c r="J1469" t="s">
        <v>1421</v>
      </c>
      <c r="K1469" t="s">
        <v>530</v>
      </c>
      <c r="N1469">
        <v>0</v>
      </c>
      <c r="O1469">
        <v>0</v>
      </c>
      <c r="P1469" t="str">
        <f t="shared" si="22"/>
        <v>N</v>
      </c>
      <c r="Q1469" t="s">
        <v>7199</v>
      </c>
    </row>
    <row r="1470" spans="1:17" x14ac:dyDescent="0.25">
      <c r="A1470" t="s">
        <v>4907</v>
      </c>
      <c r="B1470" t="s">
        <v>1090</v>
      </c>
      <c r="C1470">
        <v>2027</v>
      </c>
      <c r="D1470" t="s">
        <v>538</v>
      </c>
      <c r="E1470" t="s">
        <v>832</v>
      </c>
      <c r="F1470" s="32">
        <v>46402</v>
      </c>
      <c r="G1470" t="s">
        <v>514</v>
      </c>
      <c r="H1470">
        <v>47129432</v>
      </c>
      <c r="I1470" t="s">
        <v>1468</v>
      </c>
      <c r="J1470" t="s">
        <v>1467</v>
      </c>
      <c r="K1470" t="s">
        <v>530</v>
      </c>
      <c r="N1470">
        <v>0</v>
      </c>
      <c r="O1470">
        <v>0</v>
      </c>
      <c r="P1470" t="str">
        <f t="shared" si="22"/>
        <v>N</v>
      </c>
      <c r="Q1470" t="s">
        <v>7200</v>
      </c>
    </row>
    <row r="1471" spans="1:17" x14ac:dyDescent="0.25">
      <c r="A1471" t="s">
        <v>4908</v>
      </c>
      <c r="B1471" t="s">
        <v>1090</v>
      </c>
      <c r="C1471">
        <v>2027</v>
      </c>
      <c r="D1471" t="s">
        <v>538</v>
      </c>
      <c r="E1471" t="s">
        <v>832</v>
      </c>
      <c r="F1471" s="32">
        <v>46402</v>
      </c>
      <c r="G1471" t="s">
        <v>514</v>
      </c>
      <c r="H1471">
        <v>47129050</v>
      </c>
      <c r="I1471" t="s">
        <v>1482</v>
      </c>
      <c r="J1471" t="s">
        <v>1481</v>
      </c>
      <c r="K1471" t="s">
        <v>530</v>
      </c>
      <c r="N1471">
        <v>0</v>
      </c>
      <c r="O1471">
        <v>0</v>
      </c>
      <c r="P1471" t="str">
        <f t="shared" si="22"/>
        <v>N</v>
      </c>
      <c r="Q1471" t="s">
        <v>7201</v>
      </c>
    </row>
    <row r="1472" spans="1:17" x14ac:dyDescent="0.25">
      <c r="A1472" t="s">
        <v>5251</v>
      </c>
      <c r="B1472" t="s">
        <v>1089</v>
      </c>
      <c r="C1472">
        <v>2027</v>
      </c>
      <c r="D1472" t="s">
        <v>538</v>
      </c>
      <c r="E1472" t="s">
        <v>832</v>
      </c>
      <c r="F1472" s="32">
        <v>46402</v>
      </c>
      <c r="G1472" t="s">
        <v>514</v>
      </c>
      <c r="H1472">
        <v>47128421</v>
      </c>
      <c r="I1472" t="s">
        <v>1086</v>
      </c>
      <c r="J1472" t="s">
        <v>1085</v>
      </c>
      <c r="K1472" t="s">
        <v>530</v>
      </c>
      <c r="N1472">
        <v>70</v>
      </c>
      <c r="O1472">
        <v>70</v>
      </c>
      <c r="P1472" t="str">
        <f t="shared" si="22"/>
        <v>N</v>
      </c>
      <c r="Q1472" t="s">
        <v>7202</v>
      </c>
    </row>
    <row r="1473" spans="1:17" x14ac:dyDescent="0.25">
      <c r="A1473" t="s">
        <v>5252</v>
      </c>
      <c r="B1473" t="s">
        <v>1089</v>
      </c>
      <c r="C1473">
        <v>2027</v>
      </c>
      <c r="D1473" t="s">
        <v>538</v>
      </c>
      <c r="E1473" t="s">
        <v>832</v>
      </c>
      <c r="F1473" s="32">
        <v>46402</v>
      </c>
      <c r="G1473" t="s">
        <v>514</v>
      </c>
      <c r="H1473">
        <v>47128706</v>
      </c>
      <c r="I1473" t="s">
        <v>1201</v>
      </c>
      <c r="J1473" t="s">
        <v>1200</v>
      </c>
      <c r="K1473" t="s">
        <v>530</v>
      </c>
      <c r="N1473">
        <v>0</v>
      </c>
      <c r="O1473">
        <v>0</v>
      </c>
      <c r="P1473" t="str">
        <f t="shared" si="22"/>
        <v>N</v>
      </c>
      <c r="Q1473" t="s">
        <v>7203</v>
      </c>
    </row>
    <row r="1474" spans="1:17" x14ac:dyDescent="0.25">
      <c r="A1474" t="s">
        <v>5253</v>
      </c>
      <c r="B1474" t="s">
        <v>1089</v>
      </c>
      <c r="C1474">
        <v>2027</v>
      </c>
      <c r="D1474" t="s">
        <v>538</v>
      </c>
      <c r="E1474" t="s">
        <v>832</v>
      </c>
      <c r="F1474" s="32">
        <v>46402</v>
      </c>
      <c r="G1474" t="s">
        <v>514</v>
      </c>
      <c r="H1474">
        <v>47128364</v>
      </c>
      <c r="I1474" t="s">
        <v>1264</v>
      </c>
      <c r="J1474" t="s">
        <v>1263</v>
      </c>
      <c r="K1474" t="s">
        <v>530</v>
      </c>
      <c r="N1474">
        <v>0</v>
      </c>
      <c r="O1474">
        <v>0</v>
      </c>
      <c r="P1474" t="str">
        <f t="shared" si="22"/>
        <v>N</v>
      </c>
      <c r="Q1474" t="s">
        <v>7204</v>
      </c>
    </row>
    <row r="1475" spans="1:17" x14ac:dyDescent="0.25">
      <c r="A1475" t="s">
        <v>5254</v>
      </c>
      <c r="B1475" t="s">
        <v>1089</v>
      </c>
      <c r="C1475">
        <v>2027</v>
      </c>
      <c r="D1475" t="s">
        <v>538</v>
      </c>
      <c r="E1475" t="s">
        <v>832</v>
      </c>
      <c r="F1475" s="32">
        <v>46402</v>
      </c>
      <c r="G1475" t="s">
        <v>514</v>
      </c>
      <c r="H1475">
        <v>47128633</v>
      </c>
      <c r="I1475" t="s">
        <v>1164</v>
      </c>
      <c r="J1475" t="s">
        <v>1163</v>
      </c>
      <c r="K1475" t="s">
        <v>530</v>
      </c>
      <c r="N1475">
        <v>0</v>
      </c>
      <c r="O1475">
        <v>0</v>
      </c>
      <c r="P1475" t="str">
        <f t="shared" ref="P1475:P1538" si="23">IF(N1475=O1475,"N","Y")</f>
        <v>N</v>
      </c>
      <c r="Q1475" t="s">
        <v>7205</v>
      </c>
    </row>
    <row r="1476" spans="1:17" x14ac:dyDescent="0.25">
      <c r="A1476" t="s">
        <v>5255</v>
      </c>
      <c r="B1476" t="s">
        <v>1089</v>
      </c>
      <c r="C1476">
        <v>2027</v>
      </c>
      <c r="D1476" t="s">
        <v>538</v>
      </c>
      <c r="E1476" t="s">
        <v>832</v>
      </c>
      <c r="F1476" s="32">
        <v>46402</v>
      </c>
      <c r="G1476" t="s">
        <v>514</v>
      </c>
      <c r="H1476">
        <v>47128046</v>
      </c>
      <c r="I1476" t="s">
        <v>1389</v>
      </c>
      <c r="J1476" t="s">
        <v>1388</v>
      </c>
      <c r="K1476" t="s">
        <v>530</v>
      </c>
      <c r="N1476">
        <v>0</v>
      </c>
      <c r="O1476">
        <v>0</v>
      </c>
      <c r="P1476" t="str">
        <f t="shared" si="23"/>
        <v>N</v>
      </c>
      <c r="Q1476" t="s">
        <v>7206</v>
      </c>
    </row>
    <row r="1477" spans="1:17" x14ac:dyDescent="0.25">
      <c r="A1477" t="s">
        <v>5256</v>
      </c>
      <c r="B1477" t="s">
        <v>1089</v>
      </c>
      <c r="C1477">
        <v>2027</v>
      </c>
      <c r="D1477" t="s">
        <v>538</v>
      </c>
      <c r="E1477" t="s">
        <v>832</v>
      </c>
      <c r="F1477" s="32">
        <v>46402</v>
      </c>
      <c r="G1477" t="s">
        <v>514</v>
      </c>
      <c r="H1477">
        <v>47129548</v>
      </c>
      <c r="I1477" t="s">
        <v>1340</v>
      </c>
      <c r="J1477" t="s">
        <v>1339</v>
      </c>
      <c r="K1477" t="s">
        <v>530</v>
      </c>
      <c r="N1477">
        <v>25</v>
      </c>
      <c r="O1477">
        <v>25</v>
      </c>
      <c r="P1477" t="str">
        <f t="shared" si="23"/>
        <v>N</v>
      </c>
      <c r="Q1477" t="s">
        <v>7207</v>
      </c>
    </row>
    <row r="1478" spans="1:17" x14ac:dyDescent="0.25">
      <c r="A1478" t="s">
        <v>5257</v>
      </c>
      <c r="B1478" t="s">
        <v>1089</v>
      </c>
      <c r="C1478">
        <v>2027</v>
      </c>
      <c r="D1478" t="s">
        <v>538</v>
      </c>
      <c r="E1478" t="s">
        <v>832</v>
      </c>
      <c r="F1478" s="32">
        <v>46402</v>
      </c>
      <c r="G1478" t="s">
        <v>514</v>
      </c>
      <c r="H1478">
        <v>47128835</v>
      </c>
      <c r="I1478" t="s">
        <v>998</v>
      </c>
      <c r="J1478" t="s">
        <v>997</v>
      </c>
      <c r="K1478" t="s">
        <v>530</v>
      </c>
      <c r="N1478">
        <v>0</v>
      </c>
      <c r="O1478">
        <v>0</v>
      </c>
      <c r="P1478" t="str">
        <f t="shared" si="23"/>
        <v>N</v>
      </c>
      <c r="Q1478" t="s">
        <v>7208</v>
      </c>
    </row>
    <row r="1479" spans="1:17" x14ac:dyDescent="0.25">
      <c r="A1479" t="s">
        <v>5258</v>
      </c>
      <c r="B1479" t="s">
        <v>1089</v>
      </c>
      <c r="C1479">
        <v>2027</v>
      </c>
      <c r="D1479" t="s">
        <v>538</v>
      </c>
      <c r="E1479" t="s">
        <v>832</v>
      </c>
      <c r="F1479" s="32">
        <v>46402</v>
      </c>
      <c r="G1479" t="s">
        <v>514</v>
      </c>
      <c r="H1479">
        <v>47128788</v>
      </c>
      <c r="I1479" t="s">
        <v>4188</v>
      </c>
      <c r="J1479" t="s">
        <v>4189</v>
      </c>
      <c r="K1479" t="s">
        <v>530</v>
      </c>
      <c r="N1479">
        <v>0</v>
      </c>
      <c r="O1479">
        <v>0</v>
      </c>
      <c r="P1479" t="str">
        <f t="shared" si="23"/>
        <v>N</v>
      </c>
      <c r="Q1479" t="s">
        <v>7209</v>
      </c>
    </row>
    <row r="1480" spans="1:17" x14ac:dyDescent="0.25">
      <c r="A1480" t="s">
        <v>5259</v>
      </c>
      <c r="B1480" t="s">
        <v>1089</v>
      </c>
      <c r="C1480">
        <v>2027</v>
      </c>
      <c r="D1480" t="s">
        <v>538</v>
      </c>
      <c r="E1480" t="s">
        <v>832</v>
      </c>
      <c r="F1480" s="32">
        <v>46402</v>
      </c>
      <c r="G1480" t="s">
        <v>514</v>
      </c>
      <c r="H1480">
        <v>47136348</v>
      </c>
      <c r="I1480" t="s">
        <v>1025</v>
      </c>
      <c r="J1480" t="s">
        <v>1024</v>
      </c>
      <c r="K1480" t="s">
        <v>530</v>
      </c>
      <c r="N1480">
        <v>0</v>
      </c>
      <c r="O1480">
        <v>0</v>
      </c>
      <c r="P1480" t="str">
        <f t="shared" si="23"/>
        <v>N</v>
      </c>
      <c r="Q1480" t="s">
        <v>7210</v>
      </c>
    </row>
    <row r="1481" spans="1:17" x14ac:dyDescent="0.25">
      <c r="A1481" t="s">
        <v>5260</v>
      </c>
      <c r="B1481" t="s">
        <v>1089</v>
      </c>
      <c r="C1481">
        <v>2027</v>
      </c>
      <c r="D1481" t="s">
        <v>538</v>
      </c>
      <c r="E1481" t="s">
        <v>832</v>
      </c>
      <c r="F1481" s="32">
        <v>46402</v>
      </c>
      <c r="G1481" t="s">
        <v>514</v>
      </c>
      <c r="H1481">
        <v>47135083</v>
      </c>
      <c r="I1481" t="s">
        <v>4192</v>
      </c>
      <c r="J1481" t="s">
        <v>4193</v>
      </c>
      <c r="K1481" t="s">
        <v>530</v>
      </c>
      <c r="N1481">
        <v>0</v>
      </c>
      <c r="O1481">
        <v>0</v>
      </c>
      <c r="P1481" t="str">
        <f t="shared" si="23"/>
        <v>N</v>
      </c>
      <c r="Q1481" t="s">
        <v>7211</v>
      </c>
    </row>
    <row r="1482" spans="1:17" x14ac:dyDescent="0.25">
      <c r="A1482" t="s">
        <v>5261</v>
      </c>
      <c r="B1482" t="s">
        <v>1089</v>
      </c>
      <c r="C1482">
        <v>2027</v>
      </c>
      <c r="D1482" t="s">
        <v>538</v>
      </c>
      <c r="E1482" t="s">
        <v>832</v>
      </c>
      <c r="F1482" s="32">
        <v>46402</v>
      </c>
      <c r="G1482" t="s">
        <v>514</v>
      </c>
      <c r="H1482">
        <v>47128515</v>
      </c>
      <c r="I1482" t="s">
        <v>1185</v>
      </c>
      <c r="J1482" t="s">
        <v>1184</v>
      </c>
      <c r="K1482" t="s">
        <v>530</v>
      </c>
      <c r="N1482">
        <v>0</v>
      </c>
      <c r="O1482">
        <v>0</v>
      </c>
      <c r="P1482" t="str">
        <f t="shared" si="23"/>
        <v>N</v>
      </c>
      <c r="Q1482" t="s">
        <v>7212</v>
      </c>
    </row>
    <row r="1483" spans="1:17" x14ac:dyDescent="0.25">
      <c r="A1483" t="s">
        <v>5262</v>
      </c>
      <c r="B1483" t="s">
        <v>1089</v>
      </c>
      <c r="C1483">
        <v>2027</v>
      </c>
      <c r="D1483" t="s">
        <v>538</v>
      </c>
      <c r="E1483" t="s">
        <v>832</v>
      </c>
      <c r="F1483" s="32">
        <v>46402</v>
      </c>
      <c r="G1483" t="s">
        <v>514</v>
      </c>
      <c r="H1483">
        <v>47128472</v>
      </c>
      <c r="I1483" t="s">
        <v>995</v>
      </c>
      <c r="J1483" t="s">
        <v>994</v>
      </c>
      <c r="K1483" t="s">
        <v>530</v>
      </c>
      <c r="N1483">
        <v>0</v>
      </c>
      <c r="O1483">
        <v>0</v>
      </c>
      <c r="P1483" t="str">
        <f t="shared" si="23"/>
        <v>N</v>
      </c>
      <c r="Q1483" t="s">
        <v>7213</v>
      </c>
    </row>
    <row r="1484" spans="1:17" x14ac:dyDescent="0.25">
      <c r="A1484" t="s">
        <v>5263</v>
      </c>
      <c r="B1484" t="s">
        <v>1089</v>
      </c>
      <c r="C1484">
        <v>2027</v>
      </c>
      <c r="D1484" t="s">
        <v>538</v>
      </c>
      <c r="E1484" t="s">
        <v>832</v>
      </c>
      <c r="F1484" s="32">
        <v>46402</v>
      </c>
      <c r="G1484" t="s">
        <v>514</v>
      </c>
      <c r="H1484">
        <v>47128202</v>
      </c>
      <c r="I1484" t="s">
        <v>967</v>
      </c>
      <c r="J1484" t="s">
        <v>966</v>
      </c>
      <c r="K1484" t="s">
        <v>530</v>
      </c>
      <c r="N1484">
        <v>0</v>
      </c>
      <c r="O1484">
        <v>0</v>
      </c>
      <c r="P1484" t="str">
        <f t="shared" si="23"/>
        <v>N</v>
      </c>
      <c r="Q1484" t="s">
        <v>7214</v>
      </c>
    </row>
    <row r="1485" spans="1:17" x14ac:dyDescent="0.25">
      <c r="A1485" t="s">
        <v>5264</v>
      </c>
      <c r="B1485" t="s">
        <v>1089</v>
      </c>
      <c r="C1485">
        <v>2027</v>
      </c>
      <c r="D1485" t="s">
        <v>538</v>
      </c>
      <c r="E1485" t="s">
        <v>832</v>
      </c>
      <c r="F1485" s="32">
        <v>46402</v>
      </c>
      <c r="G1485" t="s">
        <v>514</v>
      </c>
      <c r="H1485">
        <v>47128132</v>
      </c>
      <c r="I1485" t="s">
        <v>4429</v>
      </c>
      <c r="J1485" t="s">
        <v>4430</v>
      </c>
      <c r="K1485" t="s">
        <v>530</v>
      </c>
      <c r="N1485">
        <v>0</v>
      </c>
      <c r="O1485">
        <v>0</v>
      </c>
      <c r="P1485" t="str">
        <f t="shared" si="23"/>
        <v>N</v>
      </c>
      <c r="Q1485" t="s">
        <v>7215</v>
      </c>
    </row>
    <row r="1486" spans="1:17" x14ac:dyDescent="0.25">
      <c r="A1486" t="s">
        <v>5265</v>
      </c>
      <c r="B1486" t="s">
        <v>1089</v>
      </c>
      <c r="C1486">
        <v>2027</v>
      </c>
      <c r="D1486" t="s">
        <v>538</v>
      </c>
      <c r="E1486" t="s">
        <v>832</v>
      </c>
      <c r="F1486" s="32">
        <v>46402</v>
      </c>
      <c r="G1486" t="s">
        <v>514</v>
      </c>
      <c r="H1486">
        <v>47127971</v>
      </c>
      <c r="I1486" t="s">
        <v>991</v>
      </c>
      <c r="J1486" t="s">
        <v>990</v>
      </c>
      <c r="K1486" t="s">
        <v>530</v>
      </c>
      <c r="N1486">
        <v>0</v>
      </c>
      <c r="O1486">
        <v>0</v>
      </c>
      <c r="P1486" t="str">
        <f t="shared" si="23"/>
        <v>N</v>
      </c>
      <c r="Q1486" t="s">
        <v>7216</v>
      </c>
    </row>
    <row r="1487" spans="1:17" x14ac:dyDescent="0.25">
      <c r="A1487" t="s">
        <v>5523</v>
      </c>
      <c r="B1487" t="s">
        <v>5437</v>
      </c>
      <c r="C1487">
        <v>2027</v>
      </c>
      <c r="D1487" t="s">
        <v>538</v>
      </c>
      <c r="E1487" t="s">
        <v>832</v>
      </c>
      <c r="F1487" s="32">
        <v>46402</v>
      </c>
      <c r="G1487" t="s">
        <v>514</v>
      </c>
      <c r="H1487">
        <v>47128967</v>
      </c>
      <c r="I1487" t="s">
        <v>1062</v>
      </c>
      <c r="J1487" t="s">
        <v>1061</v>
      </c>
      <c r="K1487" t="s">
        <v>530</v>
      </c>
      <c r="N1487">
        <v>40</v>
      </c>
      <c r="O1487">
        <v>40</v>
      </c>
      <c r="P1487" t="str">
        <f t="shared" si="23"/>
        <v>N</v>
      </c>
      <c r="Q1487" t="s">
        <v>7217</v>
      </c>
    </row>
    <row r="1488" spans="1:17" x14ac:dyDescent="0.25">
      <c r="A1488" t="s">
        <v>5524</v>
      </c>
      <c r="B1488" t="s">
        <v>5437</v>
      </c>
      <c r="C1488">
        <v>2027</v>
      </c>
      <c r="D1488" t="s">
        <v>538</v>
      </c>
      <c r="E1488" t="s">
        <v>832</v>
      </c>
      <c r="F1488" s="32">
        <v>46402</v>
      </c>
      <c r="G1488" t="s">
        <v>514</v>
      </c>
      <c r="H1488">
        <v>47127948</v>
      </c>
      <c r="I1488" t="s">
        <v>1247</v>
      </c>
      <c r="J1488" t="s">
        <v>1246</v>
      </c>
      <c r="K1488" t="s">
        <v>530</v>
      </c>
      <c r="N1488">
        <v>60</v>
      </c>
      <c r="O1488">
        <v>60</v>
      </c>
      <c r="P1488" t="str">
        <f t="shared" si="23"/>
        <v>N</v>
      </c>
      <c r="Q1488" t="s">
        <v>7218</v>
      </c>
    </row>
    <row r="1489" spans="1:17" x14ac:dyDescent="0.25">
      <c r="A1489" t="s">
        <v>5525</v>
      </c>
      <c r="B1489" t="s">
        <v>5437</v>
      </c>
      <c r="C1489">
        <v>2027</v>
      </c>
      <c r="D1489" t="s">
        <v>538</v>
      </c>
      <c r="E1489" t="s">
        <v>832</v>
      </c>
      <c r="F1489" s="32">
        <v>46402</v>
      </c>
      <c r="G1489" t="s">
        <v>514</v>
      </c>
      <c r="H1489">
        <v>47128710</v>
      </c>
      <c r="I1489" t="s">
        <v>1189</v>
      </c>
      <c r="J1489" t="s">
        <v>1188</v>
      </c>
      <c r="K1489" t="s">
        <v>530</v>
      </c>
      <c r="N1489">
        <v>0</v>
      </c>
      <c r="O1489">
        <v>0</v>
      </c>
      <c r="P1489" t="str">
        <f t="shared" si="23"/>
        <v>N</v>
      </c>
      <c r="Q1489" t="s">
        <v>7219</v>
      </c>
    </row>
    <row r="1490" spans="1:17" x14ac:dyDescent="0.25">
      <c r="A1490" t="s">
        <v>5526</v>
      </c>
      <c r="B1490" t="s">
        <v>5437</v>
      </c>
      <c r="C1490">
        <v>2027</v>
      </c>
      <c r="D1490" t="s">
        <v>538</v>
      </c>
      <c r="E1490" t="s">
        <v>832</v>
      </c>
      <c r="F1490" s="32">
        <v>46402</v>
      </c>
      <c r="G1490" t="s">
        <v>514</v>
      </c>
      <c r="H1490">
        <v>47128572</v>
      </c>
      <c r="I1490" t="s">
        <v>1197</v>
      </c>
      <c r="J1490" t="s">
        <v>1196</v>
      </c>
      <c r="K1490" t="s">
        <v>530</v>
      </c>
      <c r="N1490">
        <v>0</v>
      </c>
      <c r="O1490">
        <v>0</v>
      </c>
      <c r="P1490" t="str">
        <f t="shared" si="23"/>
        <v>N</v>
      </c>
      <c r="Q1490" t="s">
        <v>7220</v>
      </c>
    </row>
    <row r="1491" spans="1:17" x14ac:dyDescent="0.25">
      <c r="A1491" t="s">
        <v>5527</v>
      </c>
      <c r="B1491" t="s">
        <v>5437</v>
      </c>
      <c r="C1491">
        <v>2027</v>
      </c>
      <c r="D1491" t="s">
        <v>538</v>
      </c>
      <c r="E1491" t="s">
        <v>832</v>
      </c>
      <c r="F1491" s="32">
        <v>46402</v>
      </c>
      <c r="G1491" t="s">
        <v>514</v>
      </c>
      <c r="H1491">
        <v>47128482</v>
      </c>
      <c r="I1491" t="s">
        <v>1393</v>
      </c>
      <c r="J1491" t="s">
        <v>1392</v>
      </c>
      <c r="K1491" t="s">
        <v>530</v>
      </c>
      <c r="N1491">
        <v>0</v>
      </c>
      <c r="O1491">
        <v>0</v>
      </c>
      <c r="P1491" t="str">
        <f t="shared" si="23"/>
        <v>N</v>
      </c>
      <c r="Q1491" t="s">
        <v>7221</v>
      </c>
    </row>
    <row r="1492" spans="1:17" x14ac:dyDescent="0.25">
      <c r="A1492" t="s">
        <v>5528</v>
      </c>
      <c r="B1492" t="s">
        <v>5437</v>
      </c>
      <c r="C1492">
        <v>2027</v>
      </c>
      <c r="D1492" t="s">
        <v>538</v>
      </c>
      <c r="E1492" t="s">
        <v>832</v>
      </c>
      <c r="F1492" s="32">
        <v>46402</v>
      </c>
      <c r="G1492" t="s">
        <v>514</v>
      </c>
      <c r="H1492">
        <v>47128115</v>
      </c>
      <c r="I1492" t="s">
        <v>1260</v>
      </c>
      <c r="J1492" t="s">
        <v>1259</v>
      </c>
      <c r="K1492" t="s">
        <v>530</v>
      </c>
      <c r="N1492">
        <v>60</v>
      </c>
      <c r="O1492">
        <v>60</v>
      </c>
      <c r="P1492" t="str">
        <f t="shared" si="23"/>
        <v>N</v>
      </c>
      <c r="Q1492" t="s">
        <v>7222</v>
      </c>
    </row>
    <row r="1493" spans="1:17" x14ac:dyDescent="0.25">
      <c r="A1493" t="s">
        <v>5529</v>
      </c>
      <c r="B1493" t="s">
        <v>5437</v>
      </c>
      <c r="C1493">
        <v>2027</v>
      </c>
      <c r="D1493" t="s">
        <v>538</v>
      </c>
      <c r="E1493" t="s">
        <v>832</v>
      </c>
      <c r="F1493" s="32">
        <v>46402</v>
      </c>
      <c r="G1493" t="s">
        <v>514</v>
      </c>
      <c r="H1493">
        <v>47128337</v>
      </c>
      <c r="I1493" t="s">
        <v>1120</v>
      </c>
      <c r="J1493" t="s">
        <v>1119</v>
      </c>
      <c r="K1493" t="s">
        <v>530</v>
      </c>
      <c r="N1493">
        <v>0</v>
      </c>
      <c r="O1493">
        <v>0</v>
      </c>
      <c r="P1493" t="str">
        <f t="shared" si="23"/>
        <v>N</v>
      </c>
      <c r="Q1493" t="s">
        <v>7223</v>
      </c>
    </row>
    <row r="1494" spans="1:17" x14ac:dyDescent="0.25">
      <c r="A1494" t="s">
        <v>5530</v>
      </c>
      <c r="B1494" t="s">
        <v>5437</v>
      </c>
      <c r="C1494">
        <v>2027</v>
      </c>
      <c r="D1494" t="s">
        <v>538</v>
      </c>
      <c r="E1494" t="s">
        <v>832</v>
      </c>
      <c r="F1494" s="32">
        <v>46402</v>
      </c>
      <c r="G1494" t="s">
        <v>514</v>
      </c>
      <c r="H1494">
        <v>47128833</v>
      </c>
      <c r="I1494" t="s">
        <v>1193</v>
      </c>
      <c r="J1494" t="s">
        <v>1192</v>
      </c>
      <c r="K1494" t="s">
        <v>530</v>
      </c>
      <c r="N1494">
        <v>0</v>
      </c>
      <c r="O1494">
        <v>0</v>
      </c>
      <c r="P1494" t="str">
        <f t="shared" si="23"/>
        <v>N</v>
      </c>
      <c r="Q1494" t="s">
        <v>7224</v>
      </c>
    </row>
    <row r="1495" spans="1:17" x14ac:dyDescent="0.25">
      <c r="A1495" t="s">
        <v>5531</v>
      </c>
      <c r="B1495" t="s">
        <v>5437</v>
      </c>
      <c r="C1495">
        <v>2027</v>
      </c>
      <c r="D1495" t="s">
        <v>538</v>
      </c>
      <c r="E1495" t="s">
        <v>832</v>
      </c>
      <c r="F1495" s="32">
        <v>46402</v>
      </c>
      <c r="G1495" t="s">
        <v>514</v>
      </c>
      <c r="H1495">
        <v>47128784</v>
      </c>
      <c r="I1495" t="s">
        <v>1426</v>
      </c>
      <c r="J1495" t="s">
        <v>1425</v>
      </c>
      <c r="K1495" t="s">
        <v>530</v>
      </c>
      <c r="N1495">
        <v>0</v>
      </c>
      <c r="O1495">
        <v>0</v>
      </c>
      <c r="P1495" t="str">
        <f t="shared" si="23"/>
        <v>N</v>
      </c>
      <c r="Q1495" t="s">
        <v>7225</v>
      </c>
    </row>
    <row r="1496" spans="1:17" x14ac:dyDescent="0.25">
      <c r="A1496" t="s">
        <v>5532</v>
      </c>
      <c r="B1496" t="s">
        <v>5437</v>
      </c>
      <c r="C1496">
        <v>2027</v>
      </c>
      <c r="D1496" t="s">
        <v>538</v>
      </c>
      <c r="E1496" t="s">
        <v>832</v>
      </c>
      <c r="F1496" s="32">
        <v>46402</v>
      </c>
      <c r="G1496" t="s">
        <v>514</v>
      </c>
      <c r="H1496">
        <v>47129020</v>
      </c>
      <c r="I1496" t="s">
        <v>1058</v>
      </c>
      <c r="J1496" t="s">
        <v>1057</v>
      </c>
      <c r="K1496" t="s">
        <v>530</v>
      </c>
      <c r="N1496">
        <v>0</v>
      </c>
      <c r="O1496">
        <v>0</v>
      </c>
      <c r="P1496" t="str">
        <f t="shared" si="23"/>
        <v>N</v>
      </c>
      <c r="Q1496" t="s">
        <v>7226</v>
      </c>
    </row>
    <row r="1497" spans="1:17" x14ac:dyDescent="0.25">
      <c r="A1497" t="s">
        <v>5533</v>
      </c>
      <c r="B1497" t="s">
        <v>5437</v>
      </c>
      <c r="C1497">
        <v>2027</v>
      </c>
      <c r="D1497" t="s">
        <v>538</v>
      </c>
      <c r="E1497" t="s">
        <v>832</v>
      </c>
      <c r="F1497" s="32">
        <v>46402</v>
      </c>
      <c r="G1497" t="s">
        <v>514</v>
      </c>
      <c r="H1497">
        <v>47129473</v>
      </c>
      <c r="I1497" t="s">
        <v>1430</v>
      </c>
      <c r="J1497" t="s">
        <v>1429</v>
      </c>
      <c r="K1497" t="s">
        <v>530</v>
      </c>
      <c r="N1497">
        <v>45</v>
      </c>
      <c r="O1497">
        <v>45</v>
      </c>
      <c r="P1497" t="str">
        <f t="shared" si="23"/>
        <v>N</v>
      </c>
      <c r="Q1497" t="s">
        <v>7227</v>
      </c>
    </row>
    <row r="1498" spans="1:17" x14ac:dyDescent="0.25">
      <c r="A1498" t="s">
        <v>5534</v>
      </c>
      <c r="B1498" t="s">
        <v>5437</v>
      </c>
      <c r="C1498">
        <v>2027</v>
      </c>
      <c r="D1498" t="s">
        <v>538</v>
      </c>
      <c r="E1498" t="s">
        <v>832</v>
      </c>
      <c r="F1498" s="32">
        <v>46402</v>
      </c>
      <c r="G1498" t="s">
        <v>514</v>
      </c>
      <c r="H1498">
        <v>47128429</v>
      </c>
      <c r="I1498" t="s">
        <v>1371</v>
      </c>
      <c r="J1498" t="s">
        <v>1370</v>
      </c>
      <c r="K1498" t="s">
        <v>530</v>
      </c>
      <c r="N1498">
        <v>0</v>
      </c>
      <c r="O1498">
        <v>0</v>
      </c>
      <c r="P1498" t="str">
        <f t="shared" si="23"/>
        <v>N</v>
      </c>
      <c r="Q1498" t="s">
        <v>7228</v>
      </c>
    </row>
    <row r="1499" spans="1:17" x14ac:dyDescent="0.25">
      <c r="A1499" t="s">
        <v>5535</v>
      </c>
      <c r="B1499" t="s">
        <v>5437</v>
      </c>
      <c r="C1499">
        <v>2027</v>
      </c>
      <c r="D1499" t="s">
        <v>538</v>
      </c>
      <c r="E1499" t="s">
        <v>832</v>
      </c>
      <c r="F1499" s="32">
        <v>46402</v>
      </c>
      <c r="G1499" t="s">
        <v>514</v>
      </c>
      <c r="H1499">
        <v>47128181</v>
      </c>
      <c r="I1499" t="s">
        <v>1301</v>
      </c>
      <c r="J1499" t="s">
        <v>1300</v>
      </c>
      <c r="K1499" t="s">
        <v>530</v>
      </c>
      <c r="N1499">
        <v>0</v>
      </c>
      <c r="O1499">
        <v>0</v>
      </c>
      <c r="P1499" t="str">
        <f t="shared" si="23"/>
        <v>N</v>
      </c>
      <c r="Q1499" t="s">
        <v>7229</v>
      </c>
    </row>
    <row r="1500" spans="1:17" x14ac:dyDescent="0.25">
      <c r="A1500" t="s">
        <v>1588</v>
      </c>
      <c r="B1500" t="s">
        <v>1520</v>
      </c>
      <c r="C1500">
        <v>2027</v>
      </c>
      <c r="D1500" t="s">
        <v>540</v>
      </c>
      <c r="E1500" t="s">
        <v>833</v>
      </c>
      <c r="F1500" s="32">
        <v>46409</v>
      </c>
      <c r="G1500" t="s">
        <v>514</v>
      </c>
      <c r="H1500">
        <v>47128207</v>
      </c>
      <c r="I1500" t="s">
        <v>1522</v>
      </c>
      <c r="J1500" t="s">
        <v>1523</v>
      </c>
      <c r="K1500" t="s">
        <v>530</v>
      </c>
      <c r="N1500">
        <v>0</v>
      </c>
      <c r="O1500">
        <v>0</v>
      </c>
      <c r="P1500" t="str">
        <f t="shared" si="23"/>
        <v>N</v>
      </c>
      <c r="Q1500" t="s">
        <v>7230</v>
      </c>
    </row>
    <row r="1501" spans="1:17" x14ac:dyDescent="0.25">
      <c r="A1501" t="s">
        <v>1589</v>
      </c>
      <c r="B1501" t="s">
        <v>1520</v>
      </c>
      <c r="C1501">
        <v>2027</v>
      </c>
      <c r="D1501" t="s">
        <v>540</v>
      </c>
      <c r="E1501" t="s">
        <v>833</v>
      </c>
      <c r="F1501" s="32">
        <v>46409</v>
      </c>
      <c r="G1501" t="s">
        <v>514</v>
      </c>
      <c r="H1501">
        <v>47128581</v>
      </c>
      <c r="I1501" t="s">
        <v>1525</v>
      </c>
      <c r="J1501" t="s">
        <v>1526</v>
      </c>
      <c r="K1501" t="s">
        <v>530</v>
      </c>
      <c r="N1501">
        <v>0</v>
      </c>
      <c r="O1501">
        <v>0</v>
      </c>
      <c r="P1501" t="str">
        <f t="shared" si="23"/>
        <v>N</v>
      </c>
      <c r="Q1501" t="s">
        <v>7231</v>
      </c>
    </row>
    <row r="1502" spans="1:17" x14ac:dyDescent="0.25">
      <c r="A1502" t="s">
        <v>1590</v>
      </c>
      <c r="B1502" t="s">
        <v>1520</v>
      </c>
      <c r="C1502">
        <v>2027</v>
      </c>
      <c r="D1502" t="s">
        <v>540</v>
      </c>
      <c r="E1502" t="s">
        <v>833</v>
      </c>
      <c r="F1502" s="32">
        <v>46409</v>
      </c>
      <c r="G1502" t="s">
        <v>514</v>
      </c>
      <c r="H1502">
        <v>47127959</v>
      </c>
      <c r="I1502" t="s">
        <v>1528</v>
      </c>
      <c r="J1502" t="s">
        <v>1529</v>
      </c>
      <c r="K1502" t="s">
        <v>530</v>
      </c>
      <c r="N1502">
        <v>0</v>
      </c>
      <c r="O1502">
        <v>0</v>
      </c>
      <c r="P1502" t="str">
        <f t="shared" si="23"/>
        <v>N</v>
      </c>
      <c r="Q1502" t="s">
        <v>7232</v>
      </c>
    </row>
    <row r="1503" spans="1:17" x14ac:dyDescent="0.25">
      <c r="A1503" t="s">
        <v>1591</v>
      </c>
      <c r="B1503" t="s">
        <v>1520</v>
      </c>
      <c r="C1503">
        <v>2027</v>
      </c>
      <c r="D1503" t="s">
        <v>540</v>
      </c>
      <c r="E1503" t="s">
        <v>833</v>
      </c>
      <c r="F1503" s="32">
        <v>46409</v>
      </c>
      <c r="G1503" t="s">
        <v>514</v>
      </c>
      <c r="H1503">
        <v>47128204</v>
      </c>
      <c r="I1503" t="s">
        <v>1531</v>
      </c>
      <c r="J1503" t="s">
        <v>1532</v>
      </c>
      <c r="K1503" t="s">
        <v>530</v>
      </c>
      <c r="N1503">
        <v>60</v>
      </c>
      <c r="O1503">
        <v>60</v>
      </c>
      <c r="P1503" t="str">
        <f t="shared" si="23"/>
        <v>N</v>
      </c>
      <c r="Q1503" t="s">
        <v>7233</v>
      </c>
    </row>
    <row r="1504" spans="1:17" x14ac:dyDescent="0.25">
      <c r="A1504" t="s">
        <v>1592</v>
      </c>
      <c r="B1504" t="s">
        <v>1520</v>
      </c>
      <c r="C1504">
        <v>2027</v>
      </c>
      <c r="D1504" t="s">
        <v>540</v>
      </c>
      <c r="E1504" t="s">
        <v>833</v>
      </c>
      <c r="F1504" s="32">
        <v>46409</v>
      </c>
      <c r="G1504" t="s">
        <v>514</v>
      </c>
      <c r="H1504">
        <v>47128207</v>
      </c>
      <c r="I1504" t="s">
        <v>1522</v>
      </c>
      <c r="J1504" t="s">
        <v>1534</v>
      </c>
      <c r="K1504" t="s">
        <v>530</v>
      </c>
      <c r="N1504">
        <v>0</v>
      </c>
      <c r="O1504">
        <v>0</v>
      </c>
      <c r="P1504" t="str">
        <f t="shared" si="23"/>
        <v>N</v>
      </c>
      <c r="Q1504" t="s">
        <v>7234</v>
      </c>
    </row>
    <row r="1505" spans="1:17" x14ac:dyDescent="0.25">
      <c r="A1505" t="s">
        <v>1593</v>
      </c>
      <c r="B1505" t="s">
        <v>1520</v>
      </c>
      <c r="C1505">
        <v>2027</v>
      </c>
      <c r="D1505" t="s">
        <v>540</v>
      </c>
      <c r="E1505" t="s">
        <v>833</v>
      </c>
      <c r="F1505" s="32">
        <v>46409</v>
      </c>
      <c r="G1505" t="s">
        <v>563</v>
      </c>
      <c r="H1505">
        <v>10000015</v>
      </c>
      <c r="I1505" t="s">
        <v>562</v>
      </c>
      <c r="K1505" t="s">
        <v>530</v>
      </c>
      <c r="N1505">
        <v>0</v>
      </c>
      <c r="O1505">
        <v>0</v>
      </c>
      <c r="P1505" t="str">
        <f t="shared" si="23"/>
        <v>N</v>
      </c>
      <c r="Q1505" t="s">
        <v>7235</v>
      </c>
    </row>
    <row r="1506" spans="1:17" x14ac:dyDescent="0.25">
      <c r="A1506" t="s">
        <v>1594</v>
      </c>
      <c r="B1506" t="s">
        <v>1520</v>
      </c>
      <c r="C1506">
        <v>2027</v>
      </c>
      <c r="D1506" t="s">
        <v>540</v>
      </c>
      <c r="E1506" t="s">
        <v>833</v>
      </c>
      <c r="F1506" s="32">
        <v>46409</v>
      </c>
      <c r="G1506" t="s">
        <v>514</v>
      </c>
      <c r="H1506">
        <v>47127959</v>
      </c>
      <c r="I1506" t="s">
        <v>1528</v>
      </c>
      <c r="J1506" t="s">
        <v>1537</v>
      </c>
      <c r="K1506" t="s">
        <v>530</v>
      </c>
      <c r="N1506">
        <v>0</v>
      </c>
      <c r="O1506">
        <v>0</v>
      </c>
      <c r="P1506" t="str">
        <f t="shared" si="23"/>
        <v>N</v>
      </c>
      <c r="Q1506" t="s">
        <v>7236</v>
      </c>
    </row>
    <row r="1507" spans="1:17" x14ac:dyDescent="0.25">
      <c r="A1507" t="s">
        <v>1595</v>
      </c>
      <c r="B1507" t="s">
        <v>1520</v>
      </c>
      <c r="C1507">
        <v>2027</v>
      </c>
      <c r="D1507" t="s">
        <v>540</v>
      </c>
      <c r="E1507" t="s">
        <v>833</v>
      </c>
      <c r="F1507" s="32">
        <v>46409</v>
      </c>
      <c r="G1507" t="s">
        <v>514</v>
      </c>
      <c r="H1507">
        <v>47128581</v>
      </c>
      <c r="I1507" t="s">
        <v>1525</v>
      </c>
      <c r="J1507" t="s">
        <v>1539</v>
      </c>
      <c r="K1507" t="s">
        <v>530</v>
      </c>
      <c r="N1507">
        <v>0</v>
      </c>
      <c r="O1507">
        <v>0</v>
      </c>
      <c r="P1507" t="str">
        <f t="shared" si="23"/>
        <v>N</v>
      </c>
      <c r="Q1507" t="s">
        <v>7237</v>
      </c>
    </row>
    <row r="1508" spans="1:17" x14ac:dyDescent="0.25">
      <c r="A1508" t="s">
        <v>1900</v>
      </c>
      <c r="B1508" t="s">
        <v>1135</v>
      </c>
      <c r="C1508">
        <v>2027</v>
      </c>
      <c r="D1508" t="s">
        <v>540</v>
      </c>
      <c r="E1508" t="s">
        <v>833</v>
      </c>
      <c r="F1508" s="32">
        <v>46409</v>
      </c>
      <c r="G1508" t="s">
        <v>514</v>
      </c>
      <c r="H1508">
        <v>47146464</v>
      </c>
      <c r="I1508" t="s">
        <v>1438</v>
      </c>
      <c r="J1508" t="s">
        <v>1437</v>
      </c>
      <c r="K1508" t="s">
        <v>530</v>
      </c>
      <c r="N1508">
        <v>50</v>
      </c>
      <c r="O1508">
        <v>50</v>
      </c>
      <c r="P1508" t="str">
        <f t="shared" si="23"/>
        <v>N</v>
      </c>
      <c r="Q1508" t="s">
        <v>7238</v>
      </c>
    </row>
    <row r="1509" spans="1:17" x14ac:dyDescent="0.25">
      <c r="A1509" t="s">
        <v>1901</v>
      </c>
      <c r="B1509" t="s">
        <v>1135</v>
      </c>
      <c r="C1509">
        <v>2027</v>
      </c>
      <c r="D1509" t="s">
        <v>540</v>
      </c>
      <c r="E1509" t="s">
        <v>833</v>
      </c>
      <c r="F1509" s="32">
        <v>46409</v>
      </c>
      <c r="G1509" t="s">
        <v>514</v>
      </c>
      <c r="H1509">
        <v>47146463</v>
      </c>
      <c r="I1509" t="s">
        <v>1441</v>
      </c>
      <c r="J1509" t="s">
        <v>1440</v>
      </c>
      <c r="K1509" t="s">
        <v>530</v>
      </c>
      <c r="N1509">
        <v>0</v>
      </c>
      <c r="O1509">
        <v>0</v>
      </c>
      <c r="P1509" t="str">
        <f t="shared" si="23"/>
        <v>N</v>
      </c>
      <c r="Q1509" t="s">
        <v>7239</v>
      </c>
    </row>
    <row r="1510" spans="1:17" x14ac:dyDescent="0.25">
      <c r="A1510" t="s">
        <v>1902</v>
      </c>
      <c r="B1510" t="s">
        <v>1135</v>
      </c>
      <c r="C1510">
        <v>2027</v>
      </c>
      <c r="D1510" t="s">
        <v>540</v>
      </c>
      <c r="E1510" t="s">
        <v>833</v>
      </c>
      <c r="F1510" s="32">
        <v>46409</v>
      </c>
      <c r="G1510" t="s">
        <v>514</v>
      </c>
      <c r="H1510">
        <v>47128729</v>
      </c>
      <c r="I1510" t="s">
        <v>1149</v>
      </c>
      <c r="J1510" t="s">
        <v>1148</v>
      </c>
      <c r="K1510" t="s">
        <v>530</v>
      </c>
      <c r="N1510">
        <v>0</v>
      </c>
      <c r="O1510">
        <v>0</v>
      </c>
      <c r="P1510" t="str">
        <f t="shared" si="23"/>
        <v>N</v>
      </c>
      <c r="Q1510" t="s">
        <v>7240</v>
      </c>
    </row>
    <row r="1511" spans="1:17" x14ac:dyDescent="0.25">
      <c r="A1511" t="s">
        <v>1903</v>
      </c>
      <c r="B1511" t="s">
        <v>1135</v>
      </c>
      <c r="C1511">
        <v>2027</v>
      </c>
      <c r="D1511" t="s">
        <v>540</v>
      </c>
      <c r="E1511" t="s">
        <v>833</v>
      </c>
      <c r="F1511" s="32">
        <v>46409</v>
      </c>
      <c r="G1511" t="s">
        <v>514</v>
      </c>
      <c r="H1511">
        <v>47128413</v>
      </c>
      <c r="I1511" t="s">
        <v>1397</v>
      </c>
      <c r="J1511" t="s">
        <v>1396</v>
      </c>
      <c r="K1511" t="s">
        <v>530</v>
      </c>
      <c r="N1511">
        <v>0</v>
      </c>
      <c r="O1511">
        <v>0</v>
      </c>
      <c r="P1511" t="str">
        <f t="shared" si="23"/>
        <v>N</v>
      </c>
      <c r="Q1511" t="s">
        <v>7241</v>
      </c>
    </row>
    <row r="1512" spans="1:17" x14ac:dyDescent="0.25">
      <c r="A1512" t="s">
        <v>1904</v>
      </c>
      <c r="B1512" t="s">
        <v>1135</v>
      </c>
      <c r="C1512">
        <v>2027</v>
      </c>
      <c r="D1512" t="s">
        <v>540</v>
      </c>
      <c r="E1512" t="s">
        <v>833</v>
      </c>
      <c r="F1512" s="32">
        <v>46409</v>
      </c>
      <c r="G1512" t="s">
        <v>514</v>
      </c>
      <c r="H1512">
        <v>47128783</v>
      </c>
      <c r="I1512" t="s">
        <v>1280</v>
      </c>
      <c r="J1512" t="s">
        <v>1279</v>
      </c>
      <c r="K1512" t="s">
        <v>530</v>
      </c>
      <c r="N1512">
        <v>0</v>
      </c>
      <c r="O1512">
        <v>0</v>
      </c>
      <c r="P1512" t="str">
        <f t="shared" si="23"/>
        <v>N</v>
      </c>
      <c r="Q1512" t="s">
        <v>7242</v>
      </c>
    </row>
    <row r="1513" spans="1:17" x14ac:dyDescent="0.25">
      <c r="A1513" t="s">
        <v>1905</v>
      </c>
      <c r="B1513" t="s">
        <v>1135</v>
      </c>
      <c r="C1513">
        <v>2027</v>
      </c>
      <c r="D1513" t="s">
        <v>540</v>
      </c>
      <c r="E1513" t="s">
        <v>833</v>
      </c>
      <c r="F1513" s="32">
        <v>46409</v>
      </c>
      <c r="G1513" t="s">
        <v>514</v>
      </c>
      <c r="H1513">
        <v>47128944</v>
      </c>
      <c r="I1513" t="s">
        <v>1137</v>
      </c>
      <c r="J1513" t="s">
        <v>1136</v>
      </c>
      <c r="K1513" t="s">
        <v>530</v>
      </c>
      <c r="N1513">
        <v>0</v>
      </c>
      <c r="O1513">
        <v>0</v>
      </c>
      <c r="P1513" t="str">
        <f t="shared" si="23"/>
        <v>N</v>
      </c>
      <c r="Q1513" t="s">
        <v>7243</v>
      </c>
    </row>
    <row r="1514" spans="1:17" x14ac:dyDescent="0.25">
      <c r="A1514" t="s">
        <v>1906</v>
      </c>
      <c r="B1514" t="s">
        <v>1135</v>
      </c>
      <c r="C1514">
        <v>2027</v>
      </c>
      <c r="D1514" t="s">
        <v>540</v>
      </c>
      <c r="E1514" t="s">
        <v>833</v>
      </c>
      <c r="F1514" s="32">
        <v>46409</v>
      </c>
      <c r="G1514" t="s">
        <v>514</v>
      </c>
      <c r="H1514">
        <v>47129547</v>
      </c>
      <c r="I1514" t="s">
        <v>1128</v>
      </c>
      <c r="J1514" t="s">
        <v>1352</v>
      </c>
      <c r="K1514" t="s">
        <v>530</v>
      </c>
      <c r="N1514">
        <v>0</v>
      </c>
      <c r="O1514">
        <v>0</v>
      </c>
      <c r="P1514" t="str">
        <f t="shared" si="23"/>
        <v>N</v>
      </c>
      <c r="Q1514" t="s">
        <v>7244</v>
      </c>
    </row>
    <row r="1515" spans="1:17" x14ac:dyDescent="0.25">
      <c r="A1515" t="s">
        <v>1907</v>
      </c>
      <c r="B1515" t="s">
        <v>1135</v>
      </c>
      <c r="C1515">
        <v>2027</v>
      </c>
      <c r="D1515" t="s">
        <v>540</v>
      </c>
      <c r="E1515" t="s">
        <v>833</v>
      </c>
      <c r="F1515" s="32">
        <v>46409</v>
      </c>
      <c r="G1515" t="s">
        <v>514</v>
      </c>
      <c r="H1515">
        <v>47128518</v>
      </c>
      <c r="I1515" t="s">
        <v>1232</v>
      </c>
      <c r="J1515" t="s">
        <v>1493</v>
      </c>
      <c r="K1515" t="s">
        <v>530</v>
      </c>
      <c r="N1515">
        <v>0</v>
      </c>
      <c r="O1515">
        <v>0</v>
      </c>
      <c r="P1515" t="str">
        <f t="shared" si="23"/>
        <v>N</v>
      </c>
      <c r="Q1515" t="s">
        <v>7245</v>
      </c>
    </row>
    <row r="1516" spans="1:17" x14ac:dyDescent="0.25">
      <c r="A1516" t="s">
        <v>1908</v>
      </c>
      <c r="B1516" t="s">
        <v>1135</v>
      </c>
      <c r="C1516">
        <v>2027</v>
      </c>
      <c r="D1516" t="s">
        <v>540</v>
      </c>
      <c r="E1516" t="s">
        <v>833</v>
      </c>
      <c r="F1516" s="32">
        <v>46409</v>
      </c>
      <c r="G1516" t="s">
        <v>514</v>
      </c>
      <c r="H1516">
        <v>47128168</v>
      </c>
      <c r="I1516" t="s">
        <v>1100</v>
      </c>
      <c r="J1516" t="s">
        <v>1099</v>
      </c>
      <c r="K1516" t="s">
        <v>530</v>
      </c>
      <c r="N1516">
        <v>0</v>
      </c>
      <c r="O1516">
        <v>0</v>
      </c>
      <c r="P1516" t="str">
        <f t="shared" si="23"/>
        <v>N</v>
      </c>
      <c r="Q1516" t="s">
        <v>7246</v>
      </c>
    </row>
    <row r="1517" spans="1:17" x14ac:dyDescent="0.25">
      <c r="A1517" t="s">
        <v>1909</v>
      </c>
      <c r="B1517" t="s">
        <v>1135</v>
      </c>
      <c r="C1517">
        <v>2027</v>
      </c>
      <c r="D1517" t="s">
        <v>540</v>
      </c>
      <c r="E1517" t="s">
        <v>833</v>
      </c>
      <c r="F1517" s="32">
        <v>46409</v>
      </c>
      <c r="G1517" t="s">
        <v>514</v>
      </c>
      <c r="H1517">
        <v>47128687</v>
      </c>
      <c r="I1517" t="s">
        <v>1153</v>
      </c>
      <c r="J1517" t="s">
        <v>1152</v>
      </c>
      <c r="K1517" t="s">
        <v>530</v>
      </c>
      <c r="N1517">
        <v>0</v>
      </c>
      <c r="O1517">
        <v>0</v>
      </c>
      <c r="P1517" t="str">
        <f t="shared" si="23"/>
        <v>N</v>
      </c>
      <c r="Q1517" t="s">
        <v>7247</v>
      </c>
    </row>
    <row r="1518" spans="1:17" x14ac:dyDescent="0.25">
      <c r="A1518" t="s">
        <v>1910</v>
      </c>
      <c r="B1518" t="s">
        <v>1135</v>
      </c>
      <c r="C1518">
        <v>2027</v>
      </c>
      <c r="D1518" t="s">
        <v>540</v>
      </c>
      <c r="E1518" t="s">
        <v>833</v>
      </c>
      <c r="F1518" s="32">
        <v>46409</v>
      </c>
      <c r="G1518" t="s">
        <v>514</v>
      </c>
      <c r="H1518">
        <v>47128585</v>
      </c>
      <c r="I1518" t="s">
        <v>1141</v>
      </c>
      <c r="J1518" t="s">
        <v>1140</v>
      </c>
      <c r="K1518" t="s">
        <v>530</v>
      </c>
      <c r="N1518">
        <v>0</v>
      </c>
      <c r="O1518">
        <v>0</v>
      </c>
      <c r="P1518" t="str">
        <f t="shared" si="23"/>
        <v>N</v>
      </c>
      <c r="Q1518" t="s">
        <v>7248</v>
      </c>
    </row>
    <row r="1519" spans="1:17" x14ac:dyDescent="0.25">
      <c r="A1519" t="s">
        <v>1911</v>
      </c>
      <c r="B1519" t="s">
        <v>1135</v>
      </c>
      <c r="C1519">
        <v>2027</v>
      </c>
      <c r="D1519" t="s">
        <v>540</v>
      </c>
      <c r="E1519" t="s">
        <v>833</v>
      </c>
      <c r="F1519" s="32">
        <v>46409</v>
      </c>
      <c r="G1519" t="s">
        <v>514</v>
      </c>
      <c r="H1519">
        <v>47128906</v>
      </c>
      <c r="I1519" t="s">
        <v>1349</v>
      </c>
      <c r="J1519" t="s">
        <v>1348</v>
      </c>
      <c r="K1519" t="s">
        <v>530</v>
      </c>
      <c r="N1519">
        <v>0</v>
      </c>
      <c r="O1519">
        <v>0</v>
      </c>
      <c r="P1519" t="str">
        <f t="shared" si="23"/>
        <v>N</v>
      </c>
      <c r="Q1519" t="s">
        <v>7249</v>
      </c>
    </row>
    <row r="1520" spans="1:17" x14ac:dyDescent="0.25">
      <c r="A1520" t="s">
        <v>1912</v>
      </c>
      <c r="B1520" t="s">
        <v>1135</v>
      </c>
      <c r="C1520">
        <v>2027</v>
      </c>
      <c r="D1520" t="s">
        <v>540</v>
      </c>
      <c r="E1520" t="s">
        <v>833</v>
      </c>
      <c r="F1520" s="32">
        <v>46409</v>
      </c>
      <c r="G1520" t="s">
        <v>514</v>
      </c>
      <c r="H1520">
        <v>47128585</v>
      </c>
      <c r="I1520" t="s">
        <v>1141</v>
      </c>
      <c r="J1520" t="s">
        <v>1408</v>
      </c>
      <c r="K1520" t="s">
        <v>530</v>
      </c>
      <c r="N1520">
        <v>0</v>
      </c>
      <c r="O1520">
        <v>0</v>
      </c>
      <c r="P1520" t="str">
        <f t="shared" si="23"/>
        <v>N</v>
      </c>
      <c r="Q1520" t="s">
        <v>7250</v>
      </c>
    </row>
    <row r="1521" spans="1:17" x14ac:dyDescent="0.25">
      <c r="A1521" t="s">
        <v>1913</v>
      </c>
      <c r="B1521" t="s">
        <v>1135</v>
      </c>
      <c r="C1521">
        <v>2027</v>
      </c>
      <c r="D1521" t="s">
        <v>540</v>
      </c>
      <c r="E1521" t="s">
        <v>833</v>
      </c>
      <c r="F1521" s="32">
        <v>46409</v>
      </c>
      <c r="G1521" t="s">
        <v>514</v>
      </c>
      <c r="H1521">
        <v>47128518</v>
      </c>
      <c r="I1521" t="s">
        <v>1232</v>
      </c>
      <c r="J1521" t="s">
        <v>1231</v>
      </c>
      <c r="K1521" t="s">
        <v>530</v>
      </c>
      <c r="N1521">
        <v>0</v>
      </c>
      <c r="O1521">
        <v>0</v>
      </c>
      <c r="P1521" t="str">
        <f t="shared" si="23"/>
        <v>N</v>
      </c>
      <c r="Q1521" t="s">
        <v>7251</v>
      </c>
    </row>
    <row r="1522" spans="1:17" x14ac:dyDescent="0.25">
      <c r="A1522" t="s">
        <v>1914</v>
      </c>
      <c r="B1522" t="s">
        <v>1135</v>
      </c>
      <c r="C1522">
        <v>2027</v>
      </c>
      <c r="D1522" t="s">
        <v>540</v>
      </c>
      <c r="E1522" t="s">
        <v>833</v>
      </c>
      <c r="F1522" s="32">
        <v>46409</v>
      </c>
      <c r="G1522" t="s">
        <v>514</v>
      </c>
      <c r="H1522">
        <v>47128680</v>
      </c>
      <c r="I1522" t="s">
        <v>1284</v>
      </c>
      <c r="J1522" t="s">
        <v>1283</v>
      </c>
      <c r="K1522" t="s">
        <v>530</v>
      </c>
      <c r="N1522">
        <v>0</v>
      </c>
      <c r="O1522">
        <v>0</v>
      </c>
      <c r="P1522" t="str">
        <f t="shared" si="23"/>
        <v>N</v>
      </c>
      <c r="Q1522" t="s">
        <v>7252</v>
      </c>
    </row>
    <row r="1523" spans="1:17" x14ac:dyDescent="0.25">
      <c r="A1523" t="s">
        <v>1915</v>
      </c>
      <c r="B1523" t="s">
        <v>1135</v>
      </c>
      <c r="C1523">
        <v>2027</v>
      </c>
      <c r="D1523" t="s">
        <v>540</v>
      </c>
      <c r="E1523" t="s">
        <v>833</v>
      </c>
      <c r="F1523" s="32">
        <v>46409</v>
      </c>
      <c r="G1523" t="s">
        <v>514</v>
      </c>
      <c r="H1523">
        <v>47128024</v>
      </c>
      <c r="I1523" t="s">
        <v>1108</v>
      </c>
      <c r="J1523" t="s">
        <v>1107</v>
      </c>
      <c r="K1523" t="s">
        <v>530</v>
      </c>
      <c r="N1523">
        <v>0</v>
      </c>
      <c r="O1523">
        <v>0</v>
      </c>
      <c r="P1523" t="str">
        <f t="shared" si="23"/>
        <v>N</v>
      </c>
      <c r="Q1523" t="s">
        <v>7253</v>
      </c>
    </row>
    <row r="1524" spans="1:17" x14ac:dyDescent="0.25">
      <c r="A1524" t="s">
        <v>1916</v>
      </c>
      <c r="B1524" t="s">
        <v>1135</v>
      </c>
      <c r="C1524">
        <v>2027</v>
      </c>
      <c r="D1524" t="s">
        <v>540</v>
      </c>
      <c r="E1524" t="s">
        <v>833</v>
      </c>
      <c r="F1524" s="32">
        <v>46409</v>
      </c>
      <c r="G1524" t="s">
        <v>514</v>
      </c>
      <c r="H1524">
        <v>47128944</v>
      </c>
      <c r="I1524" t="s">
        <v>1137</v>
      </c>
      <c r="J1524" t="s">
        <v>1513</v>
      </c>
      <c r="K1524" t="s">
        <v>530</v>
      </c>
      <c r="N1524">
        <v>0</v>
      </c>
      <c r="O1524">
        <v>0</v>
      </c>
      <c r="P1524" t="str">
        <f t="shared" si="23"/>
        <v>N</v>
      </c>
      <c r="Q1524" t="s">
        <v>7254</v>
      </c>
    </row>
    <row r="1525" spans="1:17" x14ac:dyDescent="0.25">
      <c r="A1525" t="s">
        <v>1917</v>
      </c>
      <c r="B1525" t="s">
        <v>1135</v>
      </c>
      <c r="C1525">
        <v>2027</v>
      </c>
      <c r="D1525" t="s">
        <v>540</v>
      </c>
      <c r="E1525" t="s">
        <v>833</v>
      </c>
      <c r="F1525" s="32">
        <v>46409</v>
      </c>
      <c r="G1525" t="s">
        <v>514</v>
      </c>
      <c r="H1525">
        <v>47147546</v>
      </c>
      <c r="I1525" t="s">
        <v>1077</v>
      </c>
      <c r="J1525" t="s">
        <v>1076</v>
      </c>
      <c r="K1525" t="s">
        <v>530</v>
      </c>
      <c r="N1525">
        <v>0</v>
      </c>
      <c r="O1525">
        <v>0</v>
      </c>
      <c r="P1525" t="str">
        <f t="shared" si="23"/>
        <v>N</v>
      </c>
      <c r="Q1525" t="s">
        <v>7255</v>
      </c>
    </row>
    <row r="1526" spans="1:17" x14ac:dyDescent="0.25">
      <c r="A1526" t="s">
        <v>1918</v>
      </c>
      <c r="B1526" t="s">
        <v>1135</v>
      </c>
      <c r="C1526">
        <v>2027</v>
      </c>
      <c r="D1526" t="s">
        <v>540</v>
      </c>
      <c r="E1526" t="s">
        <v>833</v>
      </c>
      <c r="F1526" s="32">
        <v>46409</v>
      </c>
      <c r="G1526" t="s">
        <v>514</v>
      </c>
      <c r="H1526">
        <v>47128346</v>
      </c>
      <c r="I1526" t="s">
        <v>1157</v>
      </c>
      <c r="J1526" t="s">
        <v>1156</v>
      </c>
      <c r="K1526" t="s">
        <v>530</v>
      </c>
      <c r="N1526">
        <v>0</v>
      </c>
      <c r="O1526">
        <v>0</v>
      </c>
      <c r="P1526" t="str">
        <f t="shared" si="23"/>
        <v>N</v>
      </c>
      <c r="Q1526" t="s">
        <v>7256</v>
      </c>
    </row>
    <row r="1527" spans="1:17" x14ac:dyDescent="0.25">
      <c r="A1527" t="s">
        <v>1919</v>
      </c>
      <c r="B1527" t="s">
        <v>1135</v>
      </c>
      <c r="C1527">
        <v>2027</v>
      </c>
      <c r="D1527" t="s">
        <v>540</v>
      </c>
      <c r="E1527" t="s">
        <v>833</v>
      </c>
      <c r="F1527" s="32">
        <v>46409</v>
      </c>
      <c r="G1527" t="s">
        <v>514</v>
      </c>
      <c r="H1527">
        <v>47128800</v>
      </c>
      <c r="I1527" t="s">
        <v>1145</v>
      </c>
      <c r="J1527" t="s">
        <v>1144</v>
      </c>
      <c r="K1527" t="s">
        <v>530</v>
      </c>
      <c r="N1527">
        <v>0</v>
      </c>
      <c r="O1527">
        <v>0</v>
      </c>
      <c r="P1527" t="str">
        <f t="shared" si="23"/>
        <v>N</v>
      </c>
      <c r="Q1527" t="s">
        <v>7257</v>
      </c>
    </row>
    <row r="1528" spans="1:17" x14ac:dyDescent="0.25">
      <c r="A1528" t="s">
        <v>1920</v>
      </c>
      <c r="B1528" t="s">
        <v>1135</v>
      </c>
      <c r="C1528">
        <v>2027</v>
      </c>
      <c r="D1528" t="s">
        <v>540</v>
      </c>
      <c r="E1528" t="s">
        <v>833</v>
      </c>
      <c r="F1528" s="32">
        <v>46409</v>
      </c>
      <c r="G1528" t="s">
        <v>514</v>
      </c>
      <c r="H1528">
        <v>47128109</v>
      </c>
      <c r="I1528" t="s">
        <v>1336</v>
      </c>
      <c r="J1528" t="s">
        <v>1335</v>
      </c>
      <c r="K1528" t="s">
        <v>530</v>
      </c>
      <c r="N1528">
        <v>0</v>
      </c>
      <c r="O1528">
        <v>0</v>
      </c>
      <c r="P1528" t="str">
        <f t="shared" si="23"/>
        <v>N</v>
      </c>
      <c r="Q1528" t="s">
        <v>7258</v>
      </c>
    </row>
    <row r="1529" spans="1:17" x14ac:dyDescent="0.25">
      <c r="A1529" t="s">
        <v>1921</v>
      </c>
      <c r="B1529" t="s">
        <v>1135</v>
      </c>
      <c r="C1529">
        <v>2027</v>
      </c>
      <c r="D1529" t="s">
        <v>540</v>
      </c>
      <c r="E1529" t="s">
        <v>833</v>
      </c>
      <c r="F1529" s="32">
        <v>46409</v>
      </c>
      <c r="G1529" t="s">
        <v>514</v>
      </c>
      <c r="H1529">
        <v>47128430</v>
      </c>
      <c r="I1529" t="s">
        <v>1401</v>
      </c>
      <c r="J1529" t="s">
        <v>1400</v>
      </c>
      <c r="K1529" t="s">
        <v>530</v>
      </c>
      <c r="N1529">
        <v>0</v>
      </c>
      <c r="O1529">
        <v>0</v>
      </c>
      <c r="P1529" t="str">
        <f t="shared" si="23"/>
        <v>N</v>
      </c>
      <c r="Q1529" t="s">
        <v>7259</v>
      </c>
    </row>
    <row r="1530" spans="1:17" x14ac:dyDescent="0.25">
      <c r="A1530" t="s">
        <v>1922</v>
      </c>
      <c r="B1530" t="s">
        <v>1135</v>
      </c>
      <c r="C1530">
        <v>2027</v>
      </c>
      <c r="D1530" t="s">
        <v>540</v>
      </c>
      <c r="E1530" t="s">
        <v>833</v>
      </c>
      <c r="F1530" s="32">
        <v>46409</v>
      </c>
      <c r="G1530" t="s">
        <v>514</v>
      </c>
      <c r="H1530">
        <v>47128522</v>
      </c>
      <c r="I1530" t="s">
        <v>1092</v>
      </c>
      <c r="J1530" t="s">
        <v>1091</v>
      </c>
      <c r="K1530" t="s">
        <v>530</v>
      </c>
      <c r="N1530">
        <v>0</v>
      </c>
      <c r="O1530">
        <v>0</v>
      </c>
      <c r="P1530" t="str">
        <f t="shared" si="23"/>
        <v>N</v>
      </c>
      <c r="Q1530" t="s">
        <v>7260</v>
      </c>
    </row>
    <row r="1531" spans="1:17" x14ac:dyDescent="0.25">
      <c r="A1531" t="s">
        <v>1923</v>
      </c>
      <c r="B1531" t="s">
        <v>1135</v>
      </c>
      <c r="C1531">
        <v>2027</v>
      </c>
      <c r="D1531" t="s">
        <v>540</v>
      </c>
      <c r="E1531" t="s">
        <v>833</v>
      </c>
      <c r="F1531" s="32">
        <v>46409</v>
      </c>
      <c r="G1531" t="s">
        <v>514</v>
      </c>
      <c r="H1531">
        <v>47147546</v>
      </c>
      <c r="I1531" t="s">
        <v>1077</v>
      </c>
      <c r="J1531" t="s">
        <v>1381</v>
      </c>
      <c r="K1531" t="s">
        <v>530</v>
      </c>
      <c r="N1531">
        <v>0</v>
      </c>
      <c r="O1531">
        <v>0</v>
      </c>
      <c r="P1531" t="str">
        <f t="shared" si="23"/>
        <v>N</v>
      </c>
      <c r="Q1531" t="s">
        <v>7261</v>
      </c>
    </row>
    <row r="1532" spans="1:17" x14ac:dyDescent="0.25">
      <c r="A1532" t="s">
        <v>1924</v>
      </c>
      <c r="B1532" t="s">
        <v>1135</v>
      </c>
      <c r="C1532">
        <v>2027</v>
      </c>
      <c r="D1532" t="s">
        <v>540</v>
      </c>
      <c r="E1532" t="s">
        <v>833</v>
      </c>
      <c r="F1532" s="32">
        <v>46409</v>
      </c>
      <c r="G1532" t="s">
        <v>514</v>
      </c>
      <c r="H1532">
        <v>47147658</v>
      </c>
      <c r="I1532" t="s">
        <v>1276</v>
      </c>
      <c r="J1532" t="s">
        <v>1275</v>
      </c>
      <c r="K1532" t="s">
        <v>530</v>
      </c>
      <c r="N1532">
        <v>0</v>
      </c>
      <c r="O1532">
        <v>0</v>
      </c>
      <c r="P1532" t="str">
        <f t="shared" si="23"/>
        <v>N</v>
      </c>
      <c r="Q1532" t="s">
        <v>7262</v>
      </c>
    </row>
    <row r="1533" spans="1:17" x14ac:dyDescent="0.25">
      <c r="A1533" t="s">
        <v>1925</v>
      </c>
      <c r="B1533" t="s">
        <v>1135</v>
      </c>
      <c r="C1533">
        <v>2027</v>
      </c>
      <c r="D1533" t="s">
        <v>540</v>
      </c>
      <c r="E1533" t="s">
        <v>833</v>
      </c>
      <c r="F1533" s="32">
        <v>46409</v>
      </c>
      <c r="G1533" t="s">
        <v>514</v>
      </c>
      <c r="H1533">
        <v>47147546</v>
      </c>
      <c r="I1533" t="s">
        <v>1077</v>
      </c>
      <c r="J1533" t="s">
        <v>1171</v>
      </c>
      <c r="K1533" t="s">
        <v>530</v>
      </c>
      <c r="N1533">
        <v>0</v>
      </c>
      <c r="O1533">
        <v>0</v>
      </c>
      <c r="P1533" t="str">
        <f t="shared" si="23"/>
        <v>N</v>
      </c>
      <c r="Q1533" t="s">
        <v>7263</v>
      </c>
    </row>
    <row r="1534" spans="1:17" x14ac:dyDescent="0.25">
      <c r="A1534" t="s">
        <v>1926</v>
      </c>
      <c r="B1534" t="s">
        <v>1135</v>
      </c>
      <c r="C1534">
        <v>2027</v>
      </c>
      <c r="D1534" t="s">
        <v>540</v>
      </c>
      <c r="E1534" t="s">
        <v>833</v>
      </c>
      <c r="F1534" s="32">
        <v>46409</v>
      </c>
      <c r="G1534" t="s">
        <v>514</v>
      </c>
      <c r="H1534">
        <v>47128028</v>
      </c>
      <c r="I1534" t="s">
        <v>1035</v>
      </c>
      <c r="J1534" t="s">
        <v>1034</v>
      </c>
      <c r="K1534" t="s">
        <v>530</v>
      </c>
      <c r="N1534">
        <v>0</v>
      </c>
      <c r="O1534">
        <v>0</v>
      </c>
      <c r="P1534" t="str">
        <f t="shared" si="23"/>
        <v>N</v>
      </c>
      <c r="Q1534" t="s">
        <v>7264</v>
      </c>
    </row>
    <row r="1535" spans="1:17" x14ac:dyDescent="0.25">
      <c r="A1535" t="s">
        <v>1927</v>
      </c>
      <c r="B1535" t="s">
        <v>1135</v>
      </c>
      <c r="C1535">
        <v>2027</v>
      </c>
      <c r="D1535" t="s">
        <v>540</v>
      </c>
      <c r="E1535" t="s">
        <v>833</v>
      </c>
      <c r="F1535" s="32">
        <v>46409</v>
      </c>
      <c r="G1535" t="s">
        <v>514</v>
      </c>
      <c r="H1535">
        <v>47128465</v>
      </c>
      <c r="I1535" t="s">
        <v>1333</v>
      </c>
      <c r="J1535" t="s">
        <v>1332</v>
      </c>
      <c r="K1535" t="s">
        <v>530</v>
      </c>
      <c r="N1535">
        <v>0</v>
      </c>
      <c r="O1535">
        <v>0</v>
      </c>
      <c r="P1535" t="str">
        <f t="shared" si="23"/>
        <v>N</v>
      </c>
      <c r="Q1535" t="s">
        <v>7265</v>
      </c>
    </row>
    <row r="1536" spans="1:17" x14ac:dyDescent="0.25">
      <c r="A1536" t="s">
        <v>1928</v>
      </c>
      <c r="B1536" t="s">
        <v>1135</v>
      </c>
      <c r="C1536">
        <v>2027</v>
      </c>
      <c r="D1536" t="s">
        <v>540</v>
      </c>
      <c r="E1536" t="s">
        <v>833</v>
      </c>
      <c r="F1536" s="32">
        <v>46409</v>
      </c>
      <c r="G1536" t="s">
        <v>514</v>
      </c>
      <c r="H1536">
        <v>47128548</v>
      </c>
      <c r="I1536" t="s">
        <v>958</v>
      </c>
      <c r="J1536" t="s">
        <v>957</v>
      </c>
      <c r="K1536" t="s">
        <v>530</v>
      </c>
      <c r="N1536">
        <v>0</v>
      </c>
      <c r="O1536">
        <v>0</v>
      </c>
      <c r="P1536" t="str">
        <f t="shared" si="23"/>
        <v>N</v>
      </c>
      <c r="Q1536" t="s">
        <v>7266</v>
      </c>
    </row>
    <row r="1537" spans="1:17" x14ac:dyDescent="0.25">
      <c r="A1537" t="s">
        <v>2416</v>
      </c>
      <c r="B1537" t="s">
        <v>2344</v>
      </c>
      <c r="C1537">
        <v>2027</v>
      </c>
      <c r="D1537" t="s">
        <v>540</v>
      </c>
      <c r="E1537" t="s">
        <v>833</v>
      </c>
      <c r="F1537" s="32">
        <v>46409</v>
      </c>
      <c r="G1537" t="s">
        <v>514</v>
      </c>
      <c r="H1537">
        <v>47140037</v>
      </c>
      <c r="I1537" t="s">
        <v>2347</v>
      </c>
      <c r="J1537" t="s">
        <v>2348</v>
      </c>
      <c r="K1537" t="s">
        <v>530</v>
      </c>
      <c r="N1537">
        <v>0</v>
      </c>
      <c r="O1537">
        <v>0</v>
      </c>
      <c r="P1537" t="str">
        <f t="shared" si="23"/>
        <v>N</v>
      </c>
      <c r="Q1537" t="s">
        <v>7267</v>
      </c>
    </row>
    <row r="1538" spans="1:17" x14ac:dyDescent="0.25">
      <c r="A1538" t="s">
        <v>2417</v>
      </c>
      <c r="B1538" t="s">
        <v>2344</v>
      </c>
      <c r="C1538">
        <v>2027</v>
      </c>
      <c r="D1538" t="s">
        <v>540</v>
      </c>
      <c r="E1538" t="s">
        <v>833</v>
      </c>
      <c r="F1538" s="32">
        <v>46409</v>
      </c>
      <c r="G1538" t="s">
        <v>514</v>
      </c>
      <c r="H1538">
        <v>47128820</v>
      </c>
      <c r="I1538" t="s">
        <v>2411</v>
      </c>
      <c r="J1538" t="s">
        <v>2412</v>
      </c>
      <c r="K1538" t="s">
        <v>530</v>
      </c>
      <c r="N1538">
        <v>0</v>
      </c>
      <c r="O1538">
        <v>0</v>
      </c>
      <c r="P1538" t="str">
        <f t="shared" si="23"/>
        <v>N</v>
      </c>
      <c r="Q1538" t="s">
        <v>7268</v>
      </c>
    </row>
    <row r="1539" spans="1:17" x14ac:dyDescent="0.25">
      <c r="A1539" t="s">
        <v>2418</v>
      </c>
      <c r="B1539" t="s">
        <v>2344</v>
      </c>
      <c r="C1539">
        <v>2027</v>
      </c>
      <c r="D1539" t="s">
        <v>540</v>
      </c>
      <c r="E1539" t="s">
        <v>833</v>
      </c>
      <c r="F1539" s="32">
        <v>46409</v>
      </c>
      <c r="G1539" t="s">
        <v>514</v>
      </c>
      <c r="H1539">
        <v>47128378</v>
      </c>
      <c r="I1539" t="s">
        <v>2392</v>
      </c>
      <c r="J1539" t="s">
        <v>2393</v>
      </c>
      <c r="K1539" t="s">
        <v>530</v>
      </c>
      <c r="N1539">
        <v>0</v>
      </c>
      <c r="O1539">
        <v>0</v>
      </c>
      <c r="P1539" t="str">
        <f t="shared" ref="P1539:P1602" si="24">IF(N1539=O1539,"N","Y")</f>
        <v>N</v>
      </c>
      <c r="Q1539" t="s">
        <v>7269</v>
      </c>
    </row>
    <row r="1540" spans="1:17" x14ac:dyDescent="0.25">
      <c r="A1540" t="s">
        <v>2419</v>
      </c>
      <c r="B1540" t="s">
        <v>2344</v>
      </c>
      <c r="C1540">
        <v>2027</v>
      </c>
      <c r="D1540" t="s">
        <v>540</v>
      </c>
      <c r="E1540" t="s">
        <v>833</v>
      </c>
      <c r="F1540" s="32">
        <v>46409</v>
      </c>
      <c r="G1540" t="s">
        <v>514</v>
      </c>
      <c r="H1540">
        <v>47128020</v>
      </c>
      <c r="I1540" t="s">
        <v>2395</v>
      </c>
      <c r="J1540" t="s">
        <v>2396</v>
      </c>
      <c r="K1540" t="s">
        <v>530</v>
      </c>
      <c r="N1540">
        <v>0</v>
      </c>
      <c r="O1540">
        <v>0</v>
      </c>
      <c r="P1540" t="str">
        <f t="shared" si="24"/>
        <v>N</v>
      </c>
      <c r="Q1540" t="s">
        <v>7270</v>
      </c>
    </row>
    <row r="1541" spans="1:17" x14ac:dyDescent="0.25">
      <c r="A1541" t="s">
        <v>2420</v>
      </c>
      <c r="B1541" t="s">
        <v>2344</v>
      </c>
      <c r="C1541">
        <v>2027</v>
      </c>
      <c r="D1541" t="s">
        <v>540</v>
      </c>
      <c r="E1541" t="s">
        <v>833</v>
      </c>
      <c r="F1541" s="32">
        <v>46409</v>
      </c>
      <c r="G1541" t="s">
        <v>514</v>
      </c>
      <c r="H1541">
        <v>47128459</v>
      </c>
      <c r="I1541" t="s">
        <v>2398</v>
      </c>
      <c r="J1541" t="s">
        <v>2399</v>
      </c>
      <c r="K1541" t="s">
        <v>530</v>
      </c>
      <c r="N1541">
        <v>0</v>
      </c>
      <c r="O1541">
        <v>0</v>
      </c>
      <c r="P1541" t="str">
        <f t="shared" si="24"/>
        <v>N</v>
      </c>
      <c r="Q1541" t="s">
        <v>7271</v>
      </c>
    </row>
    <row r="1542" spans="1:17" x14ac:dyDescent="0.25">
      <c r="A1542" t="s">
        <v>2590</v>
      </c>
      <c r="B1542" t="s">
        <v>2444</v>
      </c>
      <c r="C1542">
        <v>2027</v>
      </c>
      <c r="D1542" t="s">
        <v>540</v>
      </c>
      <c r="E1542" t="s">
        <v>833</v>
      </c>
      <c r="F1542" s="32">
        <v>46409</v>
      </c>
      <c r="G1542" t="s">
        <v>514</v>
      </c>
      <c r="H1542">
        <v>47128006</v>
      </c>
      <c r="I1542" t="s">
        <v>2447</v>
      </c>
      <c r="J1542" t="s">
        <v>2448</v>
      </c>
      <c r="K1542" t="s">
        <v>530</v>
      </c>
      <c r="N1542">
        <v>0</v>
      </c>
      <c r="O1542">
        <v>0</v>
      </c>
      <c r="P1542" t="str">
        <f t="shared" si="24"/>
        <v>N</v>
      </c>
      <c r="Q1542" t="s">
        <v>7272</v>
      </c>
    </row>
    <row r="1543" spans="1:17" x14ac:dyDescent="0.25">
      <c r="A1543" t="s">
        <v>2591</v>
      </c>
      <c r="B1543" t="s">
        <v>2444</v>
      </c>
      <c r="C1543">
        <v>2027</v>
      </c>
      <c r="D1543" t="s">
        <v>540</v>
      </c>
      <c r="E1543" t="s">
        <v>833</v>
      </c>
      <c r="F1543" s="32">
        <v>46409</v>
      </c>
      <c r="G1543" t="s">
        <v>514</v>
      </c>
      <c r="H1543">
        <v>47128300</v>
      </c>
      <c r="I1543" t="s">
        <v>2471</v>
      </c>
      <c r="J1543" t="s">
        <v>2472</v>
      </c>
      <c r="K1543" t="s">
        <v>530</v>
      </c>
      <c r="N1543">
        <v>0</v>
      </c>
      <c r="O1543">
        <v>0</v>
      </c>
      <c r="P1543" t="str">
        <f t="shared" si="24"/>
        <v>N</v>
      </c>
      <c r="Q1543" t="s">
        <v>7273</v>
      </c>
    </row>
    <row r="1544" spans="1:17" x14ac:dyDescent="0.25">
      <c r="A1544" t="s">
        <v>2592</v>
      </c>
      <c r="B1544" t="s">
        <v>2444</v>
      </c>
      <c r="C1544">
        <v>2027</v>
      </c>
      <c r="D1544" t="s">
        <v>540</v>
      </c>
      <c r="E1544" t="s">
        <v>833</v>
      </c>
      <c r="F1544" s="32">
        <v>46409</v>
      </c>
      <c r="G1544" t="s">
        <v>514</v>
      </c>
      <c r="H1544">
        <v>47128213</v>
      </c>
      <c r="I1544" t="s">
        <v>2456</v>
      </c>
      <c r="J1544" t="s">
        <v>2457</v>
      </c>
      <c r="K1544" t="s">
        <v>530</v>
      </c>
      <c r="N1544">
        <v>0</v>
      </c>
      <c r="O1544">
        <v>0</v>
      </c>
      <c r="P1544" t="str">
        <f t="shared" si="24"/>
        <v>N</v>
      </c>
      <c r="Q1544" t="s">
        <v>7274</v>
      </c>
    </row>
    <row r="1545" spans="1:17" x14ac:dyDescent="0.25">
      <c r="A1545" t="s">
        <v>2593</v>
      </c>
      <c r="B1545" t="s">
        <v>2444</v>
      </c>
      <c r="C1545">
        <v>2027</v>
      </c>
      <c r="D1545" t="s">
        <v>540</v>
      </c>
      <c r="E1545" t="s">
        <v>833</v>
      </c>
      <c r="F1545" s="32">
        <v>46409</v>
      </c>
      <c r="G1545" t="s">
        <v>514</v>
      </c>
      <c r="H1545">
        <v>47128667</v>
      </c>
      <c r="I1545" t="s">
        <v>2450</v>
      </c>
      <c r="J1545" t="s">
        <v>2451</v>
      </c>
      <c r="K1545" t="s">
        <v>530</v>
      </c>
      <c r="N1545">
        <v>60</v>
      </c>
      <c r="O1545">
        <v>60</v>
      </c>
      <c r="P1545" t="str">
        <f t="shared" si="24"/>
        <v>N</v>
      </c>
      <c r="Q1545" t="s">
        <v>7275</v>
      </c>
    </row>
    <row r="1546" spans="1:17" x14ac:dyDescent="0.25">
      <c r="A1546" t="s">
        <v>2594</v>
      </c>
      <c r="B1546" t="s">
        <v>2444</v>
      </c>
      <c r="C1546">
        <v>2027</v>
      </c>
      <c r="D1546" t="s">
        <v>540</v>
      </c>
      <c r="E1546" t="s">
        <v>833</v>
      </c>
      <c r="F1546" s="32">
        <v>46409</v>
      </c>
      <c r="G1546" t="s">
        <v>514</v>
      </c>
      <c r="H1546">
        <v>47128179</v>
      </c>
      <c r="I1546" t="s">
        <v>2477</v>
      </c>
      <c r="J1546" t="s">
        <v>2478</v>
      </c>
      <c r="K1546" t="s">
        <v>530</v>
      </c>
      <c r="N1546">
        <v>0</v>
      </c>
      <c r="O1546">
        <v>0</v>
      </c>
      <c r="P1546" t="str">
        <f t="shared" si="24"/>
        <v>N</v>
      </c>
      <c r="Q1546" t="s">
        <v>7276</v>
      </c>
    </row>
    <row r="1547" spans="1:17" x14ac:dyDescent="0.25">
      <c r="A1547" t="s">
        <v>2595</v>
      </c>
      <c r="B1547" t="s">
        <v>2444</v>
      </c>
      <c r="C1547">
        <v>2027</v>
      </c>
      <c r="D1547" t="s">
        <v>540</v>
      </c>
      <c r="E1547" t="s">
        <v>833</v>
      </c>
      <c r="F1547" s="32">
        <v>46409</v>
      </c>
      <c r="G1547" t="s">
        <v>514</v>
      </c>
      <c r="H1547">
        <v>47128655</v>
      </c>
      <c r="I1547" t="s">
        <v>2474</v>
      </c>
      <c r="J1547" t="s">
        <v>2475</v>
      </c>
      <c r="K1547" t="s">
        <v>530</v>
      </c>
      <c r="N1547">
        <v>0</v>
      </c>
      <c r="O1547">
        <v>0</v>
      </c>
      <c r="P1547" t="str">
        <f t="shared" si="24"/>
        <v>N</v>
      </c>
      <c r="Q1547" t="s">
        <v>7277</v>
      </c>
    </row>
    <row r="1548" spans="1:17" x14ac:dyDescent="0.25">
      <c r="A1548" t="s">
        <v>2596</v>
      </c>
      <c r="B1548" t="s">
        <v>2444</v>
      </c>
      <c r="C1548">
        <v>2027</v>
      </c>
      <c r="D1548" t="s">
        <v>540</v>
      </c>
      <c r="E1548" t="s">
        <v>833</v>
      </c>
      <c r="F1548" s="32">
        <v>46409</v>
      </c>
      <c r="G1548" t="s">
        <v>514</v>
      </c>
      <c r="H1548">
        <v>47129222</v>
      </c>
      <c r="I1548" t="s">
        <v>2459</v>
      </c>
      <c r="J1548" t="s">
        <v>2460</v>
      </c>
      <c r="K1548" t="s">
        <v>530</v>
      </c>
      <c r="N1548">
        <v>0</v>
      </c>
      <c r="O1548">
        <v>0</v>
      </c>
      <c r="P1548" t="str">
        <f t="shared" si="24"/>
        <v>N</v>
      </c>
      <c r="Q1548" t="s">
        <v>7278</v>
      </c>
    </row>
    <row r="1549" spans="1:17" x14ac:dyDescent="0.25">
      <c r="A1549" t="s">
        <v>2597</v>
      </c>
      <c r="B1549" t="s">
        <v>2444</v>
      </c>
      <c r="C1549">
        <v>2027</v>
      </c>
      <c r="D1549" t="s">
        <v>540</v>
      </c>
      <c r="E1549" t="s">
        <v>833</v>
      </c>
      <c r="F1549" s="32">
        <v>46409</v>
      </c>
      <c r="G1549" t="s">
        <v>514</v>
      </c>
      <c r="H1549">
        <v>47132096</v>
      </c>
      <c r="I1549" t="s">
        <v>2468</v>
      </c>
      <c r="J1549" t="s">
        <v>2469</v>
      </c>
      <c r="K1549" t="s">
        <v>530</v>
      </c>
      <c r="N1549">
        <v>0</v>
      </c>
      <c r="O1549">
        <v>0</v>
      </c>
      <c r="P1549" t="str">
        <f t="shared" si="24"/>
        <v>N</v>
      </c>
      <c r="Q1549" t="s">
        <v>7279</v>
      </c>
    </row>
    <row r="1550" spans="1:17" x14ac:dyDescent="0.25">
      <c r="A1550" t="s">
        <v>2598</v>
      </c>
      <c r="B1550" t="s">
        <v>2444</v>
      </c>
      <c r="C1550">
        <v>2027</v>
      </c>
      <c r="D1550" t="s">
        <v>540</v>
      </c>
      <c r="E1550" t="s">
        <v>833</v>
      </c>
      <c r="F1550" s="32">
        <v>46409</v>
      </c>
      <c r="G1550" t="s">
        <v>514</v>
      </c>
      <c r="H1550">
        <v>47128561</v>
      </c>
      <c r="I1550" t="s">
        <v>2462</v>
      </c>
      <c r="J1550" t="s">
        <v>2463</v>
      </c>
      <c r="K1550" t="s">
        <v>530</v>
      </c>
      <c r="N1550">
        <v>0</v>
      </c>
      <c r="O1550">
        <v>0</v>
      </c>
      <c r="P1550" t="str">
        <f t="shared" si="24"/>
        <v>N</v>
      </c>
      <c r="Q1550" t="s">
        <v>7280</v>
      </c>
    </row>
    <row r="1551" spans="1:17" x14ac:dyDescent="0.25">
      <c r="A1551" t="s">
        <v>2599</v>
      </c>
      <c r="B1551" t="s">
        <v>2444</v>
      </c>
      <c r="C1551">
        <v>2027</v>
      </c>
      <c r="D1551" t="s">
        <v>540</v>
      </c>
      <c r="E1551" t="s">
        <v>833</v>
      </c>
      <c r="F1551" s="32">
        <v>46409</v>
      </c>
      <c r="G1551" t="s">
        <v>514</v>
      </c>
      <c r="H1551">
        <v>47129274</v>
      </c>
      <c r="I1551" t="s">
        <v>2486</v>
      </c>
      <c r="J1551" t="s">
        <v>2487</v>
      </c>
      <c r="K1551" t="s">
        <v>530</v>
      </c>
      <c r="N1551">
        <v>0</v>
      </c>
      <c r="O1551">
        <v>0</v>
      </c>
      <c r="P1551" t="str">
        <f t="shared" si="24"/>
        <v>N</v>
      </c>
      <c r="Q1551" t="s">
        <v>7281</v>
      </c>
    </row>
    <row r="1552" spans="1:17" x14ac:dyDescent="0.25">
      <c r="A1552" t="s">
        <v>2600</v>
      </c>
      <c r="B1552" t="s">
        <v>2444</v>
      </c>
      <c r="C1552">
        <v>2027</v>
      </c>
      <c r="D1552" t="s">
        <v>540</v>
      </c>
      <c r="E1552" t="s">
        <v>833</v>
      </c>
      <c r="F1552" s="32">
        <v>46409</v>
      </c>
      <c r="G1552" t="s">
        <v>514</v>
      </c>
      <c r="H1552">
        <v>47129262</v>
      </c>
      <c r="I1552" t="s">
        <v>2453</v>
      </c>
      <c r="J1552" t="s">
        <v>2454</v>
      </c>
      <c r="K1552" t="s">
        <v>530</v>
      </c>
      <c r="N1552">
        <v>0</v>
      </c>
      <c r="O1552">
        <v>0</v>
      </c>
      <c r="P1552" t="str">
        <f t="shared" si="24"/>
        <v>N</v>
      </c>
      <c r="Q1552" t="s">
        <v>7282</v>
      </c>
    </row>
    <row r="1553" spans="1:17" x14ac:dyDescent="0.25">
      <c r="A1553" t="s">
        <v>2601</v>
      </c>
      <c r="B1553" t="s">
        <v>2444</v>
      </c>
      <c r="C1553">
        <v>2027</v>
      </c>
      <c r="D1553" t="s">
        <v>540</v>
      </c>
      <c r="E1553" t="s">
        <v>833</v>
      </c>
      <c r="F1553" s="32">
        <v>46409</v>
      </c>
      <c r="G1553" t="s">
        <v>514</v>
      </c>
      <c r="H1553">
        <v>47129558</v>
      </c>
      <c r="I1553" t="s">
        <v>2480</v>
      </c>
      <c r="J1553" t="s">
        <v>2481</v>
      </c>
      <c r="K1553" t="s">
        <v>530</v>
      </c>
      <c r="N1553">
        <v>0</v>
      </c>
      <c r="O1553">
        <v>0</v>
      </c>
      <c r="P1553" t="str">
        <f t="shared" si="24"/>
        <v>N</v>
      </c>
      <c r="Q1553" t="s">
        <v>7283</v>
      </c>
    </row>
    <row r="1554" spans="1:17" x14ac:dyDescent="0.25">
      <c r="A1554" t="s">
        <v>2602</v>
      </c>
      <c r="B1554" t="s">
        <v>2444</v>
      </c>
      <c r="C1554">
        <v>2027</v>
      </c>
      <c r="D1554" t="s">
        <v>540</v>
      </c>
      <c r="E1554" t="s">
        <v>833</v>
      </c>
      <c r="F1554" s="32">
        <v>46409</v>
      </c>
      <c r="G1554" t="s">
        <v>514</v>
      </c>
      <c r="H1554">
        <v>47129727</v>
      </c>
      <c r="I1554" t="s">
        <v>2465</v>
      </c>
      <c r="J1554" t="s">
        <v>2466</v>
      </c>
      <c r="K1554" t="s">
        <v>530</v>
      </c>
      <c r="N1554">
        <v>0</v>
      </c>
      <c r="O1554">
        <v>0</v>
      </c>
      <c r="P1554" t="str">
        <f t="shared" si="24"/>
        <v>N</v>
      </c>
      <c r="Q1554" t="s">
        <v>7284</v>
      </c>
    </row>
    <row r="1555" spans="1:17" x14ac:dyDescent="0.25">
      <c r="A1555" t="s">
        <v>2603</v>
      </c>
      <c r="B1555" t="s">
        <v>2444</v>
      </c>
      <c r="C1555">
        <v>2027</v>
      </c>
      <c r="D1555" t="s">
        <v>540</v>
      </c>
      <c r="E1555" t="s">
        <v>833</v>
      </c>
      <c r="F1555" s="32">
        <v>46409</v>
      </c>
      <c r="G1555" t="s">
        <v>514</v>
      </c>
      <c r="H1555">
        <v>47129273</v>
      </c>
      <c r="I1555" t="s">
        <v>2483</v>
      </c>
      <c r="J1555" t="s">
        <v>2484</v>
      </c>
      <c r="K1555" t="s">
        <v>530</v>
      </c>
      <c r="N1555">
        <v>0</v>
      </c>
      <c r="O1555">
        <v>0</v>
      </c>
      <c r="P1555" t="str">
        <f t="shared" si="24"/>
        <v>N</v>
      </c>
      <c r="Q1555" t="s">
        <v>7285</v>
      </c>
    </row>
    <row r="1556" spans="1:17" x14ac:dyDescent="0.25">
      <c r="A1556" t="s">
        <v>2604</v>
      </c>
      <c r="B1556" t="s">
        <v>2444</v>
      </c>
      <c r="C1556">
        <v>2027</v>
      </c>
      <c r="D1556" t="s">
        <v>540</v>
      </c>
      <c r="E1556" t="s">
        <v>833</v>
      </c>
      <c r="F1556" s="32">
        <v>46409</v>
      </c>
      <c r="G1556" t="s">
        <v>514</v>
      </c>
      <c r="H1556">
        <v>47128587</v>
      </c>
      <c r="I1556" t="s">
        <v>2489</v>
      </c>
      <c r="J1556" t="s">
        <v>2490</v>
      </c>
      <c r="K1556" t="s">
        <v>530</v>
      </c>
      <c r="N1556">
        <v>0</v>
      </c>
      <c r="O1556">
        <v>0</v>
      </c>
      <c r="P1556" t="str">
        <f t="shared" si="24"/>
        <v>N</v>
      </c>
      <c r="Q1556" t="s">
        <v>7286</v>
      </c>
    </row>
    <row r="1557" spans="1:17" x14ac:dyDescent="0.25">
      <c r="A1557" t="s">
        <v>2605</v>
      </c>
      <c r="B1557" t="s">
        <v>2444</v>
      </c>
      <c r="C1557">
        <v>2027</v>
      </c>
      <c r="D1557" t="s">
        <v>540</v>
      </c>
      <c r="E1557" t="s">
        <v>833</v>
      </c>
      <c r="F1557" s="32">
        <v>46409</v>
      </c>
      <c r="G1557" t="s">
        <v>514</v>
      </c>
      <c r="H1557">
        <v>47128247</v>
      </c>
      <c r="I1557" t="s">
        <v>2492</v>
      </c>
      <c r="J1557" t="s">
        <v>2493</v>
      </c>
      <c r="K1557" t="s">
        <v>530</v>
      </c>
      <c r="N1557">
        <v>0</v>
      </c>
      <c r="O1557">
        <v>0</v>
      </c>
      <c r="P1557" t="str">
        <f t="shared" si="24"/>
        <v>N</v>
      </c>
      <c r="Q1557" t="s">
        <v>7287</v>
      </c>
    </row>
    <row r="1558" spans="1:17" x14ac:dyDescent="0.25">
      <c r="A1558" t="s">
        <v>2896</v>
      </c>
      <c r="B1558" t="s">
        <v>2783</v>
      </c>
      <c r="C1558">
        <v>2027</v>
      </c>
      <c r="D1558" t="s">
        <v>540</v>
      </c>
      <c r="E1558" t="s">
        <v>833</v>
      </c>
      <c r="F1558" s="32">
        <v>46409</v>
      </c>
      <c r="G1558" t="s">
        <v>514</v>
      </c>
      <c r="H1558">
        <v>47128006</v>
      </c>
      <c r="I1558" t="s">
        <v>2447</v>
      </c>
      <c r="J1558" t="s">
        <v>2448</v>
      </c>
      <c r="K1558" t="s">
        <v>530</v>
      </c>
      <c r="N1558">
        <v>0</v>
      </c>
      <c r="O1558">
        <v>0</v>
      </c>
      <c r="P1558" t="str">
        <f t="shared" si="24"/>
        <v>N</v>
      </c>
      <c r="Q1558" t="s">
        <v>7288</v>
      </c>
    </row>
    <row r="1559" spans="1:17" x14ac:dyDescent="0.25">
      <c r="A1559" t="s">
        <v>2897</v>
      </c>
      <c r="B1559" t="s">
        <v>2783</v>
      </c>
      <c r="C1559">
        <v>2027</v>
      </c>
      <c r="D1559" t="s">
        <v>540</v>
      </c>
      <c r="E1559" t="s">
        <v>833</v>
      </c>
      <c r="F1559" s="32">
        <v>46409</v>
      </c>
      <c r="G1559" t="s">
        <v>514</v>
      </c>
      <c r="H1559">
        <v>47128300</v>
      </c>
      <c r="I1559" t="s">
        <v>2471</v>
      </c>
      <c r="J1559" t="s">
        <v>2472</v>
      </c>
      <c r="K1559" t="s">
        <v>530</v>
      </c>
      <c r="N1559">
        <v>0</v>
      </c>
      <c r="O1559">
        <v>0</v>
      </c>
      <c r="P1559" t="str">
        <f t="shared" si="24"/>
        <v>N</v>
      </c>
      <c r="Q1559" t="s">
        <v>7289</v>
      </c>
    </row>
    <row r="1560" spans="1:17" x14ac:dyDescent="0.25">
      <c r="A1560" t="s">
        <v>2898</v>
      </c>
      <c r="B1560" t="s">
        <v>2783</v>
      </c>
      <c r="C1560">
        <v>2027</v>
      </c>
      <c r="D1560" t="s">
        <v>540</v>
      </c>
      <c r="E1560" t="s">
        <v>833</v>
      </c>
      <c r="F1560" s="32">
        <v>46409</v>
      </c>
      <c r="G1560" t="s">
        <v>514</v>
      </c>
      <c r="H1560">
        <v>47128213</v>
      </c>
      <c r="I1560" t="s">
        <v>2456</v>
      </c>
      <c r="J1560" t="s">
        <v>2457</v>
      </c>
      <c r="K1560" t="s">
        <v>530</v>
      </c>
      <c r="N1560">
        <v>0</v>
      </c>
      <c r="O1560">
        <v>0</v>
      </c>
      <c r="P1560" t="str">
        <f t="shared" si="24"/>
        <v>N</v>
      </c>
      <c r="Q1560" t="s">
        <v>7290</v>
      </c>
    </row>
    <row r="1561" spans="1:17" x14ac:dyDescent="0.25">
      <c r="A1561" t="s">
        <v>2899</v>
      </c>
      <c r="B1561" t="s">
        <v>2783</v>
      </c>
      <c r="C1561">
        <v>2027</v>
      </c>
      <c r="D1561" t="s">
        <v>540</v>
      </c>
      <c r="E1561" t="s">
        <v>833</v>
      </c>
      <c r="F1561" s="32">
        <v>46409</v>
      </c>
      <c r="G1561" t="s">
        <v>514</v>
      </c>
      <c r="H1561">
        <v>47128667</v>
      </c>
      <c r="I1561" t="s">
        <v>2450</v>
      </c>
      <c r="J1561" t="s">
        <v>2451</v>
      </c>
      <c r="K1561" t="s">
        <v>530</v>
      </c>
      <c r="N1561">
        <v>60</v>
      </c>
      <c r="O1561">
        <v>60</v>
      </c>
      <c r="P1561" t="str">
        <f t="shared" si="24"/>
        <v>N</v>
      </c>
      <c r="Q1561" t="s">
        <v>7291</v>
      </c>
    </row>
    <row r="1562" spans="1:17" x14ac:dyDescent="0.25">
      <c r="A1562" t="s">
        <v>2900</v>
      </c>
      <c r="B1562" t="s">
        <v>2783</v>
      </c>
      <c r="C1562">
        <v>2027</v>
      </c>
      <c r="D1562" t="s">
        <v>540</v>
      </c>
      <c r="E1562" t="s">
        <v>833</v>
      </c>
      <c r="F1562" s="32">
        <v>46409</v>
      </c>
      <c r="G1562" t="s">
        <v>514</v>
      </c>
      <c r="H1562">
        <v>47128179</v>
      </c>
      <c r="I1562" t="s">
        <v>2477</v>
      </c>
      <c r="J1562" t="s">
        <v>2478</v>
      </c>
      <c r="K1562" t="s">
        <v>530</v>
      </c>
      <c r="N1562">
        <v>0</v>
      </c>
      <c r="O1562">
        <v>0</v>
      </c>
      <c r="P1562" t="str">
        <f t="shared" si="24"/>
        <v>N</v>
      </c>
      <c r="Q1562" t="s">
        <v>7292</v>
      </c>
    </row>
    <row r="1563" spans="1:17" x14ac:dyDescent="0.25">
      <c r="A1563" t="s">
        <v>2901</v>
      </c>
      <c r="B1563" t="s">
        <v>2783</v>
      </c>
      <c r="C1563">
        <v>2027</v>
      </c>
      <c r="D1563" t="s">
        <v>540</v>
      </c>
      <c r="E1563" t="s">
        <v>833</v>
      </c>
      <c r="F1563" s="32">
        <v>46409</v>
      </c>
      <c r="G1563" t="s">
        <v>514</v>
      </c>
      <c r="H1563">
        <v>47128655</v>
      </c>
      <c r="I1563" t="s">
        <v>2474</v>
      </c>
      <c r="J1563" t="s">
        <v>2475</v>
      </c>
      <c r="K1563" t="s">
        <v>530</v>
      </c>
      <c r="N1563">
        <v>0</v>
      </c>
      <c r="O1563">
        <v>0</v>
      </c>
      <c r="P1563" t="str">
        <f t="shared" si="24"/>
        <v>N</v>
      </c>
      <c r="Q1563" t="s">
        <v>7293</v>
      </c>
    </row>
    <row r="1564" spans="1:17" x14ac:dyDescent="0.25">
      <c r="A1564" t="s">
        <v>2902</v>
      </c>
      <c r="B1564" t="s">
        <v>2783</v>
      </c>
      <c r="C1564">
        <v>2027</v>
      </c>
      <c r="D1564" t="s">
        <v>540</v>
      </c>
      <c r="E1564" t="s">
        <v>833</v>
      </c>
      <c r="F1564" s="32">
        <v>46409</v>
      </c>
      <c r="G1564" t="s">
        <v>514</v>
      </c>
      <c r="H1564">
        <v>47132096</v>
      </c>
      <c r="I1564" t="s">
        <v>2468</v>
      </c>
      <c r="J1564" t="s">
        <v>2469</v>
      </c>
      <c r="K1564" t="s">
        <v>530</v>
      </c>
      <c r="N1564">
        <v>0</v>
      </c>
      <c r="O1564">
        <v>0</v>
      </c>
      <c r="P1564" t="str">
        <f t="shared" si="24"/>
        <v>N</v>
      </c>
      <c r="Q1564" t="s">
        <v>7294</v>
      </c>
    </row>
    <row r="1565" spans="1:17" x14ac:dyDescent="0.25">
      <c r="A1565" t="s">
        <v>2903</v>
      </c>
      <c r="B1565" t="s">
        <v>2783</v>
      </c>
      <c r="C1565">
        <v>2027</v>
      </c>
      <c r="D1565" t="s">
        <v>540</v>
      </c>
      <c r="E1565" t="s">
        <v>833</v>
      </c>
      <c r="F1565" s="32">
        <v>46409</v>
      </c>
      <c r="G1565" t="s">
        <v>514</v>
      </c>
      <c r="H1565">
        <v>47129222</v>
      </c>
      <c r="I1565" t="s">
        <v>2459</v>
      </c>
      <c r="J1565" t="s">
        <v>2460</v>
      </c>
      <c r="K1565" t="s">
        <v>530</v>
      </c>
      <c r="N1565">
        <v>0</v>
      </c>
      <c r="O1565">
        <v>0</v>
      </c>
      <c r="P1565" t="str">
        <f t="shared" si="24"/>
        <v>N</v>
      </c>
      <c r="Q1565" t="s">
        <v>7295</v>
      </c>
    </row>
    <row r="1566" spans="1:17" x14ac:dyDescent="0.25">
      <c r="A1566" t="s">
        <v>2904</v>
      </c>
      <c r="B1566" t="s">
        <v>2783</v>
      </c>
      <c r="C1566">
        <v>2027</v>
      </c>
      <c r="D1566" t="s">
        <v>540</v>
      </c>
      <c r="E1566" t="s">
        <v>833</v>
      </c>
      <c r="F1566" s="32">
        <v>46409</v>
      </c>
      <c r="G1566" t="s">
        <v>514</v>
      </c>
      <c r="H1566">
        <v>47128561</v>
      </c>
      <c r="I1566" t="s">
        <v>2462</v>
      </c>
      <c r="J1566" t="s">
        <v>2463</v>
      </c>
      <c r="K1566" t="s">
        <v>530</v>
      </c>
      <c r="N1566">
        <v>0</v>
      </c>
      <c r="O1566">
        <v>0</v>
      </c>
      <c r="P1566" t="str">
        <f t="shared" si="24"/>
        <v>N</v>
      </c>
      <c r="Q1566" t="s">
        <v>7296</v>
      </c>
    </row>
    <row r="1567" spans="1:17" x14ac:dyDescent="0.25">
      <c r="A1567" t="s">
        <v>2905</v>
      </c>
      <c r="B1567" t="s">
        <v>2783</v>
      </c>
      <c r="C1567">
        <v>2027</v>
      </c>
      <c r="D1567" t="s">
        <v>540</v>
      </c>
      <c r="E1567" t="s">
        <v>833</v>
      </c>
      <c r="F1567" s="32">
        <v>46409</v>
      </c>
      <c r="G1567" t="s">
        <v>514</v>
      </c>
      <c r="H1567">
        <v>47129274</v>
      </c>
      <c r="I1567" t="s">
        <v>2486</v>
      </c>
      <c r="J1567" t="s">
        <v>2487</v>
      </c>
      <c r="K1567" t="s">
        <v>530</v>
      </c>
      <c r="N1567">
        <v>0</v>
      </c>
      <c r="O1567">
        <v>0</v>
      </c>
      <c r="P1567" t="str">
        <f t="shared" si="24"/>
        <v>N</v>
      </c>
      <c r="Q1567" t="s">
        <v>7297</v>
      </c>
    </row>
    <row r="1568" spans="1:17" x14ac:dyDescent="0.25">
      <c r="A1568" t="s">
        <v>2906</v>
      </c>
      <c r="B1568" t="s">
        <v>2783</v>
      </c>
      <c r="C1568">
        <v>2027</v>
      </c>
      <c r="D1568" t="s">
        <v>540</v>
      </c>
      <c r="E1568" t="s">
        <v>833</v>
      </c>
      <c r="F1568" s="32">
        <v>46409</v>
      </c>
      <c r="G1568" t="s">
        <v>514</v>
      </c>
      <c r="H1568">
        <v>47129262</v>
      </c>
      <c r="I1568" t="s">
        <v>2453</v>
      </c>
      <c r="J1568" t="s">
        <v>2454</v>
      </c>
      <c r="K1568" t="s">
        <v>530</v>
      </c>
      <c r="N1568">
        <v>0</v>
      </c>
      <c r="O1568">
        <v>0</v>
      </c>
      <c r="P1568" t="str">
        <f t="shared" si="24"/>
        <v>N</v>
      </c>
      <c r="Q1568" t="s">
        <v>7298</v>
      </c>
    </row>
    <row r="1569" spans="1:17" x14ac:dyDescent="0.25">
      <c r="A1569" t="s">
        <v>2907</v>
      </c>
      <c r="B1569" t="s">
        <v>2783</v>
      </c>
      <c r="C1569">
        <v>2027</v>
      </c>
      <c r="D1569" t="s">
        <v>540</v>
      </c>
      <c r="E1569" t="s">
        <v>833</v>
      </c>
      <c r="F1569" s="32">
        <v>46409</v>
      </c>
      <c r="G1569" t="s">
        <v>514</v>
      </c>
      <c r="H1569">
        <v>47129558</v>
      </c>
      <c r="I1569" t="s">
        <v>2480</v>
      </c>
      <c r="J1569" t="s">
        <v>2481</v>
      </c>
      <c r="K1569" t="s">
        <v>530</v>
      </c>
      <c r="N1569">
        <v>0</v>
      </c>
      <c r="O1569">
        <v>0</v>
      </c>
      <c r="P1569" t="str">
        <f t="shared" si="24"/>
        <v>N</v>
      </c>
      <c r="Q1569" t="s">
        <v>7299</v>
      </c>
    </row>
    <row r="1570" spans="1:17" x14ac:dyDescent="0.25">
      <c r="A1570" t="s">
        <v>2908</v>
      </c>
      <c r="B1570" t="s">
        <v>2783</v>
      </c>
      <c r="C1570">
        <v>2027</v>
      </c>
      <c r="D1570" t="s">
        <v>540</v>
      </c>
      <c r="E1570" t="s">
        <v>833</v>
      </c>
      <c r="F1570" s="32">
        <v>46409</v>
      </c>
      <c r="G1570" t="s">
        <v>514</v>
      </c>
      <c r="H1570">
        <v>47129727</v>
      </c>
      <c r="I1570" t="s">
        <v>2465</v>
      </c>
      <c r="J1570" t="s">
        <v>2466</v>
      </c>
      <c r="K1570" t="s">
        <v>530</v>
      </c>
      <c r="N1570">
        <v>0</v>
      </c>
      <c r="O1570">
        <v>0</v>
      </c>
      <c r="P1570" t="str">
        <f t="shared" si="24"/>
        <v>N</v>
      </c>
      <c r="Q1570" t="s">
        <v>7300</v>
      </c>
    </row>
    <row r="1571" spans="1:17" x14ac:dyDescent="0.25">
      <c r="A1571" t="s">
        <v>2909</v>
      </c>
      <c r="B1571" t="s">
        <v>2783</v>
      </c>
      <c r="C1571">
        <v>2027</v>
      </c>
      <c r="D1571" t="s">
        <v>540</v>
      </c>
      <c r="E1571" t="s">
        <v>833</v>
      </c>
      <c r="F1571" s="32">
        <v>46409</v>
      </c>
      <c r="G1571" t="s">
        <v>514</v>
      </c>
      <c r="H1571">
        <v>47129273</v>
      </c>
      <c r="I1571" t="s">
        <v>2483</v>
      </c>
      <c r="J1571" t="s">
        <v>2484</v>
      </c>
      <c r="K1571" t="s">
        <v>530</v>
      </c>
      <c r="N1571">
        <v>0</v>
      </c>
      <c r="O1571">
        <v>0</v>
      </c>
      <c r="P1571" t="str">
        <f t="shared" si="24"/>
        <v>N</v>
      </c>
      <c r="Q1571" t="s">
        <v>7301</v>
      </c>
    </row>
    <row r="1572" spans="1:17" x14ac:dyDescent="0.25">
      <c r="A1572" t="s">
        <v>2910</v>
      </c>
      <c r="B1572" t="s">
        <v>2783</v>
      </c>
      <c r="C1572">
        <v>2027</v>
      </c>
      <c r="D1572" t="s">
        <v>540</v>
      </c>
      <c r="E1572" t="s">
        <v>833</v>
      </c>
      <c r="F1572" s="32">
        <v>46409</v>
      </c>
      <c r="G1572" t="s">
        <v>514</v>
      </c>
      <c r="H1572">
        <v>47128587</v>
      </c>
      <c r="I1572" t="s">
        <v>2489</v>
      </c>
      <c r="J1572" t="s">
        <v>2490</v>
      </c>
      <c r="K1572" t="s">
        <v>530</v>
      </c>
      <c r="N1572">
        <v>0</v>
      </c>
      <c r="O1572">
        <v>0</v>
      </c>
      <c r="P1572" t="str">
        <f t="shared" si="24"/>
        <v>N</v>
      </c>
      <c r="Q1572" t="s">
        <v>7302</v>
      </c>
    </row>
    <row r="1573" spans="1:17" x14ac:dyDescent="0.25">
      <c r="A1573" t="s">
        <v>2911</v>
      </c>
      <c r="B1573" t="s">
        <v>2783</v>
      </c>
      <c r="C1573">
        <v>2027</v>
      </c>
      <c r="D1573" t="s">
        <v>540</v>
      </c>
      <c r="E1573" t="s">
        <v>833</v>
      </c>
      <c r="F1573" s="32">
        <v>46409</v>
      </c>
      <c r="G1573" t="s">
        <v>514</v>
      </c>
      <c r="H1573">
        <v>47128247</v>
      </c>
      <c r="I1573" t="s">
        <v>2492</v>
      </c>
      <c r="J1573" t="s">
        <v>2493</v>
      </c>
      <c r="K1573" t="s">
        <v>530</v>
      </c>
      <c r="N1573">
        <v>0</v>
      </c>
      <c r="O1573">
        <v>0</v>
      </c>
      <c r="P1573" t="str">
        <f t="shared" si="24"/>
        <v>N</v>
      </c>
      <c r="Q1573" t="s">
        <v>7303</v>
      </c>
    </row>
    <row r="1574" spans="1:17" x14ac:dyDescent="0.25">
      <c r="A1574" t="s">
        <v>3320</v>
      </c>
      <c r="B1574" t="s">
        <v>1080</v>
      </c>
      <c r="C1574">
        <v>2027</v>
      </c>
      <c r="D1574" t="s">
        <v>540</v>
      </c>
      <c r="E1574" t="s">
        <v>833</v>
      </c>
      <c r="F1574" s="32">
        <v>46409</v>
      </c>
      <c r="G1574" t="s">
        <v>514</v>
      </c>
      <c r="H1574">
        <v>47128787</v>
      </c>
      <c r="I1574" t="s">
        <v>1453</v>
      </c>
      <c r="J1574" t="s">
        <v>1452</v>
      </c>
      <c r="K1574" t="s">
        <v>530</v>
      </c>
      <c r="N1574">
        <v>0</v>
      </c>
      <c r="O1574">
        <v>0</v>
      </c>
      <c r="P1574" t="str">
        <f t="shared" si="24"/>
        <v>N</v>
      </c>
      <c r="Q1574" t="s">
        <v>7304</v>
      </c>
    </row>
    <row r="1575" spans="1:17" x14ac:dyDescent="0.25">
      <c r="A1575" t="s">
        <v>3321</v>
      </c>
      <c r="B1575" t="s">
        <v>1080</v>
      </c>
      <c r="C1575">
        <v>2027</v>
      </c>
      <c r="D1575" t="s">
        <v>540</v>
      </c>
      <c r="E1575" t="s">
        <v>833</v>
      </c>
      <c r="F1575" s="32">
        <v>46409</v>
      </c>
      <c r="G1575" t="s">
        <v>514</v>
      </c>
      <c r="H1575">
        <v>47146464</v>
      </c>
      <c r="I1575" t="s">
        <v>1438</v>
      </c>
      <c r="J1575" t="s">
        <v>1437</v>
      </c>
      <c r="K1575" t="s">
        <v>530</v>
      </c>
      <c r="N1575">
        <v>0</v>
      </c>
      <c r="O1575">
        <v>0</v>
      </c>
      <c r="P1575" t="str">
        <f t="shared" si="24"/>
        <v>N</v>
      </c>
      <c r="Q1575" t="s">
        <v>7305</v>
      </c>
    </row>
    <row r="1576" spans="1:17" x14ac:dyDescent="0.25">
      <c r="A1576" t="s">
        <v>3322</v>
      </c>
      <c r="B1576" t="s">
        <v>1080</v>
      </c>
      <c r="C1576">
        <v>2027</v>
      </c>
      <c r="D1576" t="s">
        <v>540</v>
      </c>
      <c r="E1576" t="s">
        <v>833</v>
      </c>
      <c r="F1576" s="32">
        <v>46409</v>
      </c>
      <c r="G1576" t="s">
        <v>514</v>
      </c>
      <c r="H1576">
        <v>47146463</v>
      </c>
      <c r="I1576" t="s">
        <v>1441</v>
      </c>
      <c r="J1576" t="s">
        <v>1440</v>
      </c>
      <c r="K1576" t="s">
        <v>530</v>
      </c>
      <c r="N1576">
        <v>0</v>
      </c>
      <c r="O1576">
        <v>0</v>
      </c>
      <c r="P1576" t="str">
        <f t="shared" si="24"/>
        <v>N</v>
      </c>
      <c r="Q1576" t="s">
        <v>7306</v>
      </c>
    </row>
    <row r="1577" spans="1:17" x14ac:dyDescent="0.25">
      <c r="A1577" t="s">
        <v>3323</v>
      </c>
      <c r="B1577" t="s">
        <v>1080</v>
      </c>
      <c r="C1577">
        <v>2027</v>
      </c>
      <c r="D1577" t="s">
        <v>540</v>
      </c>
      <c r="E1577" t="s">
        <v>833</v>
      </c>
      <c r="F1577" s="32">
        <v>46409</v>
      </c>
      <c r="G1577" t="s">
        <v>514</v>
      </c>
      <c r="H1577">
        <v>47128729</v>
      </c>
      <c r="I1577" t="s">
        <v>1149</v>
      </c>
      <c r="J1577" t="s">
        <v>1148</v>
      </c>
      <c r="K1577" t="s">
        <v>530</v>
      </c>
      <c r="N1577">
        <v>0</v>
      </c>
      <c r="O1577">
        <v>0</v>
      </c>
      <c r="P1577" t="str">
        <f t="shared" si="24"/>
        <v>N</v>
      </c>
      <c r="Q1577" t="s">
        <v>7307</v>
      </c>
    </row>
    <row r="1578" spans="1:17" x14ac:dyDescent="0.25">
      <c r="A1578" t="s">
        <v>3324</v>
      </c>
      <c r="B1578" t="s">
        <v>1080</v>
      </c>
      <c r="C1578">
        <v>2027</v>
      </c>
      <c r="D1578" t="s">
        <v>540</v>
      </c>
      <c r="E1578" t="s">
        <v>833</v>
      </c>
      <c r="F1578" s="32">
        <v>46409</v>
      </c>
      <c r="G1578" t="s">
        <v>514</v>
      </c>
      <c r="H1578">
        <v>47128413</v>
      </c>
      <c r="I1578" t="s">
        <v>1397</v>
      </c>
      <c r="J1578" t="s">
        <v>1396</v>
      </c>
      <c r="K1578" t="s">
        <v>530</v>
      </c>
      <c r="N1578">
        <v>0</v>
      </c>
      <c r="O1578">
        <v>0</v>
      </c>
      <c r="P1578" t="str">
        <f t="shared" si="24"/>
        <v>N</v>
      </c>
      <c r="Q1578" t="s">
        <v>7308</v>
      </c>
    </row>
    <row r="1579" spans="1:17" x14ac:dyDescent="0.25">
      <c r="A1579" t="s">
        <v>3325</v>
      </c>
      <c r="B1579" t="s">
        <v>1080</v>
      </c>
      <c r="C1579">
        <v>2027</v>
      </c>
      <c r="D1579" t="s">
        <v>540</v>
      </c>
      <c r="E1579" t="s">
        <v>833</v>
      </c>
      <c r="F1579" s="32">
        <v>46409</v>
      </c>
      <c r="G1579" t="s">
        <v>514</v>
      </c>
      <c r="H1579">
        <v>47128783</v>
      </c>
      <c r="I1579" t="s">
        <v>1280</v>
      </c>
      <c r="J1579" t="s">
        <v>1279</v>
      </c>
      <c r="K1579" t="s">
        <v>530</v>
      </c>
      <c r="N1579">
        <v>0</v>
      </c>
      <c r="O1579">
        <v>0</v>
      </c>
      <c r="P1579" t="str">
        <f t="shared" si="24"/>
        <v>N</v>
      </c>
      <c r="Q1579" t="s">
        <v>7309</v>
      </c>
    </row>
    <row r="1580" spans="1:17" x14ac:dyDescent="0.25">
      <c r="A1580" t="s">
        <v>3326</v>
      </c>
      <c r="B1580" t="s">
        <v>1080</v>
      </c>
      <c r="C1580">
        <v>2027</v>
      </c>
      <c r="D1580" t="s">
        <v>540</v>
      </c>
      <c r="E1580" t="s">
        <v>833</v>
      </c>
      <c r="F1580" s="32">
        <v>46409</v>
      </c>
      <c r="G1580" t="s">
        <v>514</v>
      </c>
      <c r="H1580">
        <v>47128944</v>
      </c>
      <c r="I1580" t="s">
        <v>1137</v>
      </c>
      <c r="J1580" t="s">
        <v>1136</v>
      </c>
      <c r="K1580" t="s">
        <v>530</v>
      </c>
      <c r="N1580">
        <v>0</v>
      </c>
      <c r="O1580">
        <v>0</v>
      </c>
      <c r="P1580" t="str">
        <f t="shared" si="24"/>
        <v>N</v>
      </c>
      <c r="Q1580" t="s">
        <v>7310</v>
      </c>
    </row>
    <row r="1581" spans="1:17" x14ac:dyDescent="0.25">
      <c r="A1581" t="s">
        <v>3327</v>
      </c>
      <c r="B1581" t="s">
        <v>1080</v>
      </c>
      <c r="C1581">
        <v>2027</v>
      </c>
      <c r="D1581" t="s">
        <v>540</v>
      </c>
      <c r="E1581" t="s">
        <v>833</v>
      </c>
      <c r="F1581" s="32">
        <v>46409</v>
      </c>
      <c r="G1581" t="s">
        <v>514</v>
      </c>
      <c r="H1581">
        <v>47129547</v>
      </c>
      <c r="I1581" t="s">
        <v>1128</v>
      </c>
      <c r="J1581" t="s">
        <v>1352</v>
      </c>
      <c r="K1581" t="s">
        <v>530</v>
      </c>
      <c r="N1581">
        <v>0</v>
      </c>
      <c r="O1581">
        <v>0</v>
      </c>
      <c r="P1581" t="str">
        <f t="shared" si="24"/>
        <v>N</v>
      </c>
      <c r="Q1581" t="s">
        <v>7311</v>
      </c>
    </row>
    <row r="1582" spans="1:17" x14ac:dyDescent="0.25">
      <c r="A1582" t="s">
        <v>3328</v>
      </c>
      <c r="B1582" t="s">
        <v>1080</v>
      </c>
      <c r="C1582">
        <v>2027</v>
      </c>
      <c r="D1582" t="s">
        <v>540</v>
      </c>
      <c r="E1582" t="s">
        <v>833</v>
      </c>
      <c r="F1582" s="32">
        <v>46409</v>
      </c>
      <c r="G1582" t="s">
        <v>514</v>
      </c>
      <c r="H1582">
        <v>47128518</v>
      </c>
      <c r="I1582" t="s">
        <v>1232</v>
      </c>
      <c r="J1582" t="s">
        <v>1493</v>
      </c>
      <c r="K1582" t="s">
        <v>530</v>
      </c>
      <c r="N1582">
        <v>0</v>
      </c>
      <c r="O1582">
        <v>0</v>
      </c>
      <c r="P1582" t="str">
        <f t="shared" si="24"/>
        <v>N</v>
      </c>
      <c r="Q1582" t="s">
        <v>7312</v>
      </c>
    </row>
    <row r="1583" spans="1:17" x14ac:dyDescent="0.25">
      <c r="A1583" t="s">
        <v>3329</v>
      </c>
      <c r="B1583" t="s">
        <v>1080</v>
      </c>
      <c r="C1583">
        <v>2027</v>
      </c>
      <c r="D1583" t="s">
        <v>540</v>
      </c>
      <c r="E1583" t="s">
        <v>833</v>
      </c>
      <c r="F1583" s="32">
        <v>46409</v>
      </c>
      <c r="G1583" t="s">
        <v>514</v>
      </c>
      <c r="H1583">
        <v>47128977</v>
      </c>
      <c r="I1583" t="s">
        <v>1449</v>
      </c>
      <c r="J1583" t="s">
        <v>1448</v>
      </c>
      <c r="K1583" t="s">
        <v>530</v>
      </c>
      <c r="N1583">
        <v>0</v>
      </c>
      <c r="O1583">
        <v>0</v>
      </c>
      <c r="P1583" t="str">
        <f t="shared" si="24"/>
        <v>N</v>
      </c>
      <c r="Q1583" t="s">
        <v>7313</v>
      </c>
    </row>
    <row r="1584" spans="1:17" x14ac:dyDescent="0.25">
      <c r="A1584" t="s">
        <v>3330</v>
      </c>
      <c r="B1584" t="s">
        <v>1080</v>
      </c>
      <c r="C1584">
        <v>2027</v>
      </c>
      <c r="D1584" t="s">
        <v>540</v>
      </c>
      <c r="E1584" t="s">
        <v>833</v>
      </c>
      <c r="F1584" s="32">
        <v>46409</v>
      </c>
      <c r="G1584" t="s">
        <v>514</v>
      </c>
      <c r="H1584">
        <v>47128168</v>
      </c>
      <c r="I1584" t="s">
        <v>1100</v>
      </c>
      <c r="J1584" t="s">
        <v>1099</v>
      </c>
      <c r="K1584" t="s">
        <v>530</v>
      </c>
      <c r="N1584">
        <v>0</v>
      </c>
      <c r="O1584">
        <v>0</v>
      </c>
      <c r="P1584" t="str">
        <f t="shared" si="24"/>
        <v>N</v>
      </c>
      <c r="Q1584" t="s">
        <v>7314</v>
      </c>
    </row>
    <row r="1585" spans="1:17" x14ac:dyDescent="0.25">
      <c r="A1585" t="s">
        <v>3331</v>
      </c>
      <c r="B1585" t="s">
        <v>1080</v>
      </c>
      <c r="C1585">
        <v>2027</v>
      </c>
      <c r="D1585" t="s">
        <v>540</v>
      </c>
      <c r="E1585" t="s">
        <v>833</v>
      </c>
      <c r="F1585" s="32">
        <v>46409</v>
      </c>
      <c r="G1585" t="s">
        <v>514</v>
      </c>
      <c r="H1585">
        <v>47128687</v>
      </c>
      <c r="I1585" t="s">
        <v>1153</v>
      </c>
      <c r="J1585" t="s">
        <v>1152</v>
      </c>
      <c r="K1585" t="s">
        <v>530</v>
      </c>
      <c r="N1585">
        <v>0</v>
      </c>
      <c r="O1585">
        <v>0</v>
      </c>
      <c r="P1585" t="str">
        <f t="shared" si="24"/>
        <v>N</v>
      </c>
      <c r="Q1585" t="s">
        <v>7315</v>
      </c>
    </row>
    <row r="1586" spans="1:17" x14ac:dyDescent="0.25">
      <c r="A1586" t="s">
        <v>3332</v>
      </c>
      <c r="B1586" t="s">
        <v>1080</v>
      </c>
      <c r="C1586">
        <v>2027</v>
      </c>
      <c r="D1586" t="s">
        <v>540</v>
      </c>
      <c r="E1586" t="s">
        <v>833</v>
      </c>
      <c r="F1586" s="32">
        <v>46409</v>
      </c>
      <c r="G1586" t="s">
        <v>514</v>
      </c>
      <c r="H1586">
        <v>47128585</v>
      </c>
      <c r="I1586" t="s">
        <v>1141</v>
      </c>
      <c r="J1586" t="s">
        <v>1140</v>
      </c>
      <c r="K1586" t="s">
        <v>530</v>
      </c>
      <c r="N1586">
        <v>0</v>
      </c>
      <c r="O1586">
        <v>0</v>
      </c>
      <c r="P1586" t="str">
        <f t="shared" si="24"/>
        <v>N</v>
      </c>
      <c r="Q1586" t="s">
        <v>7316</v>
      </c>
    </row>
    <row r="1587" spans="1:17" x14ac:dyDescent="0.25">
      <c r="A1587" t="s">
        <v>3333</v>
      </c>
      <c r="B1587" t="s">
        <v>1080</v>
      </c>
      <c r="C1587">
        <v>2027</v>
      </c>
      <c r="D1587" t="s">
        <v>540</v>
      </c>
      <c r="E1587" t="s">
        <v>833</v>
      </c>
      <c r="F1587" s="32">
        <v>46409</v>
      </c>
      <c r="G1587" t="s">
        <v>514</v>
      </c>
      <c r="H1587">
        <v>47128906</v>
      </c>
      <c r="I1587" t="s">
        <v>1349</v>
      </c>
      <c r="J1587" t="s">
        <v>1348</v>
      </c>
      <c r="K1587" t="s">
        <v>530</v>
      </c>
      <c r="N1587">
        <v>0</v>
      </c>
      <c r="O1587">
        <v>0</v>
      </c>
      <c r="P1587" t="str">
        <f t="shared" si="24"/>
        <v>N</v>
      </c>
      <c r="Q1587" t="s">
        <v>7317</v>
      </c>
    </row>
    <row r="1588" spans="1:17" x14ac:dyDescent="0.25">
      <c r="A1588" t="s">
        <v>3334</v>
      </c>
      <c r="B1588" t="s">
        <v>1080</v>
      </c>
      <c r="C1588">
        <v>2027</v>
      </c>
      <c r="D1588" t="s">
        <v>540</v>
      </c>
      <c r="E1588" t="s">
        <v>833</v>
      </c>
      <c r="F1588" s="32">
        <v>46409</v>
      </c>
      <c r="G1588" t="s">
        <v>514</v>
      </c>
      <c r="H1588">
        <v>47128585</v>
      </c>
      <c r="I1588" t="s">
        <v>1141</v>
      </c>
      <c r="J1588" t="s">
        <v>1408</v>
      </c>
      <c r="K1588" t="s">
        <v>530</v>
      </c>
      <c r="N1588">
        <v>0</v>
      </c>
      <c r="O1588">
        <v>0</v>
      </c>
      <c r="P1588" t="str">
        <f t="shared" si="24"/>
        <v>N</v>
      </c>
      <c r="Q1588" t="s">
        <v>7318</v>
      </c>
    </row>
    <row r="1589" spans="1:17" x14ac:dyDescent="0.25">
      <c r="A1589" t="s">
        <v>3335</v>
      </c>
      <c r="B1589" t="s">
        <v>1080</v>
      </c>
      <c r="C1589">
        <v>2027</v>
      </c>
      <c r="D1589" t="s">
        <v>540</v>
      </c>
      <c r="E1589" t="s">
        <v>833</v>
      </c>
      <c r="F1589" s="32">
        <v>46409</v>
      </c>
      <c r="G1589" t="s">
        <v>514</v>
      </c>
      <c r="H1589">
        <v>47128518</v>
      </c>
      <c r="I1589" t="s">
        <v>1232</v>
      </c>
      <c r="J1589" t="s">
        <v>1231</v>
      </c>
      <c r="K1589" t="s">
        <v>530</v>
      </c>
      <c r="N1589">
        <v>0</v>
      </c>
      <c r="O1589">
        <v>0</v>
      </c>
      <c r="P1589" t="str">
        <f t="shared" si="24"/>
        <v>N</v>
      </c>
      <c r="Q1589" t="s">
        <v>7319</v>
      </c>
    </row>
    <row r="1590" spans="1:17" x14ac:dyDescent="0.25">
      <c r="A1590" t="s">
        <v>3336</v>
      </c>
      <c r="B1590" t="s">
        <v>1080</v>
      </c>
      <c r="C1590">
        <v>2027</v>
      </c>
      <c r="D1590" t="s">
        <v>540</v>
      </c>
      <c r="E1590" t="s">
        <v>833</v>
      </c>
      <c r="F1590" s="32">
        <v>46409</v>
      </c>
      <c r="G1590" t="s">
        <v>514</v>
      </c>
      <c r="H1590">
        <v>47128680</v>
      </c>
      <c r="I1590" t="s">
        <v>1284</v>
      </c>
      <c r="J1590" t="s">
        <v>1283</v>
      </c>
      <c r="K1590" t="s">
        <v>530</v>
      </c>
      <c r="N1590">
        <v>0</v>
      </c>
      <c r="O1590">
        <v>0</v>
      </c>
      <c r="P1590" t="str">
        <f t="shared" si="24"/>
        <v>N</v>
      </c>
      <c r="Q1590" t="s">
        <v>7320</v>
      </c>
    </row>
    <row r="1591" spans="1:17" x14ac:dyDescent="0.25">
      <c r="A1591" t="s">
        <v>3337</v>
      </c>
      <c r="B1591" t="s">
        <v>1080</v>
      </c>
      <c r="C1591">
        <v>2027</v>
      </c>
      <c r="D1591" t="s">
        <v>540</v>
      </c>
      <c r="E1591" t="s">
        <v>833</v>
      </c>
      <c r="F1591" s="32">
        <v>46409</v>
      </c>
      <c r="G1591" t="s">
        <v>514</v>
      </c>
      <c r="H1591">
        <v>47128024</v>
      </c>
      <c r="I1591" t="s">
        <v>1108</v>
      </c>
      <c r="J1591" t="s">
        <v>1107</v>
      </c>
      <c r="K1591" t="s">
        <v>530</v>
      </c>
      <c r="N1591">
        <v>0</v>
      </c>
      <c r="O1591">
        <v>0</v>
      </c>
      <c r="P1591" t="str">
        <f t="shared" si="24"/>
        <v>N</v>
      </c>
      <c r="Q1591" t="s">
        <v>7321</v>
      </c>
    </row>
    <row r="1592" spans="1:17" x14ac:dyDescent="0.25">
      <c r="A1592" t="s">
        <v>3338</v>
      </c>
      <c r="B1592" t="s">
        <v>1080</v>
      </c>
      <c r="C1592">
        <v>2027</v>
      </c>
      <c r="D1592" t="s">
        <v>540</v>
      </c>
      <c r="E1592" t="s">
        <v>833</v>
      </c>
      <c r="F1592" s="32">
        <v>46409</v>
      </c>
      <c r="G1592" t="s">
        <v>514</v>
      </c>
      <c r="H1592">
        <v>47128944</v>
      </c>
      <c r="I1592" t="s">
        <v>1137</v>
      </c>
      <c r="J1592" t="s">
        <v>1513</v>
      </c>
      <c r="K1592" t="s">
        <v>530</v>
      </c>
      <c r="N1592">
        <v>0</v>
      </c>
      <c r="O1592">
        <v>0</v>
      </c>
      <c r="P1592" t="str">
        <f t="shared" si="24"/>
        <v>N</v>
      </c>
      <c r="Q1592" t="s">
        <v>7322</v>
      </c>
    </row>
    <row r="1593" spans="1:17" x14ac:dyDescent="0.25">
      <c r="A1593" t="s">
        <v>3339</v>
      </c>
      <c r="B1593" t="s">
        <v>1080</v>
      </c>
      <c r="C1593">
        <v>2027</v>
      </c>
      <c r="D1593" t="s">
        <v>540</v>
      </c>
      <c r="E1593" t="s">
        <v>833</v>
      </c>
      <c r="F1593" s="32">
        <v>46409</v>
      </c>
      <c r="G1593" t="s">
        <v>514</v>
      </c>
      <c r="H1593">
        <v>47147546</v>
      </c>
      <c r="I1593" t="s">
        <v>1077</v>
      </c>
      <c r="J1593" t="s">
        <v>1076</v>
      </c>
      <c r="K1593" t="s">
        <v>530</v>
      </c>
      <c r="N1593">
        <v>0</v>
      </c>
      <c r="O1593">
        <v>0</v>
      </c>
      <c r="P1593" t="str">
        <f t="shared" si="24"/>
        <v>N</v>
      </c>
      <c r="Q1593" t="s">
        <v>7323</v>
      </c>
    </row>
    <row r="1594" spans="1:17" x14ac:dyDescent="0.25">
      <c r="A1594" t="s">
        <v>3340</v>
      </c>
      <c r="B1594" t="s">
        <v>1080</v>
      </c>
      <c r="C1594">
        <v>2027</v>
      </c>
      <c r="D1594" t="s">
        <v>540</v>
      </c>
      <c r="E1594" t="s">
        <v>833</v>
      </c>
      <c r="F1594" s="32">
        <v>46409</v>
      </c>
      <c r="G1594" t="s">
        <v>514</v>
      </c>
      <c r="H1594">
        <v>47128346</v>
      </c>
      <c r="I1594" t="s">
        <v>1157</v>
      </c>
      <c r="J1594" t="s">
        <v>1156</v>
      </c>
      <c r="K1594" t="s">
        <v>530</v>
      </c>
      <c r="N1594">
        <v>0</v>
      </c>
      <c r="O1594">
        <v>0</v>
      </c>
      <c r="P1594" t="str">
        <f t="shared" si="24"/>
        <v>N</v>
      </c>
      <c r="Q1594" t="s">
        <v>7324</v>
      </c>
    </row>
    <row r="1595" spans="1:17" x14ac:dyDescent="0.25">
      <c r="A1595" t="s">
        <v>3341</v>
      </c>
      <c r="B1595" t="s">
        <v>1080</v>
      </c>
      <c r="C1595">
        <v>2027</v>
      </c>
      <c r="D1595" t="s">
        <v>540</v>
      </c>
      <c r="E1595" t="s">
        <v>833</v>
      </c>
      <c r="F1595" s="32">
        <v>46409</v>
      </c>
      <c r="G1595" t="s">
        <v>514</v>
      </c>
      <c r="H1595">
        <v>47128800</v>
      </c>
      <c r="I1595" t="s">
        <v>1145</v>
      </c>
      <c r="J1595" t="s">
        <v>1144</v>
      </c>
      <c r="K1595" t="s">
        <v>530</v>
      </c>
      <c r="N1595">
        <v>0</v>
      </c>
      <c r="O1595">
        <v>0</v>
      </c>
      <c r="P1595" t="str">
        <f t="shared" si="24"/>
        <v>N</v>
      </c>
      <c r="Q1595" t="s">
        <v>7325</v>
      </c>
    </row>
    <row r="1596" spans="1:17" x14ac:dyDescent="0.25">
      <c r="A1596" t="s">
        <v>3342</v>
      </c>
      <c r="B1596" t="s">
        <v>1080</v>
      </c>
      <c r="C1596">
        <v>2027</v>
      </c>
      <c r="D1596" t="s">
        <v>540</v>
      </c>
      <c r="E1596" t="s">
        <v>833</v>
      </c>
      <c r="F1596" s="32">
        <v>46409</v>
      </c>
      <c r="G1596" t="s">
        <v>514</v>
      </c>
      <c r="H1596">
        <v>47128109</v>
      </c>
      <c r="I1596" t="s">
        <v>1336</v>
      </c>
      <c r="J1596" t="s">
        <v>1335</v>
      </c>
      <c r="K1596" t="s">
        <v>530</v>
      </c>
      <c r="N1596">
        <v>0</v>
      </c>
      <c r="O1596">
        <v>0</v>
      </c>
      <c r="P1596" t="str">
        <f t="shared" si="24"/>
        <v>N</v>
      </c>
      <c r="Q1596" t="s">
        <v>7326</v>
      </c>
    </row>
    <row r="1597" spans="1:17" x14ac:dyDescent="0.25">
      <c r="A1597" t="s">
        <v>3343</v>
      </c>
      <c r="B1597" t="s">
        <v>1080</v>
      </c>
      <c r="C1597">
        <v>2027</v>
      </c>
      <c r="D1597" t="s">
        <v>540</v>
      </c>
      <c r="E1597" t="s">
        <v>833</v>
      </c>
      <c r="F1597" s="32">
        <v>46409</v>
      </c>
      <c r="G1597" t="s">
        <v>514</v>
      </c>
      <c r="H1597">
        <v>47128430</v>
      </c>
      <c r="I1597" t="s">
        <v>1401</v>
      </c>
      <c r="J1597" t="s">
        <v>1400</v>
      </c>
      <c r="K1597" t="s">
        <v>530</v>
      </c>
      <c r="N1597">
        <v>0</v>
      </c>
      <c r="O1597">
        <v>0</v>
      </c>
      <c r="P1597" t="str">
        <f t="shared" si="24"/>
        <v>N</v>
      </c>
      <c r="Q1597" t="s">
        <v>7327</v>
      </c>
    </row>
    <row r="1598" spans="1:17" x14ac:dyDescent="0.25">
      <c r="A1598" t="s">
        <v>3344</v>
      </c>
      <c r="B1598" t="s">
        <v>1080</v>
      </c>
      <c r="C1598">
        <v>2027</v>
      </c>
      <c r="D1598" t="s">
        <v>540</v>
      </c>
      <c r="E1598" t="s">
        <v>833</v>
      </c>
      <c r="F1598" s="32">
        <v>46409</v>
      </c>
      <c r="G1598" t="s">
        <v>514</v>
      </c>
      <c r="H1598">
        <v>47128522</v>
      </c>
      <c r="I1598" t="s">
        <v>1092</v>
      </c>
      <c r="J1598" t="s">
        <v>1091</v>
      </c>
      <c r="K1598" t="s">
        <v>530</v>
      </c>
      <c r="N1598">
        <v>0</v>
      </c>
      <c r="O1598">
        <v>0</v>
      </c>
      <c r="P1598" t="str">
        <f t="shared" si="24"/>
        <v>N</v>
      </c>
      <c r="Q1598" t="s">
        <v>7328</v>
      </c>
    </row>
    <row r="1599" spans="1:17" x14ac:dyDescent="0.25">
      <c r="A1599" t="s">
        <v>3345</v>
      </c>
      <c r="B1599" t="s">
        <v>1080</v>
      </c>
      <c r="C1599">
        <v>2027</v>
      </c>
      <c r="D1599" t="s">
        <v>540</v>
      </c>
      <c r="E1599" t="s">
        <v>833</v>
      </c>
      <c r="F1599" s="32">
        <v>46409</v>
      </c>
      <c r="G1599" t="s">
        <v>514</v>
      </c>
      <c r="H1599">
        <v>47147546</v>
      </c>
      <c r="I1599" t="s">
        <v>1077</v>
      </c>
      <c r="J1599" t="s">
        <v>1381</v>
      </c>
      <c r="K1599" t="s">
        <v>530</v>
      </c>
      <c r="N1599">
        <v>0</v>
      </c>
      <c r="O1599">
        <v>0</v>
      </c>
      <c r="P1599" t="str">
        <f t="shared" si="24"/>
        <v>N</v>
      </c>
      <c r="Q1599" t="s">
        <v>7329</v>
      </c>
    </row>
    <row r="1600" spans="1:17" x14ac:dyDescent="0.25">
      <c r="A1600" t="s">
        <v>3346</v>
      </c>
      <c r="B1600" t="s">
        <v>1080</v>
      </c>
      <c r="C1600">
        <v>2027</v>
      </c>
      <c r="D1600" t="s">
        <v>540</v>
      </c>
      <c r="E1600" t="s">
        <v>833</v>
      </c>
      <c r="F1600" s="32">
        <v>46409</v>
      </c>
      <c r="G1600" t="s">
        <v>514</v>
      </c>
      <c r="H1600">
        <v>47147658</v>
      </c>
      <c r="I1600" t="s">
        <v>1276</v>
      </c>
      <c r="J1600" t="s">
        <v>1275</v>
      </c>
      <c r="K1600" t="s">
        <v>530</v>
      </c>
      <c r="N1600">
        <v>0</v>
      </c>
      <c r="O1600">
        <v>0</v>
      </c>
      <c r="P1600" t="str">
        <f t="shared" si="24"/>
        <v>N</v>
      </c>
      <c r="Q1600" t="s">
        <v>7330</v>
      </c>
    </row>
    <row r="1601" spans="1:17" x14ac:dyDescent="0.25">
      <c r="A1601" t="s">
        <v>3347</v>
      </c>
      <c r="B1601" t="s">
        <v>1080</v>
      </c>
      <c r="C1601">
        <v>2027</v>
      </c>
      <c r="D1601" t="s">
        <v>540</v>
      </c>
      <c r="E1601" t="s">
        <v>833</v>
      </c>
      <c r="F1601" s="32">
        <v>46409</v>
      </c>
      <c r="G1601" t="s">
        <v>514</v>
      </c>
      <c r="H1601">
        <v>47147546</v>
      </c>
      <c r="I1601" t="s">
        <v>1077</v>
      </c>
      <c r="J1601" t="s">
        <v>1171</v>
      </c>
      <c r="K1601" t="s">
        <v>530</v>
      </c>
      <c r="N1601">
        <v>0</v>
      </c>
      <c r="O1601">
        <v>0</v>
      </c>
      <c r="P1601" t="str">
        <f t="shared" si="24"/>
        <v>N</v>
      </c>
      <c r="Q1601" t="s">
        <v>7331</v>
      </c>
    </row>
    <row r="1602" spans="1:17" x14ac:dyDescent="0.25">
      <c r="A1602" t="s">
        <v>3348</v>
      </c>
      <c r="B1602" t="s">
        <v>1080</v>
      </c>
      <c r="C1602">
        <v>2027</v>
      </c>
      <c r="D1602" t="s">
        <v>540</v>
      </c>
      <c r="E1602" t="s">
        <v>833</v>
      </c>
      <c r="F1602" s="32">
        <v>46409</v>
      </c>
      <c r="G1602" t="s">
        <v>514</v>
      </c>
      <c r="H1602">
        <v>47128028</v>
      </c>
      <c r="I1602" t="s">
        <v>1035</v>
      </c>
      <c r="J1602" t="s">
        <v>1034</v>
      </c>
      <c r="K1602" t="s">
        <v>530</v>
      </c>
      <c r="N1602">
        <v>253</v>
      </c>
      <c r="O1602">
        <v>253</v>
      </c>
      <c r="P1602" t="str">
        <f t="shared" si="24"/>
        <v>N</v>
      </c>
      <c r="Q1602" t="s">
        <v>7332</v>
      </c>
    </row>
    <row r="1603" spans="1:17" x14ac:dyDescent="0.25">
      <c r="A1603" t="s">
        <v>3349</v>
      </c>
      <c r="B1603" t="s">
        <v>1080</v>
      </c>
      <c r="C1603">
        <v>2027</v>
      </c>
      <c r="D1603" t="s">
        <v>540</v>
      </c>
      <c r="E1603" t="s">
        <v>833</v>
      </c>
      <c r="F1603" s="32">
        <v>46409</v>
      </c>
      <c r="G1603" t="s">
        <v>514</v>
      </c>
      <c r="H1603">
        <v>47128465</v>
      </c>
      <c r="I1603" t="s">
        <v>1333</v>
      </c>
      <c r="J1603" t="s">
        <v>1332</v>
      </c>
      <c r="K1603" t="s">
        <v>530</v>
      </c>
      <c r="N1603">
        <v>0</v>
      </c>
      <c r="O1603">
        <v>0</v>
      </c>
      <c r="P1603" t="str">
        <f t="shared" ref="P1603:P1666" si="25">IF(N1603=O1603,"N","Y")</f>
        <v>N</v>
      </c>
      <c r="Q1603" t="s">
        <v>7333</v>
      </c>
    </row>
    <row r="1604" spans="1:17" x14ac:dyDescent="0.25">
      <c r="A1604" t="s">
        <v>3350</v>
      </c>
      <c r="B1604" t="s">
        <v>1080</v>
      </c>
      <c r="C1604">
        <v>2027</v>
      </c>
      <c r="D1604" t="s">
        <v>540</v>
      </c>
      <c r="E1604" t="s">
        <v>833</v>
      </c>
      <c r="F1604" s="32">
        <v>46409</v>
      </c>
      <c r="G1604" t="s">
        <v>514</v>
      </c>
      <c r="H1604">
        <v>47128548</v>
      </c>
      <c r="I1604" t="s">
        <v>958</v>
      </c>
      <c r="J1604" t="s">
        <v>957</v>
      </c>
      <c r="K1604" t="s">
        <v>530</v>
      </c>
      <c r="N1604">
        <v>0</v>
      </c>
      <c r="O1604">
        <v>0</v>
      </c>
      <c r="P1604" t="str">
        <f t="shared" si="25"/>
        <v>N</v>
      </c>
      <c r="Q1604" t="s">
        <v>7334</v>
      </c>
    </row>
    <row r="1605" spans="1:17" x14ac:dyDescent="0.25">
      <c r="A1605" t="s">
        <v>3844</v>
      </c>
      <c r="B1605" t="s">
        <v>912</v>
      </c>
      <c r="C1605">
        <v>2027</v>
      </c>
      <c r="D1605" t="s">
        <v>540</v>
      </c>
      <c r="E1605" t="s">
        <v>833</v>
      </c>
      <c r="F1605" s="32">
        <v>46409</v>
      </c>
      <c r="G1605" t="s">
        <v>514</v>
      </c>
      <c r="H1605">
        <v>47140037</v>
      </c>
      <c r="I1605" t="s">
        <v>2347</v>
      </c>
      <c r="J1605" t="s">
        <v>2348</v>
      </c>
      <c r="K1605" t="s">
        <v>530</v>
      </c>
      <c r="N1605">
        <v>0</v>
      </c>
      <c r="O1605">
        <v>0</v>
      </c>
      <c r="P1605" t="str">
        <f t="shared" si="25"/>
        <v>N</v>
      </c>
      <c r="Q1605" t="s">
        <v>7335</v>
      </c>
    </row>
    <row r="1606" spans="1:17" x14ac:dyDescent="0.25">
      <c r="A1606" t="s">
        <v>3845</v>
      </c>
      <c r="B1606" t="s">
        <v>912</v>
      </c>
      <c r="C1606">
        <v>2027</v>
      </c>
      <c r="D1606" t="s">
        <v>540</v>
      </c>
      <c r="E1606" t="s">
        <v>833</v>
      </c>
      <c r="F1606" s="32">
        <v>46409</v>
      </c>
      <c r="G1606" t="s">
        <v>514</v>
      </c>
      <c r="H1606">
        <v>47128820</v>
      </c>
      <c r="I1606" t="s">
        <v>2411</v>
      </c>
      <c r="J1606" t="s">
        <v>2412</v>
      </c>
      <c r="K1606" t="s">
        <v>530</v>
      </c>
      <c r="N1606">
        <v>0</v>
      </c>
      <c r="O1606">
        <v>0</v>
      </c>
      <c r="P1606" t="str">
        <f t="shared" si="25"/>
        <v>N</v>
      </c>
      <c r="Q1606" t="s">
        <v>7336</v>
      </c>
    </row>
    <row r="1607" spans="1:17" x14ac:dyDescent="0.25">
      <c r="A1607" t="s">
        <v>3846</v>
      </c>
      <c r="B1607" t="s">
        <v>912</v>
      </c>
      <c r="C1607">
        <v>2027</v>
      </c>
      <c r="D1607" t="s">
        <v>540</v>
      </c>
      <c r="E1607" t="s">
        <v>833</v>
      </c>
      <c r="F1607" s="32">
        <v>46409</v>
      </c>
      <c r="G1607" t="s">
        <v>514</v>
      </c>
      <c r="H1607">
        <v>47128378</v>
      </c>
      <c r="I1607" t="s">
        <v>2392</v>
      </c>
      <c r="J1607" t="s">
        <v>2393</v>
      </c>
      <c r="K1607" t="s">
        <v>530</v>
      </c>
      <c r="N1607">
        <v>0</v>
      </c>
      <c r="O1607">
        <v>0</v>
      </c>
      <c r="P1607" t="str">
        <f t="shared" si="25"/>
        <v>N</v>
      </c>
      <c r="Q1607" t="s">
        <v>7337</v>
      </c>
    </row>
    <row r="1608" spans="1:17" x14ac:dyDescent="0.25">
      <c r="A1608" t="s">
        <v>3847</v>
      </c>
      <c r="B1608" t="s">
        <v>912</v>
      </c>
      <c r="C1608">
        <v>2027</v>
      </c>
      <c r="D1608" t="s">
        <v>540</v>
      </c>
      <c r="E1608" t="s">
        <v>833</v>
      </c>
      <c r="F1608" s="32">
        <v>46409</v>
      </c>
      <c r="G1608" t="s">
        <v>514</v>
      </c>
      <c r="H1608">
        <v>47128020</v>
      </c>
      <c r="I1608" t="s">
        <v>2395</v>
      </c>
      <c r="J1608" t="s">
        <v>2396</v>
      </c>
      <c r="K1608" t="s">
        <v>530</v>
      </c>
      <c r="N1608">
        <v>0</v>
      </c>
      <c r="O1608">
        <v>0</v>
      </c>
      <c r="P1608" t="str">
        <f t="shared" si="25"/>
        <v>N</v>
      </c>
      <c r="Q1608" t="s">
        <v>7338</v>
      </c>
    </row>
    <row r="1609" spans="1:17" x14ac:dyDescent="0.25">
      <c r="A1609" t="s">
        <v>3848</v>
      </c>
      <c r="B1609" t="s">
        <v>912</v>
      </c>
      <c r="C1609">
        <v>2027</v>
      </c>
      <c r="D1609" t="s">
        <v>540</v>
      </c>
      <c r="E1609" t="s">
        <v>833</v>
      </c>
      <c r="F1609" s="32">
        <v>46409</v>
      </c>
      <c r="G1609" t="s">
        <v>514</v>
      </c>
      <c r="H1609">
        <v>47128459</v>
      </c>
      <c r="I1609" t="s">
        <v>2398</v>
      </c>
      <c r="J1609" t="s">
        <v>2399</v>
      </c>
      <c r="K1609" t="s">
        <v>530</v>
      </c>
      <c r="N1609">
        <v>0</v>
      </c>
      <c r="O1609">
        <v>0</v>
      </c>
      <c r="P1609" t="str">
        <f t="shared" si="25"/>
        <v>N</v>
      </c>
      <c r="Q1609" t="s">
        <v>7339</v>
      </c>
    </row>
    <row r="1610" spans="1:17" x14ac:dyDescent="0.25">
      <c r="A1610" t="s">
        <v>3893</v>
      </c>
      <c r="B1610" t="s">
        <v>1043</v>
      </c>
      <c r="C1610">
        <v>2027</v>
      </c>
      <c r="D1610" t="s">
        <v>540</v>
      </c>
      <c r="E1610" t="s">
        <v>833</v>
      </c>
      <c r="F1610" s="32">
        <v>46409</v>
      </c>
      <c r="G1610" t="s">
        <v>514</v>
      </c>
      <c r="H1610">
        <v>47128421</v>
      </c>
      <c r="I1610" t="s">
        <v>1086</v>
      </c>
      <c r="J1610" t="s">
        <v>1085</v>
      </c>
      <c r="K1610" t="s">
        <v>530</v>
      </c>
      <c r="N1610">
        <v>0</v>
      </c>
      <c r="O1610">
        <v>0</v>
      </c>
      <c r="P1610" t="str">
        <f t="shared" si="25"/>
        <v>N</v>
      </c>
      <c r="Q1610" t="s">
        <v>7340</v>
      </c>
    </row>
    <row r="1611" spans="1:17" x14ac:dyDescent="0.25">
      <c r="A1611" t="s">
        <v>3894</v>
      </c>
      <c r="B1611" t="s">
        <v>1043</v>
      </c>
      <c r="C1611">
        <v>2027</v>
      </c>
      <c r="D1611" t="s">
        <v>540</v>
      </c>
      <c r="E1611" t="s">
        <v>833</v>
      </c>
      <c r="F1611" s="32">
        <v>46409</v>
      </c>
      <c r="G1611" t="s">
        <v>514</v>
      </c>
      <c r="H1611">
        <v>47128364</v>
      </c>
      <c r="I1611" t="s">
        <v>1264</v>
      </c>
      <c r="J1611" t="s">
        <v>1263</v>
      </c>
      <c r="K1611" t="s">
        <v>530</v>
      </c>
      <c r="N1611">
        <v>20</v>
      </c>
      <c r="O1611">
        <v>20</v>
      </c>
      <c r="P1611" t="str">
        <f t="shared" si="25"/>
        <v>N</v>
      </c>
      <c r="Q1611" t="s">
        <v>7341</v>
      </c>
    </row>
    <row r="1612" spans="1:17" x14ac:dyDescent="0.25">
      <c r="A1612" t="s">
        <v>3895</v>
      </c>
      <c r="B1612" t="s">
        <v>1043</v>
      </c>
      <c r="C1612">
        <v>2027</v>
      </c>
      <c r="D1612" t="s">
        <v>540</v>
      </c>
      <c r="E1612" t="s">
        <v>833</v>
      </c>
      <c r="F1612" s="32">
        <v>46409</v>
      </c>
      <c r="G1612" t="s">
        <v>514</v>
      </c>
      <c r="H1612">
        <v>47128706</v>
      </c>
      <c r="I1612" t="s">
        <v>1201</v>
      </c>
      <c r="J1612" t="s">
        <v>1200</v>
      </c>
      <c r="K1612" t="s">
        <v>530</v>
      </c>
      <c r="N1612">
        <v>0</v>
      </c>
      <c r="O1612">
        <v>0</v>
      </c>
      <c r="P1612" t="str">
        <f t="shared" si="25"/>
        <v>N</v>
      </c>
      <c r="Q1612" t="s">
        <v>7342</v>
      </c>
    </row>
    <row r="1613" spans="1:17" x14ac:dyDescent="0.25">
      <c r="A1613" t="s">
        <v>3991</v>
      </c>
      <c r="B1613" t="s">
        <v>3939</v>
      </c>
      <c r="C1613">
        <v>2027</v>
      </c>
      <c r="D1613" t="s">
        <v>540</v>
      </c>
      <c r="E1613" t="s">
        <v>833</v>
      </c>
      <c r="F1613" s="32">
        <v>46409</v>
      </c>
      <c r="G1613" t="s">
        <v>514</v>
      </c>
      <c r="H1613">
        <v>47140037</v>
      </c>
      <c r="I1613" t="s">
        <v>2347</v>
      </c>
      <c r="J1613" t="s">
        <v>2348</v>
      </c>
      <c r="K1613" t="s">
        <v>530</v>
      </c>
      <c r="N1613">
        <v>0</v>
      </c>
      <c r="O1613">
        <v>0</v>
      </c>
      <c r="P1613" t="str">
        <f t="shared" si="25"/>
        <v>N</v>
      </c>
      <c r="Q1613" t="s">
        <v>7343</v>
      </c>
    </row>
    <row r="1614" spans="1:17" x14ac:dyDescent="0.25">
      <c r="A1614" t="s">
        <v>3992</v>
      </c>
      <c r="B1614" t="s">
        <v>3939</v>
      </c>
      <c r="C1614">
        <v>2027</v>
      </c>
      <c r="D1614" t="s">
        <v>540</v>
      </c>
      <c r="E1614" t="s">
        <v>833</v>
      </c>
      <c r="F1614" s="32">
        <v>46409</v>
      </c>
      <c r="G1614" t="s">
        <v>514</v>
      </c>
      <c r="H1614">
        <v>47128820</v>
      </c>
      <c r="I1614" t="s">
        <v>2411</v>
      </c>
      <c r="J1614" t="s">
        <v>2412</v>
      </c>
      <c r="K1614" t="s">
        <v>530</v>
      </c>
      <c r="N1614">
        <v>53</v>
      </c>
      <c r="O1614">
        <v>53</v>
      </c>
      <c r="P1614" t="str">
        <f t="shared" si="25"/>
        <v>N</v>
      </c>
      <c r="Q1614" t="s">
        <v>7344</v>
      </c>
    </row>
    <row r="1615" spans="1:17" x14ac:dyDescent="0.25">
      <c r="A1615" t="s">
        <v>3993</v>
      </c>
      <c r="B1615" t="s">
        <v>3939</v>
      </c>
      <c r="C1615">
        <v>2027</v>
      </c>
      <c r="D1615" t="s">
        <v>540</v>
      </c>
      <c r="E1615" t="s">
        <v>833</v>
      </c>
      <c r="F1615" s="32">
        <v>46409</v>
      </c>
      <c r="G1615" t="s">
        <v>514</v>
      </c>
      <c r="H1615">
        <v>47128378</v>
      </c>
      <c r="I1615" t="s">
        <v>2392</v>
      </c>
      <c r="J1615" t="s">
        <v>2393</v>
      </c>
      <c r="K1615" t="s">
        <v>530</v>
      </c>
      <c r="N1615">
        <v>0</v>
      </c>
      <c r="O1615">
        <v>0</v>
      </c>
      <c r="P1615" t="str">
        <f t="shared" si="25"/>
        <v>N</v>
      </c>
      <c r="Q1615" t="s">
        <v>7345</v>
      </c>
    </row>
    <row r="1616" spans="1:17" x14ac:dyDescent="0.25">
      <c r="A1616" t="s">
        <v>3994</v>
      </c>
      <c r="B1616" t="s">
        <v>3939</v>
      </c>
      <c r="C1616">
        <v>2027</v>
      </c>
      <c r="D1616" t="s">
        <v>540</v>
      </c>
      <c r="E1616" t="s">
        <v>833</v>
      </c>
      <c r="F1616" s="32">
        <v>46409</v>
      </c>
      <c r="G1616" t="s">
        <v>514</v>
      </c>
      <c r="H1616">
        <v>47128020</v>
      </c>
      <c r="I1616" t="s">
        <v>2395</v>
      </c>
      <c r="J1616" t="s">
        <v>2396</v>
      </c>
      <c r="K1616" t="s">
        <v>530</v>
      </c>
      <c r="N1616">
        <v>0</v>
      </c>
      <c r="O1616">
        <v>0</v>
      </c>
      <c r="P1616" t="str">
        <f t="shared" si="25"/>
        <v>N</v>
      </c>
      <c r="Q1616" t="s">
        <v>7346</v>
      </c>
    </row>
    <row r="1617" spans="1:17" x14ac:dyDescent="0.25">
      <c r="A1617" t="s">
        <v>3995</v>
      </c>
      <c r="B1617" t="s">
        <v>3939</v>
      </c>
      <c r="C1617">
        <v>2027</v>
      </c>
      <c r="D1617" t="s">
        <v>540</v>
      </c>
      <c r="E1617" t="s">
        <v>833</v>
      </c>
      <c r="F1617" s="32">
        <v>46409</v>
      </c>
      <c r="G1617" t="s">
        <v>514</v>
      </c>
      <c r="H1617">
        <v>47128459</v>
      </c>
      <c r="I1617" t="s">
        <v>2398</v>
      </c>
      <c r="J1617" t="s">
        <v>2399</v>
      </c>
      <c r="K1617" t="s">
        <v>530</v>
      </c>
      <c r="N1617">
        <v>0</v>
      </c>
      <c r="O1617">
        <v>0</v>
      </c>
      <c r="P1617" t="str">
        <f t="shared" si="25"/>
        <v>N</v>
      </c>
      <c r="Q1617" t="s">
        <v>7347</v>
      </c>
    </row>
    <row r="1618" spans="1:17" x14ac:dyDescent="0.25">
      <c r="A1618" t="s">
        <v>4078</v>
      </c>
      <c r="B1618" t="s">
        <v>1489</v>
      </c>
      <c r="C1618">
        <v>2027</v>
      </c>
      <c r="D1618" t="s">
        <v>540</v>
      </c>
      <c r="E1618" t="s">
        <v>833</v>
      </c>
      <c r="F1618" s="32">
        <v>46409</v>
      </c>
      <c r="G1618" t="s">
        <v>514</v>
      </c>
      <c r="H1618">
        <v>47128967</v>
      </c>
      <c r="I1618" t="s">
        <v>1062</v>
      </c>
      <c r="J1618" t="s">
        <v>1061</v>
      </c>
      <c r="K1618" t="s">
        <v>530</v>
      </c>
      <c r="N1618">
        <v>0</v>
      </c>
      <c r="O1618">
        <v>0</v>
      </c>
      <c r="P1618" t="str">
        <f t="shared" si="25"/>
        <v>N</v>
      </c>
      <c r="Q1618" t="s">
        <v>7348</v>
      </c>
    </row>
    <row r="1619" spans="1:17" x14ac:dyDescent="0.25">
      <c r="A1619" t="s">
        <v>4079</v>
      </c>
      <c r="B1619" t="s">
        <v>1489</v>
      </c>
      <c r="C1619">
        <v>2027</v>
      </c>
      <c r="D1619" t="s">
        <v>540</v>
      </c>
      <c r="E1619" t="s">
        <v>833</v>
      </c>
      <c r="F1619" s="32">
        <v>46409</v>
      </c>
      <c r="G1619" t="s">
        <v>514</v>
      </c>
      <c r="H1619">
        <v>47133720</v>
      </c>
      <c r="I1619" t="s">
        <v>1217</v>
      </c>
      <c r="J1619" t="s">
        <v>1216</v>
      </c>
      <c r="K1619" t="s">
        <v>530</v>
      </c>
      <c r="N1619">
        <v>0</v>
      </c>
      <c r="O1619">
        <v>0</v>
      </c>
      <c r="P1619" t="str">
        <f t="shared" si="25"/>
        <v>N</v>
      </c>
      <c r="Q1619" t="s">
        <v>7349</v>
      </c>
    </row>
    <row r="1620" spans="1:17" x14ac:dyDescent="0.25">
      <c r="A1620" t="s">
        <v>4080</v>
      </c>
      <c r="B1620" t="s">
        <v>1489</v>
      </c>
      <c r="C1620">
        <v>2027</v>
      </c>
      <c r="D1620" t="s">
        <v>540</v>
      </c>
      <c r="E1620" t="s">
        <v>833</v>
      </c>
      <c r="F1620" s="32">
        <v>46409</v>
      </c>
      <c r="G1620" t="s">
        <v>514</v>
      </c>
      <c r="H1620">
        <v>47127948</v>
      </c>
      <c r="I1620" t="s">
        <v>1247</v>
      </c>
      <c r="J1620" t="s">
        <v>1246</v>
      </c>
      <c r="K1620" t="s">
        <v>530</v>
      </c>
      <c r="N1620">
        <v>60</v>
      </c>
      <c r="O1620">
        <v>60</v>
      </c>
      <c r="P1620" t="str">
        <f t="shared" si="25"/>
        <v>N</v>
      </c>
      <c r="Q1620" t="s">
        <v>7350</v>
      </c>
    </row>
    <row r="1621" spans="1:17" x14ac:dyDescent="0.25">
      <c r="A1621" t="s">
        <v>4081</v>
      </c>
      <c r="B1621" t="s">
        <v>1489</v>
      </c>
      <c r="C1621">
        <v>2027</v>
      </c>
      <c r="D1621" t="s">
        <v>540</v>
      </c>
      <c r="E1621" t="s">
        <v>833</v>
      </c>
      <c r="F1621" s="32">
        <v>46409</v>
      </c>
      <c r="G1621" t="s">
        <v>514</v>
      </c>
      <c r="H1621">
        <v>47128337</v>
      </c>
      <c r="I1621" t="s">
        <v>1120</v>
      </c>
      <c r="J1621" t="s">
        <v>1119</v>
      </c>
      <c r="K1621" t="s">
        <v>530</v>
      </c>
      <c r="N1621">
        <v>0</v>
      </c>
      <c r="O1621">
        <v>0</v>
      </c>
      <c r="P1621" t="str">
        <f t="shared" si="25"/>
        <v>N</v>
      </c>
      <c r="Q1621" t="s">
        <v>7351</v>
      </c>
    </row>
    <row r="1622" spans="1:17" x14ac:dyDescent="0.25">
      <c r="A1622" t="s">
        <v>4082</v>
      </c>
      <c r="B1622" t="s">
        <v>1489</v>
      </c>
      <c r="C1622">
        <v>2027</v>
      </c>
      <c r="D1622" t="s">
        <v>540</v>
      </c>
      <c r="E1622" t="s">
        <v>833</v>
      </c>
      <c r="F1622" s="32">
        <v>46409</v>
      </c>
      <c r="G1622" t="s">
        <v>514</v>
      </c>
      <c r="H1622">
        <v>47128977</v>
      </c>
      <c r="I1622" t="s">
        <v>1449</v>
      </c>
      <c r="J1622" t="s">
        <v>1448</v>
      </c>
      <c r="K1622" t="s">
        <v>530</v>
      </c>
      <c r="N1622">
        <v>0</v>
      </c>
      <c r="O1622">
        <v>0</v>
      </c>
      <c r="P1622" t="str">
        <f t="shared" si="25"/>
        <v>N</v>
      </c>
      <c r="Q1622" t="s">
        <v>7352</v>
      </c>
    </row>
    <row r="1623" spans="1:17" x14ac:dyDescent="0.25">
      <c r="A1623" t="s">
        <v>4219</v>
      </c>
      <c r="B1623" t="s">
        <v>916</v>
      </c>
      <c r="C1623">
        <v>2027</v>
      </c>
      <c r="D1623" t="s">
        <v>540</v>
      </c>
      <c r="E1623" t="s">
        <v>833</v>
      </c>
      <c r="F1623" s="32">
        <v>46409</v>
      </c>
      <c r="G1623" t="s">
        <v>514</v>
      </c>
      <c r="H1623">
        <v>47128421</v>
      </c>
      <c r="I1623" t="s">
        <v>1086</v>
      </c>
      <c r="J1623" t="s">
        <v>1085</v>
      </c>
      <c r="K1623" t="s">
        <v>530</v>
      </c>
      <c r="N1623">
        <v>0</v>
      </c>
      <c r="O1623">
        <v>0</v>
      </c>
      <c r="P1623" t="str">
        <f t="shared" si="25"/>
        <v>N</v>
      </c>
      <c r="Q1623" t="s">
        <v>7353</v>
      </c>
    </row>
    <row r="1624" spans="1:17" x14ac:dyDescent="0.25">
      <c r="A1624" t="s">
        <v>4220</v>
      </c>
      <c r="B1624" t="s">
        <v>916</v>
      </c>
      <c r="C1624">
        <v>2027</v>
      </c>
      <c r="D1624" t="s">
        <v>540</v>
      </c>
      <c r="E1624" t="s">
        <v>833</v>
      </c>
      <c r="F1624" s="32">
        <v>46409</v>
      </c>
      <c r="G1624" t="s">
        <v>514</v>
      </c>
      <c r="H1624">
        <v>47128706</v>
      </c>
      <c r="I1624" t="s">
        <v>1201</v>
      </c>
      <c r="J1624" t="s">
        <v>1200</v>
      </c>
      <c r="K1624" t="s">
        <v>530</v>
      </c>
      <c r="N1624">
        <v>0</v>
      </c>
      <c r="O1624">
        <v>0</v>
      </c>
      <c r="P1624" t="str">
        <f t="shared" si="25"/>
        <v>N</v>
      </c>
      <c r="Q1624" t="s">
        <v>7354</v>
      </c>
    </row>
    <row r="1625" spans="1:17" x14ac:dyDescent="0.25">
      <c r="A1625" t="s">
        <v>4221</v>
      </c>
      <c r="B1625" t="s">
        <v>916</v>
      </c>
      <c r="C1625">
        <v>2027</v>
      </c>
      <c r="D1625" t="s">
        <v>540</v>
      </c>
      <c r="E1625" t="s">
        <v>833</v>
      </c>
      <c r="F1625" s="32">
        <v>46409</v>
      </c>
      <c r="G1625" t="s">
        <v>514</v>
      </c>
      <c r="H1625">
        <v>47128364</v>
      </c>
      <c r="I1625" t="s">
        <v>1264</v>
      </c>
      <c r="J1625" t="s">
        <v>1263</v>
      </c>
      <c r="K1625" t="s">
        <v>530</v>
      </c>
      <c r="N1625">
        <v>70</v>
      </c>
      <c r="O1625">
        <v>70</v>
      </c>
      <c r="P1625" t="str">
        <f t="shared" si="25"/>
        <v>N</v>
      </c>
      <c r="Q1625" t="s">
        <v>7355</v>
      </c>
    </row>
    <row r="1626" spans="1:17" x14ac:dyDescent="0.25">
      <c r="A1626" t="s">
        <v>4222</v>
      </c>
      <c r="B1626" t="s">
        <v>916</v>
      </c>
      <c r="C1626">
        <v>2027</v>
      </c>
      <c r="D1626" t="s">
        <v>540</v>
      </c>
      <c r="E1626" t="s">
        <v>833</v>
      </c>
      <c r="F1626" s="32">
        <v>46409</v>
      </c>
      <c r="G1626" t="s">
        <v>514</v>
      </c>
      <c r="H1626">
        <v>47128633</v>
      </c>
      <c r="I1626" t="s">
        <v>1164</v>
      </c>
      <c r="J1626" t="s">
        <v>1163</v>
      </c>
      <c r="K1626" t="s">
        <v>530</v>
      </c>
      <c r="N1626">
        <v>0</v>
      </c>
      <c r="O1626">
        <v>0</v>
      </c>
      <c r="P1626" t="str">
        <f t="shared" si="25"/>
        <v>N</v>
      </c>
      <c r="Q1626" t="s">
        <v>7356</v>
      </c>
    </row>
    <row r="1627" spans="1:17" x14ac:dyDescent="0.25">
      <c r="A1627" t="s">
        <v>4223</v>
      </c>
      <c r="B1627" t="s">
        <v>916</v>
      </c>
      <c r="C1627">
        <v>2027</v>
      </c>
      <c r="D1627" t="s">
        <v>540</v>
      </c>
      <c r="E1627" t="s">
        <v>833</v>
      </c>
      <c r="F1627" s="32">
        <v>46409</v>
      </c>
      <c r="G1627" t="s">
        <v>514</v>
      </c>
      <c r="H1627">
        <v>47128046</v>
      </c>
      <c r="I1627" t="s">
        <v>1389</v>
      </c>
      <c r="J1627" t="s">
        <v>1388</v>
      </c>
      <c r="K1627" t="s">
        <v>530</v>
      </c>
      <c r="N1627">
        <v>0</v>
      </c>
      <c r="O1627">
        <v>0</v>
      </c>
      <c r="P1627" t="str">
        <f t="shared" si="25"/>
        <v>N</v>
      </c>
      <c r="Q1627" t="s">
        <v>7357</v>
      </c>
    </row>
    <row r="1628" spans="1:17" x14ac:dyDescent="0.25">
      <c r="A1628" t="s">
        <v>4224</v>
      </c>
      <c r="B1628" t="s">
        <v>916</v>
      </c>
      <c r="C1628">
        <v>2027</v>
      </c>
      <c r="D1628" t="s">
        <v>540</v>
      </c>
      <c r="E1628" t="s">
        <v>833</v>
      </c>
      <c r="F1628" s="32">
        <v>46409</v>
      </c>
      <c r="G1628" t="s">
        <v>514</v>
      </c>
      <c r="H1628">
        <v>47128355</v>
      </c>
      <c r="I1628" t="s">
        <v>964</v>
      </c>
      <c r="J1628" t="s">
        <v>963</v>
      </c>
      <c r="K1628" t="s">
        <v>530</v>
      </c>
      <c r="N1628">
        <v>0</v>
      </c>
      <c r="O1628">
        <v>0</v>
      </c>
      <c r="P1628" t="str">
        <f t="shared" si="25"/>
        <v>N</v>
      </c>
      <c r="Q1628" t="s">
        <v>7358</v>
      </c>
    </row>
    <row r="1629" spans="1:17" x14ac:dyDescent="0.25">
      <c r="A1629" t="s">
        <v>4225</v>
      </c>
      <c r="B1629" t="s">
        <v>916</v>
      </c>
      <c r="C1629">
        <v>2027</v>
      </c>
      <c r="D1629" t="s">
        <v>540</v>
      </c>
      <c r="E1629" t="s">
        <v>833</v>
      </c>
      <c r="F1629" s="32">
        <v>46409</v>
      </c>
      <c r="G1629" t="s">
        <v>514</v>
      </c>
      <c r="H1629">
        <v>47129548</v>
      </c>
      <c r="I1629" t="s">
        <v>1340</v>
      </c>
      <c r="J1629" t="s">
        <v>1339</v>
      </c>
      <c r="K1629" t="s">
        <v>530</v>
      </c>
      <c r="N1629">
        <v>56</v>
      </c>
      <c r="O1629">
        <v>56</v>
      </c>
      <c r="P1629" t="str">
        <f t="shared" si="25"/>
        <v>N</v>
      </c>
      <c r="Q1629" t="s">
        <v>7359</v>
      </c>
    </row>
    <row r="1630" spans="1:17" x14ac:dyDescent="0.25">
      <c r="A1630" t="s">
        <v>4226</v>
      </c>
      <c r="B1630" t="s">
        <v>916</v>
      </c>
      <c r="C1630">
        <v>2027</v>
      </c>
      <c r="D1630" t="s">
        <v>540</v>
      </c>
      <c r="E1630" t="s">
        <v>833</v>
      </c>
      <c r="F1630" s="32">
        <v>46409</v>
      </c>
      <c r="G1630" t="s">
        <v>514</v>
      </c>
      <c r="H1630">
        <v>47128835</v>
      </c>
      <c r="I1630" t="s">
        <v>998</v>
      </c>
      <c r="J1630" t="s">
        <v>997</v>
      </c>
      <c r="K1630" t="s">
        <v>530</v>
      </c>
      <c r="N1630">
        <v>0</v>
      </c>
      <c r="O1630">
        <v>0</v>
      </c>
      <c r="P1630" t="str">
        <f t="shared" si="25"/>
        <v>N</v>
      </c>
      <c r="Q1630" t="s">
        <v>7360</v>
      </c>
    </row>
    <row r="1631" spans="1:17" x14ac:dyDescent="0.25">
      <c r="A1631" t="s">
        <v>4227</v>
      </c>
      <c r="B1631" t="s">
        <v>916</v>
      </c>
      <c r="C1631">
        <v>2027</v>
      </c>
      <c r="D1631" t="s">
        <v>540</v>
      </c>
      <c r="E1631" t="s">
        <v>833</v>
      </c>
      <c r="F1631" s="32">
        <v>46409</v>
      </c>
      <c r="G1631" t="s">
        <v>514</v>
      </c>
      <c r="H1631">
        <v>47128788</v>
      </c>
      <c r="I1631" t="s">
        <v>4188</v>
      </c>
      <c r="J1631" t="s">
        <v>4189</v>
      </c>
      <c r="K1631" t="s">
        <v>530</v>
      </c>
      <c r="N1631">
        <v>0</v>
      </c>
      <c r="O1631">
        <v>0</v>
      </c>
      <c r="P1631" t="str">
        <f t="shared" si="25"/>
        <v>N</v>
      </c>
      <c r="Q1631" t="s">
        <v>7361</v>
      </c>
    </row>
    <row r="1632" spans="1:17" x14ac:dyDescent="0.25">
      <c r="A1632" t="s">
        <v>4228</v>
      </c>
      <c r="B1632" t="s">
        <v>916</v>
      </c>
      <c r="C1632">
        <v>2027</v>
      </c>
      <c r="D1632" t="s">
        <v>540</v>
      </c>
      <c r="E1632" t="s">
        <v>833</v>
      </c>
      <c r="F1632" s="32">
        <v>46409</v>
      </c>
      <c r="G1632" t="s">
        <v>514</v>
      </c>
      <c r="H1632">
        <v>47136348</v>
      </c>
      <c r="I1632" t="s">
        <v>1025</v>
      </c>
      <c r="J1632" t="s">
        <v>1024</v>
      </c>
      <c r="K1632" t="s">
        <v>530</v>
      </c>
      <c r="N1632">
        <v>0</v>
      </c>
      <c r="O1632">
        <v>0</v>
      </c>
      <c r="P1632" t="str">
        <f t="shared" si="25"/>
        <v>N</v>
      </c>
      <c r="Q1632" t="s">
        <v>7362</v>
      </c>
    </row>
    <row r="1633" spans="1:17" x14ac:dyDescent="0.25">
      <c r="A1633" t="s">
        <v>4229</v>
      </c>
      <c r="B1633" t="s">
        <v>916</v>
      </c>
      <c r="C1633">
        <v>2027</v>
      </c>
      <c r="D1633" t="s">
        <v>540</v>
      </c>
      <c r="E1633" t="s">
        <v>833</v>
      </c>
      <c r="F1633" s="32">
        <v>46409</v>
      </c>
      <c r="G1633" t="s">
        <v>514</v>
      </c>
      <c r="H1633">
        <v>47135083</v>
      </c>
      <c r="I1633" t="s">
        <v>4192</v>
      </c>
      <c r="J1633" t="s">
        <v>4193</v>
      </c>
      <c r="K1633" t="s">
        <v>530</v>
      </c>
      <c r="N1633">
        <v>0</v>
      </c>
      <c r="O1633">
        <v>0</v>
      </c>
      <c r="P1633" t="str">
        <f t="shared" si="25"/>
        <v>N</v>
      </c>
      <c r="Q1633" t="s">
        <v>7363</v>
      </c>
    </row>
    <row r="1634" spans="1:17" x14ac:dyDescent="0.25">
      <c r="A1634" t="s">
        <v>4230</v>
      </c>
      <c r="B1634" t="s">
        <v>916</v>
      </c>
      <c r="C1634">
        <v>2027</v>
      </c>
      <c r="D1634" t="s">
        <v>540</v>
      </c>
      <c r="E1634" t="s">
        <v>833</v>
      </c>
      <c r="F1634" s="32">
        <v>46409</v>
      </c>
      <c r="G1634" t="s">
        <v>514</v>
      </c>
      <c r="H1634">
        <v>47128684</v>
      </c>
      <c r="I1634" t="s">
        <v>1005</v>
      </c>
      <c r="J1634" t="s">
        <v>1004</v>
      </c>
      <c r="K1634" t="s">
        <v>530</v>
      </c>
      <c r="N1634">
        <v>0</v>
      </c>
      <c r="O1634">
        <v>0</v>
      </c>
      <c r="P1634" t="str">
        <f t="shared" si="25"/>
        <v>N</v>
      </c>
      <c r="Q1634" t="s">
        <v>7364</v>
      </c>
    </row>
    <row r="1635" spans="1:17" x14ac:dyDescent="0.25">
      <c r="A1635" t="s">
        <v>4231</v>
      </c>
      <c r="B1635" t="s">
        <v>916</v>
      </c>
      <c r="C1635">
        <v>2027</v>
      </c>
      <c r="D1635" t="s">
        <v>540</v>
      </c>
      <c r="E1635" t="s">
        <v>833</v>
      </c>
      <c r="F1635" s="32">
        <v>46409</v>
      </c>
      <c r="G1635" t="s">
        <v>514</v>
      </c>
      <c r="H1635">
        <v>47128469</v>
      </c>
      <c r="I1635" t="s">
        <v>928</v>
      </c>
      <c r="J1635" t="s">
        <v>927</v>
      </c>
      <c r="K1635" t="s">
        <v>530</v>
      </c>
      <c r="N1635">
        <v>33</v>
      </c>
      <c r="O1635">
        <v>33</v>
      </c>
      <c r="P1635" t="str">
        <f t="shared" si="25"/>
        <v>N</v>
      </c>
      <c r="Q1635" t="s">
        <v>7365</v>
      </c>
    </row>
    <row r="1636" spans="1:17" x14ac:dyDescent="0.25">
      <c r="A1636" t="s">
        <v>4232</v>
      </c>
      <c r="B1636" t="s">
        <v>916</v>
      </c>
      <c r="C1636">
        <v>2027</v>
      </c>
      <c r="D1636" t="s">
        <v>540</v>
      </c>
      <c r="E1636" t="s">
        <v>833</v>
      </c>
      <c r="F1636" s="32">
        <v>46409</v>
      </c>
      <c r="G1636" t="s">
        <v>514</v>
      </c>
      <c r="H1636">
        <v>47128359</v>
      </c>
      <c r="I1636" t="s">
        <v>961</v>
      </c>
      <c r="J1636" t="s">
        <v>960</v>
      </c>
      <c r="K1636" t="s">
        <v>530</v>
      </c>
      <c r="N1636">
        <v>0</v>
      </c>
      <c r="O1636">
        <v>0</v>
      </c>
      <c r="P1636" t="str">
        <f t="shared" si="25"/>
        <v>N</v>
      </c>
      <c r="Q1636" t="s">
        <v>7366</v>
      </c>
    </row>
    <row r="1637" spans="1:17" x14ac:dyDescent="0.25">
      <c r="A1637" t="s">
        <v>4233</v>
      </c>
      <c r="B1637" t="s">
        <v>916</v>
      </c>
      <c r="C1637">
        <v>2027</v>
      </c>
      <c r="D1637" t="s">
        <v>540</v>
      </c>
      <c r="E1637" t="s">
        <v>833</v>
      </c>
      <c r="F1637" s="32">
        <v>46409</v>
      </c>
      <c r="G1637" t="s">
        <v>514</v>
      </c>
      <c r="H1637">
        <v>47128202</v>
      </c>
      <c r="I1637" t="s">
        <v>967</v>
      </c>
      <c r="J1637" t="s">
        <v>966</v>
      </c>
      <c r="K1637" t="s">
        <v>530</v>
      </c>
      <c r="N1637">
        <v>40</v>
      </c>
      <c r="O1637">
        <v>40</v>
      </c>
      <c r="P1637" t="str">
        <f t="shared" si="25"/>
        <v>N</v>
      </c>
      <c r="Q1637" t="s">
        <v>7367</v>
      </c>
    </row>
    <row r="1638" spans="1:17" x14ac:dyDescent="0.25">
      <c r="A1638" t="s">
        <v>4234</v>
      </c>
      <c r="B1638" t="s">
        <v>916</v>
      </c>
      <c r="C1638">
        <v>2027</v>
      </c>
      <c r="D1638" t="s">
        <v>540</v>
      </c>
      <c r="E1638" t="s">
        <v>833</v>
      </c>
      <c r="F1638" s="32">
        <v>46409</v>
      </c>
      <c r="G1638" t="s">
        <v>514</v>
      </c>
      <c r="H1638">
        <v>47128154</v>
      </c>
      <c r="I1638" t="s">
        <v>933</v>
      </c>
      <c r="J1638" t="s">
        <v>932</v>
      </c>
      <c r="K1638" t="s">
        <v>530</v>
      </c>
      <c r="N1638">
        <v>40</v>
      </c>
      <c r="O1638">
        <v>40</v>
      </c>
      <c r="P1638" t="str">
        <f t="shared" si="25"/>
        <v>N</v>
      </c>
      <c r="Q1638" t="s">
        <v>7368</v>
      </c>
    </row>
    <row r="1639" spans="1:17" x14ac:dyDescent="0.25">
      <c r="A1639" t="s">
        <v>4235</v>
      </c>
      <c r="B1639" t="s">
        <v>916</v>
      </c>
      <c r="C1639">
        <v>2027</v>
      </c>
      <c r="D1639" t="s">
        <v>540</v>
      </c>
      <c r="E1639" t="s">
        <v>833</v>
      </c>
      <c r="F1639" s="32">
        <v>46409</v>
      </c>
      <c r="G1639" t="s">
        <v>514</v>
      </c>
      <c r="H1639">
        <v>47128108</v>
      </c>
      <c r="I1639" t="s">
        <v>1011</v>
      </c>
      <c r="J1639" t="s">
        <v>1010</v>
      </c>
      <c r="K1639" t="s">
        <v>530</v>
      </c>
      <c r="N1639">
        <v>0</v>
      </c>
      <c r="O1639">
        <v>0</v>
      </c>
      <c r="P1639" t="str">
        <f t="shared" si="25"/>
        <v>N</v>
      </c>
      <c r="Q1639" t="s">
        <v>7369</v>
      </c>
    </row>
    <row r="1640" spans="1:17" x14ac:dyDescent="0.25">
      <c r="A1640" t="s">
        <v>4236</v>
      </c>
      <c r="B1640" t="s">
        <v>916</v>
      </c>
      <c r="C1640">
        <v>2027</v>
      </c>
      <c r="D1640" t="s">
        <v>540</v>
      </c>
      <c r="E1640" t="s">
        <v>833</v>
      </c>
      <c r="F1640" s="32">
        <v>46409</v>
      </c>
      <c r="G1640" t="s">
        <v>514</v>
      </c>
      <c r="H1640">
        <v>47129069</v>
      </c>
      <c r="I1640" t="s">
        <v>1325</v>
      </c>
      <c r="J1640" t="s">
        <v>1324</v>
      </c>
      <c r="K1640" t="s">
        <v>530</v>
      </c>
      <c r="N1640">
        <v>0</v>
      </c>
      <c r="O1640">
        <v>0</v>
      </c>
      <c r="P1640" t="str">
        <f t="shared" si="25"/>
        <v>N</v>
      </c>
      <c r="Q1640" t="s">
        <v>7370</v>
      </c>
    </row>
    <row r="1641" spans="1:17" x14ac:dyDescent="0.25">
      <c r="A1641" t="s">
        <v>4433</v>
      </c>
      <c r="B1641" t="s">
        <v>4428</v>
      </c>
      <c r="C1641">
        <v>2027</v>
      </c>
      <c r="D1641" t="s">
        <v>540</v>
      </c>
      <c r="E1641" t="s">
        <v>833</v>
      </c>
      <c r="F1641" s="32">
        <v>46409</v>
      </c>
      <c r="G1641" t="s">
        <v>514</v>
      </c>
      <c r="H1641">
        <v>47128132</v>
      </c>
      <c r="I1641" t="s">
        <v>4429</v>
      </c>
      <c r="J1641" t="s">
        <v>4430</v>
      </c>
      <c r="K1641" t="s">
        <v>530</v>
      </c>
      <c r="N1641">
        <v>0</v>
      </c>
      <c r="O1641">
        <v>0</v>
      </c>
      <c r="P1641" t="str">
        <f t="shared" si="25"/>
        <v>N</v>
      </c>
      <c r="Q1641" t="s">
        <v>7371</v>
      </c>
    </row>
    <row r="1642" spans="1:17" x14ac:dyDescent="0.25">
      <c r="A1642" t="s">
        <v>4478</v>
      </c>
      <c r="B1642" t="s">
        <v>4445</v>
      </c>
      <c r="C1642">
        <v>2027</v>
      </c>
      <c r="D1642" t="s">
        <v>540</v>
      </c>
      <c r="E1642" t="s">
        <v>833</v>
      </c>
      <c r="F1642" s="32">
        <v>46409</v>
      </c>
      <c r="G1642" t="s">
        <v>514</v>
      </c>
      <c r="H1642">
        <v>47129711</v>
      </c>
      <c r="I1642" t="s">
        <v>4446</v>
      </c>
      <c r="J1642" t="s">
        <v>4447</v>
      </c>
      <c r="K1642" t="s">
        <v>530</v>
      </c>
      <c r="N1642">
        <v>32</v>
      </c>
      <c r="O1642">
        <v>32</v>
      </c>
      <c r="P1642" t="str">
        <f t="shared" si="25"/>
        <v>N</v>
      </c>
      <c r="Q1642" t="s">
        <v>7372</v>
      </c>
    </row>
    <row r="1643" spans="1:17" x14ac:dyDescent="0.25">
      <c r="A1643" t="s">
        <v>4479</v>
      </c>
      <c r="B1643" t="s">
        <v>4445</v>
      </c>
      <c r="C1643">
        <v>2027</v>
      </c>
      <c r="D1643" t="s">
        <v>540</v>
      </c>
      <c r="E1643" t="s">
        <v>833</v>
      </c>
      <c r="F1643" s="32">
        <v>46409</v>
      </c>
      <c r="G1643" t="s">
        <v>514</v>
      </c>
      <c r="H1643">
        <v>47129228</v>
      </c>
      <c r="I1643" t="s">
        <v>4449</v>
      </c>
      <c r="J1643" t="s">
        <v>4450</v>
      </c>
      <c r="K1643" t="s">
        <v>530</v>
      </c>
      <c r="N1643">
        <v>20</v>
      </c>
      <c r="O1643">
        <v>20</v>
      </c>
      <c r="P1643" t="str">
        <f t="shared" si="25"/>
        <v>N</v>
      </c>
      <c r="Q1643" t="s">
        <v>7373</v>
      </c>
    </row>
    <row r="1644" spans="1:17" x14ac:dyDescent="0.25">
      <c r="A1644" t="s">
        <v>4603</v>
      </c>
      <c r="B1644" t="s">
        <v>1044</v>
      </c>
      <c r="C1644">
        <v>2027</v>
      </c>
      <c r="D1644" t="s">
        <v>540</v>
      </c>
      <c r="E1644" t="s">
        <v>833</v>
      </c>
      <c r="F1644" s="32">
        <v>46409</v>
      </c>
      <c r="G1644" t="s">
        <v>514</v>
      </c>
      <c r="H1644">
        <v>47128967</v>
      </c>
      <c r="I1644" t="s">
        <v>1062</v>
      </c>
      <c r="J1644" t="s">
        <v>1061</v>
      </c>
      <c r="K1644" t="s">
        <v>530</v>
      </c>
      <c r="N1644">
        <v>0</v>
      </c>
      <c r="O1644">
        <v>0</v>
      </c>
      <c r="P1644" t="str">
        <f t="shared" si="25"/>
        <v>N</v>
      </c>
      <c r="Q1644" t="s">
        <v>7374</v>
      </c>
    </row>
    <row r="1645" spans="1:17" x14ac:dyDescent="0.25">
      <c r="A1645" t="s">
        <v>4604</v>
      </c>
      <c r="B1645" t="s">
        <v>1044</v>
      </c>
      <c r="C1645">
        <v>2027</v>
      </c>
      <c r="D1645" t="s">
        <v>540</v>
      </c>
      <c r="E1645" t="s">
        <v>833</v>
      </c>
      <c r="F1645" s="32">
        <v>46409</v>
      </c>
      <c r="G1645" t="s">
        <v>514</v>
      </c>
      <c r="H1645">
        <v>47133720</v>
      </c>
      <c r="I1645" t="s">
        <v>1217</v>
      </c>
      <c r="J1645" t="s">
        <v>1216</v>
      </c>
      <c r="K1645" t="s">
        <v>530</v>
      </c>
      <c r="N1645">
        <v>0</v>
      </c>
      <c r="O1645">
        <v>0</v>
      </c>
      <c r="P1645" t="str">
        <f t="shared" si="25"/>
        <v>N</v>
      </c>
      <c r="Q1645" t="s">
        <v>7375</v>
      </c>
    </row>
    <row r="1646" spans="1:17" x14ac:dyDescent="0.25">
      <c r="A1646" t="s">
        <v>4605</v>
      </c>
      <c r="B1646" t="s">
        <v>1044</v>
      </c>
      <c r="C1646">
        <v>2027</v>
      </c>
      <c r="D1646" t="s">
        <v>540</v>
      </c>
      <c r="E1646" t="s">
        <v>833</v>
      </c>
      <c r="F1646" s="32">
        <v>46409</v>
      </c>
      <c r="G1646" t="s">
        <v>514</v>
      </c>
      <c r="H1646">
        <v>47127948</v>
      </c>
      <c r="I1646" t="s">
        <v>1247</v>
      </c>
      <c r="J1646" t="s">
        <v>1246</v>
      </c>
      <c r="K1646" t="s">
        <v>530</v>
      </c>
      <c r="N1646">
        <v>60</v>
      </c>
      <c r="O1646">
        <v>60</v>
      </c>
      <c r="P1646" t="str">
        <f t="shared" si="25"/>
        <v>N</v>
      </c>
      <c r="Q1646" t="s">
        <v>7376</v>
      </c>
    </row>
    <row r="1647" spans="1:17" x14ac:dyDescent="0.25">
      <c r="A1647" t="s">
        <v>4606</v>
      </c>
      <c r="B1647" t="s">
        <v>1044</v>
      </c>
      <c r="C1647">
        <v>2027</v>
      </c>
      <c r="D1647" t="s">
        <v>540</v>
      </c>
      <c r="E1647" t="s">
        <v>833</v>
      </c>
      <c r="F1647" s="32">
        <v>46409</v>
      </c>
      <c r="G1647" t="s">
        <v>514</v>
      </c>
      <c r="H1647">
        <v>47128710</v>
      </c>
      <c r="I1647" t="s">
        <v>1189</v>
      </c>
      <c r="J1647" t="s">
        <v>1188</v>
      </c>
      <c r="K1647" t="s">
        <v>530</v>
      </c>
      <c r="N1647">
        <v>12</v>
      </c>
      <c r="O1647">
        <v>12</v>
      </c>
      <c r="P1647" t="str">
        <f t="shared" si="25"/>
        <v>N</v>
      </c>
      <c r="Q1647" t="s">
        <v>7377</v>
      </c>
    </row>
    <row r="1648" spans="1:17" x14ac:dyDescent="0.25">
      <c r="A1648" t="s">
        <v>4607</v>
      </c>
      <c r="B1648" t="s">
        <v>1044</v>
      </c>
      <c r="C1648">
        <v>2027</v>
      </c>
      <c r="D1648" t="s">
        <v>540</v>
      </c>
      <c r="E1648" t="s">
        <v>833</v>
      </c>
      <c r="F1648" s="32">
        <v>46409</v>
      </c>
      <c r="G1648" t="s">
        <v>514</v>
      </c>
      <c r="H1648">
        <v>47128572</v>
      </c>
      <c r="I1648" t="s">
        <v>1197</v>
      </c>
      <c r="J1648" t="s">
        <v>1196</v>
      </c>
      <c r="K1648" t="s">
        <v>530</v>
      </c>
      <c r="N1648">
        <v>0</v>
      </c>
      <c r="O1648">
        <v>0</v>
      </c>
      <c r="P1648" t="str">
        <f t="shared" si="25"/>
        <v>N</v>
      </c>
      <c r="Q1648" t="s">
        <v>7378</v>
      </c>
    </row>
    <row r="1649" spans="1:17" x14ac:dyDescent="0.25">
      <c r="A1649" t="s">
        <v>4608</v>
      </c>
      <c r="B1649" t="s">
        <v>1044</v>
      </c>
      <c r="C1649">
        <v>2027</v>
      </c>
      <c r="D1649" t="s">
        <v>540</v>
      </c>
      <c r="E1649" t="s">
        <v>833</v>
      </c>
      <c r="F1649" s="32">
        <v>46409</v>
      </c>
      <c r="G1649" t="s">
        <v>514</v>
      </c>
      <c r="H1649">
        <v>47128482</v>
      </c>
      <c r="I1649" t="s">
        <v>1393</v>
      </c>
      <c r="J1649" t="s">
        <v>1392</v>
      </c>
      <c r="K1649" t="s">
        <v>530</v>
      </c>
      <c r="N1649">
        <v>0</v>
      </c>
      <c r="O1649">
        <v>0</v>
      </c>
      <c r="P1649" t="str">
        <f t="shared" si="25"/>
        <v>N</v>
      </c>
      <c r="Q1649" t="s">
        <v>7379</v>
      </c>
    </row>
    <row r="1650" spans="1:17" x14ac:dyDescent="0.25">
      <c r="A1650" t="s">
        <v>4609</v>
      </c>
      <c r="B1650" t="s">
        <v>1044</v>
      </c>
      <c r="C1650">
        <v>2027</v>
      </c>
      <c r="D1650" t="s">
        <v>540</v>
      </c>
      <c r="E1650" t="s">
        <v>833</v>
      </c>
      <c r="F1650" s="32">
        <v>46409</v>
      </c>
      <c r="G1650" t="s">
        <v>514</v>
      </c>
      <c r="H1650">
        <v>47128337</v>
      </c>
      <c r="I1650" t="s">
        <v>1120</v>
      </c>
      <c r="J1650" t="s">
        <v>1119</v>
      </c>
      <c r="K1650" t="s">
        <v>530</v>
      </c>
      <c r="N1650">
        <v>0</v>
      </c>
      <c r="O1650">
        <v>0</v>
      </c>
      <c r="P1650" t="str">
        <f t="shared" si="25"/>
        <v>N</v>
      </c>
      <c r="Q1650" t="s">
        <v>7380</v>
      </c>
    </row>
    <row r="1651" spans="1:17" x14ac:dyDescent="0.25">
      <c r="A1651" t="s">
        <v>4610</v>
      </c>
      <c r="B1651" t="s">
        <v>1044</v>
      </c>
      <c r="C1651">
        <v>2027</v>
      </c>
      <c r="D1651" t="s">
        <v>540</v>
      </c>
      <c r="E1651" t="s">
        <v>833</v>
      </c>
      <c r="F1651" s="32">
        <v>46409</v>
      </c>
      <c r="G1651" t="s">
        <v>514</v>
      </c>
      <c r="H1651">
        <v>47128833</v>
      </c>
      <c r="I1651" t="s">
        <v>1193</v>
      </c>
      <c r="J1651" t="s">
        <v>1192</v>
      </c>
      <c r="K1651" t="s">
        <v>530</v>
      </c>
      <c r="N1651">
        <v>0</v>
      </c>
      <c r="O1651">
        <v>0</v>
      </c>
      <c r="P1651" t="str">
        <f t="shared" si="25"/>
        <v>N</v>
      </c>
      <c r="Q1651" t="s">
        <v>7381</v>
      </c>
    </row>
    <row r="1652" spans="1:17" x14ac:dyDescent="0.25">
      <c r="A1652" t="s">
        <v>4611</v>
      </c>
      <c r="B1652" t="s">
        <v>1044</v>
      </c>
      <c r="C1652">
        <v>2027</v>
      </c>
      <c r="D1652" t="s">
        <v>540</v>
      </c>
      <c r="E1652" t="s">
        <v>833</v>
      </c>
      <c r="F1652" s="32">
        <v>46409</v>
      </c>
      <c r="G1652" t="s">
        <v>514</v>
      </c>
      <c r="H1652">
        <v>47128784</v>
      </c>
      <c r="I1652" t="s">
        <v>1426</v>
      </c>
      <c r="J1652" t="s">
        <v>1425</v>
      </c>
      <c r="K1652" t="s">
        <v>530</v>
      </c>
      <c r="N1652">
        <v>0</v>
      </c>
      <c r="O1652">
        <v>0</v>
      </c>
      <c r="P1652" t="str">
        <f t="shared" si="25"/>
        <v>N</v>
      </c>
      <c r="Q1652" t="s">
        <v>7382</v>
      </c>
    </row>
    <row r="1653" spans="1:17" x14ac:dyDescent="0.25">
      <c r="A1653" t="s">
        <v>4612</v>
      </c>
      <c r="B1653" t="s">
        <v>1044</v>
      </c>
      <c r="C1653">
        <v>2027</v>
      </c>
      <c r="D1653" t="s">
        <v>540</v>
      </c>
      <c r="E1653" t="s">
        <v>833</v>
      </c>
      <c r="F1653" s="32">
        <v>46409</v>
      </c>
      <c r="G1653" t="s">
        <v>514</v>
      </c>
      <c r="H1653">
        <v>47129020</v>
      </c>
      <c r="I1653" t="s">
        <v>1058</v>
      </c>
      <c r="J1653" t="s">
        <v>1057</v>
      </c>
      <c r="K1653" t="s">
        <v>530</v>
      </c>
      <c r="N1653">
        <v>0</v>
      </c>
      <c r="O1653">
        <v>0</v>
      </c>
      <c r="P1653" t="str">
        <f t="shared" si="25"/>
        <v>N</v>
      </c>
      <c r="Q1653" t="s">
        <v>7383</v>
      </c>
    </row>
    <row r="1654" spans="1:17" x14ac:dyDescent="0.25">
      <c r="A1654" t="s">
        <v>4613</v>
      </c>
      <c r="B1654" t="s">
        <v>1044</v>
      </c>
      <c r="C1654">
        <v>2027</v>
      </c>
      <c r="D1654" t="s">
        <v>540</v>
      </c>
      <c r="E1654" t="s">
        <v>833</v>
      </c>
      <c r="F1654" s="32">
        <v>46409</v>
      </c>
      <c r="G1654" t="s">
        <v>514</v>
      </c>
      <c r="H1654">
        <v>47129473</v>
      </c>
      <c r="I1654" t="s">
        <v>1430</v>
      </c>
      <c r="J1654" t="s">
        <v>1429</v>
      </c>
      <c r="K1654" t="s">
        <v>530</v>
      </c>
      <c r="N1654">
        <v>0</v>
      </c>
      <c r="O1654">
        <v>0</v>
      </c>
      <c r="P1654" t="str">
        <f t="shared" si="25"/>
        <v>N</v>
      </c>
      <c r="Q1654" t="s">
        <v>7384</v>
      </c>
    </row>
    <row r="1655" spans="1:17" x14ac:dyDescent="0.25">
      <c r="A1655" t="s">
        <v>4614</v>
      </c>
      <c r="B1655" t="s">
        <v>1044</v>
      </c>
      <c r="C1655">
        <v>2027</v>
      </c>
      <c r="D1655" t="s">
        <v>540</v>
      </c>
      <c r="E1655" t="s">
        <v>833</v>
      </c>
      <c r="F1655" s="32">
        <v>46409</v>
      </c>
      <c r="G1655" t="s">
        <v>514</v>
      </c>
      <c r="H1655">
        <v>47128429</v>
      </c>
      <c r="I1655" t="s">
        <v>1371</v>
      </c>
      <c r="J1655" t="s">
        <v>1370</v>
      </c>
      <c r="K1655" t="s">
        <v>530</v>
      </c>
      <c r="N1655">
        <v>0</v>
      </c>
      <c r="O1655">
        <v>0</v>
      </c>
      <c r="P1655" t="str">
        <f t="shared" si="25"/>
        <v>N</v>
      </c>
      <c r="Q1655" t="s">
        <v>7385</v>
      </c>
    </row>
    <row r="1656" spans="1:17" x14ac:dyDescent="0.25">
      <c r="A1656" t="s">
        <v>4615</v>
      </c>
      <c r="B1656" t="s">
        <v>1044</v>
      </c>
      <c r="C1656">
        <v>2027</v>
      </c>
      <c r="D1656" t="s">
        <v>540</v>
      </c>
      <c r="E1656" t="s">
        <v>833</v>
      </c>
      <c r="F1656" s="32">
        <v>46409</v>
      </c>
      <c r="G1656" t="s">
        <v>514</v>
      </c>
      <c r="H1656">
        <v>47128181</v>
      </c>
      <c r="I1656" t="s">
        <v>1301</v>
      </c>
      <c r="J1656" t="s">
        <v>1300</v>
      </c>
      <c r="K1656" t="s">
        <v>530</v>
      </c>
      <c r="N1656">
        <v>0</v>
      </c>
      <c r="O1656">
        <v>0</v>
      </c>
      <c r="P1656" t="str">
        <f t="shared" si="25"/>
        <v>N</v>
      </c>
      <c r="Q1656" t="s">
        <v>7386</v>
      </c>
    </row>
    <row r="1657" spans="1:17" x14ac:dyDescent="0.25">
      <c r="A1657" t="s">
        <v>4909</v>
      </c>
      <c r="B1657" t="s">
        <v>1090</v>
      </c>
      <c r="C1657">
        <v>2027</v>
      </c>
      <c r="D1657" t="s">
        <v>540</v>
      </c>
      <c r="E1657" t="s">
        <v>833</v>
      </c>
      <c r="F1657" s="32">
        <v>46409</v>
      </c>
      <c r="G1657" t="s">
        <v>514</v>
      </c>
      <c r="H1657">
        <v>47128477</v>
      </c>
      <c r="I1657" t="s">
        <v>1029</v>
      </c>
      <c r="J1657" t="s">
        <v>1028</v>
      </c>
      <c r="K1657" t="s">
        <v>530</v>
      </c>
      <c r="N1657">
        <v>0</v>
      </c>
      <c r="O1657">
        <v>0</v>
      </c>
      <c r="P1657" t="str">
        <f t="shared" si="25"/>
        <v>N</v>
      </c>
      <c r="Q1657" t="s">
        <v>7387</v>
      </c>
    </row>
    <row r="1658" spans="1:17" x14ac:dyDescent="0.25">
      <c r="A1658" t="s">
        <v>4910</v>
      </c>
      <c r="B1658" t="s">
        <v>1090</v>
      </c>
      <c r="C1658">
        <v>2027</v>
      </c>
      <c r="D1658" t="s">
        <v>540</v>
      </c>
      <c r="E1658" t="s">
        <v>833</v>
      </c>
      <c r="F1658" s="32">
        <v>46409</v>
      </c>
      <c r="G1658" t="s">
        <v>514</v>
      </c>
      <c r="H1658">
        <v>47128353</v>
      </c>
      <c r="I1658" t="s">
        <v>982</v>
      </c>
      <c r="J1658" t="s">
        <v>981</v>
      </c>
      <c r="K1658" t="s">
        <v>530</v>
      </c>
      <c r="N1658">
        <v>30</v>
      </c>
      <c r="O1658">
        <v>30</v>
      </c>
      <c r="P1658" t="str">
        <f t="shared" si="25"/>
        <v>N</v>
      </c>
      <c r="Q1658" t="s">
        <v>7388</v>
      </c>
    </row>
    <row r="1659" spans="1:17" x14ac:dyDescent="0.25">
      <c r="A1659" t="s">
        <v>4911</v>
      </c>
      <c r="B1659" t="s">
        <v>1090</v>
      </c>
      <c r="C1659">
        <v>2027</v>
      </c>
      <c r="D1659" t="s">
        <v>540</v>
      </c>
      <c r="E1659" t="s">
        <v>833</v>
      </c>
      <c r="F1659" s="32">
        <v>46409</v>
      </c>
      <c r="G1659" t="s">
        <v>514</v>
      </c>
      <c r="H1659">
        <v>47128350</v>
      </c>
      <c r="I1659" t="s">
        <v>1032</v>
      </c>
      <c r="J1659" t="s">
        <v>1031</v>
      </c>
      <c r="K1659" t="s">
        <v>530</v>
      </c>
      <c r="N1659">
        <v>51</v>
      </c>
      <c r="O1659">
        <v>51</v>
      </c>
      <c r="P1659" t="str">
        <f t="shared" si="25"/>
        <v>N</v>
      </c>
      <c r="Q1659" t="s">
        <v>7389</v>
      </c>
    </row>
    <row r="1660" spans="1:17" x14ac:dyDescent="0.25">
      <c r="A1660" t="s">
        <v>4912</v>
      </c>
      <c r="B1660" t="s">
        <v>1090</v>
      </c>
      <c r="C1660">
        <v>2027</v>
      </c>
      <c r="D1660" t="s">
        <v>540</v>
      </c>
      <c r="E1660" t="s">
        <v>833</v>
      </c>
      <c r="F1660" s="32">
        <v>46409</v>
      </c>
      <c r="G1660" t="s">
        <v>514</v>
      </c>
      <c r="H1660">
        <v>47128349</v>
      </c>
      <c r="I1660" t="s">
        <v>975</v>
      </c>
      <c r="J1660" t="s">
        <v>974</v>
      </c>
      <c r="K1660" t="s">
        <v>530</v>
      </c>
      <c r="N1660">
        <v>20</v>
      </c>
      <c r="O1660">
        <v>20</v>
      </c>
      <c r="P1660" t="str">
        <f t="shared" si="25"/>
        <v>N</v>
      </c>
      <c r="Q1660" t="s">
        <v>7390</v>
      </c>
    </row>
    <row r="1661" spans="1:17" x14ac:dyDescent="0.25">
      <c r="A1661" t="s">
        <v>4913</v>
      </c>
      <c r="B1661" t="s">
        <v>1090</v>
      </c>
      <c r="C1661">
        <v>2027</v>
      </c>
      <c r="D1661" t="s">
        <v>540</v>
      </c>
      <c r="E1661" t="s">
        <v>833</v>
      </c>
      <c r="F1661" s="32">
        <v>46409</v>
      </c>
      <c r="G1661" t="s">
        <v>514</v>
      </c>
      <c r="H1661">
        <v>47128317</v>
      </c>
      <c r="I1661" t="s">
        <v>985</v>
      </c>
      <c r="J1661" t="s">
        <v>984</v>
      </c>
      <c r="K1661" t="s">
        <v>530</v>
      </c>
      <c r="N1661">
        <v>0</v>
      </c>
      <c r="O1661">
        <v>0</v>
      </c>
      <c r="P1661" t="str">
        <f t="shared" si="25"/>
        <v>N</v>
      </c>
      <c r="Q1661" t="s">
        <v>7391</v>
      </c>
    </row>
    <row r="1662" spans="1:17" x14ac:dyDescent="0.25">
      <c r="A1662" t="s">
        <v>4914</v>
      </c>
      <c r="B1662" t="s">
        <v>1090</v>
      </c>
      <c r="C1662">
        <v>2027</v>
      </c>
      <c r="D1662" t="s">
        <v>540</v>
      </c>
      <c r="E1662" t="s">
        <v>833</v>
      </c>
      <c r="F1662" s="32">
        <v>46409</v>
      </c>
      <c r="G1662" t="s">
        <v>514</v>
      </c>
      <c r="H1662">
        <v>47128137</v>
      </c>
      <c r="I1662" t="s">
        <v>1008</v>
      </c>
      <c r="J1662" t="s">
        <v>1007</v>
      </c>
      <c r="K1662" t="s">
        <v>530</v>
      </c>
      <c r="N1662">
        <v>0</v>
      </c>
      <c r="O1662">
        <v>0</v>
      </c>
      <c r="P1662" t="str">
        <f t="shared" si="25"/>
        <v>N</v>
      </c>
      <c r="Q1662" t="s">
        <v>7392</v>
      </c>
    </row>
    <row r="1663" spans="1:17" x14ac:dyDescent="0.25">
      <c r="A1663" t="s">
        <v>4915</v>
      </c>
      <c r="B1663" t="s">
        <v>1090</v>
      </c>
      <c r="C1663">
        <v>2027</v>
      </c>
      <c r="D1663" t="s">
        <v>540</v>
      </c>
      <c r="E1663" t="s">
        <v>833</v>
      </c>
      <c r="F1663" s="32">
        <v>46409</v>
      </c>
      <c r="G1663" t="s">
        <v>514</v>
      </c>
      <c r="H1663">
        <v>47128085</v>
      </c>
      <c r="I1663" t="s">
        <v>942</v>
      </c>
      <c r="J1663" t="s">
        <v>941</v>
      </c>
      <c r="K1663" t="s">
        <v>530</v>
      </c>
      <c r="N1663">
        <v>0</v>
      </c>
      <c r="O1663">
        <v>0</v>
      </c>
      <c r="P1663" t="str">
        <f t="shared" si="25"/>
        <v>N</v>
      </c>
      <c r="Q1663" t="s">
        <v>7393</v>
      </c>
    </row>
    <row r="1664" spans="1:17" x14ac:dyDescent="0.25">
      <c r="A1664" t="s">
        <v>4916</v>
      </c>
      <c r="B1664" t="s">
        <v>1090</v>
      </c>
      <c r="C1664">
        <v>2027</v>
      </c>
      <c r="D1664" t="s">
        <v>540</v>
      </c>
      <c r="E1664" t="s">
        <v>833</v>
      </c>
      <c r="F1664" s="32">
        <v>46409</v>
      </c>
      <c r="G1664" t="s">
        <v>514</v>
      </c>
      <c r="H1664">
        <v>47128139</v>
      </c>
      <c r="I1664" t="s">
        <v>988</v>
      </c>
      <c r="J1664" t="s">
        <v>987</v>
      </c>
      <c r="K1664" t="s">
        <v>530</v>
      </c>
      <c r="N1664">
        <v>0</v>
      </c>
      <c r="O1664">
        <v>0</v>
      </c>
      <c r="P1664" t="str">
        <f t="shared" si="25"/>
        <v>N</v>
      </c>
      <c r="Q1664" t="s">
        <v>7394</v>
      </c>
    </row>
    <row r="1665" spans="1:17" x14ac:dyDescent="0.25">
      <c r="A1665" t="s">
        <v>4917</v>
      </c>
      <c r="B1665" t="s">
        <v>1090</v>
      </c>
      <c r="C1665">
        <v>2027</v>
      </c>
      <c r="D1665" t="s">
        <v>540</v>
      </c>
      <c r="E1665" t="s">
        <v>833</v>
      </c>
      <c r="F1665" s="32">
        <v>46409</v>
      </c>
      <c r="G1665" t="s">
        <v>514</v>
      </c>
      <c r="H1665">
        <v>47128939</v>
      </c>
      <c r="I1665" t="s">
        <v>1224</v>
      </c>
      <c r="J1665" t="s">
        <v>1223</v>
      </c>
      <c r="K1665" t="s">
        <v>530</v>
      </c>
      <c r="N1665">
        <v>0</v>
      </c>
      <c r="O1665">
        <v>0</v>
      </c>
      <c r="P1665" t="str">
        <f t="shared" si="25"/>
        <v>N</v>
      </c>
      <c r="Q1665" t="s">
        <v>7395</v>
      </c>
    </row>
    <row r="1666" spans="1:17" x14ac:dyDescent="0.25">
      <c r="A1666" t="s">
        <v>4918</v>
      </c>
      <c r="B1666" t="s">
        <v>1090</v>
      </c>
      <c r="C1666">
        <v>2027</v>
      </c>
      <c r="D1666" t="s">
        <v>540</v>
      </c>
      <c r="E1666" t="s">
        <v>833</v>
      </c>
      <c r="F1666" s="32">
        <v>46409</v>
      </c>
      <c r="G1666" t="s">
        <v>514</v>
      </c>
      <c r="H1666">
        <v>47128449</v>
      </c>
      <c r="I1666" t="s">
        <v>1364</v>
      </c>
      <c r="J1666" t="s">
        <v>1363</v>
      </c>
      <c r="K1666" t="s">
        <v>530</v>
      </c>
      <c r="N1666">
        <v>0</v>
      </c>
      <c r="O1666">
        <v>0</v>
      </c>
      <c r="P1666" t="str">
        <f t="shared" si="25"/>
        <v>N</v>
      </c>
      <c r="Q1666" t="s">
        <v>7396</v>
      </c>
    </row>
    <row r="1667" spans="1:17" x14ac:dyDescent="0.25">
      <c r="A1667" t="s">
        <v>4919</v>
      </c>
      <c r="B1667" t="s">
        <v>1090</v>
      </c>
      <c r="C1667">
        <v>2027</v>
      </c>
      <c r="D1667" t="s">
        <v>540</v>
      </c>
      <c r="E1667" t="s">
        <v>833</v>
      </c>
      <c r="F1667" s="32">
        <v>46409</v>
      </c>
      <c r="G1667" t="s">
        <v>514</v>
      </c>
      <c r="H1667">
        <v>47148279</v>
      </c>
      <c r="I1667" t="s">
        <v>1236</v>
      </c>
      <c r="J1667" t="s">
        <v>1235</v>
      </c>
      <c r="K1667" t="s">
        <v>530</v>
      </c>
      <c r="N1667">
        <v>0</v>
      </c>
      <c r="O1667">
        <v>0</v>
      </c>
      <c r="P1667" t="str">
        <f t="shared" ref="P1667:P1730" si="26">IF(N1667=O1667,"N","Y")</f>
        <v>N</v>
      </c>
      <c r="Q1667" t="s">
        <v>7397</v>
      </c>
    </row>
    <row r="1668" spans="1:17" x14ac:dyDescent="0.25">
      <c r="A1668" t="s">
        <v>4920</v>
      </c>
      <c r="B1668" t="s">
        <v>1090</v>
      </c>
      <c r="C1668">
        <v>2027</v>
      </c>
      <c r="D1668" t="s">
        <v>540</v>
      </c>
      <c r="E1668" t="s">
        <v>833</v>
      </c>
      <c r="F1668" s="32">
        <v>46409</v>
      </c>
      <c r="G1668" t="s">
        <v>514</v>
      </c>
      <c r="H1668">
        <v>47128902</v>
      </c>
      <c r="I1668" t="s">
        <v>1243</v>
      </c>
      <c r="J1668" t="s">
        <v>1242</v>
      </c>
      <c r="K1668" t="s">
        <v>530</v>
      </c>
      <c r="N1668">
        <v>19</v>
      </c>
      <c r="O1668">
        <v>19</v>
      </c>
      <c r="P1668" t="str">
        <f t="shared" si="26"/>
        <v>N</v>
      </c>
      <c r="Q1668" t="s">
        <v>7398</v>
      </c>
    </row>
    <row r="1669" spans="1:17" x14ac:dyDescent="0.25">
      <c r="A1669" t="s">
        <v>4921</v>
      </c>
      <c r="B1669" t="s">
        <v>1090</v>
      </c>
      <c r="C1669">
        <v>2027</v>
      </c>
      <c r="D1669" t="s">
        <v>540</v>
      </c>
      <c r="E1669" t="s">
        <v>833</v>
      </c>
      <c r="F1669" s="32">
        <v>46409</v>
      </c>
      <c r="G1669" t="s">
        <v>514</v>
      </c>
      <c r="H1669">
        <v>47128417</v>
      </c>
      <c r="I1669" t="s">
        <v>1069</v>
      </c>
      <c r="J1669" t="s">
        <v>1068</v>
      </c>
      <c r="K1669" t="s">
        <v>530</v>
      </c>
      <c r="N1669">
        <v>0</v>
      </c>
      <c r="O1669">
        <v>0</v>
      </c>
      <c r="P1669" t="str">
        <f t="shared" si="26"/>
        <v>N</v>
      </c>
      <c r="Q1669" t="s">
        <v>7399</v>
      </c>
    </row>
    <row r="1670" spans="1:17" x14ac:dyDescent="0.25">
      <c r="A1670" t="s">
        <v>4922</v>
      </c>
      <c r="B1670" t="s">
        <v>1090</v>
      </c>
      <c r="C1670">
        <v>2027</v>
      </c>
      <c r="D1670" t="s">
        <v>540</v>
      </c>
      <c r="E1670" t="s">
        <v>833</v>
      </c>
      <c r="F1670" s="32">
        <v>46409</v>
      </c>
      <c r="G1670" t="s">
        <v>514</v>
      </c>
      <c r="H1670">
        <v>47129017</v>
      </c>
      <c r="I1670" t="s">
        <v>1073</v>
      </c>
      <c r="J1670" t="s">
        <v>1072</v>
      </c>
      <c r="K1670" t="s">
        <v>530</v>
      </c>
      <c r="N1670">
        <v>18</v>
      </c>
      <c r="O1670">
        <v>18</v>
      </c>
      <c r="P1670" t="str">
        <f t="shared" si="26"/>
        <v>N</v>
      </c>
      <c r="Q1670" t="s">
        <v>7400</v>
      </c>
    </row>
    <row r="1671" spans="1:17" x14ac:dyDescent="0.25">
      <c r="A1671" t="s">
        <v>4923</v>
      </c>
      <c r="B1671" t="s">
        <v>1090</v>
      </c>
      <c r="C1671">
        <v>2027</v>
      </c>
      <c r="D1671" t="s">
        <v>540</v>
      </c>
      <c r="E1671" t="s">
        <v>833</v>
      </c>
      <c r="F1671" s="32">
        <v>46409</v>
      </c>
      <c r="G1671" t="s">
        <v>514</v>
      </c>
      <c r="H1671">
        <v>47128936</v>
      </c>
      <c r="I1671" t="s">
        <v>1173</v>
      </c>
      <c r="J1671" t="s">
        <v>1172</v>
      </c>
      <c r="K1671" t="s">
        <v>530</v>
      </c>
      <c r="N1671">
        <v>19</v>
      </c>
      <c r="O1671">
        <v>19</v>
      </c>
      <c r="P1671" t="str">
        <f t="shared" si="26"/>
        <v>N</v>
      </c>
      <c r="Q1671" t="s">
        <v>7401</v>
      </c>
    </row>
    <row r="1672" spans="1:17" x14ac:dyDescent="0.25">
      <c r="A1672" t="s">
        <v>4924</v>
      </c>
      <c r="B1672" t="s">
        <v>1090</v>
      </c>
      <c r="C1672">
        <v>2027</v>
      </c>
      <c r="D1672" t="s">
        <v>540</v>
      </c>
      <c r="E1672" t="s">
        <v>833</v>
      </c>
      <c r="F1672" s="32">
        <v>46409</v>
      </c>
      <c r="G1672" t="s">
        <v>514</v>
      </c>
      <c r="H1672">
        <v>47129715</v>
      </c>
      <c r="I1672" t="s">
        <v>1272</v>
      </c>
      <c r="J1672" t="s">
        <v>1271</v>
      </c>
      <c r="K1672" t="s">
        <v>530</v>
      </c>
      <c r="N1672">
        <v>13</v>
      </c>
      <c r="O1672">
        <v>13</v>
      </c>
      <c r="P1672" t="str">
        <f t="shared" si="26"/>
        <v>N</v>
      </c>
      <c r="Q1672" t="s">
        <v>7402</v>
      </c>
    </row>
    <row r="1673" spans="1:17" x14ac:dyDescent="0.25">
      <c r="A1673" t="s">
        <v>4925</v>
      </c>
      <c r="B1673" t="s">
        <v>1090</v>
      </c>
      <c r="C1673">
        <v>2027</v>
      </c>
      <c r="D1673" t="s">
        <v>540</v>
      </c>
      <c r="E1673" t="s">
        <v>833</v>
      </c>
      <c r="F1673" s="32">
        <v>46409</v>
      </c>
      <c r="G1673" t="s">
        <v>514</v>
      </c>
      <c r="H1673">
        <v>47129702</v>
      </c>
      <c r="I1673" t="s">
        <v>1309</v>
      </c>
      <c r="J1673" t="s">
        <v>1308</v>
      </c>
      <c r="K1673" t="s">
        <v>530</v>
      </c>
      <c r="N1673">
        <v>0</v>
      </c>
      <c r="O1673">
        <v>0</v>
      </c>
      <c r="P1673" t="str">
        <f t="shared" si="26"/>
        <v>N</v>
      </c>
      <c r="Q1673" t="s">
        <v>7403</v>
      </c>
    </row>
    <row r="1674" spans="1:17" x14ac:dyDescent="0.25">
      <c r="A1674" t="s">
        <v>4926</v>
      </c>
      <c r="B1674" t="s">
        <v>1090</v>
      </c>
      <c r="C1674">
        <v>2027</v>
      </c>
      <c r="D1674" t="s">
        <v>540</v>
      </c>
      <c r="E1674" t="s">
        <v>833</v>
      </c>
      <c r="F1674" s="32">
        <v>46409</v>
      </c>
      <c r="G1674" t="s">
        <v>514</v>
      </c>
      <c r="H1674">
        <v>47128777</v>
      </c>
      <c r="I1674" t="s">
        <v>1329</v>
      </c>
      <c r="J1674" t="s">
        <v>1328</v>
      </c>
      <c r="K1674" t="s">
        <v>530</v>
      </c>
      <c r="N1674">
        <v>0</v>
      </c>
      <c r="O1674">
        <v>0</v>
      </c>
      <c r="P1674" t="str">
        <f t="shared" si="26"/>
        <v>N</v>
      </c>
      <c r="Q1674" t="s">
        <v>7404</v>
      </c>
    </row>
    <row r="1675" spans="1:17" x14ac:dyDescent="0.25">
      <c r="A1675" t="s">
        <v>4927</v>
      </c>
      <c r="B1675" t="s">
        <v>1090</v>
      </c>
      <c r="C1675">
        <v>2027</v>
      </c>
      <c r="D1675" t="s">
        <v>540</v>
      </c>
      <c r="E1675" t="s">
        <v>833</v>
      </c>
      <c r="F1675" s="32">
        <v>46409</v>
      </c>
      <c r="G1675" t="s">
        <v>514</v>
      </c>
      <c r="H1675">
        <v>47148880</v>
      </c>
      <c r="I1675" t="s">
        <v>1305</v>
      </c>
      <c r="J1675" t="s">
        <v>1304</v>
      </c>
      <c r="K1675" t="s">
        <v>530</v>
      </c>
      <c r="N1675">
        <v>0</v>
      </c>
      <c r="O1675">
        <v>0</v>
      </c>
      <c r="P1675" t="str">
        <f t="shared" si="26"/>
        <v>N</v>
      </c>
      <c r="Q1675" t="s">
        <v>7405</v>
      </c>
    </row>
    <row r="1676" spans="1:17" x14ac:dyDescent="0.25">
      <c r="A1676" t="s">
        <v>4928</v>
      </c>
      <c r="B1676" t="s">
        <v>1090</v>
      </c>
      <c r="C1676">
        <v>2027</v>
      </c>
      <c r="D1676" t="s">
        <v>540</v>
      </c>
      <c r="E1676" t="s">
        <v>833</v>
      </c>
      <c r="F1676" s="32">
        <v>46409</v>
      </c>
      <c r="G1676" t="s">
        <v>514</v>
      </c>
      <c r="H1676">
        <v>47128467</v>
      </c>
      <c r="I1676" t="s">
        <v>1292</v>
      </c>
      <c r="J1676" t="s">
        <v>1291</v>
      </c>
      <c r="K1676" t="s">
        <v>530</v>
      </c>
      <c r="N1676">
        <v>0</v>
      </c>
      <c r="O1676">
        <v>0</v>
      </c>
      <c r="P1676" t="str">
        <f t="shared" si="26"/>
        <v>N</v>
      </c>
      <c r="Q1676" t="s">
        <v>7406</v>
      </c>
    </row>
    <row r="1677" spans="1:17" x14ac:dyDescent="0.25">
      <c r="A1677" t="s">
        <v>4929</v>
      </c>
      <c r="B1677" t="s">
        <v>1090</v>
      </c>
      <c r="C1677">
        <v>2027</v>
      </c>
      <c r="D1677" t="s">
        <v>540</v>
      </c>
      <c r="E1677" t="s">
        <v>833</v>
      </c>
      <c r="F1677" s="32">
        <v>46409</v>
      </c>
      <c r="G1677" t="s">
        <v>514</v>
      </c>
      <c r="H1677">
        <v>47128643</v>
      </c>
      <c r="I1677" t="s">
        <v>1367</v>
      </c>
      <c r="J1677" t="s">
        <v>1366</v>
      </c>
      <c r="K1677" t="s">
        <v>530</v>
      </c>
      <c r="N1677">
        <v>0</v>
      </c>
      <c r="O1677">
        <v>0</v>
      </c>
      <c r="P1677" t="str">
        <f t="shared" si="26"/>
        <v>N</v>
      </c>
      <c r="Q1677" t="s">
        <v>7407</v>
      </c>
    </row>
    <row r="1678" spans="1:17" x14ac:dyDescent="0.25">
      <c r="A1678" t="s">
        <v>4930</v>
      </c>
      <c r="B1678" t="s">
        <v>1090</v>
      </c>
      <c r="C1678">
        <v>2027</v>
      </c>
      <c r="D1678" t="s">
        <v>540</v>
      </c>
      <c r="E1678" t="s">
        <v>833</v>
      </c>
      <c r="F1678" s="32">
        <v>46409</v>
      </c>
      <c r="G1678" t="s">
        <v>514</v>
      </c>
      <c r="H1678">
        <v>47151576</v>
      </c>
      <c r="I1678" t="s">
        <v>1506</v>
      </c>
      <c r="J1678" t="s">
        <v>1505</v>
      </c>
      <c r="K1678" t="s">
        <v>530</v>
      </c>
      <c r="N1678">
        <v>0</v>
      </c>
      <c r="O1678">
        <v>0</v>
      </c>
      <c r="P1678" t="str">
        <f t="shared" si="26"/>
        <v>N</v>
      </c>
      <c r="Q1678" t="s">
        <v>7408</v>
      </c>
    </row>
    <row r="1679" spans="1:17" x14ac:dyDescent="0.25">
      <c r="A1679" t="s">
        <v>4931</v>
      </c>
      <c r="B1679" t="s">
        <v>1090</v>
      </c>
      <c r="C1679">
        <v>2027</v>
      </c>
      <c r="D1679" t="s">
        <v>540</v>
      </c>
      <c r="E1679" t="s">
        <v>833</v>
      </c>
      <c r="F1679" s="32">
        <v>46409</v>
      </c>
      <c r="G1679" t="s">
        <v>514</v>
      </c>
      <c r="H1679">
        <v>47129459</v>
      </c>
      <c r="I1679" t="s">
        <v>1321</v>
      </c>
      <c r="J1679" t="s">
        <v>1320</v>
      </c>
      <c r="K1679" t="s">
        <v>530</v>
      </c>
      <c r="N1679">
        <v>0</v>
      </c>
      <c r="O1679">
        <v>0</v>
      </c>
      <c r="P1679" t="str">
        <f t="shared" si="26"/>
        <v>N</v>
      </c>
      <c r="Q1679" t="s">
        <v>7409</v>
      </c>
    </row>
    <row r="1680" spans="1:17" x14ac:dyDescent="0.25">
      <c r="A1680" t="s">
        <v>4932</v>
      </c>
      <c r="B1680" t="s">
        <v>1090</v>
      </c>
      <c r="C1680">
        <v>2027</v>
      </c>
      <c r="D1680" t="s">
        <v>540</v>
      </c>
      <c r="E1680" t="s">
        <v>833</v>
      </c>
      <c r="F1680" s="32">
        <v>46409</v>
      </c>
      <c r="G1680" t="s">
        <v>514</v>
      </c>
      <c r="H1680">
        <v>47129130</v>
      </c>
      <c r="I1680" t="s">
        <v>1434</v>
      </c>
      <c r="J1680" t="s">
        <v>1433</v>
      </c>
      <c r="K1680" t="s">
        <v>530</v>
      </c>
      <c r="N1680">
        <v>0</v>
      </c>
      <c r="O1680">
        <v>0</v>
      </c>
      <c r="P1680" t="str">
        <f t="shared" si="26"/>
        <v>N</v>
      </c>
      <c r="Q1680" t="s">
        <v>7410</v>
      </c>
    </row>
    <row r="1681" spans="1:17" x14ac:dyDescent="0.25">
      <c r="A1681" t="s">
        <v>4933</v>
      </c>
      <c r="B1681" t="s">
        <v>1090</v>
      </c>
      <c r="C1681">
        <v>2027</v>
      </c>
      <c r="D1681" t="s">
        <v>540</v>
      </c>
      <c r="E1681" t="s">
        <v>833</v>
      </c>
      <c r="F1681" s="32">
        <v>46409</v>
      </c>
      <c r="G1681" t="s">
        <v>514</v>
      </c>
      <c r="H1681">
        <v>47129692</v>
      </c>
      <c r="I1681" t="s">
        <v>1475</v>
      </c>
      <c r="J1681" t="s">
        <v>1474</v>
      </c>
      <c r="K1681" t="s">
        <v>530</v>
      </c>
      <c r="N1681">
        <v>0</v>
      </c>
      <c r="O1681">
        <v>0</v>
      </c>
      <c r="P1681" t="str">
        <f t="shared" si="26"/>
        <v>N</v>
      </c>
      <c r="Q1681" t="s">
        <v>7411</v>
      </c>
    </row>
    <row r="1682" spans="1:17" x14ac:dyDescent="0.25">
      <c r="A1682" t="s">
        <v>4934</v>
      </c>
      <c r="B1682" t="s">
        <v>1090</v>
      </c>
      <c r="C1682">
        <v>2027</v>
      </c>
      <c r="D1682" t="s">
        <v>540</v>
      </c>
      <c r="E1682" t="s">
        <v>833</v>
      </c>
      <c r="F1682" s="32">
        <v>46409</v>
      </c>
      <c r="G1682" t="s">
        <v>514</v>
      </c>
      <c r="H1682">
        <v>47153262</v>
      </c>
      <c r="I1682" t="s">
        <v>1502</v>
      </c>
      <c r="J1682" t="s">
        <v>1501</v>
      </c>
      <c r="K1682" t="s">
        <v>530</v>
      </c>
      <c r="N1682">
        <v>0</v>
      </c>
      <c r="O1682">
        <v>0</v>
      </c>
      <c r="P1682" t="str">
        <f t="shared" si="26"/>
        <v>N</v>
      </c>
      <c r="Q1682" t="s">
        <v>7412</v>
      </c>
    </row>
    <row r="1683" spans="1:17" x14ac:dyDescent="0.25">
      <c r="A1683" t="s">
        <v>4935</v>
      </c>
      <c r="B1683" t="s">
        <v>1090</v>
      </c>
      <c r="C1683">
        <v>2027</v>
      </c>
      <c r="D1683" t="s">
        <v>540</v>
      </c>
      <c r="E1683" t="s">
        <v>833</v>
      </c>
      <c r="F1683" s="32">
        <v>46409</v>
      </c>
      <c r="G1683" t="s">
        <v>514</v>
      </c>
      <c r="H1683">
        <v>47146895</v>
      </c>
      <c r="I1683" t="s">
        <v>1375</v>
      </c>
      <c r="J1683" t="s">
        <v>1374</v>
      </c>
      <c r="K1683" t="s">
        <v>530</v>
      </c>
      <c r="N1683">
        <v>0</v>
      </c>
      <c r="O1683">
        <v>0</v>
      </c>
      <c r="P1683" t="str">
        <f t="shared" si="26"/>
        <v>N</v>
      </c>
      <c r="Q1683" t="s">
        <v>7413</v>
      </c>
    </row>
    <row r="1684" spans="1:17" x14ac:dyDescent="0.25">
      <c r="A1684" t="s">
        <v>4936</v>
      </c>
      <c r="B1684" t="s">
        <v>1090</v>
      </c>
      <c r="C1684">
        <v>2027</v>
      </c>
      <c r="D1684" t="s">
        <v>540</v>
      </c>
      <c r="E1684" t="s">
        <v>833</v>
      </c>
      <c r="F1684" s="32">
        <v>46409</v>
      </c>
      <c r="G1684" t="s">
        <v>514</v>
      </c>
      <c r="H1684">
        <v>47128115</v>
      </c>
      <c r="I1684" t="s">
        <v>1260</v>
      </c>
      <c r="J1684" t="s">
        <v>1499</v>
      </c>
      <c r="K1684" t="s">
        <v>530</v>
      </c>
      <c r="N1684">
        <v>0</v>
      </c>
      <c r="O1684">
        <v>0</v>
      </c>
      <c r="P1684" t="str">
        <f t="shared" si="26"/>
        <v>N</v>
      </c>
      <c r="Q1684" t="s">
        <v>7414</v>
      </c>
    </row>
    <row r="1685" spans="1:17" x14ac:dyDescent="0.25">
      <c r="A1685" t="s">
        <v>4937</v>
      </c>
      <c r="B1685" t="s">
        <v>1090</v>
      </c>
      <c r="C1685">
        <v>2027</v>
      </c>
      <c r="D1685" t="s">
        <v>540</v>
      </c>
      <c r="E1685" t="s">
        <v>833</v>
      </c>
      <c r="F1685" s="32">
        <v>46409</v>
      </c>
      <c r="G1685" t="s">
        <v>514</v>
      </c>
      <c r="H1685">
        <v>47129679</v>
      </c>
      <c r="I1685" t="s">
        <v>1422</v>
      </c>
      <c r="J1685" t="s">
        <v>1421</v>
      </c>
      <c r="K1685" t="s">
        <v>530</v>
      </c>
      <c r="N1685">
        <v>0</v>
      </c>
      <c r="O1685">
        <v>0</v>
      </c>
      <c r="P1685" t="str">
        <f t="shared" si="26"/>
        <v>N</v>
      </c>
      <c r="Q1685" t="s">
        <v>7415</v>
      </c>
    </row>
    <row r="1686" spans="1:17" x14ac:dyDescent="0.25">
      <c r="A1686" t="s">
        <v>4938</v>
      </c>
      <c r="B1686" t="s">
        <v>1090</v>
      </c>
      <c r="C1686">
        <v>2027</v>
      </c>
      <c r="D1686" t="s">
        <v>540</v>
      </c>
      <c r="E1686" t="s">
        <v>833</v>
      </c>
      <c r="F1686" s="32">
        <v>46409</v>
      </c>
      <c r="G1686" t="s">
        <v>514</v>
      </c>
      <c r="H1686">
        <v>47129432</v>
      </c>
      <c r="I1686" t="s">
        <v>1468</v>
      </c>
      <c r="J1686" t="s">
        <v>1467</v>
      </c>
      <c r="K1686" t="s">
        <v>530</v>
      </c>
      <c r="N1686">
        <v>0</v>
      </c>
      <c r="O1686">
        <v>0</v>
      </c>
      <c r="P1686" t="str">
        <f t="shared" si="26"/>
        <v>N</v>
      </c>
      <c r="Q1686" t="s">
        <v>7416</v>
      </c>
    </row>
    <row r="1687" spans="1:17" x14ac:dyDescent="0.25">
      <c r="A1687" t="s">
        <v>4939</v>
      </c>
      <c r="B1687" t="s">
        <v>1090</v>
      </c>
      <c r="C1687">
        <v>2027</v>
      </c>
      <c r="D1687" t="s">
        <v>540</v>
      </c>
      <c r="E1687" t="s">
        <v>833</v>
      </c>
      <c r="F1687" s="32">
        <v>46409</v>
      </c>
      <c r="G1687" t="s">
        <v>514</v>
      </c>
      <c r="H1687">
        <v>47129050</v>
      </c>
      <c r="I1687" t="s">
        <v>1482</v>
      </c>
      <c r="J1687" t="s">
        <v>1481</v>
      </c>
      <c r="K1687" t="s">
        <v>530</v>
      </c>
      <c r="N1687">
        <v>0</v>
      </c>
      <c r="O1687">
        <v>0</v>
      </c>
      <c r="P1687" t="str">
        <f t="shared" si="26"/>
        <v>N</v>
      </c>
      <c r="Q1687" t="s">
        <v>7417</v>
      </c>
    </row>
    <row r="1688" spans="1:17" x14ac:dyDescent="0.25">
      <c r="A1688" t="s">
        <v>5266</v>
      </c>
      <c r="B1688" t="s">
        <v>1089</v>
      </c>
      <c r="C1688">
        <v>2027</v>
      </c>
      <c r="D1688" t="s">
        <v>540</v>
      </c>
      <c r="E1688" t="s">
        <v>833</v>
      </c>
      <c r="F1688" s="32">
        <v>46409</v>
      </c>
      <c r="G1688" t="s">
        <v>514</v>
      </c>
      <c r="H1688">
        <v>47128421</v>
      </c>
      <c r="I1688" t="s">
        <v>1086</v>
      </c>
      <c r="J1688" t="s">
        <v>1085</v>
      </c>
      <c r="K1688" t="s">
        <v>530</v>
      </c>
      <c r="N1688">
        <v>0</v>
      </c>
      <c r="O1688">
        <v>0</v>
      </c>
      <c r="P1688" t="str">
        <f t="shared" si="26"/>
        <v>N</v>
      </c>
      <c r="Q1688" t="s">
        <v>7418</v>
      </c>
    </row>
    <row r="1689" spans="1:17" x14ac:dyDescent="0.25">
      <c r="A1689" t="s">
        <v>5267</v>
      </c>
      <c r="B1689" t="s">
        <v>1089</v>
      </c>
      <c r="C1689">
        <v>2027</v>
      </c>
      <c r="D1689" t="s">
        <v>540</v>
      </c>
      <c r="E1689" t="s">
        <v>833</v>
      </c>
      <c r="F1689" s="32">
        <v>46409</v>
      </c>
      <c r="G1689" t="s">
        <v>514</v>
      </c>
      <c r="H1689">
        <v>47128706</v>
      </c>
      <c r="I1689" t="s">
        <v>1201</v>
      </c>
      <c r="J1689" t="s">
        <v>1200</v>
      </c>
      <c r="K1689" t="s">
        <v>530</v>
      </c>
      <c r="N1689">
        <v>0</v>
      </c>
      <c r="O1689">
        <v>0</v>
      </c>
      <c r="P1689" t="str">
        <f t="shared" si="26"/>
        <v>N</v>
      </c>
      <c r="Q1689" t="s">
        <v>7419</v>
      </c>
    </row>
    <row r="1690" spans="1:17" x14ac:dyDescent="0.25">
      <c r="A1690" t="s">
        <v>5268</v>
      </c>
      <c r="B1690" t="s">
        <v>1089</v>
      </c>
      <c r="C1690">
        <v>2027</v>
      </c>
      <c r="D1690" t="s">
        <v>540</v>
      </c>
      <c r="E1690" t="s">
        <v>833</v>
      </c>
      <c r="F1690" s="32">
        <v>46409</v>
      </c>
      <c r="G1690" t="s">
        <v>514</v>
      </c>
      <c r="H1690">
        <v>47128364</v>
      </c>
      <c r="I1690" t="s">
        <v>1264</v>
      </c>
      <c r="J1690" t="s">
        <v>1263</v>
      </c>
      <c r="K1690" t="s">
        <v>530</v>
      </c>
      <c r="N1690">
        <v>70</v>
      </c>
      <c r="O1690">
        <v>70</v>
      </c>
      <c r="P1690" t="str">
        <f t="shared" si="26"/>
        <v>N</v>
      </c>
      <c r="Q1690" t="s">
        <v>7420</v>
      </c>
    </row>
    <row r="1691" spans="1:17" x14ac:dyDescent="0.25">
      <c r="A1691" t="s">
        <v>5269</v>
      </c>
      <c r="B1691" t="s">
        <v>1089</v>
      </c>
      <c r="C1691">
        <v>2027</v>
      </c>
      <c r="D1691" t="s">
        <v>540</v>
      </c>
      <c r="E1691" t="s">
        <v>833</v>
      </c>
      <c r="F1691" s="32">
        <v>46409</v>
      </c>
      <c r="G1691" t="s">
        <v>514</v>
      </c>
      <c r="H1691">
        <v>47128633</v>
      </c>
      <c r="I1691" t="s">
        <v>1164</v>
      </c>
      <c r="J1691" t="s">
        <v>1163</v>
      </c>
      <c r="K1691" t="s">
        <v>530</v>
      </c>
      <c r="N1691">
        <v>0</v>
      </c>
      <c r="O1691">
        <v>0</v>
      </c>
      <c r="P1691" t="str">
        <f t="shared" si="26"/>
        <v>N</v>
      </c>
      <c r="Q1691" t="s">
        <v>7421</v>
      </c>
    </row>
    <row r="1692" spans="1:17" x14ac:dyDescent="0.25">
      <c r="A1692" t="s">
        <v>5270</v>
      </c>
      <c r="B1692" t="s">
        <v>1089</v>
      </c>
      <c r="C1692">
        <v>2027</v>
      </c>
      <c r="D1692" t="s">
        <v>540</v>
      </c>
      <c r="E1692" t="s">
        <v>833</v>
      </c>
      <c r="F1692" s="32">
        <v>46409</v>
      </c>
      <c r="G1692" t="s">
        <v>514</v>
      </c>
      <c r="H1692">
        <v>47128046</v>
      </c>
      <c r="I1692" t="s">
        <v>1389</v>
      </c>
      <c r="J1692" t="s">
        <v>1388</v>
      </c>
      <c r="K1692" t="s">
        <v>530</v>
      </c>
      <c r="N1692">
        <v>0</v>
      </c>
      <c r="O1692">
        <v>0</v>
      </c>
      <c r="P1692" t="str">
        <f t="shared" si="26"/>
        <v>N</v>
      </c>
      <c r="Q1692" t="s">
        <v>7422</v>
      </c>
    </row>
    <row r="1693" spans="1:17" x14ac:dyDescent="0.25">
      <c r="A1693" t="s">
        <v>5271</v>
      </c>
      <c r="B1693" t="s">
        <v>1089</v>
      </c>
      <c r="C1693">
        <v>2027</v>
      </c>
      <c r="D1693" t="s">
        <v>540</v>
      </c>
      <c r="E1693" t="s">
        <v>833</v>
      </c>
      <c r="F1693" s="32">
        <v>46409</v>
      </c>
      <c r="G1693" t="s">
        <v>514</v>
      </c>
      <c r="H1693">
        <v>47129548</v>
      </c>
      <c r="I1693" t="s">
        <v>1340</v>
      </c>
      <c r="J1693" t="s">
        <v>1339</v>
      </c>
      <c r="K1693" t="s">
        <v>530</v>
      </c>
      <c r="N1693">
        <v>25</v>
      </c>
      <c r="O1693">
        <v>25</v>
      </c>
      <c r="P1693" t="str">
        <f t="shared" si="26"/>
        <v>N</v>
      </c>
      <c r="Q1693" t="s">
        <v>7423</v>
      </c>
    </row>
    <row r="1694" spans="1:17" x14ac:dyDescent="0.25">
      <c r="A1694" t="s">
        <v>5272</v>
      </c>
      <c r="B1694" t="s">
        <v>1089</v>
      </c>
      <c r="C1694">
        <v>2027</v>
      </c>
      <c r="D1694" t="s">
        <v>540</v>
      </c>
      <c r="E1694" t="s">
        <v>833</v>
      </c>
      <c r="F1694" s="32">
        <v>46409</v>
      </c>
      <c r="G1694" t="s">
        <v>514</v>
      </c>
      <c r="H1694">
        <v>47128835</v>
      </c>
      <c r="I1694" t="s">
        <v>998</v>
      </c>
      <c r="J1694" t="s">
        <v>997</v>
      </c>
      <c r="K1694" t="s">
        <v>530</v>
      </c>
      <c r="N1694">
        <v>0</v>
      </c>
      <c r="O1694">
        <v>0</v>
      </c>
      <c r="P1694" t="str">
        <f t="shared" si="26"/>
        <v>N</v>
      </c>
      <c r="Q1694" t="s">
        <v>7424</v>
      </c>
    </row>
    <row r="1695" spans="1:17" x14ac:dyDescent="0.25">
      <c r="A1695" t="s">
        <v>5273</v>
      </c>
      <c r="B1695" t="s">
        <v>1089</v>
      </c>
      <c r="C1695">
        <v>2027</v>
      </c>
      <c r="D1695" t="s">
        <v>540</v>
      </c>
      <c r="E1695" t="s">
        <v>833</v>
      </c>
      <c r="F1695" s="32">
        <v>46409</v>
      </c>
      <c r="G1695" t="s">
        <v>514</v>
      </c>
      <c r="H1695">
        <v>47128788</v>
      </c>
      <c r="I1695" t="s">
        <v>4188</v>
      </c>
      <c r="J1695" t="s">
        <v>4189</v>
      </c>
      <c r="K1695" t="s">
        <v>530</v>
      </c>
      <c r="N1695">
        <v>0</v>
      </c>
      <c r="O1695">
        <v>0</v>
      </c>
      <c r="P1695" t="str">
        <f t="shared" si="26"/>
        <v>N</v>
      </c>
      <c r="Q1695" t="s">
        <v>7425</v>
      </c>
    </row>
    <row r="1696" spans="1:17" x14ac:dyDescent="0.25">
      <c r="A1696" t="s">
        <v>5274</v>
      </c>
      <c r="B1696" t="s">
        <v>1089</v>
      </c>
      <c r="C1696">
        <v>2027</v>
      </c>
      <c r="D1696" t="s">
        <v>540</v>
      </c>
      <c r="E1696" t="s">
        <v>833</v>
      </c>
      <c r="F1696" s="32">
        <v>46409</v>
      </c>
      <c r="G1696" t="s">
        <v>514</v>
      </c>
      <c r="H1696">
        <v>47136348</v>
      </c>
      <c r="I1696" t="s">
        <v>1025</v>
      </c>
      <c r="J1696" t="s">
        <v>1024</v>
      </c>
      <c r="K1696" t="s">
        <v>530</v>
      </c>
      <c r="N1696">
        <v>0</v>
      </c>
      <c r="O1696">
        <v>0</v>
      </c>
      <c r="P1696" t="str">
        <f t="shared" si="26"/>
        <v>N</v>
      </c>
      <c r="Q1696" t="s">
        <v>7426</v>
      </c>
    </row>
    <row r="1697" spans="1:17" x14ac:dyDescent="0.25">
      <c r="A1697" t="s">
        <v>5275</v>
      </c>
      <c r="B1697" t="s">
        <v>1089</v>
      </c>
      <c r="C1697">
        <v>2027</v>
      </c>
      <c r="D1697" t="s">
        <v>540</v>
      </c>
      <c r="E1697" t="s">
        <v>833</v>
      </c>
      <c r="F1697" s="32">
        <v>46409</v>
      </c>
      <c r="G1697" t="s">
        <v>514</v>
      </c>
      <c r="H1697">
        <v>47135083</v>
      </c>
      <c r="I1697" t="s">
        <v>4192</v>
      </c>
      <c r="J1697" t="s">
        <v>4193</v>
      </c>
      <c r="K1697" t="s">
        <v>530</v>
      </c>
      <c r="N1697">
        <v>0</v>
      </c>
      <c r="O1697">
        <v>0</v>
      </c>
      <c r="P1697" t="str">
        <f t="shared" si="26"/>
        <v>N</v>
      </c>
      <c r="Q1697" t="s">
        <v>7427</v>
      </c>
    </row>
    <row r="1698" spans="1:17" x14ac:dyDescent="0.25">
      <c r="A1698" t="s">
        <v>5276</v>
      </c>
      <c r="B1698" t="s">
        <v>1089</v>
      </c>
      <c r="C1698">
        <v>2027</v>
      </c>
      <c r="D1698" t="s">
        <v>540</v>
      </c>
      <c r="E1698" t="s">
        <v>833</v>
      </c>
      <c r="F1698" s="32">
        <v>46409</v>
      </c>
      <c r="G1698" t="s">
        <v>514</v>
      </c>
      <c r="H1698">
        <v>47128515</v>
      </c>
      <c r="I1698" t="s">
        <v>1185</v>
      </c>
      <c r="J1698" t="s">
        <v>1184</v>
      </c>
      <c r="K1698" t="s">
        <v>530</v>
      </c>
      <c r="N1698">
        <v>0</v>
      </c>
      <c r="O1698">
        <v>0</v>
      </c>
      <c r="P1698" t="str">
        <f t="shared" si="26"/>
        <v>N</v>
      </c>
      <c r="Q1698" t="s">
        <v>7428</v>
      </c>
    </row>
    <row r="1699" spans="1:17" x14ac:dyDescent="0.25">
      <c r="A1699" t="s">
        <v>5277</v>
      </c>
      <c r="B1699" t="s">
        <v>1089</v>
      </c>
      <c r="C1699">
        <v>2027</v>
      </c>
      <c r="D1699" t="s">
        <v>540</v>
      </c>
      <c r="E1699" t="s">
        <v>833</v>
      </c>
      <c r="F1699" s="32">
        <v>46409</v>
      </c>
      <c r="G1699" t="s">
        <v>514</v>
      </c>
      <c r="H1699">
        <v>47128472</v>
      </c>
      <c r="I1699" t="s">
        <v>995</v>
      </c>
      <c r="J1699" t="s">
        <v>994</v>
      </c>
      <c r="K1699" t="s">
        <v>530</v>
      </c>
      <c r="N1699">
        <v>15</v>
      </c>
      <c r="O1699">
        <v>15</v>
      </c>
      <c r="P1699" t="str">
        <f t="shared" si="26"/>
        <v>N</v>
      </c>
      <c r="Q1699" t="s">
        <v>7429</v>
      </c>
    </row>
    <row r="1700" spans="1:17" x14ac:dyDescent="0.25">
      <c r="A1700" t="s">
        <v>5278</v>
      </c>
      <c r="B1700" t="s">
        <v>1089</v>
      </c>
      <c r="C1700">
        <v>2027</v>
      </c>
      <c r="D1700" t="s">
        <v>540</v>
      </c>
      <c r="E1700" t="s">
        <v>833</v>
      </c>
      <c r="F1700" s="32">
        <v>46409</v>
      </c>
      <c r="G1700" t="s">
        <v>514</v>
      </c>
      <c r="H1700">
        <v>47128202</v>
      </c>
      <c r="I1700" t="s">
        <v>967</v>
      </c>
      <c r="J1700" t="s">
        <v>966</v>
      </c>
      <c r="K1700" t="s">
        <v>530</v>
      </c>
      <c r="N1700">
        <v>40</v>
      </c>
      <c r="O1700">
        <v>40</v>
      </c>
      <c r="P1700" t="str">
        <f t="shared" si="26"/>
        <v>N</v>
      </c>
      <c r="Q1700" t="s">
        <v>7430</v>
      </c>
    </row>
    <row r="1701" spans="1:17" x14ac:dyDescent="0.25">
      <c r="A1701" t="s">
        <v>5279</v>
      </c>
      <c r="B1701" t="s">
        <v>1089</v>
      </c>
      <c r="C1701">
        <v>2027</v>
      </c>
      <c r="D1701" t="s">
        <v>540</v>
      </c>
      <c r="E1701" t="s">
        <v>833</v>
      </c>
      <c r="F1701" s="32">
        <v>46409</v>
      </c>
      <c r="G1701" t="s">
        <v>514</v>
      </c>
      <c r="H1701">
        <v>47128132</v>
      </c>
      <c r="I1701" t="s">
        <v>4429</v>
      </c>
      <c r="J1701" t="s">
        <v>4430</v>
      </c>
      <c r="K1701" t="s">
        <v>530</v>
      </c>
      <c r="N1701">
        <v>0</v>
      </c>
      <c r="O1701">
        <v>0</v>
      </c>
      <c r="P1701" t="str">
        <f t="shared" si="26"/>
        <v>N</v>
      </c>
      <c r="Q1701" t="s">
        <v>7431</v>
      </c>
    </row>
    <row r="1702" spans="1:17" x14ac:dyDescent="0.25">
      <c r="A1702" t="s">
        <v>5280</v>
      </c>
      <c r="B1702" t="s">
        <v>1089</v>
      </c>
      <c r="C1702">
        <v>2027</v>
      </c>
      <c r="D1702" t="s">
        <v>540</v>
      </c>
      <c r="E1702" t="s">
        <v>833</v>
      </c>
      <c r="F1702" s="32">
        <v>46409</v>
      </c>
      <c r="G1702" t="s">
        <v>514</v>
      </c>
      <c r="H1702">
        <v>47127971</v>
      </c>
      <c r="I1702" t="s">
        <v>991</v>
      </c>
      <c r="J1702" t="s">
        <v>990</v>
      </c>
      <c r="K1702" t="s">
        <v>530</v>
      </c>
      <c r="N1702">
        <v>0</v>
      </c>
      <c r="O1702">
        <v>0</v>
      </c>
      <c r="P1702" t="str">
        <f t="shared" si="26"/>
        <v>N</v>
      </c>
      <c r="Q1702" t="s">
        <v>7432</v>
      </c>
    </row>
    <row r="1703" spans="1:17" x14ac:dyDescent="0.25">
      <c r="A1703" t="s">
        <v>5536</v>
      </c>
      <c r="B1703" t="s">
        <v>5437</v>
      </c>
      <c r="C1703">
        <v>2027</v>
      </c>
      <c r="D1703" t="s">
        <v>540</v>
      </c>
      <c r="E1703" t="s">
        <v>833</v>
      </c>
      <c r="F1703" s="32">
        <v>46409</v>
      </c>
      <c r="G1703" t="s">
        <v>514</v>
      </c>
      <c r="H1703">
        <v>47128967</v>
      </c>
      <c r="I1703" t="s">
        <v>1062</v>
      </c>
      <c r="J1703" t="s">
        <v>1061</v>
      </c>
      <c r="K1703" t="s">
        <v>530</v>
      </c>
      <c r="N1703">
        <v>0</v>
      </c>
      <c r="O1703">
        <v>0</v>
      </c>
      <c r="P1703" t="str">
        <f t="shared" si="26"/>
        <v>N</v>
      </c>
      <c r="Q1703" t="s">
        <v>7433</v>
      </c>
    </row>
    <row r="1704" spans="1:17" x14ac:dyDescent="0.25">
      <c r="A1704" t="s">
        <v>5537</v>
      </c>
      <c r="B1704" t="s">
        <v>5437</v>
      </c>
      <c r="C1704">
        <v>2027</v>
      </c>
      <c r="D1704" t="s">
        <v>540</v>
      </c>
      <c r="E1704" t="s">
        <v>833</v>
      </c>
      <c r="F1704" s="32">
        <v>46409</v>
      </c>
      <c r="G1704" t="s">
        <v>514</v>
      </c>
      <c r="H1704">
        <v>47127948</v>
      </c>
      <c r="I1704" t="s">
        <v>1247</v>
      </c>
      <c r="J1704" t="s">
        <v>1246</v>
      </c>
      <c r="K1704" t="s">
        <v>530</v>
      </c>
      <c r="N1704">
        <v>60</v>
      </c>
      <c r="O1704">
        <v>60</v>
      </c>
      <c r="P1704" t="str">
        <f t="shared" si="26"/>
        <v>N</v>
      </c>
      <c r="Q1704" t="s">
        <v>7434</v>
      </c>
    </row>
    <row r="1705" spans="1:17" x14ac:dyDescent="0.25">
      <c r="A1705" t="s">
        <v>5538</v>
      </c>
      <c r="B1705" t="s">
        <v>5437</v>
      </c>
      <c r="C1705">
        <v>2027</v>
      </c>
      <c r="D1705" t="s">
        <v>540</v>
      </c>
      <c r="E1705" t="s">
        <v>833</v>
      </c>
      <c r="F1705" s="32">
        <v>46409</v>
      </c>
      <c r="G1705" t="s">
        <v>514</v>
      </c>
      <c r="H1705">
        <v>47128710</v>
      </c>
      <c r="I1705" t="s">
        <v>1189</v>
      </c>
      <c r="J1705" t="s">
        <v>1188</v>
      </c>
      <c r="K1705" t="s">
        <v>530</v>
      </c>
      <c r="N1705">
        <v>0</v>
      </c>
      <c r="O1705">
        <v>0</v>
      </c>
      <c r="P1705" t="str">
        <f t="shared" si="26"/>
        <v>N</v>
      </c>
      <c r="Q1705" t="s">
        <v>7435</v>
      </c>
    </row>
    <row r="1706" spans="1:17" x14ac:dyDescent="0.25">
      <c r="A1706" t="s">
        <v>5539</v>
      </c>
      <c r="B1706" t="s">
        <v>5437</v>
      </c>
      <c r="C1706">
        <v>2027</v>
      </c>
      <c r="D1706" t="s">
        <v>540</v>
      </c>
      <c r="E1706" t="s">
        <v>833</v>
      </c>
      <c r="F1706" s="32">
        <v>46409</v>
      </c>
      <c r="G1706" t="s">
        <v>514</v>
      </c>
      <c r="H1706">
        <v>47128572</v>
      </c>
      <c r="I1706" t="s">
        <v>1197</v>
      </c>
      <c r="J1706" t="s">
        <v>1196</v>
      </c>
      <c r="K1706" t="s">
        <v>530</v>
      </c>
      <c r="N1706">
        <v>0</v>
      </c>
      <c r="O1706">
        <v>0</v>
      </c>
      <c r="P1706" t="str">
        <f t="shared" si="26"/>
        <v>N</v>
      </c>
      <c r="Q1706" t="s">
        <v>7436</v>
      </c>
    </row>
    <row r="1707" spans="1:17" x14ac:dyDescent="0.25">
      <c r="A1707" t="s">
        <v>5540</v>
      </c>
      <c r="B1707" t="s">
        <v>5437</v>
      </c>
      <c r="C1707">
        <v>2027</v>
      </c>
      <c r="D1707" t="s">
        <v>540</v>
      </c>
      <c r="E1707" t="s">
        <v>833</v>
      </c>
      <c r="F1707" s="32">
        <v>46409</v>
      </c>
      <c r="G1707" t="s">
        <v>514</v>
      </c>
      <c r="H1707">
        <v>47128482</v>
      </c>
      <c r="I1707" t="s">
        <v>1393</v>
      </c>
      <c r="J1707" t="s">
        <v>1392</v>
      </c>
      <c r="K1707" t="s">
        <v>530</v>
      </c>
      <c r="N1707">
        <v>0</v>
      </c>
      <c r="O1707">
        <v>0</v>
      </c>
      <c r="P1707" t="str">
        <f t="shared" si="26"/>
        <v>N</v>
      </c>
      <c r="Q1707" t="s">
        <v>7437</v>
      </c>
    </row>
    <row r="1708" spans="1:17" x14ac:dyDescent="0.25">
      <c r="A1708" t="s">
        <v>5541</v>
      </c>
      <c r="B1708" t="s">
        <v>5437</v>
      </c>
      <c r="C1708">
        <v>2027</v>
      </c>
      <c r="D1708" t="s">
        <v>540</v>
      </c>
      <c r="E1708" t="s">
        <v>833</v>
      </c>
      <c r="F1708" s="32">
        <v>46409</v>
      </c>
      <c r="G1708" t="s">
        <v>514</v>
      </c>
      <c r="H1708">
        <v>47128115</v>
      </c>
      <c r="I1708" t="s">
        <v>1260</v>
      </c>
      <c r="J1708" t="s">
        <v>1259</v>
      </c>
      <c r="K1708" t="s">
        <v>530</v>
      </c>
      <c r="N1708">
        <v>60</v>
      </c>
      <c r="O1708">
        <v>60</v>
      </c>
      <c r="P1708" t="str">
        <f t="shared" si="26"/>
        <v>N</v>
      </c>
      <c r="Q1708" t="s">
        <v>7438</v>
      </c>
    </row>
    <row r="1709" spans="1:17" x14ac:dyDescent="0.25">
      <c r="A1709" t="s">
        <v>5542</v>
      </c>
      <c r="B1709" t="s">
        <v>5437</v>
      </c>
      <c r="C1709">
        <v>2027</v>
      </c>
      <c r="D1709" t="s">
        <v>540</v>
      </c>
      <c r="E1709" t="s">
        <v>833</v>
      </c>
      <c r="F1709" s="32">
        <v>46409</v>
      </c>
      <c r="G1709" t="s">
        <v>514</v>
      </c>
      <c r="H1709">
        <v>47128337</v>
      </c>
      <c r="I1709" t="s">
        <v>1120</v>
      </c>
      <c r="J1709" t="s">
        <v>1119</v>
      </c>
      <c r="K1709" t="s">
        <v>530</v>
      </c>
      <c r="N1709">
        <v>0</v>
      </c>
      <c r="O1709">
        <v>0</v>
      </c>
      <c r="P1709" t="str">
        <f t="shared" si="26"/>
        <v>N</v>
      </c>
      <c r="Q1709" t="s">
        <v>7439</v>
      </c>
    </row>
    <row r="1710" spans="1:17" x14ac:dyDescent="0.25">
      <c r="A1710" t="s">
        <v>5543</v>
      </c>
      <c r="B1710" t="s">
        <v>5437</v>
      </c>
      <c r="C1710">
        <v>2027</v>
      </c>
      <c r="D1710" t="s">
        <v>540</v>
      </c>
      <c r="E1710" t="s">
        <v>833</v>
      </c>
      <c r="F1710" s="32">
        <v>46409</v>
      </c>
      <c r="G1710" t="s">
        <v>514</v>
      </c>
      <c r="H1710">
        <v>47128833</v>
      </c>
      <c r="I1710" t="s">
        <v>1193</v>
      </c>
      <c r="J1710" t="s">
        <v>1192</v>
      </c>
      <c r="K1710" t="s">
        <v>530</v>
      </c>
      <c r="N1710">
        <v>0</v>
      </c>
      <c r="O1710">
        <v>0</v>
      </c>
      <c r="P1710" t="str">
        <f t="shared" si="26"/>
        <v>N</v>
      </c>
      <c r="Q1710" t="s">
        <v>7440</v>
      </c>
    </row>
    <row r="1711" spans="1:17" x14ac:dyDescent="0.25">
      <c r="A1711" t="s">
        <v>5544</v>
      </c>
      <c r="B1711" t="s">
        <v>5437</v>
      </c>
      <c r="C1711">
        <v>2027</v>
      </c>
      <c r="D1711" t="s">
        <v>540</v>
      </c>
      <c r="E1711" t="s">
        <v>833</v>
      </c>
      <c r="F1711" s="32">
        <v>46409</v>
      </c>
      <c r="G1711" t="s">
        <v>514</v>
      </c>
      <c r="H1711">
        <v>47128784</v>
      </c>
      <c r="I1711" t="s">
        <v>1426</v>
      </c>
      <c r="J1711" t="s">
        <v>1425</v>
      </c>
      <c r="K1711" t="s">
        <v>530</v>
      </c>
      <c r="N1711">
        <v>0</v>
      </c>
      <c r="O1711">
        <v>0</v>
      </c>
      <c r="P1711" t="str">
        <f t="shared" si="26"/>
        <v>N</v>
      </c>
      <c r="Q1711" t="s">
        <v>7441</v>
      </c>
    </row>
    <row r="1712" spans="1:17" x14ac:dyDescent="0.25">
      <c r="A1712" t="s">
        <v>5545</v>
      </c>
      <c r="B1712" t="s">
        <v>5437</v>
      </c>
      <c r="C1712">
        <v>2027</v>
      </c>
      <c r="D1712" t="s">
        <v>540</v>
      </c>
      <c r="E1712" t="s">
        <v>833</v>
      </c>
      <c r="F1712" s="32">
        <v>46409</v>
      </c>
      <c r="G1712" t="s">
        <v>514</v>
      </c>
      <c r="H1712">
        <v>47129020</v>
      </c>
      <c r="I1712" t="s">
        <v>1058</v>
      </c>
      <c r="J1712" t="s">
        <v>1057</v>
      </c>
      <c r="K1712" t="s">
        <v>530</v>
      </c>
      <c r="N1712">
        <v>0</v>
      </c>
      <c r="O1712">
        <v>0</v>
      </c>
      <c r="P1712" t="str">
        <f t="shared" si="26"/>
        <v>N</v>
      </c>
      <c r="Q1712" t="s">
        <v>7442</v>
      </c>
    </row>
    <row r="1713" spans="1:17" x14ac:dyDescent="0.25">
      <c r="A1713" t="s">
        <v>5546</v>
      </c>
      <c r="B1713" t="s">
        <v>5437</v>
      </c>
      <c r="C1713">
        <v>2027</v>
      </c>
      <c r="D1713" t="s">
        <v>540</v>
      </c>
      <c r="E1713" t="s">
        <v>833</v>
      </c>
      <c r="F1713" s="32">
        <v>46409</v>
      </c>
      <c r="G1713" t="s">
        <v>514</v>
      </c>
      <c r="H1713">
        <v>47129473</v>
      </c>
      <c r="I1713" t="s">
        <v>1430</v>
      </c>
      <c r="J1713" t="s">
        <v>1429</v>
      </c>
      <c r="K1713" t="s">
        <v>530</v>
      </c>
      <c r="N1713">
        <v>0</v>
      </c>
      <c r="O1713">
        <v>0</v>
      </c>
      <c r="P1713" t="str">
        <f t="shared" si="26"/>
        <v>N</v>
      </c>
      <c r="Q1713" t="s">
        <v>7443</v>
      </c>
    </row>
    <row r="1714" spans="1:17" x14ac:dyDescent="0.25">
      <c r="A1714" t="s">
        <v>5547</v>
      </c>
      <c r="B1714" t="s">
        <v>5437</v>
      </c>
      <c r="C1714">
        <v>2027</v>
      </c>
      <c r="D1714" t="s">
        <v>540</v>
      </c>
      <c r="E1714" t="s">
        <v>833</v>
      </c>
      <c r="F1714" s="32">
        <v>46409</v>
      </c>
      <c r="G1714" t="s">
        <v>514</v>
      </c>
      <c r="H1714">
        <v>47128429</v>
      </c>
      <c r="I1714" t="s">
        <v>1371</v>
      </c>
      <c r="J1714" t="s">
        <v>1370</v>
      </c>
      <c r="K1714" t="s">
        <v>530</v>
      </c>
      <c r="N1714">
        <v>0</v>
      </c>
      <c r="O1714">
        <v>0</v>
      </c>
      <c r="P1714" t="str">
        <f t="shared" si="26"/>
        <v>N</v>
      </c>
      <c r="Q1714" t="s">
        <v>7444</v>
      </c>
    </row>
    <row r="1715" spans="1:17" x14ac:dyDescent="0.25">
      <c r="A1715" t="s">
        <v>5548</v>
      </c>
      <c r="B1715" t="s">
        <v>5437</v>
      </c>
      <c r="C1715">
        <v>2027</v>
      </c>
      <c r="D1715" t="s">
        <v>540</v>
      </c>
      <c r="E1715" t="s">
        <v>833</v>
      </c>
      <c r="F1715" s="32">
        <v>46409</v>
      </c>
      <c r="G1715" t="s">
        <v>514</v>
      </c>
      <c r="H1715">
        <v>47128181</v>
      </c>
      <c r="I1715" t="s">
        <v>1301</v>
      </c>
      <c r="J1715" t="s">
        <v>1300</v>
      </c>
      <c r="K1715" t="s">
        <v>530</v>
      </c>
      <c r="N1715">
        <v>0</v>
      </c>
      <c r="O1715">
        <v>0</v>
      </c>
      <c r="P1715" t="str">
        <f t="shared" si="26"/>
        <v>N</v>
      </c>
      <c r="Q1715" t="s">
        <v>7445</v>
      </c>
    </row>
    <row r="1716" spans="1:17" x14ac:dyDescent="0.25">
      <c r="A1716" t="s">
        <v>1596</v>
      </c>
      <c r="B1716" t="s">
        <v>1520</v>
      </c>
      <c r="C1716">
        <v>2027</v>
      </c>
      <c r="D1716" t="s">
        <v>542</v>
      </c>
      <c r="E1716" t="s">
        <v>834</v>
      </c>
      <c r="F1716" s="32">
        <v>46416</v>
      </c>
      <c r="G1716" t="s">
        <v>514</v>
      </c>
      <c r="H1716">
        <v>47128207</v>
      </c>
      <c r="I1716" t="s">
        <v>1522</v>
      </c>
      <c r="J1716" t="s">
        <v>1523</v>
      </c>
      <c r="K1716" t="s">
        <v>530</v>
      </c>
      <c r="N1716">
        <v>0</v>
      </c>
      <c r="O1716">
        <v>0</v>
      </c>
      <c r="P1716" t="str">
        <f t="shared" si="26"/>
        <v>N</v>
      </c>
      <c r="Q1716" t="s">
        <v>7446</v>
      </c>
    </row>
    <row r="1717" spans="1:17" x14ac:dyDescent="0.25">
      <c r="A1717" t="s">
        <v>1597</v>
      </c>
      <c r="B1717" t="s">
        <v>1520</v>
      </c>
      <c r="C1717">
        <v>2027</v>
      </c>
      <c r="D1717" t="s">
        <v>542</v>
      </c>
      <c r="E1717" t="s">
        <v>834</v>
      </c>
      <c r="F1717" s="32">
        <v>46416</v>
      </c>
      <c r="G1717" t="s">
        <v>514</v>
      </c>
      <c r="H1717">
        <v>47128581</v>
      </c>
      <c r="I1717" t="s">
        <v>1525</v>
      </c>
      <c r="J1717" t="s">
        <v>1526</v>
      </c>
      <c r="K1717" t="s">
        <v>530</v>
      </c>
      <c r="N1717">
        <v>0</v>
      </c>
      <c r="O1717">
        <v>0</v>
      </c>
      <c r="P1717" t="str">
        <f t="shared" si="26"/>
        <v>N</v>
      </c>
      <c r="Q1717" t="s">
        <v>7447</v>
      </c>
    </row>
    <row r="1718" spans="1:17" x14ac:dyDescent="0.25">
      <c r="A1718" t="s">
        <v>1598</v>
      </c>
      <c r="B1718" t="s">
        <v>1520</v>
      </c>
      <c r="C1718">
        <v>2027</v>
      </c>
      <c r="D1718" t="s">
        <v>542</v>
      </c>
      <c r="E1718" t="s">
        <v>834</v>
      </c>
      <c r="F1718" s="32">
        <v>46416</v>
      </c>
      <c r="G1718" t="s">
        <v>514</v>
      </c>
      <c r="H1718">
        <v>47127959</v>
      </c>
      <c r="I1718" t="s">
        <v>1528</v>
      </c>
      <c r="J1718" t="s">
        <v>1529</v>
      </c>
      <c r="K1718" t="s">
        <v>530</v>
      </c>
      <c r="N1718">
        <v>0</v>
      </c>
      <c r="O1718">
        <v>0</v>
      </c>
      <c r="P1718" t="str">
        <f t="shared" si="26"/>
        <v>N</v>
      </c>
      <c r="Q1718" t="s">
        <v>7448</v>
      </c>
    </row>
    <row r="1719" spans="1:17" x14ac:dyDescent="0.25">
      <c r="A1719" t="s">
        <v>1599</v>
      </c>
      <c r="B1719" t="s">
        <v>1520</v>
      </c>
      <c r="C1719">
        <v>2027</v>
      </c>
      <c r="D1719" t="s">
        <v>542</v>
      </c>
      <c r="E1719" t="s">
        <v>834</v>
      </c>
      <c r="F1719" s="32">
        <v>46416</v>
      </c>
      <c r="G1719" t="s">
        <v>514</v>
      </c>
      <c r="H1719">
        <v>47128204</v>
      </c>
      <c r="I1719" t="s">
        <v>1531</v>
      </c>
      <c r="J1719" t="s">
        <v>1532</v>
      </c>
      <c r="K1719" t="s">
        <v>530</v>
      </c>
      <c r="N1719">
        <v>60</v>
      </c>
      <c r="O1719">
        <v>60</v>
      </c>
      <c r="P1719" t="str">
        <f t="shared" si="26"/>
        <v>N</v>
      </c>
      <c r="Q1719" t="s">
        <v>7449</v>
      </c>
    </row>
    <row r="1720" spans="1:17" x14ac:dyDescent="0.25">
      <c r="A1720" t="s">
        <v>1600</v>
      </c>
      <c r="B1720" t="s">
        <v>1520</v>
      </c>
      <c r="C1720">
        <v>2027</v>
      </c>
      <c r="D1720" t="s">
        <v>542</v>
      </c>
      <c r="E1720" t="s">
        <v>834</v>
      </c>
      <c r="F1720" s="32">
        <v>46416</v>
      </c>
      <c r="G1720" t="s">
        <v>514</v>
      </c>
      <c r="H1720">
        <v>47128207</v>
      </c>
      <c r="I1720" t="s">
        <v>1522</v>
      </c>
      <c r="J1720" t="s">
        <v>1534</v>
      </c>
      <c r="K1720" t="s">
        <v>530</v>
      </c>
      <c r="N1720">
        <v>0</v>
      </c>
      <c r="O1720">
        <v>0</v>
      </c>
      <c r="P1720" t="str">
        <f t="shared" si="26"/>
        <v>N</v>
      </c>
      <c r="Q1720" t="s">
        <v>7450</v>
      </c>
    </row>
    <row r="1721" spans="1:17" x14ac:dyDescent="0.25">
      <c r="A1721" t="s">
        <v>1601</v>
      </c>
      <c r="B1721" t="s">
        <v>1520</v>
      </c>
      <c r="C1721">
        <v>2027</v>
      </c>
      <c r="D1721" t="s">
        <v>542</v>
      </c>
      <c r="E1721" t="s">
        <v>834</v>
      </c>
      <c r="F1721" s="32">
        <v>46416</v>
      </c>
      <c r="G1721" t="s">
        <v>563</v>
      </c>
      <c r="H1721">
        <v>10000015</v>
      </c>
      <c r="I1721" t="s">
        <v>562</v>
      </c>
      <c r="K1721" t="s">
        <v>530</v>
      </c>
      <c r="N1721">
        <v>0</v>
      </c>
      <c r="O1721">
        <v>0</v>
      </c>
      <c r="P1721" t="str">
        <f t="shared" si="26"/>
        <v>N</v>
      </c>
      <c r="Q1721" t="s">
        <v>7451</v>
      </c>
    </row>
    <row r="1722" spans="1:17" x14ac:dyDescent="0.25">
      <c r="A1722" t="s">
        <v>1602</v>
      </c>
      <c r="B1722" t="s">
        <v>1520</v>
      </c>
      <c r="C1722">
        <v>2027</v>
      </c>
      <c r="D1722" t="s">
        <v>542</v>
      </c>
      <c r="E1722" t="s">
        <v>834</v>
      </c>
      <c r="F1722" s="32">
        <v>46416</v>
      </c>
      <c r="G1722" t="s">
        <v>514</v>
      </c>
      <c r="H1722">
        <v>47127959</v>
      </c>
      <c r="I1722" t="s">
        <v>1528</v>
      </c>
      <c r="J1722" t="s">
        <v>1537</v>
      </c>
      <c r="K1722" t="s">
        <v>530</v>
      </c>
      <c r="N1722">
        <v>0</v>
      </c>
      <c r="O1722">
        <v>0</v>
      </c>
      <c r="P1722" t="str">
        <f t="shared" si="26"/>
        <v>N</v>
      </c>
      <c r="Q1722" t="s">
        <v>7452</v>
      </c>
    </row>
    <row r="1723" spans="1:17" x14ac:dyDescent="0.25">
      <c r="A1723" t="s">
        <v>1603</v>
      </c>
      <c r="B1723" t="s">
        <v>1520</v>
      </c>
      <c r="C1723">
        <v>2027</v>
      </c>
      <c r="D1723" t="s">
        <v>542</v>
      </c>
      <c r="E1723" t="s">
        <v>834</v>
      </c>
      <c r="F1723" s="32">
        <v>46416</v>
      </c>
      <c r="G1723" t="s">
        <v>514</v>
      </c>
      <c r="H1723">
        <v>47128581</v>
      </c>
      <c r="I1723" t="s">
        <v>1525</v>
      </c>
      <c r="J1723" t="s">
        <v>1539</v>
      </c>
      <c r="K1723" t="s">
        <v>530</v>
      </c>
      <c r="N1723">
        <v>0</v>
      </c>
      <c r="O1723">
        <v>0</v>
      </c>
      <c r="P1723" t="str">
        <f t="shared" si="26"/>
        <v>N</v>
      </c>
      <c r="Q1723" t="s">
        <v>7453</v>
      </c>
    </row>
    <row r="1724" spans="1:17" x14ac:dyDescent="0.25">
      <c r="A1724" t="s">
        <v>1929</v>
      </c>
      <c r="B1724" t="s">
        <v>1135</v>
      </c>
      <c r="C1724">
        <v>2027</v>
      </c>
      <c r="D1724" t="s">
        <v>542</v>
      </c>
      <c r="E1724" t="s">
        <v>834</v>
      </c>
      <c r="F1724" s="32">
        <v>46416</v>
      </c>
      <c r="G1724" t="s">
        <v>514</v>
      </c>
      <c r="H1724">
        <v>47146464</v>
      </c>
      <c r="I1724" t="s">
        <v>1438</v>
      </c>
      <c r="J1724" t="s">
        <v>1437</v>
      </c>
      <c r="K1724" t="s">
        <v>530</v>
      </c>
      <c r="N1724">
        <v>0</v>
      </c>
      <c r="O1724">
        <v>0</v>
      </c>
      <c r="P1724" t="str">
        <f t="shared" si="26"/>
        <v>N</v>
      </c>
      <c r="Q1724" t="s">
        <v>7454</v>
      </c>
    </row>
    <row r="1725" spans="1:17" x14ac:dyDescent="0.25">
      <c r="A1725" t="s">
        <v>1930</v>
      </c>
      <c r="B1725" t="s">
        <v>1135</v>
      </c>
      <c r="C1725">
        <v>2027</v>
      </c>
      <c r="D1725" t="s">
        <v>542</v>
      </c>
      <c r="E1725" t="s">
        <v>834</v>
      </c>
      <c r="F1725" s="32">
        <v>46416</v>
      </c>
      <c r="G1725" t="s">
        <v>514</v>
      </c>
      <c r="H1725">
        <v>47146463</v>
      </c>
      <c r="I1725" t="s">
        <v>1441</v>
      </c>
      <c r="J1725" t="s">
        <v>1440</v>
      </c>
      <c r="K1725" t="s">
        <v>530</v>
      </c>
      <c r="N1725">
        <v>0</v>
      </c>
      <c r="O1725">
        <v>0</v>
      </c>
      <c r="P1725" t="str">
        <f t="shared" si="26"/>
        <v>N</v>
      </c>
      <c r="Q1725" t="s">
        <v>7455</v>
      </c>
    </row>
    <row r="1726" spans="1:17" x14ac:dyDescent="0.25">
      <c r="A1726" t="s">
        <v>1931</v>
      </c>
      <c r="B1726" t="s">
        <v>1135</v>
      </c>
      <c r="C1726">
        <v>2027</v>
      </c>
      <c r="D1726" t="s">
        <v>542</v>
      </c>
      <c r="E1726" t="s">
        <v>834</v>
      </c>
      <c r="F1726" s="32">
        <v>46416</v>
      </c>
      <c r="G1726" t="s">
        <v>514</v>
      </c>
      <c r="H1726">
        <v>47128729</v>
      </c>
      <c r="I1726" t="s">
        <v>1149</v>
      </c>
      <c r="J1726" t="s">
        <v>1148</v>
      </c>
      <c r="K1726" t="s">
        <v>530</v>
      </c>
      <c r="N1726">
        <v>0</v>
      </c>
      <c r="O1726">
        <v>0</v>
      </c>
      <c r="P1726" t="str">
        <f t="shared" si="26"/>
        <v>N</v>
      </c>
      <c r="Q1726" t="s">
        <v>7456</v>
      </c>
    </row>
    <row r="1727" spans="1:17" x14ac:dyDescent="0.25">
      <c r="A1727" t="s">
        <v>1932</v>
      </c>
      <c r="B1727" t="s">
        <v>1135</v>
      </c>
      <c r="C1727">
        <v>2027</v>
      </c>
      <c r="D1727" t="s">
        <v>542</v>
      </c>
      <c r="E1727" t="s">
        <v>834</v>
      </c>
      <c r="F1727" s="32">
        <v>46416</v>
      </c>
      <c r="G1727" t="s">
        <v>514</v>
      </c>
      <c r="H1727">
        <v>47128413</v>
      </c>
      <c r="I1727" t="s">
        <v>1397</v>
      </c>
      <c r="J1727" t="s">
        <v>1396</v>
      </c>
      <c r="K1727" t="s">
        <v>530</v>
      </c>
      <c r="N1727">
        <v>0</v>
      </c>
      <c r="O1727">
        <v>0</v>
      </c>
      <c r="P1727" t="str">
        <f t="shared" si="26"/>
        <v>N</v>
      </c>
      <c r="Q1727" t="s">
        <v>7457</v>
      </c>
    </row>
    <row r="1728" spans="1:17" x14ac:dyDescent="0.25">
      <c r="A1728" t="s">
        <v>1933</v>
      </c>
      <c r="B1728" t="s">
        <v>1135</v>
      </c>
      <c r="C1728">
        <v>2027</v>
      </c>
      <c r="D1728" t="s">
        <v>542</v>
      </c>
      <c r="E1728" t="s">
        <v>834</v>
      </c>
      <c r="F1728" s="32">
        <v>46416</v>
      </c>
      <c r="G1728" t="s">
        <v>514</v>
      </c>
      <c r="H1728">
        <v>47128783</v>
      </c>
      <c r="I1728" t="s">
        <v>1280</v>
      </c>
      <c r="J1728" t="s">
        <v>1279</v>
      </c>
      <c r="K1728" t="s">
        <v>530</v>
      </c>
      <c r="N1728">
        <v>0</v>
      </c>
      <c r="O1728">
        <v>0</v>
      </c>
      <c r="P1728" t="str">
        <f t="shared" si="26"/>
        <v>N</v>
      </c>
      <c r="Q1728" t="s">
        <v>7458</v>
      </c>
    </row>
    <row r="1729" spans="1:17" x14ac:dyDescent="0.25">
      <c r="A1729" t="s">
        <v>1934</v>
      </c>
      <c r="B1729" t="s">
        <v>1135</v>
      </c>
      <c r="C1729">
        <v>2027</v>
      </c>
      <c r="D1729" t="s">
        <v>542</v>
      </c>
      <c r="E1729" t="s">
        <v>834</v>
      </c>
      <c r="F1729" s="32">
        <v>46416</v>
      </c>
      <c r="G1729" t="s">
        <v>514</v>
      </c>
      <c r="H1729">
        <v>47128944</v>
      </c>
      <c r="I1729" t="s">
        <v>1137</v>
      </c>
      <c r="J1729" t="s">
        <v>1136</v>
      </c>
      <c r="K1729" t="s">
        <v>530</v>
      </c>
      <c r="N1729">
        <v>0</v>
      </c>
      <c r="O1729">
        <v>0</v>
      </c>
      <c r="P1729" t="str">
        <f t="shared" si="26"/>
        <v>N</v>
      </c>
      <c r="Q1729" t="s">
        <v>7459</v>
      </c>
    </row>
    <row r="1730" spans="1:17" x14ac:dyDescent="0.25">
      <c r="A1730" t="s">
        <v>1935</v>
      </c>
      <c r="B1730" t="s">
        <v>1135</v>
      </c>
      <c r="C1730">
        <v>2027</v>
      </c>
      <c r="D1730" t="s">
        <v>542</v>
      </c>
      <c r="E1730" t="s">
        <v>834</v>
      </c>
      <c r="F1730" s="32">
        <v>46416</v>
      </c>
      <c r="G1730" t="s">
        <v>514</v>
      </c>
      <c r="H1730">
        <v>47129547</v>
      </c>
      <c r="I1730" t="s">
        <v>1128</v>
      </c>
      <c r="J1730" t="s">
        <v>1352</v>
      </c>
      <c r="K1730" t="s">
        <v>530</v>
      </c>
      <c r="N1730">
        <v>0</v>
      </c>
      <c r="O1730">
        <v>0</v>
      </c>
      <c r="P1730" t="str">
        <f t="shared" si="26"/>
        <v>N</v>
      </c>
      <c r="Q1730" t="s">
        <v>7460</v>
      </c>
    </row>
    <row r="1731" spans="1:17" x14ac:dyDescent="0.25">
      <c r="A1731" t="s">
        <v>1936</v>
      </c>
      <c r="B1731" t="s">
        <v>1135</v>
      </c>
      <c r="C1731">
        <v>2027</v>
      </c>
      <c r="D1731" t="s">
        <v>542</v>
      </c>
      <c r="E1731" t="s">
        <v>834</v>
      </c>
      <c r="F1731" s="32">
        <v>46416</v>
      </c>
      <c r="G1731" t="s">
        <v>514</v>
      </c>
      <c r="H1731">
        <v>47128518</v>
      </c>
      <c r="I1731" t="s">
        <v>1232</v>
      </c>
      <c r="J1731" t="s">
        <v>1493</v>
      </c>
      <c r="K1731" t="s">
        <v>530</v>
      </c>
      <c r="N1731">
        <v>0</v>
      </c>
      <c r="O1731">
        <v>0</v>
      </c>
      <c r="P1731" t="str">
        <f t="shared" ref="P1731:P1794" si="27">IF(N1731=O1731,"N","Y")</f>
        <v>N</v>
      </c>
      <c r="Q1731" t="s">
        <v>7461</v>
      </c>
    </row>
    <row r="1732" spans="1:17" x14ac:dyDescent="0.25">
      <c r="A1732" t="s">
        <v>1937</v>
      </c>
      <c r="B1732" t="s">
        <v>1135</v>
      </c>
      <c r="C1732">
        <v>2027</v>
      </c>
      <c r="D1732" t="s">
        <v>542</v>
      </c>
      <c r="E1732" t="s">
        <v>834</v>
      </c>
      <c r="F1732" s="32">
        <v>46416</v>
      </c>
      <c r="G1732" t="s">
        <v>514</v>
      </c>
      <c r="H1732">
        <v>47128168</v>
      </c>
      <c r="I1732" t="s">
        <v>1100</v>
      </c>
      <c r="J1732" t="s">
        <v>1099</v>
      </c>
      <c r="K1732" t="s">
        <v>530</v>
      </c>
      <c r="N1732">
        <v>0</v>
      </c>
      <c r="O1732">
        <v>0</v>
      </c>
      <c r="P1732" t="str">
        <f t="shared" si="27"/>
        <v>N</v>
      </c>
      <c r="Q1732" t="s">
        <v>7462</v>
      </c>
    </row>
    <row r="1733" spans="1:17" x14ac:dyDescent="0.25">
      <c r="A1733" t="s">
        <v>1938</v>
      </c>
      <c r="B1733" t="s">
        <v>1135</v>
      </c>
      <c r="C1733">
        <v>2027</v>
      </c>
      <c r="D1733" t="s">
        <v>542</v>
      </c>
      <c r="E1733" t="s">
        <v>834</v>
      </c>
      <c r="F1733" s="32">
        <v>46416</v>
      </c>
      <c r="G1733" t="s">
        <v>514</v>
      </c>
      <c r="H1733">
        <v>47128687</v>
      </c>
      <c r="I1733" t="s">
        <v>1153</v>
      </c>
      <c r="J1733" t="s">
        <v>1152</v>
      </c>
      <c r="K1733" t="s">
        <v>530</v>
      </c>
      <c r="N1733">
        <v>0</v>
      </c>
      <c r="O1733">
        <v>0</v>
      </c>
      <c r="P1733" t="str">
        <f t="shared" si="27"/>
        <v>N</v>
      </c>
      <c r="Q1733" t="s">
        <v>7463</v>
      </c>
    </row>
    <row r="1734" spans="1:17" x14ac:dyDescent="0.25">
      <c r="A1734" t="s">
        <v>1939</v>
      </c>
      <c r="B1734" t="s">
        <v>1135</v>
      </c>
      <c r="C1734">
        <v>2027</v>
      </c>
      <c r="D1734" t="s">
        <v>542</v>
      </c>
      <c r="E1734" t="s">
        <v>834</v>
      </c>
      <c r="F1734" s="32">
        <v>46416</v>
      </c>
      <c r="G1734" t="s">
        <v>514</v>
      </c>
      <c r="H1734">
        <v>47128585</v>
      </c>
      <c r="I1734" t="s">
        <v>1141</v>
      </c>
      <c r="J1734" t="s">
        <v>1140</v>
      </c>
      <c r="K1734" t="s">
        <v>530</v>
      </c>
      <c r="N1734">
        <v>0</v>
      </c>
      <c r="O1734">
        <v>0</v>
      </c>
      <c r="P1734" t="str">
        <f t="shared" si="27"/>
        <v>N</v>
      </c>
      <c r="Q1734" t="s">
        <v>7464</v>
      </c>
    </row>
    <row r="1735" spans="1:17" x14ac:dyDescent="0.25">
      <c r="A1735" t="s">
        <v>1940</v>
      </c>
      <c r="B1735" t="s">
        <v>1135</v>
      </c>
      <c r="C1735">
        <v>2027</v>
      </c>
      <c r="D1735" t="s">
        <v>542</v>
      </c>
      <c r="E1735" t="s">
        <v>834</v>
      </c>
      <c r="F1735" s="32">
        <v>46416</v>
      </c>
      <c r="G1735" t="s">
        <v>514</v>
      </c>
      <c r="H1735">
        <v>47128906</v>
      </c>
      <c r="I1735" t="s">
        <v>1349</v>
      </c>
      <c r="J1735" t="s">
        <v>1348</v>
      </c>
      <c r="K1735" t="s">
        <v>530</v>
      </c>
      <c r="N1735">
        <v>0</v>
      </c>
      <c r="O1735">
        <v>0</v>
      </c>
      <c r="P1735" t="str">
        <f t="shared" si="27"/>
        <v>N</v>
      </c>
      <c r="Q1735" t="s">
        <v>7465</v>
      </c>
    </row>
    <row r="1736" spans="1:17" x14ac:dyDescent="0.25">
      <c r="A1736" t="s">
        <v>1941</v>
      </c>
      <c r="B1736" t="s">
        <v>1135</v>
      </c>
      <c r="C1736">
        <v>2027</v>
      </c>
      <c r="D1736" t="s">
        <v>542</v>
      </c>
      <c r="E1736" t="s">
        <v>834</v>
      </c>
      <c r="F1736" s="32">
        <v>46416</v>
      </c>
      <c r="G1736" t="s">
        <v>514</v>
      </c>
      <c r="H1736">
        <v>47128585</v>
      </c>
      <c r="I1736" t="s">
        <v>1141</v>
      </c>
      <c r="J1736" t="s">
        <v>1408</v>
      </c>
      <c r="K1736" t="s">
        <v>530</v>
      </c>
      <c r="N1736">
        <v>0</v>
      </c>
      <c r="O1736">
        <v>0</v>
      </c>
      <c r="P1736" t="str">
        <f t="shared" si="27"/>
        <v>N</v>
      </c>
      <c r="Q1736" t="s">
        <v>7466</v>
      </c>
    </row>
    <row r="1737" spans="1:17" x14ac:dyDescent="0.25">
      <c r="A1737" t="s">
        <v>1942</v>
      </c>
      <c r="B1737" t="s">
        <v>1135</v>
      </c>
      <c r="C1737">
        <v>2027</v>
      </c>
      <c r="D1737" t="s">
        <v>542</v>
      </c>
      <c r="E1737" t="s">
        <v>834</v>
      </c>
      <c r="F1737" s="32">
        <v>46416</v>
      </c>
      <c r="G1737" t="s">
        <v>514</v>
      </c>
      <c r="H1737">
        <v>47128518</v>
      </c>
      <c r="I1737" t="s">
        <v>1232</v>
      </c>
      <c r="J1737" t="s">
        <v>1231</v>
      </c>
      <c r="K1737" t="s">
        <v>530</v>
      </c>
      <c r="N1737">
        <v>0</v>
      </c>
      <c r="O1737">
        <v>0</v>
      </c>
      <c r="P1737" t="str">
        <f t="shared" si="27"/>
        <v>N</v>
      </c>
      <c r="Q1737" t="s">
        <v>7467</v>
      </c>
    </row>
    <row r="1738" spans="1:17" x14ac:dyDescent="0.25">
      <c r="A1738" t="s">
        <v>1943</v>
      </c>
      <c r="B1738" t="s">
        <v>1135</v>
      </c>
      <c r="C1738">
        <v>2027</v>
      </c>
      <c r="D1738" t="s">
        <v>542</v>
      </c>
      <c r="E1738" t="s">
        <v>834</v>
      </c>
      <c r="F1738" s="32">
        <v>46416</v>
      </c>
      <c r="G1738" t="s">
        <v>514</v>
      </c>
      <c r="H1738">
        <v>47128024</v>
      </c>
      <c r="I1738" t="s">
        <v>1108</v>
      </c>
      <c r="J1738" t="s">
        <v>1107</v>
      </c>
      <c r="K1738" t="s">
        <v>530</v>
      </c>
      <c r="N1738">
        <v>0</v>
      </c>
      <c r="O1738">
        <v>0</v>
      </c>
      <c r="P1738" t="str">
        <f t="shared" si="27"/>
        <v>N</v>
      </c>
      <c r="Q1738" t="s">
        <v>7468</v>
      </c>
    </row>
    <row r="1739" spans="1:17" x14ac:dyDescent="0.25">
      <c r="A1739" t="s">
        <v>1944</v>
      </c>
      <c r="B1739" t="s">
        <v>1135</v>
      </c>
      <c r="C1739">
        <v>2027</v>
      </c>
      <c r="D1739" t="s">
        <v>542</v>
      </c>
      <c r="E1739" t="s">
        <v>834</v>
      </c>
      <c r="F1739" s="32">
        <v>46416</v>
      </c>
      <c r="G1739" t="s">
        <v>514</v>
      </c>
      <c r="H1739">
        <v>47128680</v>
      </c>
      <c r="I1739" t="s">
        <v>1284</v>
      </c>
      <c r="J1739" t="s">
        <v>1283</v>
      </c>
      <c r="K1739" t="s">
        <v>530</v>
      </c>
      <c r="N1739">
        <v>0</v>
      </c>
      <c r="O1739">
        <v>0</v>
      </c>
      <c r="P1739" t="str">
        <f t="shared" si="27"/>
        <v>N</v>
      </c>
      <c r="Q1739" t="s">
        <v>7469</v>
      </c>
    </row>
    <row r="1740" spans="1:17" x14ac:dyDescent="0.25">
      <c r="A1740" t="s">
        <v>1945</v>
      </c>
      <c r="B1740" t="s">
        <v>1135</v>
      </c>
      <c r="C1740">
        <v>2027</v>
      </c>
      <c r="D1740" t="s">
        <v>542</v>
      </c>
      <c r="E1740" t="s">
        <v>834</v>
      </c>
      <c r="F1740" s="32">
        <v>46416</v>
      </c>
      <c r="G1740" t="s">
        <v>514</v>
      </c>
      <c r="H1740">
        <v>47128944</v>
      </c>
      <c r="I1740" t="s">
        <v>1137</v>
      </c>
      <c r="J1740" t="s">
        <v>1513</v>
      </c>
      <c r="K1740" t="s">
        <v>530</v>
      </c>
      <c r="N1740">
        <v>0</v>
      </c>
      <c r="O1740">
        <v>0</v>
      </c>
      <c r="P1740" t="str">
        <f t="shared" si="27"/>
        <v>N</v>
      </c>
      <c r="Q1740" t="s">
        <v>7470</v>
      </c>
    </row>
    <row r="1741" spans="1:17" x14ac:dyDescent="0.25">
      <c r="A1741" t="s">
        <v>1946</v>
      </c>
      <c r="B1741" t="s">
        <v>1135</v>
      </c>
      <c r="C1741">
        <v>2027</v>
      </c>
      <c r="D1741" t="s">
        <v>542</v>
      </c>
      <c r="E1741" t="s">
        <v>834</v>
      </c>
      <c r="F1741" s="32">
        <v>46416</v>
      </c>
      <c r="G1741" t="s">
        <v>514</v>
      </c>
      <c r="H1741">
        <v>47147546</v>
      </c>
      <c r="I1741" t="s">
        <v>1077</v>
      </c>
      <c r="J1741" t="s">
        <v>1076</v>
      </c>
      <c r="K1741" t="s">
        <v>530</v>
      </c>
      <c r="N1741">
        <v>0</v>
      </c>
      <c r="O1741">
        <v>0</v>
      </c>
      <c r="P1741" t="str">
        <f t="shared" si="27"/>
        <v>N</v>
      </c>
      <c r="Q1741" t="s">
        <v>7471</v>
      </c>
    </row>
    <row r="1742" spans="1:17" x14ac:dyDescent="0.25">
      <c r="A1742" t="s">
        <v>1947</v>
      </c>
      <c r="B1742" t="s">
        <v>1135</v>
      </c>
      <c r="C1742">
        <v>2027</v>
      </c>
      <c r="D1742" t="s">
        <v>542</v>
      </c>
      <c r="E1742" t="s">
        <v>834</v>
      </c>
      <c r="F1742" s="32">
        <v>46416</v>
      </c>
      <c r="G1742" t="s">
        <v>514</v>
      </c>
      <c r="H1742">
        <v>47128346</v>
      </c>
      <c r="I1742" t="s">
        <v>1157</v>
      </c>
      <c r="J1742" t="s">
        <v>1156</v>
      </c>
      <c r="K1742" t="s">
        <v>530</v>
      </c>
      <c r="N1742">
        <v>0</v>
      </c>
      <c r="O1742">
        <v>0</v>
      </c>
      <c r="P1742" t="str">
        <f t="shared" si="27"/>
        <v>N</v>
      </c>
      <c r="Q1742" t="s">
        <v>7472</v>
      </c>
    </row>
    <row r="1743" spans="1:17" x14ac:dyDescent="0.25">
      <c r="A1743" t="s">
        <v>1948</v>
      </c>
      <c r="B1743" t="s">
        <v>1135</v>
      </c>
      <c r="C1743">
        <v>2027</v>
      </c>
      <c r="D1743" t="s">
        <v>542</v>
      </c>
      <c r="E1743" t="s">
        <v>834</v>
      </c>
      <c r="F1743" s="32">
        <v>46416</v>
      </c>
      <c r="G1743" t="s">
        <v>514</v>
      </c>
      <c r="H1743">
        <v>47128800</v>
      </c>
      <c r="I1743" t="s">
        <v>1145</v>
      </c>
      <c r="J1743" t="s">
        <v>1144</v>
      </c>
      <c r="K1743" t="s">
        <v>530</v>
      </c>
      <c r="N1743">
        <v>0</v>
      </c>
      <c r="O1743">
        <v>0</v>
      </c>
      <c r="P1743" t="str">
        <f t="shared" si="27"/>
        <v>N</v>
      </c>
      <c r="Q1743" t="s">
        <v>7473</v>
      </c>
    </row>
    <row r="1744" spans="1:17" x14ac:dyDescent="0.25">
      <c r="A1744" t="s">
        <v>1949</v>
      </c>
      <c r="B1744" t="s">
        <v>1135</v>
      </c>
      <c r="C1744">
        <v>2027</v>
      </c>
      <c r="D1744" t="s">
        <v>542</v>
      </c>
      <c r="E1744" t="s">
        <v>834</v>
      </c>
      <c r="F1744" s="32">
        <v>46416</v>
      </c>
      <c r="G1744" t="s">
        <v>514</v>
      </c>
      <c r="H1744">
        <v>47128109</v>
      </c>
      <c r="I1744" t="s">
        <v>1336</v>
      </c>
      <c r="J1744" t="s">
        <v>1335</v>
      </c>
      <c r="K1744" t="s">
        <v>530</v>
      </c>
      <c r="N1744">
        <v>0</v>
      </c>
      <c r="O1744">
        <v>0</v>
      </c>
      <c r="P1744" t="str">
        <f t="shared" si="27"/>
        <v>N</v>
      </c>
      <c r="Q1744" t="s">
        <v>7474</v>
      </c>
    </row>
    <row r="1745" spans="1:17" x14ac:dyDescent="0.25">
      <c r="A1745" t="s">
        <v>1950</v>
      </c>
      <c r="B1745" t="s">
        <v>1135</v>
      </c>
      <c r="C1745">
        <v>2027</v>
      </c>
      <c r="D1745" t="s">
        <v>542</v>
      </c>
      <c r="E1745" t="s">
        <v>834</v>
      </c>
      <c r="F1745" s="32">
        <v>46416</v>
      </c>
      <c r="G1745" t="s">
        <v>514</v>
      </c>
      <c r="H1745">
        <v>47128430</v>
      </c>
      <c r="I1745" t="s">
        <v>1401</v>
      </c>
      <c r="J1745" t="s">
        <v>1400</v>
      </c>
      <c r="K1745" t="s">
        <v>530</v>
      </c>
      <c r="N1745">
        <v>0</v>
      </c>
      <c r="O1745">
        <v>0</v>
      </c>
      <c r="P1745" t="str">
        <f t="shared" si="27"/>
        <v>N</v>
      </c>
      <c r="Q1745" t="s">
        <v>7475</v>
      </c>
    </row>
    <row r="1746" spans="1:17" x14ac:dyDescent="0.25">
      <c r="A1746" t="s">
        <v>1951</v>
      </c>
      <c r="B1746" t="s">
        <v>1135</v>
      </c>
      <c r="C1746">
        <v>2027</v>
      </c>
      <c r="D1746" t="s">
        <v>542</v>
      </c>
      <c r="E1746" t="s">
        <v>834</v>
      </c>
      <c r="F1746" s="32">
        <v>46416</v>
      </c>
      <c r="G1746" t="s">
        <v>514</v>
      </c>
      <c r="H1746">
        <v>47128522</v>
      </c>
      <c r="I1746" t="s">
        <v>1092</v>
      </c>
      <c r="J1746" t="s">
        <v>1091</v>
      </c>
      <c r="K1746" t="s">
        <v>530</v>
      </c>
      <c r="N1746">
        <v>0</v>
      </c>
      <c r="O1746">
        <v>0</v>
      </c>
      <c r="P1746" t="str">
        <f t="shared" si="27"/>
        <v>N</v>
      </c>
      <c r="Q1746" t="s">
        <v>7476</v>
      </c>
    </row>
    <row r="1747" spans="1:17" x14ac:dyDescent="0.25">
      <c r="A1747" t="s">
        <v>1952</v>
      </c>
      <c r="B1747" t="s">
        <v>1135</v>
      </c>
      <c r="C1747">
        <v>2027</v>
      </c>
      <c r="D1747" t="s">
        <v>542</v>
      </c>
      <c r="E1747" t="s">
        <v>834</v>
      </c>
      <c r="F1747" s="32">
        <v>46416</v>
      </c>
      <c r="G1747" t="s">
        <v>514</v>
      </c>
      <c r="H1747">
        <v>47147546</v>
      </c>
      <c r="I1747" t="s">
        <v>1077</v>
      </c>
      <c r="J1747" t="s">
        <v>1381</v>
      </c>
      <c r="K1747" t="s">
        <v>530</v>
      </c>
      <c r="N1747">
        <v>0</v>
      </c>
      <c r="O1747">
        <v>0</v>
      </c>
      <c r="P1747" t="str">
        <f t="shared" si="27"/>
        <v>N</v>
      </c>
      <c r="Q1747" t="s">
        <v>7477</v>
      </c>
    </row>
    <row r="1748" spans="1:17" x14ac:dyDescent="0.25">
      <c r="A1748" t="s">
        <v>1953</v>
      </c>
      <c r="B1748" t="s">
        <v>1135</v>
      </c>
      <c r="C1748">
        <v>2027</v>
      </c>
      <c r="D1748" t="s">
        <v>542</v>
      </c>
      <c r="E1748" t="s">
        <v>834</v>
      </c>
      <c r="F1748" s="32">
        <v>46416</v>
      </c>
      <c r="G1748" t="s">
        <v>514</v>
      </c>
      <c r="H1748">
        <v>47147658</v>
      </c>
      <c r="I1748" t="s">
        <v>1276</v>
      </c>
      <c r="J1748" t="s">
        <v>1275</v>
      </c>
      <c r="K1748" t="s">
        <v>530</v>
      </c>
      <c r="N1748">
        <v>0</v>
      </c>
      <c r="O1748">
        <v>0</v>
      </c>
      <c r="P1748" t="str">
        <f t="shared" si="27"/>
        <v>N</v>
      </c>
      <c r="Q1748" t="s">
        <v>7478</v>
      </c>
    </row>
    <row r="1749" spans="1:17" x14ac:dyDescent="0.25">
      <c r="A1749" t="s">
        <v>1954</v>
      </c>
      <c r="B1749" t="s">
        <v>1135</v>
      </c>
      <c r="C1749">
        <v>2027</v>
      </c>
      <c r="D1749" t="s">
        <v>542</v>
      </c>
      <c r="E1749" t="s">
        <v>834</v>
      </c>
      <c r="F1749" s="32">
        <v>46416</v>
      </c>
      <c r="G1749" t="s">
        <v>514</v>
      </c>
      <c r="H1749">
        <v>47147546</v>
      </c>
      <c r="I1749" t="s">
        <v>1077</v>
      </c>
      <c r="J1749" t="s">
        <v>1171</v>
      </c>
      <c r="K1749" t="s">
        <v>530</v>
      </c>
      <c r="N1749">
        <v>0</v>
      </c>
      <c r="O1749">
        <v>0</v>
      </c>
      <c r="P1749" t="str">
        <f t="shared" si="27"/>
        <v>N</v>
      </c>
      <c r="Q1749" t="s">
        <v>7479</v>
      </c>
    </row>
    <row r="1750" spans="1:17" x14ac:dyDescent="0.25">
      <c r="A1750" t="s">
        <v>1955</v>
      </c>
      <c r="B1750" t="s">
        <v>1135</v>
      </c>
      <c r="C1750">
        <v>2027</v>
      </c>
      <c r="D1750" t="s">
        <v>542</v>
      </c>
      <c r="E1750" t="s">
        <v>834</v>
      </c>
      <c r="F1750" s="32">
        <v>46416</v>
      </c>
      <c r="G1750" t="s">
        <v>514</v>
      </c>
      <c r="H1750">
        <v>47128028</v>
      </c>
      <c r="I1750" t="s">
        <v>1035</v>
      </c>
      <c r="J1750" t="s">
        <v>1034</v>
      </c>
      <c r="K1750" t="s">
        <v>530</v>
      </c>
      <c r="N1750">
        <v>0</v>
      </c>
      <c r="O1750">
        <v>0</v>
      </c>
      <c r="P1750" t="str">
        <f t="shared" si="27"/>
        <v>N</v>
      </c>
      <c r="Q1750" t="s">
        <v>7480</v>
      </c>
    </row>
    <row r="1751" spans="1:17" x14ac:dyDescent="0.25">
      <c r="A1751" t="s">
        <v>1956</v>
      </c>
      <c r="B1751" t="s">
        <v>1135</v>
      </c>
      <c r="C1751">
        <v>2027</v>
      </c>
      <c r="D1751" t="s">
        <v>542</v>
      </c>
      <c r="E1751" t="s">
        <v>834</v>
      </c>
      <c r="F1751" s="32">
        <v>46416</v>
      </c>
      <c r="G1751" t="s">
        <v>514</v>
      </c>
      <c r="H1751">
        <v>47128465</v>
      </c>
      <c r="I1751" t="s">
        <v>1333</v>
      </c>
      <c r="J1751" t="s">
        <v>1332</v>
      </c>
      <c r="K1751" t="s">
        <v>530</v>
      </c>
      <c r="N1751">
        <v>0</v>
      </c>
      <c r="O1751">
        <v>0</v>
      </c>
      <c r="P1751" t="str">
        <f t="shared" si="27"/>
        <v>N</v>
      </c>
      <c r="Q1751" t="s">
        <v>7481</v>
      </c>
    </row>
    <row r="1752" spans="1:17" x14ac:dyDescent="0.25">
      <c r="A1752" t="s">
        <v>1957</v>
      </c>
      <c r="B1752" t="s">
        <v>1135</v>
      </c>
      <c r="C1752">
        <v>2027</v>
      </c>
      <c r="D1752" t="s">
        <v>542</v>
      </c>
      <c r="E1752" t="s">
        <v>834</v>
      </c>
      <c r="F1752" s="32">
        <v>46416</v>
      </c>
      <c r="G1752" t="s">
        <v>514</v>
      </c>
      <c r="H1752">
        <v>47128548</v>
      </c>
      <c r="I1752" t="s">
        <v>958</v>
      </c>
      <c r="J1752" t="s">
        <v>957</v>
      </c>
      <c r="K1752" t="s">
        <v>530</v>
      </c>
      <c r="N1752">
        <v>0</v>
      </c>
      <c r="O1752">
        <v>0</v>
      </c>
      <c r="P1752" t="str">
        <f t="shared" si="27"/>
        <v>N</v>
      </c>
      <c r="Q1752" t="s">
        <v>7482</v>
      </c>
    </row>
    <row r="1753" spans="1:17" x14ac:dyDescent="0.25">
      <c r="A1753" t="s">
        <v>2421</v>
      </c>
      <c r="B1753" t="s">
        <v>2344</v>
      </c>
      <c r="C1753">
        <v>2027</v>
      </c>
      <c r="D1753" t="s">
        <v>542</v>
      </c>
      <c r="E1753" t="s">
        <v>834</v>
      </c>
      <c r="F1753" s="32">
        <v>46416</v>
      </c>
      <c r="G1753" t="s">
        <v>514</v>
      </c>
      <c r="H1753">
        <v>47140037</v>
      </c>
      <c r="I1753" t="s">
        <v>2347</v>
      </c>
      <c r="J1753" t="s">
        <v>2348</v>
      </c>
      <c r="K1753" t="s">
        <v>530</v>
      </c>
      <c r="N1753">
        <v>0</v>
      </c>
      <c r="O1753">
        <v>0</v>
      </c>
      <c r="P1753" t="str">
        <f t="shared" si="27"/>
        <v>N</v>
      </c>
      <c r="Q1753" t="s">
        <v>7483</v>
      </c>
    </row>
    <row r="1754" spans="1:17" x14ac:dyDescent="0.25">
      <c r="A1754" t="s">
        <v>2422</v>
      </c>
      <c r="B1754" t="s">
        <v>2344</v>
      </c>
      <c r="C1754">
        <v>2027</v>
      </c>
      <c r="D1754" t="s">
        <v>542</v>
      </c>
      <c r="E1754" t="s">
        <v>834</v>
      </c>
      <c r="F1754" s="32">
        <v>46416</v>
      </c>
      <c r="G1754" t="s">
        <v>514</v>
      </c>
      <c r="H1754">
        <v>47128820</v>
      </c>
      <c r="I1754" t="s">
        <v>2411</v>
      </c>
      <c r="J1754" t="s">
        <v>2412</v>
      </c>
      <c r="K1754" t="s">
        <v>530</v>
      </c>
      <c r="N1754">
        <v>0</v>
      </c>
      <c r="O1754">
        <v>0</v>
      </c>
      <c r="P1754" t="str">
        <f t="shared" si="27"/>
        <v>N</v>
      </c>
      <c r="Q1754" t="s">
        <v>7484</v>
      </c>
    </row>
    <row r="1755" spans="1:17" x14ac:dyDescent="0.25">
      <c r="A1755" t="s">
        <v>2423</v>
      </c>
      <c r="B1755" t="s">
        <v>2344</v>
      </c>
      <c r="C1755">
        <v>2027</v>
      </c>
      <c r="D1755" t="s">
        <v>542</v>
      </c>
      <c r="E1755" t="s">
        <v>834</v>
      </c>
      <c r="F1755" s="32">
        <v>46416</v>
      </c>
      <c r="G1755" t="s">
        <v>514</v>
      </c>
      <c r="H1755">
        <v>47128378</v>
      </c>
      <c r="I1755" t="s">
        <v>2392</v>
      </c>
      <c r="J1755" t="s">
        <v>2393</v>
      </c>
      <c r="K1755" t="s">
        <v>530</v>
      </c>
      <c r="N1755">
        <v>0</v>
      </c>
      <c r="O1755">
        <v>0</v>
      </c>
      <c r="P1755" t="str">
        <f t="shared" si="27"/>
        <v>N</v>
      </c>
      <c r="Q1755" t="s">
        <v>7485</v>
      </c>
    </row>
    <row r="1756" spans="1:17" x14ac:dyDescent="0.25">
      <c r="A1756" t="s">
        <v>2424</v>
      </c>
      <c r="B1756" t="s">
        <v>2344</v>
      </c>
      <c r="C1756">
        <v>2027</v>
      </c>
      <c r="D1756" t="s">
        <v>542</v>
      </c>
      <c r="E1756" t="s">
        <v>834</v>
      </c>
      <c r="F1756" s="32">
        <v>46416</v>
      </c>
      <c r="G1756" t="s">
        <v>514</v>
      </c>
      <c r="H1756">
        <v>47128020</v>
      </c>
      <c r="I1756" t="s">
        <v>2395</v>
      </c>
      <c r="J1756" t="s">
        <v>2396</v>
      </c>
      <c r="K1756" t="s">
        <v>530</v>
      </c>
      <c r="N1756">
        <v>0</v>
      </c>
      <c r="O1756">
        <v>0</v>
      </c>
      <c r="P1756" t="str">
        <f t="shared" si="27"/>
        <v>N</v>
      </c>
      <c r="Q1756" t="s">
        <v>7486</v>
      </c>
    </row>
    <row r="1757" spans="1:17" x14ac:dyDescent="0.25">
      <c r="A1757" t="s">
        <v>2425</v>
      </c>
      <c r="B1757" t="s">
        <v>2344</v>
      </c>
      <c r="C1757">
        <v>2027</v>
      </c>
      <c r="D1757" t="s">
        <v>542</v>
      </c>
      <c r="E1757" t="s">
        <v>834</v>
      </c>
      <c r="F1757" s="32">
        <v>46416</v>
      </c>
      <c r="G1757" t="s">
        <v>514</v>
      </c>
      <c r="H1757">
        <v>47128459</v>
      </c>
      <c r="I1757" t="s">
        <v>2398</v>
      </c>
      <c r="J1757" t="s">
        <v>2399</v>
      </c>
      <c r="K1757" t="s">
        <v>530</v>
      </c>
      <c r="N1757">
        <v>0</v>
      </c>
      <c r="O1757">
        <v>0</v>
      </c>
      <c r="P1757" t="str">
        <f t="shared" si="27"/>
        <v>N</v>
      </c>
      <c r="Q1757" t="s">
        <v>7487</v>
      </c>
    </row>
    <row r="1758" spans="1:17" x14ac:dyDescent="0.25">
      <c r="A1758" t="s">
        <v>2606</v>
      </c>
      <c r="B1758" t="s">
        <v>2444</v>
      </c>
      <c r="C1758">
        <v>2027</v>
      </c>
      <c r="D1758" t="s">
        <v>542</v>
      </c>
      <c r="E1758" t="s">
        <v>834</v>
      </c>
      <c r="F1758" s="32">
        <v>46416</v>
      </c>
      <c r="G1758" t="s">
        <v>514</v>
      </c>
      <c r="H1758">
        <v>47128006</v>
      </c>
      <c r="I1758" t="s">
        <v>2447</v>
      </c>
      <c r="J1758" t="s">
        <v>2448</v>
      </c>
      <c r="K1758" t="s">
        <v>530</v>
      </c>
      <c r="N1758">
        <v>0</v>
      </c>
      <c r="O1758">
        <v>0</v>
      </c>
      <c r="P1758" t="str">
        <f t="shared" si="27"/>
        <v>N</v>
      </c>
      <c r="Q1758" t="s">
        <v>7488</v>
      </c>
    </row>
    <row r="1759" spans="1:17" x14ac:dyDescent="0.25">
      <c r="A1759" t="s">
        <v>2607</v>
      </c>
      <c r="B1759" t="s">
        <v>2444</v>
      </c>
      <c r="C1759">
        <v>2027</v>
      </c>
      <c r="D1759" t="s">
        <v>542</v>
      </c>
      <c r="E1759" t="s">
        <v>834</v>
      </c>
      <c r="F1759" s="32">
        <v>46416</v>
      </c>
      <c r="G1759" t="s">
        <v>514</v>
      </c>
      <c r="H1759">
        <v>47128300</v>
      </c>
      <c r="I1759" t="s">
        <v>2471</v>
      </c>
      <c r="J1759" t="s">
        <v>2472</v>
      </c>
      <c r="K1759" t="s">
        <v>530</v>
      </c>
      <c r="N1759">
        <v>0</v>
      </c>
      <c r="O1759">
        <v>0</v>
      </c>
      <c r="P1759" t="str">
        <f t="shared" si="27"/>
        <v>N</v>
      </c>
      <c r="Q1759" t="s">
        <v>7489</v>
      </c>
    </row>
    <row r="1760" spans="1:17" x14ac:dyDescent="0.25">
      <c r="A1760" t="s">
        <v>2608</v>
      </c>
      <c r="B1760" t="s">
        <v>2444</v>
      </c>
      <c r="C1760">
        <v>2027</v>
      </c>
      <c r="D1760" t="s">
        <v>542</v>
      </c>
      <c r="E1760" t="s">
        <v>834</v>
      </c>
      <c r="F1760" s="32">
        <v>46416</v>
      </c>
      <c r="G1760" t="s">
        <v>514</v>
      </c>
      <c r="H1760">
        <v>47128213</v>
      </c>
      <c r="I1760" t="s">
        <v>2456</v>
      </c>
      <c r="J1760" t="s">
        <v>2457</v>
      </c>
      <c r="K1760" t="s">
        <v>530</v>
      </c>
      <c r="N1760">
        <v>0</v>
      </c>
      <c r="O1760">
        <v>0</v>
      </c>
      <c r="P1760" t="str">
        <f t="shared" si="27"/>
        <v>N</v>
      </c>
      <c r="Q1760" t="s">
        <v>7490</v>
      </c>
    </row>
    <row r="1761" spans="1:17" x14ac:dyDescent="0.25">
      <c r="A1761" t="s">
        <v>2609</v>
      </c>
      <c r="B1761" t="s">
        <v>2444</v>
      </c>
      <c r="C1761">
        <v>2027</v>
      </c>
      <c r="D1761" t="s">
        <v>542</v>
      </c>
      <c r="E1761" t="s">
        <v>834</v>
      </c>
      <c r="F1761" s="32">
        <v>46416</v>
      </c>
      <c r="G1761" t="s">
        <v>514</v>
      </c>
      <c r="H1761">
        <v>47128667</v>
      </c>
      <c r="I1761" t="s">
        <v>2450</v>
      </c>
      <c r="J1761" t="s">
        <v>2451</v>
      </c>
      <c r="K1761" t="s">
        <v>530</v>
      </c>
      <c r="N1761">
        <v>60</v>
      </c>
      <c r="O1761">
        <v>60</v>
      </c>
      <c r="P1761" t="str">
        <f t="shared" si="27"/>
        <v>N</v>
      </c>
      <c r="Q1761" t="s">
        <v>7491</v>
      </c>
    </row>
    <row r="1762" spans="1:17" x14ac:dyDescent="0.25">
      <c r="A1762" t="s">
        <v>2610</v>
      </c>
      <c r="B1762" t="s">
        <v>2444</v>
      </c>
      <c r="C1762">
        <v>2027</v>
      </c>
      <c r="D1762" t="s">
        <v>542</v>
      </c>
      <c r="E1762" t="s">
        <v>834</v>
      </c>
      <c r="F1762" s="32">
        <v>46416</v>
      </c>
      <c r="G1762" t="s">
        <v>514</v>
      </c>
      <c r="H1762">
        <v>47128179</v>
      </c>
      <c r="I1762" t="s">
        <v>2477</v>
      </c>
      <c r="J1762" t="s">
        <v>2478</v>
      </c>
      <c r="K1762" t="s">
        <v>530</v>
      </c>
      <c r="N1762">
        <v>0</v>
      </c>
      <c r="O1762">
        <v>0</v>
      </c>
      <c r="P1762" t="str">
        <f t="shared" si="27"/>
        <v>N</v>
      </c>
      <c r="Q1762" t="s">
        <v>7492</v>
      </c>
    </row>
    <row r="1763" spans="1:17" x14ac:dyDescent="0.25">
      <c r="A1763" t="s">
        <v>2611</v>
      </c>
      <c r="B1763" t="s">
        <v>2444</v>
      </c>
      <c r="C1763">
        <v>2027</v>
      </c>
      <c r="D1763" t="s">
        <v>542</v>
      </c>
      <c r="E1763" t="s">
        <v>834</v>
      </c>
      <c r="F1763" s="32">
        <v>46416</v>
      </c>
      <c r="G1763" t="s">
        <v>514</v>
      </c>
      <c r="H1763">
        <v>47128655</v>
      </c>
      <c r="I1763" t="s">
        <v>2474</v>
      </c>
      <c r="J1763" t="s">
        <v>2475</v>
      </c>
      <c r="K1763" t="s">
        <v>530</v>
      </c>
      <c r="N1763">
        <v>0</v>
      </c>
      <c r="O1763">
        <v>0</v>
      </c>
      <c r="P1763" t="str">
        <f t="shared" si="27"/>
        <v>N</v>
      </c>
      <c r="Q1763" t="s">
        <v>7493</v>
      </c>
    </row>
    <row r="1764" spans="1:17" x14ac:dyDescent="0.25">
      <c r="A1764" t="s">
        <v>2612</v>
      </c>
      <c r="B1764" t="s">
        <v>2444</v>
      </c>
      <c r="C1764">
        <v>2027</v>
      </c>
      <c r="D1764" t="s">
        <v>542</v>
      </c>
      <c r="E1764" t="s">
        <v>834</v>
      </c>
      <c r="F1764" s="32">
        <v>46416</v>
      </c>
      <c r="G1764" t="s">
        <v>514</v>
      </c>
      <c r="H1764">
        <v>47129222</v>
      </c>
      <c r="I1764" t="s">
        <v>2459</v>
      </c>
      <c r="J1764" t="s">
        <v>2460</v>
      </c>
      <c r="K1764" t="s">
        <v>530</v>
      </c>
      <c r="N1764">
        <v>0</v>
      </c>
      <c r="O1764">
        <v>0</v>
      </c>
      <c r="P1764" t="str">
        <f t="shared" si="27"/>
        <v>N</v>
      </c>
      <c r="Q1764" t="s">
        <v>7494</v>
      </c>
    </row>
    <row r="1765" spans="1:17" x14ac:dyDescent="0.25">
      <c r="A1765" t="s">
        <v>2613</v>
      </c>
      <c r="B1765" t="s">
        <v>2444</v>
      </c>
      <c r="C1765">
        <v>2027</v>
      </c>
      <c r="D1765" t="s">
        <v>542</v>
      </c>
      <c r="E1765" t="s">
        <v>834</v>
      </c>
      <c r="F1765" s="32">
        <v>46416</v>
      </c>
      <c r="G1765" t="s">
        <v>514</v>
      </c>
      <c r="H1765">
        <v>47132096</v>
      </c>
      <c r="I1765" t="s">
        <v>2468</v>
      </c>
      <c r="J1765" t="s">
        <v>2469</v>
      </c>
      <c r="K1765" t="s">
        <v>530</v>
      </c>
      <c r="N1765">
        <v>0</v>
      </c>
      <c r="O1765">
        <v>0</v>
      </c>
      <c r="P1765" t="str">
        <f t="shared" si="27"/>
        <v>N</v>
      </c>
      <c r="Q1765" t="s">
        <v>7495</v>
      </c>
    </row>
    <row r="1766" spans="1:17" x14ac:dyDescent="0.25">
      <c r="A1766" t="s">
        <v>2614</v>
      </c>
      <c r="B1766" t="s">
        <v>2444</v>
      </c>
      <c r="C1766">
        <v>2027</v>
      </c>
      <c r="D1766" t="s">
        <v>542</v>
      </c>
      <c r="E1766" t="s">
        <v>834</v>
      </c>
      <c r="F1766" s="32">
        <v>46416</v>
      </c>
      <c r="G1766" t="s">
        <v>514</v>
      </c>
      <c r="H1766">
        <v>47128561</v>
      </c>
      <c r="I1766" t="s">
        <v>2462</v>
      </c>
      <c r="J1766" t="s">
        <v>2463</v>
      </c>
      <c r="K1766" t="s">
        <v>530</v>
      </c>
      <c r="N1766">
        <v>0</v>
      </c>
      <c r="O1766">
        <v>0</v>
      </c>
      <c r="P1766" t="str">
        <f t="shared" si="27"/>
        <v>N</v>
      </c>
      <c r="Q1766" t="s">
        <v>7496</v>
      </c>
    </row>
    <row r="1767" spans="1:17" x14ac:dyDescent="0.25">
      <c r="A1767" t="s">
        <v>2615</v>
      </c>
      <c r="B1767" t="s">
        <v>2444</v>
      </c>
      <c r="C1767">
        <v>2027</v>
      </c>
      <c r="D1767" t="s">
        <v>542</v>
      </c>
      <c r="E1767" t="s">
        <v>834</v>
      </c>
      <c r="F1767" s="32">
        <v>46416</v>
      </c>
      <c r="G1767" t="s">
        <v>514</v>
      </c>
      <c r="H1767">
        <v>47129274</v>
      </c>
      <c r="I1767" t="s">
        <v>2486</v>
      </c>
      <c r="J1767" t="s">
        <v>2487</v>
      </c>
      <c r="K1767" t="s">
        <v>530</v>
      </c>
      <c r="N1767">
        <v>0</v>
      </c>
      <c r="O1767">
        <v>0</v>
      </c>
      <c r="P1767" t="str">
        <f t="shared" si="27"/>
        <v>N</v>
      </c>
      <c r="Q1767" t="s">
        <v>7497</v>
      </c>
    </row>
    <row r="1768" spans="1:17" x14ac:dyDescent="0.25">
      <c r="A1768" t="s">
        <v>2616</v>
      </c>
      <c r="B1768" t="s">
        <v>2444</v>
      </c>
      <c r="C1768">
        <v>2027</v>
      </c>
      <c r="D1768" t="s">
        <v>542</v>
      </c>
      <c r="E1768" t="s">
        <v>834</v>
      </c>
      <c r="F1768" s="32">
        <v>46416</v>
      </c>
      <c r="G1768" t="s">
        <v>514</v>
      </c>
      <c r="H1768">
        <v>47129262</v>
      </c>
      <c r="I1768" t="s">
        <v>2453</v>
      </c>
      <c r="J1768" t="s">
        <v>2454</v>
      </c>
      <c r="K1768" t="s">
        <v>530</v>
      </c>
      <c r="N1768">
        <v>0</v>
      </c>
      <c r="O1768">
        <v>0</v>
      </c>
      <c r="P1768" t="str">
        <f t="shared" si="27"/>
        <v>N</v>
      </c>
      <c r="Q1768" t="s">
        <v>7498</v>
      </c>
    </row>
    <row r="1769" spans="1:17" x14ac:dyDescent="0.25">
      <c r="A1769" t="s">
        <v>2617</v>
      </c>
      <c r="B1769" t="s">
        <v>2444</v>
      </c>
      <c r="C1769">
        <v>2027</v>
      </c>
      <c r="D1769" t="s">
        <v>542</v>
      </c>
      <c r="E1769" t="s">
        <v>834</v>
      </c>
      <c r="F1769" s="32">
        <v>46416</v>
      </c>
      <c r="G1769" t="s">
        <v>514</v>
      </c>
      <c r="H1769">
        <v>47129558</v>
      </c>
      <c r="I1769" t="s">
        <v>2480</v>
      </c>
      <c r="J1769" t="s">
        <v>2481</v>
      </c>
      <c r="K1769" t="s">
        <v>530</v>
      </c>
      <c r="N1769">
        <v>0</v>
      </c>
      <c r="O1769">
        <v>0</v>
      </c>
      <c r="P1769" t="str">
        <f t="shared" si="27"/>
        <v>N</v>
      </c>
      <c r="Q1769" t="s">
        <v>7499</v>
      </c>
    </row>
    <row r="1770" spans="1:17" x14ac:dyDescent="0.25">
      <c r="A1770" t="s">
        <v>2618</v>
      </c>
      <c r="B1770" t="s">
        <v>2444</v>
      </c>
      <c r="C1770">
        <v>2027</v>
      </c>
      <c r="D1770" t="s">
        <v>542</v>
      </c>
      <c r="E1770" t="s">
        <v>834</v>
      </c>
      <c r="F1770" s="32">
        <v>46416</v>
      </c>
      <c r="G1770" t="s">
        <v>514</v>
      </c>
      <c r="H1770">
        <v>47129727</v>
      </c>
      <c r="I1770" t="s">
        <v>2465</v>
      </c>
      <c r="J1770" t="s">
        <v>2466</v>
      </c>
      <c r="K1770" t="s">
        <v>530</v>
      </c>
      <c r="N1770">
        <v>0</v>
      </c>
      <c r="O1770">
        <v>0</v>
      </c>
      <c r="P1770" t="str">
        <f t="shared" si="27"/>
        <v>N</v>
      </c>
      <c r="Q1770" t="s">
        <v>7500</v>
      </c>
    </row>
    <row r="1771" spans="1:17" x14ac:dyDescent="0.25">
      <c r="A1771" t="s">
        <v>2619</v>
      </c>
      <c r="B1771" t="s">
        <v>2444</v>
      </c>
      <c r="C1771">
        <v>2027</v>
      </c>
      <c r="D1771" t="s">
        <v>542</v>
      </c>
      <c r="E1771" t="s">
        <v>834</v>
      </c>
      <c r="F1771" s="32">
        <v>46416</v>
      </c>
      <c r="G1771" t="s">
        <v>514</v>
      </c>
      <c r="H1771">
        <v>47129273</v>
      </c>
      <c r="I1771" t="s">
        <v>2483</v>
      </c>
      <c r="J1771" t="s">
        <v>2484</v>
      </c>
      <c r="K1771" t="s">
        <v>530</v>
      </c>
      <c r="N1771">
        <v>0</v>
      </c>
      <c r="O1771">
        <v>0</v>
      </c>
      <c r="P1771" t="str">
        <f t="shared" si="27"/>
        <v>N</v>
      </c>
      <c r="Q1771" t="s">
        <v>7501</v>
      </c>
    </row>
    <row r="1772" spans="1:17" x14ac:dyDescent="0.25">
      <c r="A1772" t="s">
        <v>2620</v>
      </c>
      <c r="B1772" t="s">
        <v>2444</v>
      </c>
      <c r="C1772">
        <v>2027</v>
      </c>
      <c r="D1772" t="s">
        <v>542</v>
      </c>
      <c r="E1772" t="s">
        <v>834</v>
      </c>
      <c r="F1772" s="32">
        <v>46416</v>
      </c>
      <c r="G1772" t="s">
        <v>514</v>
      </c>
      <c r="H1772">
        <v>47128587</v>
      </c>
      <c r="I1772" t="s">
        <v>2489</v>
      </c>
      <c r="J1772" t="s">
        <v>2490</v>
      </c>
      <c r="K1772" t="s">
        <v>530</v>
      </c>
      <c r="N1772">
        <v>0</v>
      </c>
      <c r="O1772">
        <v>0</v>
      </c>
      <c r="P1772" t="str">
        <f t="shared" si="27"/>
        <v>N</v>
      </c>
      <c r="Q1772" t="s">
        <v>7502</v>
      </c>
    </row>
    <row r="1773" spans="1:17" x14ac:dyDescent="0.25">
      <c r="A1773" t="s">
        <v>2621</v>
      </c>
      <c r="B1773" t="s">
        <v>2444</v>
      </c>
      <c r="C1773">
        <v>2027</v>
      </c>
      <c r="D1773" t="s">
        <v>542</v>
      </c>
      <c r="E1773" t="s">
        <v>834</v>
      </c>
      <c r="F1773" s="32">
        <v>46416</v>
      </c>
      <c r="G1773" t="s">
        <v>514</v>
      </c>
      <c r="H1773">
        <v>47128247</v>
      </c>
      <c r="I1773" t="s">
        <v>2492</v>
      </c>
      <c r="J1773" t="s">
        <v>2493</v>
      </c>
      <c r="K1773" t="s">
        <v>530</v>
      </c>
      <c r="N1773">
        <v>0</v>
      </c>
      <c r="O1773">
        <v>0</v>
      </c>
      <c r="P1773" t="str">
        <f t="shared" si="27"/>
        <v>N</v>
      </c>
      <c r="Q1773" t="s">
        <v>7503</v>
      </c>
    </row>
    <row r="1774" spans="1:17" x14ac:dyDescent="0.25">
      <c r="A1774" t="s">
        <v>2912</v>
      </c>
      <c r="B1774" t="s">
        <v>2783</v>
      </c>
      <c r="C1774">
        <v>2027</v>
      </c>
      <c r="D1774" t="s">
        <v>542</v>
      </c>
      <c r="E1774" t="s">
        <v>834</v>
      </c>
      <c r="F1774" s="32">
        <v>46416</v>
      </c>
      <c r="G1774" t="s">
        <v>514</v>
      </c>
      <c r="H1774">
        <v>47128006</v>
      </c>
      <c r="I1774" t="s">
        <v>2447</v>
      </c>
      <c r="J1774" t="s">
        <v>2448</v>
      </c>
      <c r="K1774" t="s">
        <v>530</v>
      </c>
      <c r="N1774">
        <v>0</v>
      </c>
      <c r="O1774">
        <v>0</v>
      </c>
      <c r="P1774" t="str">
        <f t="shared" si="27"/>
        <v>N</v>
      </c>
      <c r="Q1774" t="s">
        <v>7504</v>
      </c>
    </row>
    <row r="1775" spans="1:17" x14ac:dyDescent="0.25">
      <c r="A1775" t="s">
        <v>2913</v>
      </c>
      <c r="B1775" t="s">
        <v>2783</v>
      </c>
      <c r="C1775">
        <v>2027</v>
      </c>
      <c r="D1775" t="s">
        <v>542</v>
      </c>
      <c r="E1775" t="s">
        <v>834</v>
      </c>
      <c r="F1775" s="32">
        <v>46416</v>
      </c>
      <c r="G1775" t="s">
        <v>514</v>
      </c>
      <c r="H1775">
        <v>47128300</v>
      </c>
      <c r="I1775" t="s">
        <v>2471</v>
      </c>
      <c r="J1775" t="s">
        <v>2472</v>
      </c>
      <c r="K1775" t="s">
        <v>530</v>
      </c>
      <c r="N1775">
        <v>0</v>
      </c>
      <c r="O1775">
        <v>0</v>
      </c>
      <c r="P1775" t="str">
        <f t="shared" si="27"/>
        <v>N</v>
      </c>
      <c r="Q1775" t="s">
        <v>7505</v>
      </c>
    </row>
    <row r="1776" spans="1:17" x14ac:dyDescent="0.25">
      <c r="A1776" t="s">
        <v>2914</v>
      </c>
      <c r="B1776" t="s">
        <v>2783</v>
      </c>
      <c r="C1776">
        <v>2027</v>
      </c>
      <c r="D1776" t="s">
        <v>542</v>
      </c>
      <c r="E1776" t="s">
        <v>834</v>
      </c>
      <c r="F1776" s="32">
        <v>46416</v>
      </c>
      <c r="G1776" t="s">
        <v>514</v>
      </c>
      <c r="H1776">
        <v>47128213</v>
      </c>
      <c r="I1776" t="s">
        <v>2456</v>
      </c>
      <c r="J1776" t="s">
        <v>2457</v>
      </c>
      <c r="K1776" t="s">
        <v>530</v>
      </c>
      <c r="N1776">
        <v>0</v>
      </c>
      <c r="O1776">
        <v>0</v>
      </c>
      <c r="P1776" t="str">
        <f t="shared" si="27"/>
        <v>N</v>
      </c>
      <c r="Q1776" t="s">
        <v>7506</v>
      </c>
    </row>
    <row r="1777" spans="1:17" x14ac:dyDescent="0.25">
      <c r="A1777" t="s">
        <v>2915</v>
      </c>
      <c r="B1777" t="s">
        <v>2783</v>
      </c>
      <c r="C1777">
        <v>2027</v>
      </c>
      <c r="D1777" t="s">
        <v>542</v>
      </c>
      <c r="E1777" t="s">
        <v>834</v>
      </c>
      <c r="F1777" s="32">
        <v>46416</v>
      </c>
      <c r="G1777" t="s">
        <v>514</v>
      </c>
      <c r="H1777">
        <v>47128667</v>
      </c>
      <c r="I1777" t="s">
        <v>2450</v>
      </c>
      <c r="J1777" t="s">
        <v>2451</v>
      </c>
      <c r="K1777" t="s">
        <v>530</v>
      </c>
      <c r="N1777">
        <v>40</v>
      </c>
      <c r="O1777">
        <v>40</v>
      </c>
      <c r="P1777" t="str">
        <f t="shared" si="27"/>
        <v>N</v>
      </c>
      <c r="Q1777" t="s">
        <v>7507</v>
      </c>
    </row>
    <row r="1778" spans="1:17" x14ac:dyDescent="0.25">
      <c r="A1778" t="s">
        <v>2916</v>
      </c>
      <c r="B1778" t="s">
        <v>2783</v>
      </c>
      <c r="C1778">
        <v>2027</v>
      </c>
      <c r="D1778" t="s">
        <v>542</v>
      </c>
      <c r="E1778" t="s">
        <v>834</v>
      </c>
      <c r="F1778" s="32">
        <v>46416</v>
      </c>
      <c r="G1778" t="s">
        <v>514</v>
      </c>
      <c r="H1778">
        <v>47128179</v>
      </c>
      <c r="I1778" t="s">
        <v>2477</v>
      </c>
      <c r="J1778" t="s">
        <v>2478</v>
      </c>
      <c r="K1778" t="s">
        <v>530</v>
      </c>
      <c r="N1778">
        <v>20</v>
      </c>
      <c r="O1778">
        <v>20</v>
      </c>
      <c r="P1778" t="str">
        <f t="shared" si="27"/>
        <v>N</v>
      </c>
      <c r="Q1778" t="s">
        <v>7508</v>
      </c>
    </row>
    <row r="1779" spans="1:17" x14ac:dyDescent="0.25">
      <c r="A1779" t="s">
        <v>2917</v>
      </c>
      <c r="B1779" t="s">
        <v>2783</v>
      </c>
      <c r="C1779">
        <v>2027</v>
      </c>
      <c r="D1779" t="s">
        <v>542</v>
      </c>
      <c r="E1779" t="s">
        <v>834</v>
      </c>
      <c r="F1779" s="32">
        <v>46416</v>
      </c>
      <c r="G1779" t="s">
        <v>514</v>
      </c>
      <c r="H1779">
        <v>47128655</v>
      </c>
      <c r="I1779" t="s">
        <v>2474</v>
      </c>
      <c r="J1779" t="s">
        <v>2475</v>
      </c>
      <c r="K1779" t="s">
        <v>530</v>
      </c>
      <c r="N1779">
        <v>0</v>
      </c>
      <c r="O1779">
        <v>0</v>
      </c>
      <c r="P1779" t="str">
        <f t="shared" si="27"/>
        <v>N</v>
      </c>
      <c r="Q1779" t="s">
        <v>7509</v>
      </c>
    </row>
    <row r="1780" spans="1:17" x14ac:dyDescent="0.25">
      <c r="A1780" t="s">
        <v>2918</v>
      </c>
      <c r="B1780" t="s">
        <v>2783</v>
      </c>
      <c r="C1780">
        <v>2027</v>
      </c>
      <c r="D1780" t="s">
        <v>542</v>
      </c>
      <c r="E1780" t="s">
        <v>834</v>
      </c>
      <c r="F1780" s="32">
        <v>46416</v>
      </c>
      <c r="G1780" t="s">
        <v>514</v>
      </c>
      <c r="H1780">
        <v>47132096</v>
      </c>
      <c r="I1780" t="s">
        <v>2468</v>
      </c>
      <c r="J1780" t="s">
        <v>2469</v>
      </c>
      <c r="K1780" t="s">
        <v>530</v>
      </c>
      <c r="N1780">
        <v>0</v>
      </c>
      <c r="O1780">
        <v>0</v>
      </c>
      <c r="P1780" t="str">
        <f t="shared" si="27"/>
        <v>N</v>
      </c>
      <c r="Q1780" t="s">
        <v>7510</v>
      </c>
    </row>
    <row r="1781" spans="1:17" x14ac:dyDescent="0.25">
      <c r="A1781" t="s">
        <v>2919</v>
      </c>
      <c r="B1781" t="s">
        <v>2783</v>
      </c>
      <c r="C1781">
        <v>2027</v>
      </c>
      <c r="D1781" t="s">
        <v>542</v>
      </c>
      <c r="E1781" t="s">
        <v>834</v>
      </c>
      <c r="F1781" s="32">
        <v>46416</v>
      </c>
      <c r="G1781" t="s">
        <v>514</v>
      </c>
      <c r="H1781">
        <v>47129222</v>
      </c>
      <c r="I1781" t="s">
        <v>2459</v>
      </c>
      <c r="J1781" t="s">
        <v>2460</v>
      </c>
      <c r="K1781" t="s">
        <v>530</v>
      </c>
      <c r="N1781">
        <v>0</v>
      </c>
      <c r="O1781">
        <v>0</v>
      </c>
      <c r="P1781" t="str">
        <f t="shared" si="27"/>
        <v>N</v>
      </c>
      <c r="Q1781" t="s">
        <v>7511</v>
      </c>
    </row>
    <row r="1782" spans="1:17" x14ac:dyDescent="0.25">
      <c r="A1782" t="s">
        <v>2920</v>
      </c>
      <c r="B1782" t="s">
        <v>2783</v>
      </c>
      <c r="C1782">
        <v>2027</v>
      </c>
      <c r="D1782" t="s">
        <v>542</v>
      </c>
      <c r="E1782" t="s">
        <v>834</v>
      </c>
      <c r="F1782" s="32">
        <v>46416</v>
      </c>
      <c r="G1782" t="s">
        <v>514</v>
      </c>
      <c r="H1782">
        <v>47128561</v>
      </c>
      <c r="I1782" t="s">
        <v>2462</v>
      </c>
      <c r="J1782" t="s">
        <v>2463</v>
      </c>
      <c r="K1782" t="s">
        <v>530</v>
      </c>
      <c r="N1782">
        <v>0</v>
      </c>
      <c r="O1782">
        <v>0</v>
      </c>
      <c r="P1782" t="str">
        <f t="shared" si="27"/>
        <v>N</v>
      </c>
      <c r="Q1782" t="s">
        <v>7512</v>
      </c>
    </row>
    <row r="1783" spans="1:17" x14ac:dyDescent="0.25">
      <c r="A1783" t="s">
        <v>2921</v>
      </c>
      <c r="B1783" t="s">
        <v>2783</v>
      </c>
      <c r="C1783">
        <v>2027</v>
      </c>
      <c r="D1783" t="s">
        <v>542</v>
      </c>
      <c r="E1783" t="s">
        <v>834</v>
      </c>
      <c r="F1783" s="32">
        <v>46416</v>
      </c>
      <c r="G1783" t="s">
        <v>514</v>
      </c>
      <c r="H1783">
        <v>47129274</v>
      </c>
      <c r="I1783" t="s">
        <v>2486</v>
      </c>
      <c r="J1783" t="s">
        <v>2487</v>
      </c>
      <c r="K1783" t="s">
        <v>530</v>
      </c>
      <c r="N1783">
        <v>0</v>
      </c>
      <c r="O1783">
        <v>0</v>
      </c>
      <c r="P1783" t="str">
        <f t="shared" si="27"/>
        <v>N</v>
      </c>
      <c r="Q1783" t="s">
        <v>7513</v>
      </c>
    </row>
    <row r="1784" spans="1:17" x14ac:dyDescent="0.25">
      <c r="A1784" t="s">
        <v>2922</v>
      </c>
      <c r="B1784" t="s">
        <v>2783</v>
      </c>
      <c r="C1784">
        <v>2027</v>
      </c>
      <c r="D1784" t="s">
        <v>542</v>
      </c>
      <c r="E1784" t="s">
        <v>834</v>
      </c>
      <c r="F1784" s="32">
        <v>46416</v>
      </c>
      <c r="G1784" t="s">
        <v>514</v>
      </c>
      <c r="H1784">
        <v>47129262</v>
      </c>
      <c r="I1784" t="s">
        <v>2453</v>
      </c>
      <c r="J1784" t="s">
        <v>2454</v>
      </c>
      <c r="K1784" t="s">
        <v>530</v>
      </c>
      <c r="N1784">
        <v>0</v>
      </c>
      <c r="O1784">
        <v>0</v>
      </c>
      <c r="P1784" t="str">
        <f t="shared" si="27"/>
        <v>N</v>
      </c>
      <c r="Q1784" t="s">
        <v>7514</v>
      </c>
    </row>
    <row r="1785" spans="1:17" x14ac:dyDescent="0.25">
      <c r="A1785" t="s">
        <v>2923</v>
      </c>
      <c r="B1785" t="s">
        <v>2783</v>
      </c>
      <c r="C1785">
        <v>2027</v>
      </c>
      <c r="D1785" t="s">
        <v>542</v>
      </c>
      <c r="E1785" t="s">
        <v>834</v>
      </c>
      <c r="F1785" s="32">
        <v>46416</v>
      </c>
      <c r="G1785" t="s">
        <v>514</v>
      </c>
      <c r="H1785">
        <v>47129558</v>
      </c>
      <c r="I1785" t="s">
        <v>2480</v>
      </c>
      <c r="J1785" t="s">
        <v>2481</v>
      </c>
      <c r="K1785" t="s">
        <v>530</v>
      </c>
      <c r="N1785">
        <v>0</v>
      </c>
      <c r="O1785">
        <v>0</v>
      </c>
      <c r="P1785" t="str">
        <f t="shared" si="27"/>
        <v>N</v>
      </c>
      <c r="Q1785" t="s">
        <v>7515</v>
      </c>
    </row>
    <row r="1786" spans="1:17" x14ac:dyDescent="0.25">
      <c r="A1786" t="s">
        <v>2924</v>
      </c>
      <c r="B1786" t="s">
        <v>2783</v>
      </c>
      <c r="C1786">
        <v>2027</v>
      </c>
      <c r="D1786" t="s">
        <v>542</v>
      </c>
      <c r="E1786" t="s">
        <v>834</v>
      </c>
      <c r="F1786" s="32">
        <v>46416</v>
      </c>
      <c r="G1786" t="s">
        <v>514</v>
      </c>
      <c r="H1786">
        <v>47129727</v>
      </c>
      <c r="I1786" t="s">
        <v>2465</v>
      </c>
      <c r="J1786" t="s">
        <v>2466</v>
      </c>
      <c r="K1786" t="s">
        <v>530</v>
      </c>
      <c r="N1786">
        <v>0</v>
      </c>
      <c r="O1786">
        <v>0</v>
      </c>
      <c r="P1786" t="str">
        <f t="shared" si="27"/>
        <v>N</v>
      </c>
      <c r="Q1786" t="s">
        <v>7516</v>
      </c>
    </row>
    <row r="1787" spans="1:17" x14ac:dyDescent="0.25">
      <c r="A1787" t="s">
        <v>2925</v>
      </c>
      <c r="B1787" t="s">
        <v>2783</v>
      </c>
      <c r="C1787">
        <v>2027</v>
      </c>
      <c r="D1787" t="s">
        <v>542</v>
      </c>
      <c r="E1787" t="s">
        <v>834</v>
      </c>
      <c r="F1787" s="32">
        <v>46416</v>
      </c>
      <c r="G1787" t="s">
        <v>514</v>
      </c>
      <c r="H1787">
        <v>47129273</v>
      </c>
      <c r="I1787" t="s">
        <v>2483</v>
      </c>
      <c r="J1787" t="s">
        <v>2484</v>
      </c>
      <c r="K1787" t="s">
        <v>530</v>
      </c>
      <c r="N1787">
        <v>0</v>
      </c>
      <c r="O1787">
        <v>0</v>
      </c>
      <c r="P1787" t="str">
        <f t="shared" si="27"/>
        <v>N</v>
      </c>
      <c r="Q1787" t="s">
        <v>7517</v>
      </c>
    </row>
    <row r="1788" spans="1:17" x14ac:dyDescent="0.25">
      <c r="A1788" t="s">
        <v>2926</v>
      </c>
      <c r="B1788" t="s">
        <v>2783</v>
      </c>
      <c r="C1788">
        <v>2027</v>
      </c>
      <c r="D1788" t="s">
        <v>542</v>
      </c>
      <c r="E1788" t="s">
        <v>834</v>
      </c>
      <c r="F1788" s="32">
        <v>46416</v>
      </c>
      <c r="G1788" t="s">
        <v>514</v>
      </c>
      <c r="H1788">
        <v>47128587</v>
      </c>
      <c r="I1788" t="s">
        <v>2489</v>
      </c>
      <c r="J1788" t="s">
        <v>2490</v>
      </c>
      <c r="K1788" t="s">
        <v>530</v>
      </c>
      <c r="N1788">
        <v>0</v>
      </c>
      <c r="O1788">
        <v>0</v>
      </c>
      <c r="P1788" t="str">
        <f t="shared" si="27"/>
        <v>N</v>
      </c>
      <c r="Q1788" t="s">
        <v>7518</v>
      </c>
    </row>
    <row r="1789" spans="1:17" x14ac:dyDescent="0.25">
      <c r="A1789" t="s">
        <v>2927</v>
      </c>
      <c r="B1789" t="s">
        <v>2783</v>
      </c>
      <c r="C1789">
        <v>2027</v>
      </c>
      <c r="D1789" t="s">
        <v>542</v>
      </c>
      <c r="E1789" t="s">
        <v>834</v>
      </c>
      <c r="F1789" s="32">
        <v>46416</v>
      </c>
      <c r="G1789" t="s">
        <v>514</v>
      </c>
      <c r="H1789">
        <v>47128247</v>
      </c>
      <c r="I1789" t="s">
        <v>2492</v>
      </c>
      <c r="J1789" t="s">
        <v>2493</v>
      </c>
      <c r="K1789" t="s">
        <v>530</v>
      </c>
      <c r="N1789">
        <v>0</v>
      </c>
      <c r="O1789">
        <v>0</v>
      </c>
      <c r="P1789" t="str">
        <f t="shared" si="27"/>
        <v>N</v>
      </c>
      <c r="Q1789" t="s">
        <v>7519</v>
      </c>
    </row>
    <row r="1790" spans="1:17" x14ac:dyDescent="0.25">
      <c r="A1790" t="s">
        <v>3351</v>
      </c>
      <c r="B1790" t="s">
        <v>1080</v>
      </c>
      <c r="C1790">
        <v>2027</v>
      </c>
      <c r="D1790" t="s">
        <v>542</v>
      </c>
      <c r="E1790" t="s">
        <v>834</v>
      </c>
      <c r="F1790" s="32">
        <v>46416</v>
      </c>
      <c r="G1790" t="s">
        <v>514</v>
      </c>
      <c r="H1790">
        <v>47128787</v>
      </c>
      <c r="I1790" t="s">
        <v>1453</v>
      </c>
      <c r="J1790" t="s">
        <v>1452</v>
      </c>
      <c r="K1790" t="s">
        <v>530</v>
      </c>
      <c r="N1790">
        <v>0</v>
      </c>
      <c r="O1790">
        <v>0</v>
      </c>
      <c r="P1790" t="str">
        <f t="shared" si="27"/>
        <v>N</v>
      </c>
      <c r="Q1790" t="s">
        <v>7520</v>
      </c>
    </row>
    <row r="1791" spans="1:17" x14ac:dyDescent="0.25">
      <c r="A1791" t="s">
        <v>3352</v>
      </c>
      <c r="B1791" t="s">
        <v>1080</v>
      </c>
      <c r="C1791">
        <v>2027</v>
      </c>
      <c r="D1791" t="s">
        <v>542</v>
      </c>
      <c r="E1791" t="s">
        <v>834</v>
      </c>
      <c r="F1791" s="32">
        <v>46416</v>
      </c>
      <c r="G1791" t="s">
        <v>514</v>
      </c>
      <c r="H1791">
        <v>47146464</v>
      </c>
      <c r="I1791" t="s">
        <v>1438</v>
      </c>
      <c r="J1791" t="s">
        <v>1437</v>
      </c>
      <c r="K1791" t="s">
        <v>530</v>
      </c>
      <c r="N1791">
        <v>0</v>
      </c>
      <c r="O1791">
        <v>0</v>
      </c>
      <c r="P1791" t="str">
        <f t="shared" si="27"/>
        <v>N</v>
      </c>
      <c r="Q1791" t="s">
        <v>7521</v>
      </c>
    </row>
    <row r="1792" spans="1:17" x14ac:dyDescent="0.25">
      <c r="A1792" t="s">
        <v>3353</v>
      </c>
      <c r="B1792" t="s">
        <v>1080</v>
      </c>
      <c r="C1792">
        <v>2027</v>
      </c>
      <c r="D1792" t="s">
        <v>542</v>
      </c>
      <c r="E1792" t="s">
        <v>834</v>
      </c>
      <c r="F1792" s="32">
        <v>46416</v>
      </c>
      <c r="G1792" t="s">
        <v>514</v>
      </c>
      <c r="H1792">
        <v>47146463</v>
      </c>
      <c r="I1792" t="s">
        <v>1441</v>
      </c>
      <c r="J1792" t="s">
        <v>1440</v>
      </c>
      <c r="K1792" t="s">
        <v>530</v>
      </c>
      <c r="N1792">
        <v>0</v>
      </c>
      <c r="O1792">
        <v>0</v>
      </c>
      <c r="P1792" t="str">
        <f t="shared" si="27"/>
        <v>N</v>
      </c>
      <c r="Q1792" t="s">
        <v>7522</v>
      </c>
    </row>
    <row r="1793" spans="1:17" x14ac:dyDescent="0.25">
      <c r="A1793" t="s">
        <v>3354</v>
      </c>
      <c r="B1793" t="s">
        <v>1080</v>
      </c>
      <c r="C1793">
        <v>2027</v>
      </c>
      <c r="D1793" t="s">
        <v>542</v>
      </c>
      <c r="E1793" t="s">
        <v>834</v>
      </c>
      <c r="F1793" s="32">
        <v>46416</v>
      </c>
      <c r="G1793" t="s">
        <v>514</v>
      </c>
      <c r="H1793">
        <v>47128729</v>
      </c>
      <c r="I1793" t="s">
        <v>1149</v>
      </c>
      <c r="J1793" t="s">
        <v>1148</v>
      </c>
      <c r="K1793" t="s">
        <v>530</v>
      </c>
      <c r="N1793">
        <v>0</v>
      </c>
      <c r="O1793">
        <v>0</v>
      </c>
      <c r="P1793" t="str">
        <f t="shared" si="27"/>
        <v>N</v>
      </c>
      <c r="Q1793" t="s">
        <v>7523</v>
      </c>
    </row>
    <row r="1794" spans="1:17" x14ac:dyDescent="0.25">
      <c r="A1794" t="s">
        <v>3355</v>
      </c>
      <c r="B1794" t="s">
        <v>1080</v>
      </c>
      <c r="C1794">
        <v>2027</v>
      </c>
      <c r="D1794" t="s">
        <v>542</v>
      </c>
      <c r="E1794" t="s">
        <v>834</v>
      </c>
      <c r="F1794" s="32">
        <v>46416</v>
      </c>
      <c r="G1794" t="s">
        <v>514</v>
      </c>
      <c r="H1794">
        <v>47128413</v>
      </c>
      <c r="I1794" t="s">
        <v>1397</v>
      </c>
      <c r="J1794" t="s">
        <v>1396</v>
      </c>
      <c r="K1794" t="s">
        <v>530</v>
      </c>
      <c r="N1794">
        <v>0</v>
      </c>
      <c r="O1794">
        <v>0</v>
      </c>
      <c r="P1794" t="str">
        <f t="shared" si="27"/>
        <v>N</v>
      </c>
      <c r="Q1794" t="s">
        <v>7524</v>
      </c>
    </row>
    <row r="1795" spans="1:17" x14ac:dyDescent="0.25">
      <c r="A1795" t="s">
        <v>3356</v>
      </c>
      <c r="B1795" t="s">
        <v>1080</v>
      </c>
      <c r="C1795">
        <v>2027</v>
      </c>
      <c r="D1795" t="s">
        <v>542</v>
      </c>
      <c r="E1795" t="s">
        <v>834</v>
      </c>
      <c r="F1795" s="32">
        <v>46416</v>
      </c>
      <c r="G1795" t="s">
        <v>514</v>
      </c>
      <c r="H1795">
        <v>47128783</v>
      </c>
      <c r="I1795" t="s">
        <v>1280</v>
      </c>
      <c r="J1795" t="s">
        <v>1279</v>
      </c>
      <c r="K1795" t="s">
        <v>530</v>
      </c>
      <c r="N1795">
        <v>0</v>
      </c>
      <c r="O1795">
        <v>0</v>
      </c>
      <c r="P1795" t="str">
        <f t="shared" ref="P1795:P1858" si="28">IF(N1795=O1795,"N","Y")</f>
        <v>N</v>
      </c>
      <c r="Q1795" t="s">
        <v>7525</v>
      </c>
    </row>
    <row r="1796" spans="1:17" x14ac:dyDescent="0.25">
      <c r="A1796" t="s">
        <v>3357</v>
      </c>
      <c r="B1796" t="s">
        <v>1080</v>
      </c>
      <c r="C1796">
        <v>2027</v>
      </c>
      <c r="D1796" t="s">
        <v>542</v>
      </c>
      <c r="E1796" t="s">
        <v>834</v>
      </c>
      <c r="F1796" s="32">
        <v>46416</v>
      </c>
      <c r="G1796" t="s">
        <v>514</v>
      </c>
      <c r="H1796">
        <v>47128944</v>
      </c>
      <c r="I1796" t="s">
        <v>1137</v>
      </c>
      <c r="J1796" t="s">
        <v>1136</v>
      </c>
      <c r="K1796" t="s">
        <v>530</v>
      </c>
      <c r="N1796">
        <v>0</v>
      </c>
      <c r="O1796">
        <v>0</v>
      </c>
      <c r="P1796" t="str">
        <f t="shared" si="28"/>
        <v>N</v>
      </c>
      <c r="Q1796" t="s">
        <v>7526</v>
      </c>
    </row>
    <row r="1797" spans="1:17" x14ac:dyDescent="0.25">
      <c r="A1797" t="s">
        <v>3358</v>
      </c>
      <c r="B1797" t="s">
        <v>1080</v>
      </c>
      <c r="C1797">
        <v>2027</v>
      </c>
      <c r="D1797" t="s">
        <v>542</v>
      </c>
      <c r="E1797" t="s">
        <v>834</v>
      </c>
      <c r="F1797" s="32">
        <v>46416</v>
      </c>
      <c r="G1797" t="s">
        <v>514</v>
      </c>
      <c r="H1797">
        <v>47129547</v>
      </c>
      <c r="I1797" t="s">
        <v>1128</v>
      </c>
      <c r="J1797" t="s">
        <v>1352</v>
      </c>
      <c r="K1797" t="s">
        <v>530</v>
      </c>
      <c r="N1797">
        <v>0</v>
      </c>
      <c r="O1797">
        <v>0</v>
      </c>
      <c r="P1797" t="str">
        <f t="shared" si="28"/>
        <v>N</v>
      </c>
      <c r="Q1797" t="s">
        <v>7527</v>
      </c>
    </row>
    <row r="1798" spans="1:17" x14ac:dyDescent="0.25">
      <c r="A1798" t="s">
        <v>3359</v>
      </c>
      <c r="B1798" t="s">
        <v>1080</v>
      </c>
      <c r="C1798">
        <v>2027</v>
      </c>
      <c r="D1798" t="s">
        <v>542</v>
      </c>
      <c r="E1798" t="s">
        <v>834</v>
      </c>
      <c r="F1798" s="32">
        <v>46416</v>
      </c>
      <c r="G1798" t="s">
        <v>514</v>
      </c>
      <c r="H1798">
        <v>47128518</v>
      </c>
      <c r="I1798" t="s">
        <v>1232</v>
      </c>
      <c r="J1798" t="s">
        <v>1493</v>
      </c>
      <c r="K1798" t="s">
        <v>530</v>
      </c>
      <c r="N1798">
        <v>0</v>
      </c>
      <c r="O1798">
        <v>0</v>
      </c>
      <c r="P1798" t="str">
        <f t="shared" si="28"/>
        <v>N</v>
      </c>
      <c r="Q1798" t="s">
        <v>7528</v>
      </c>
    </row>
    <row r="1799" spans="1:17" x14ac:dyDescent="0.25">
      <c r="A1799" t="s">
        <v>3360</v>
      </c>
      <c r="B1799" t="s">
        <v>1080</v>
      </c>
      <c r="C1799">
        <v>2027</v>
      </c>
      <c r="D1799" t="s">
        <v>542</v>
      </c>
      <c r="E1799" t="s">
        <v>834</v>
      </c>
      <c r="F1799" s="32">
        <v>46416</v>
      </c>
      <c r="G1799" t="s">
        <v>514</v>
      </c>
      <c r="H1799">
        <v>47128977</v>
      </c>
      <c r="I1799" t="s">
        <v>1449</v>
      </c>
      <c r="J1799" t="s">
        <v>1448</v>
      </c>
      <c r="K1799" t="s">
        <v>530</v>
      </c>
      <c r="N1799">
        <v>0</v>
      </c>
      <c r="O1799">
        <v>0</v>
      </c>
      <c r="P1799" t="str">
        <f t="shared" si="28"/>
        <v>N</v>
      </c>
      <c r="Q1799" t="s">
        <v>7529</v>
      </c>
    </row>
    <row r="1800" spans="1:17" x14ac:dyDescent="0.25">
      <c r="A1800" t="s">
        <v>3361</v>
      </c>
      <c r="B1800" t="s">
        <v>1080</v>
      </c>
      <c r="C1800">
        <v>2027</v>
      </c>
      <c r="D1800" t="s">
        <v>542</v>
      </c>
      <c r="E1800" t="s">
        <v>834</v>
      </c>
      <c r="F1800" s="32">
        <v>46416</v>
      </c>
      <c r="G1800" t="s">
        <v>514</v>
      </c>
      <c r="H1800">
        <v>47128168</v>
      </c>
      <c r="I1800" t="s">
        <v>1100</v>
      </c>
      <c r="J1800" t="s">
        <v>1099</v>
      </c>
      <c r="K1800" t="s">
        <v>530</v>
      </c>
      <c r="N1800">
        <v>73</v>
      </c>
      <c r="O1800">
        <v>73</v>
      </c>
      <c r="P1800" t="str">
        <f t="shared" si="28"/>
        <v>N</v>
      </c>
      <c r="Q1800" t="s">
        <v>7530</v>
      </c>
    </row>
    <row r="1801" spans="1:17" x14ac:dyDescent="0.25">
      <c r="A1801" t="s">
        <v>3362</v>
      </c>
      <c r="B1801" t="s">
        <v>1080</v>
      </c>
      <c r="C1801">
        <v>2027</v>
      </c>
      <c r="D1801" t="s">
        <v>542</v>
      </c>
      <c r="E1801" t="s">
        <v>834</v>
      </c>
      <c r="F1801" s="32">
        <v>46416</v>
      </c>
      <c r="G1801" t="s">
        <v>514</v>
      </c>
      <c r="H1801">
        <v>47128687</v>
      </c>
      <c r="I1801" t="s">
        <v>1153</v>
      </c>
      <c r="J1801" t="s">
        <v>1152</v>
      </c>
      <c r="K1801" t="s">
        <v>530</v>
      </c>
      <c r="N1801">
        <v>0</v>
      </c>
      <c r="O1801">
        <v>0</v>
      </c>
      <c r="P1801" t="str">
        <f t="shared" si="28"/>
        <v>N</v>
      </c>
      <c r="Q1801" t="s">
        <v>7531</v>
      </c>
    </row>
    <row r="1802" spans="1:17" x14ac:dyDescent="0.25">
      <c r="A1802" t="s">
        <v>3363</v>
      </c>
      <c r="B1802" t="s">
        <v>1080</v>
      </c>
      <c r="C1802">
        <v>2027</v>
      </c>
      <c r="D1802" t="s">
        <v>542</v>
      </c>
      <c r="E1802" t="s">
        <v>834</v>
      </c>
      <c r="F1802" s="32">
        <v>46416</v>
      </c>
      <c r="G1802" t="s">
        <v>514</v>
      </c>
      <c r="H1802">
        <v>47128585</v>
      </c>
      <c r="I1802" t="s">
        <v>1141</v>
      </c>
      <c r="J1802" t="s">
        <v>1140</v>
      </c>
      <c r="K1802" t="s">
        <v>530</v>
      </c>
      <c r="N1802">
        <v>0</v>
      </c>
      <c r="O1802">
        <v>0</v>
      </c>
      <c r="P1802" t="str">
        <f t="shared" si="28"/>
        <v>N</v>
      </c>
      <c r="Q1802" t="s">
        <v>7532</v>
      </c>
    </row>
    <row r="1803" spans="1:17" x14ac:dyDescent="0.25">
      <c r="A1803" t="s">
        <v>3364</v>
      </c>
      <c r="B1803" t="s">
        <v>1080</v>
      </c>
      <c r="C1803">
        <v>2027</v>
      </c>
      <c r="D1803" t="s">
        <v>542</v>
      </c>
      <c r="E1803" t="s">
        <v>834</v>
      </c>
      <c r="F1803" s="32">
        <v>46416</v>
      </c>
      <c r="G1803" t="s">
        <v>514</v>
      </c>
      <c r="H1803">
        <v>47128906</v>
      </c>
      <c r="I1803" t="s">
        <v>1349</v>
      </c>
      <c r="J1803" t="s">
        <v>1348</v>
      </c>
      <c r="K1803" t="s">
        <v>530</v>
      </c>
      <c r="N1803">
        <v>0</v>
      </c>
      <c r="O1803">
        <v>0</v>
      </c>
      <c r="P1803" t="str">
        <f t="shared" si="28"/>
        <v>N</v>
      </c>
      <c r="Q1803" t="s">
        <v>7533</v>
      </c>
    </row>
    <row r="1804" spans="1:17" x14ac:dyDescent="0.25">
      <c r="A1804" t="s">
        <v>3365</v>
      </c>
      <c r="B1804" t="s">
        <v>1080</v>
      </c>
      <c r="C1804">
        <v>2027</v>
      </c>
      <c r="D1804" t="s">
        <v>542</v>
      </c>
      <c r="E1804" t="s">
        <v>834</v>
      </c>
      <c r="F1804" s="32">
        <v>46416</v>
      </c>
      <c r="G1804" t="s">
        <v>514</v>
      </c>
      <c r="H1804">
        <v>47128585</v>
      </c>
      <c r="I1804" t="s">
        <v>1141</v>
      </c>
      <c r="J1804" t="s">
        <v>1408</v>
      </c>
      <c r="K1804" t="s">
        <v>530</v>
      </c>
      <c r="N1804">
        <v>0</v>
      </c>
      <c r="O1804">
        <v>0</v>
      </c>
      <c r="P1804" t="str">
        <f t="shared" si="28"/>
        <v>N</v>
      </c>
      <c r="Q1804" t="s">
        <v>7534</v>
      </c>
    </row>
    <row r="1805" spans="1:17" x14ac:dyDescent="0.25">
      <c r="A1805" t="s">
        <v>3366</v>
      </c>
      <c r="B1805" t="s">
        <v>1080</v>
      </c>
      <c r="C1805">
        <v>2027</v>
      </c>
      <c r="D1805" t="s">
        <v>542</v>
      </c>
      <c r="E1805" t="s">
        <v>834</v>
      </c>
      <c r="F1805" s="32">
        <v>46416</v>
      </c>
      <c r="G1805" t="s">
        <v>514</v>
      </c>
      <c r="H1805">
        <v>47128518</v>
      </c>
      <c r="I1805" t="s">
        <v>1232</v>
      </c>
      <c r="J1805" t="s">
        <v>1231</v>
      </c>
      <c r="K1805" t="s">
        <v>530</v>
      </c>
      <c r="N1805">
        <v>0</v>
      </c>
      <c r="O1805">
        <v>0</v>
      </c>
      <c r="P1805" t="str">
        <f t="shared" si="28"/>
        <v>N</v>
      </c>
      <c r="Q1805" t="s">
        <v>7535</v>
      </c>
    </row>
    <row r="1806" spans="1:17" x14ac:dyDescent="0.25">
      <c r="A1806" t="s">
        <v>3367</v>
      </c>
      <c r="B1806" t="s">
        <v>1080</v>
      </c>
      <c r="C1806">
        <v>2027</v>
      </c>
      <c r="D1806" t="s">
        <v>542</v>
      </c>
      <c r="E1806" t="s">
        <v>834</v>
      </c>
      <c r="F1806" s="32">
        <v>46416</v>
      </c>
      <c r="G1806" t="s">
        <v>514</v>
      </c>
      <c r="H1806">
        <v>47128680</v>
      </c>
      <c r="I1806" t="s">
        <v>1284</v>
      </c>
      <c r="J1806" t="s">
        <v>1283</v>
      </c>
      <c r="K1806" t="s">
        <v>530</v>
      </c>
      <c r="N1806">
        <v>0</v>
      </c>
      <c r="O1806">
        <v>0</v>
      </c>
      <c r="P1806" t="str">
        <f t="shared" si="28"/>
        <v>N</v>
      </c>
      <c r="Q1806" t="s">
        <v>7536</v>
      </c>
    </row>
    <row r="1807" spans="1:17" x14ac:dyDescent="0.25">
      <c r="A1807" t="s">
        <v>3368</v>
      </c>
      <c r="B1807" t="s">
        <v>1080</v>
      </c>
      <c r="C1807">
        <v>2027</v>
      </c>
      <c r="D1807" t="s">
        <v>542</v>
      </c>
      <c r="E1807" t="s">
        <v>834</v>
      </c>
      <c r="F1807" s="32">
        <v>46416</v>
      </c>
      <c r="G1807" t="s">
        <v>514</v>
      </c>
      <c r="H1807">
        <v>47128024</v>
      </c>
      <c r="I1807" t="s">
        <v>1108</v>
      </c>
      <c r="J1807" t="s">
        <v>1107</v>
      </c>
      <c r="K1807" t="s">
        <v>530</v>
      </c>
      <c r="N1807">
        <v>0</v>
      </c>
      <c r="O1807">
        <v>0</v>
      </c>
      <c r="P1807" t="str">
        <f t="shared" si="28"/>
        <v>N</v>
      </c>
      <c r="Q1807" t="s">
        <v>7537</v>
      </c>
    </row>
    <row r="1808" spans="1:17" x14ac:dyDescent="0.25">
      <c r="A1808" t="s">
        <v>3369</v>
      </c>
      <c r="B1808" t="s">
        <v>1080</v>
      </c>
      <c r="C1808">
        <v>2027</v>
      </c>
      <c r="D1808" t="s">
        <v>542</v>
      </c>
      <c r="E1808" t="s">
        <v>834</v>
      </c>
      <c r="F1808" s="32">
        <v>46416</v>
      </c>
      <c r="G1808" t="s">
        <v>514</v>
      </c>
      <c r="H1808">
        <v>47128944</v>
      </c>
      <c r="I1808" t="s">
        <v>1137</v>
      </c>
      <c r="J1808" t="s">
        <v>1513</v>
      </c>
      <c r="K1808" t="s">
        <v>530</v>
      </c>
      <c r="N1808">
        <v>0</v>
      </c>
      <c r="O1808">
        <v>0</v>
      </c>
      <c r="P1808" t="str">
        <f t="shared" si="28"/>
        <v>N</v>
      </c>
      <c r="Q1808" t="s">
        <v>7538</v>
      </c>
    </row>
    <row r="1809" spans="1:17" x14ac:dyDescent="0.25">
      <c r="A1809" t="s">
        <v>3370</v>
      </c>
      <c r="B1809" t="s">
        <v>1080</v>
      </c>
      <c r="C1809">
        <v>2027</v>
      </c>
      <c r="D1809" t="s">
        <v>542</v>
      </c>
      <c r="E1809" t="s">
        <v>834</v>
      </c>
      <c r="F1809" s="32">
        <v>46416</v>
      </c>
      <c r="G1809" t="s">
        <v>514</v>
      </c>
      <c r="H1809">
        <v>47147546</v>
      </c>
      <c r="I1809" t="s">
        <v>1077</v>
      </c>
      <c r="J1809" t="s">
        <v>1076</v>
      </c>
      <c r="K1809" t="s">
        <v>530</v>
      </c>
      <c r="N1809">
        <v>0</v>
      </c>
      <c r="O1809">
        <v>0</v>
      </c>
      <c r="P1809" t="str">
        <f t="shared" si="28"/>
        <v>N</v>
      </c>
      <c r="Q1809" t="s">
        <v>7539</v>
      </c>
    </row>
    <row r="1810" spans="1:17" x14ac:dyDescent="0.25">
      <c r="A1810" t="s">
        <v>3371</v>
      </c>
      <c r="B1810" t="s">
        <v>1080</v>
      </c>
      <c r="C1810">
        <v>2027</v>
      </c>
      <c r="D1810" t="s">
        <v>542</v>
      </c>
      <c r="E1810" t="s">
        <v>834</v>
      </c>
      <c r="F1810" s="32">
        <v>46416</v>
      </c>
      <c r="G1810" t="s">
        <v>514</v>
      </c>
      <c r="H1810">
        <v>47128346</v>
      </c>
      <c r="I1810" t="s">
        <v>1157</v>
      </c>
      <c r="J1810" t="s">
        <v>1156</v>
      </c>
      <c r="K1810" t="s">
        <v>530</v>
      </c>
      <c r="N1810">
        <v>0</v>
      </c>
      <c r="O1810">
        <v>0</v>
      </c>
      <c r="P1810" t="str">
        <f t="shared" si="28"/>
        <v>N</v>
      </c>
      <c r="Q1810" t="s">
        <v>7540</v>
      </c>
    </row>
    <row r="1811" spans="1:17" x14ac:dyDescent="0.25">
      <c r="A1811" t="s">
        <v>3372</v>
      </c>
      <c r="B1811" t="s">
        <v>1080</v>
      </c>
      <c r="C1811">
        <v>2027</v>
      </c>
      <c r="D1811" t="s">
        <v>542</v>
      </c>
      <c r="E1811" t="s">
        <v>834</v>
      </c>
      <c r="F1811" s="32">
        <v>46416</v>
      </c>
      <c r="G1811" t="s">
        <v>514</v>
      </c>
      <c r="H1811">
        <v>47128800</v>
      </c>
      <c r="I1811" t="s">
        <v>1145</v>
      </c>
      <c r="J1811" t="s">
        <v>1144</v>
      </c>
      <c r="K1811" t="s">
        <v>530</v>
      </c>
      <c r="N1811">
        <v>0</v>
      </c>
      <c r="O1811">
        <v>0</v>
      </c>
      <c r="P1811" t="str">
        <f t="shared" si="28"/>
        <v>N</v>
      </c>
      <c r="Q1811" t="s">
        <v>7541</v>
      </c>
    </row>
    <row r="1812" spans="1:17" x14ac:dyDescent="0.25">
      <c r="A1812" t="s">
        <v>3373</v>
      </c>
      <c r="B1812" t="s">
        <v>1080</v>
      </c>
      <c r="C1812">
        <v>2027</v>
      </c>
      <c r="D1812" t="s">
        <v>542</v>
      </c>
      <c r="E1812" t="s">
        <v>834</v>
      </c>
      <c r="F1812" s="32">
        <v>46416</v>
      </c>
      <c r="G1812" t="s">
        <v>514</v>
      </c>
      <c r="H1812">
        <v>47128109</v>
      </c>
      <c r="I1812" t="s">
        <v>1336</v>
      </c>
      <c r="J1812" t="s">
        <v>1335</v>
      </c>
      <c r="K1812" t="s">
        <v>530</v>
      </c>
      <c r="N1812">
        <v>0</v>
      </c>
      <c r="O1812">
        <v>0</v>
      </c>
      <c r="P1812" t="str">
        <f t="shared" si="28"/>
        <v>N</v>
      </c>
      <c r="Q1812" t="s">
        <v>7542</v>
      </c>
    </row>
    <row r="1813" spans="1:17" x14ac:dyDescent="0.25">
      <c r="A1813" t="s">
        <v>3374</v>
      </c>
      <c r="B1813" t="s">
        <v>1080</v>
      </c>
      <c r="C1813">
        <v>2027</v>
      </c>
      <c r="D1813" t="s">
        <v>542</v>
      </c>
      <c r="E1813" t="s">
        <v>834</v>
      </c>
      <c r="F1813" s="32">
        <v>46416</v>
      </c>
      <c r="G1813" t="s">
        <v>514</v>
      </c>
      <c r="H1813">
        <v>47128430</v>
      </c>
      <c r="I1813" t="s">
        <v>1401</v>
      </c>
      <c r="J1813" t="s">
        <v>1400</v>
      </c>
      <c r="K1813" t="s">
        <v>530</v>
      </c>
      <c r="N1813">
        <v>0</v>
      </c>
      <c r="O1813">
        <v>0</v>
      </c>
      <c r="P1813" t="str">
        <f t="shared" si="28"/>
        <v>N</v>
      </c>
      <c r="Q1813" t="s">
        <v>7543</v>
      </c>
    </row>
    <row r="1814" spans="1:17" x14ac:dyDescent="0.25">
      <c r="A1814" t="s">
        <v>3375</v>
      </c>
      <c r="B1814" t="s">
        <v>1080</v>
      </c>
      <c r="C1814">
        <v>2027</v>
      </c>
      <c r="D1814" t="s">
        <v>542</v>
      </c>
      <c r="E1814" t="s">
        <v>834</v>
      </c>
      <c r="F1814" s="32">
        <v>46416</v>
      </c>
      <c r="G1814" t="s">
        <v>514</v>
      </c>
      <c r="H1814">
        <v>47128522</v>
      </c>
      <c r="I1814" t="s">
        <v>1092</v>
      </c>
      <c r="J1814" t="s">
        <v>1091</v>
      </c>
      <c r="K1814" t="s">
        <v>530</v>
      </c>
      <c r="N1814">
        <v>0</v>
      </c>
      <c r="O1814">
        <v>0</v>
      </c>
      <c r="P1814" t="str">
        <f t="shared" si="28"/>
        <v>N</v>
      </c>
      <c r="Q1814" t="s">
        <v>7544</v>
      </c>
    </row>
    <row r="1815" spans="1:17" x14ac:dyDescent="0.25">
      <c r="A1815" t="s">
        <v>3376</v>
      </c>
      <c r="B1815" t="s">
        <v>1080</v>
      </c>
      <c r="C1815">
        <v>2027</v>
      </c>
      <c r="D1815" t="s">
        <v>542</v>
      </c>
      <c r="E1815" t="s">
        <v>834</v>
      </c>
      <c r="F1815" s="32">
        <v>46416</v>
      </c>
      <c r="G1815" t="s">
        <v>514</v>
      </c>
      <c r="H1815">
        <v>47147546</v>
      </c>
      <c r="I1815" t="s">
        <v>1077</v>
      </c>
      <c r="J1815" t="s">
        <v>1381</v>
      </c>
      <c r="K1815" t="s">
        <v>530</v>
      </c>
      <c r="N1815">
        <v>0</v>
      </c>
      <c r="O1815">
        <v>0</v>
      </c>
      <c r="P1815" t="str">
        <f t="shared" si="28"/>
        <v>N</v>
      </c>
      <c r="Q1815" t="s">
        <v>7545</v>
      </c>
    </row>
    <row r="1816" spans="1:17" x14ac:dyDescent="0.25">
      <c r="A1816" t="s">
        <v>3377</v>
      </c>
      <c r="B1816" t="s">
        <v>1080</v>
      </c>
      <c r="C1816">
        <v>2027</v>
      </c>
      <c r="D1816" t="s">
        <v>542</v>
      </c>
      <c r="E1816" t="s">
        <v>834</v>
      </c>
      <c r="F1816" s="32">
        <v>46416</v>
      </c>
      <c r="G1816" t="s">
        <v>514</v>
      </c>
      <c r="H1816">
        <v>47147658</v>
      </c>
      <c r="I1816" t="s">
        <v>1276</v>
      </c>
      <c r="J1816" t="s">
        <v>1275</v>
      </c>
      <c r="K1816" t="s">
        <v>530</v>
      </c>
      <c r="N1816">
        <v>0</v>
      </c>
      <c r="O1816">
        <v>0</v>
      </c>
      <c r="P1816" t="str">
        <f t="shared" si="28"/>
        <v>N</v>
      </c>
      <c r="Q1816" t="s">
        <v>7546</v>
      </c>
    </row>
    <row r="1817" spans="1:17" x14ac:dyDescent="0.25">
      <c r="A1817" t="s">
        <v>3378</v>
      </c>
      <c r="B1817" t="s">
        <v>1080</v>
      </c>
      <c r="C1817">
        <v>2027</v>
      </c>
      <c r="D1817" t="s">
        <v>542</v>
      </c>
      <c r="E1817" t="s">
        <v>834</v>
      </c>
      <c r="F1817" s="32">
        <v>46416</v>
      </c>
      <c r="G1817" t="s">
        <v>514</v>
      </c>
      <c r="H1817">
        <v>47147546</v>
      </c>
      <c r="I1817" t="s">
        <v>1077</v>
      </c>
      <c r="J1817" t="s">
        <v>1171</v>
      </c>
      <c r="K1817" t="s">
        <v>530</v>
      </c>
      <c r="N1817">
        <v>0</v>
      </c>
      <c r="O1817">
        <v>0</v>
      </c>
      <c r="P1817" t="str">
        <f t="shared" si="28"/>
        <v>N</v>
      </c>
      <c r="Q1817" t="s">
        <v>7547</v>
      </c>
    </row>
    <row r="1818" spans="1:17" x14ac:dyDescent="0.25">
      <c r="A1818" t="s">
        <v>3379</v>
      </c>
      <c r="B1818" t="s">
        <v>1080</v>
      </c>
      <c r="C1818">
        <v>2027</v>
      </c>
      <c r="D1818" t="s">
        <v>542</v>
      </c>
      <c r="E1818" t="s">
        <v>834</v>
      </c>
      <c r="F1818" s="32">
        <v>46416</v>
      </c>
      <c r="G1818" t="s">
        <v>514</v>
      </c>
      <c r="H1818">
        <v>47128028</v>
      </c>
      <c r="I1818" t="s">
        <v>1035</v>
      </c>
      <c r="J1818" t="s">
        <v>1034</v>
      </c>
      <c r="K1818" t="s">
        <v>530</v>
      </c>
      <c r="N1818">
        <v>0</v>
      </c>
      <c r="O1818">
        <v>0</v>
      </c>
      <c r="P1818" t="str">
        <f t="shared" si="28"/>
        <v>N</v>
      </c>
      <c r="Q1818" t="s">
        <v>7548</v>
      </c>
    </row>
    <row r="1819" spans="1:17" x14ac:dyDescent="0.25">
      <c r="A1819" t="s">
        <v>3380</v>
      </c>
      <c r="B1819" t="s">
        <v>1080</v>
      </c>
      <c r="C1819">
        <v>2027</v>
      </c>
      <c r="D1819" t="s">
        <v>542</v>
      </c>
      <c r="E1819" t="s">
        <v>834</v>
      </c>
      <c r="F1819" s="32">
        <v>46416</v>
      </c>
      <c r="G1819" t="s">
        <v>514</v>
      </c>
      <c r="H1819">
        <v>47128465</v>
      </c>
      <c r="I1819" t="s">
        <v>1333</v>
      </c>
      <c r="J1819" t="s">
        <v>1332</v>
      </c>
      <c r="K1819" t="s">
        <v>530</v>
      </c>
      <c r="N1819">
        <v>0</v>
      </c>
      <c r="O1819">
        <v>0</v>
      </c>
      <c r="P1819" t="str">
        <f t="shared" si="28"/>
        <v>N</v>
      </c>
      <c r="Q1819" t="s">
        <v>7549</v>
      </c>
    </row>
    <row r="1820" spans="1:17" x14ac:dyDescent="0.25">
      <c r="A1820" t="s">
        <v>3381</v>
      </c>
      <c r="B1820" t="s">
        <v>1080</v>
      </c>
      <c r="C1820">
        <v>2027</v>
      </c>
      <c r="D1820" t="s">
        <v>542</v>
      </c>
      <c r="E1820" t="s">
        <v>834</v>
      </c>
      <c r="F1820" s="32">
        <v>46416</v>
      </c>
      <c r="G1820" t="s">
        <v>514</v>
      </c>
      <c r="H1820">
        <v>47128548</v>
      </c>
      <c r="I1820" t="s">
        <v>958</v>
      </c>
      <c r="J1820" t="s">
        <v>957</v>
      </c>
      <c r="K1820" t="s">
        <v>530</v>
      </c>
      <c r="N1820">
        <v>0</v>
      </c>
      <c r="O1820">
        <v>0</v>
      </c>
      <c r="P1820" t="str">
        <f t="shared" si="28"/>
        <v>N</v>
      </c>
      <c r="Q1820" t="s">
        <v>7550</v>
      </c>
    </row>
    <row r="1821" spans="1:17" x14ac:dyDescent="0.25">
      <c r="A1821" t="s">
        <v>3849</v>
      </c>
      <c r="B1821" t="s">
        <v>912</v>
      </c>
      <c r="C1821">
        <v>2027</v>
      </c>
      <c r="D1821" t="s">
        <v>542</v>
      </c>
      <c r="E1821" t="s">
        <v>834</v>
      </c>
      <c r="F1821" s="32">
        <v>46416</v>
      </c>
      <c r="G1821" t="s">
        <v>514</v>
      </c>
      <c r="H1821">
        <v>47140037</v>
      </c>
      <c r="I1821" t="s">
        <v>2347</v>
      </c>
      <c r="J1821" t="s">
        <v>2348</v>
      </c>
      <c r="K1821" t="s">
        <v>530</v>
      </c>
      <c r="N1821">
        <v>0</v>
      </c>
      <c r="O1821">
        <v>0</v>
      </c>
      <c r="P1821" t="str">
        <f t="shared" si="28"/>
        <v>N</v>
      </c>
      <c r="Q1821" t="s">
        <v>7551</v>
      </c>
    </row>
    <row r="1822" spans="1:17" x14ac:dyDescent="0.25">
      <c r="A1822" t="s">
        <v>3850</v>
      </c>
      <c r="B1822" t="s">
        <v>912</v>
      </c>
      <c r="C1822">
        <v>2027</v>
      </c>
      <c r="D1822" t="s">
        <v>542</v>
      </c>
      <c r="E1822" t="s">
        <v>834</v>
      </c>
      <c r="F1822" s="32">
        <v>46416</v>
      </c>
      <c r="G1822" t="s">
        <v>514</v>
      </c>
      <c r="H1822">
        <v>47128820</v>
      </c>
      <c r="I1822" t="s">
        <v>2411</v>
      </c>
      <c r="J1822" t="s">
        <v>2412</v>
      </c>
      <c r="K1822" t="s">
        <v>530</v>
      </c>
      <c r="N1822">
        <v>0</v>
      </c>
      <c r="O1822">
        <v>0</v>
      </c>
      <c r="P1822" t="str">
        <f t="shared" si="28"/>
        <v>N</v>
      </c>
      <c r="Q1822" t="s">
        <v>7552</v>
      </c>
    </row>
    <row r="1823" spans="1:17" x14ac:dyDescent="0.25">
      <c r="A1823" t="s">
        <v>3851</v>
      </c>
      <c r="B1823" t="s">
        <v>912</v>
      </c>
      <c r="C1823">
        <v>2027</v>
      </c>
      <c r="D1823" t="s">
        <v>542</v>
      </c>
      <c r="E1823" t="s">
        <v>834</v>
      </c>
      <c r="F1823" s="32">
        <v>46416</v>
      </c>
      <c r="G1823" t="s">
        <v>514</v>
      </c>
      <c r="H1823">
        <v>47128378</v>
      </c>
      <c r="I1823" t="s">
        <v>2392</v>
      </c>
      <c r="J1823" t="s">
        <v>2393</v>
      </c>
      <c r="K1823" t="s">
        <v>530</v>
      </c>
      <c r="N1823">
        <v>0</v>
      </c>
      <c r="O1823">
        <v>0</v>
      </c>
      <c r="P1823" t="str">
        <f t="shared" si="28"/>
        <v>N</v>
      </c>
      <c r="Q1823" t="s">
        <v>7553</v>
      </c>
    </row>
    <row r="1824" spans="1:17" x14ac:dyDescent="0.25">
      <c r="A1824" t="s">
        <v>3852</v>
      </c>
      <c r="B1824" t="s">
        <v>912</v>
      </c>
      <c r="C1824">
        <v>2027</v>
      </c>
      <c r="D1824" t="s">
        <v>542</v>
      </c>
      <c r="E1824" t="s">
        <v>834</v>
      </c>
      <c r="F1824" s="32">
        <v>46416</v>
      </c>
      <c r="G1824" t="s">
        <v>514</v>
      </c>
      <c r="H1824">
        <v>47128020</v>
      </c>
      <c r="I1824" t="s">
        <v>2395</v>
      </c>
      <c r="J1824" t="s">
        <v>2396</v>
      </c>
      <c r="K1824" t="s">
        <v>530</v>
      </c>
      <c r="N1824">
        <v>0</v>
      </c>
      <c r="O1824">
        <v>0</v>
      </c>
      <c r="P1824" t="str">
        <f t="shared" si="28"/>
        <v>N</v>
      </c>
      <c r="Q1824" t="s">
        <v>7554</v>
      </c>
    </row>
    <row r="1825" spans="1:17" x14ac:dyDescent="0.25">
      <c r="A1825" t="s">
        <v>3853</v>
      </c>
      <c r="B1825" t="s">
        <v>912</v>
      </c>
      <c r="C1825">
        <v>2027</v>
      </c>
      <c r="D1825" t="s">
        <v>542</v>
      </c>
      <c r="E1825" t="s">
        <v>834</v>
      </c>
      <c r="F1825" s="32">
        <v>46416</v>
      </c>
      <c r="G1825" t="s">
        <v>514</v>
      </c>
      <c r="H1825">
        <v>47128459</v>
      </c>
      <c r="I1825" t="s">
        <v>2398</v>
      </c>
      <c r="J1825" t="s">
        <v>2399</v>
      </c>
      <c r="K1825" t="s">
        <v>530</v>
      </c>
      <c r="N1825">
        <v>0</v>
      </c>
      <c r="O1825">
        <v>0</v>
      </c>
      <c r="P1825" t="str">
        <f t="shared" si="28"/>
        <v>N</v>
      </c>
      <c r="Q1825" t="s">
        <v>7555</v>
      </c>
    </row>
    <row r="1826" spans="1:17" x14ac:dyDescent="0.25">
      <c r="A1826" t="s">
        <v>3896</v>
      </c>
      <c r="B1826" t="s">
        <v>1043</v>
      </c>
      <c r="C1826">
        <v>2027</v>
      </c>
      <c r="D1826" t="s">
        <v>542</v>
      </c>
      <c r="E1826" t="s">
        <v>834</v>
      </c>
      <c r="F1826" s="32">
        <v>46416</v>
      </c>
      <c r="G1826" t="s">
        <v>514</v>
      </c>
      <c r="H1826">
        <v>47128421</v>
      </c>
      <c r="I1826" t="s">
        <v>1086</v>
      </c>
      <c r="J1826" t="s">
        <v>1085</v>
      </c>
      <c r="K1826" t="s">
        <v>530</v>
      </c>
      <c r="N1826">
        <v>0</v>
      </c>
      <c r="O1826">
        <v>0</v>
      </c>
      <c r="P1826" t="str">
        <f t="shared" si="28"/>
        <v>N</v>
      </c>
      <c r="Q1826" t="s">
        <v>7556</v>
      </c>
    </row>
    <row r="1827" spans="1:17" x14ac:dyDescent="0.25">
      <c r="A1827" t="s">
        <v>3897</v>
      </c>
      <c r="B1827" t="s">
        <v>1043</v>
      </c>
      <c r="C1827">
        <v>2027</v>
      </c>
      <c r="D1827" t="s">
        <v>542</v>
      </c>
      <c r="E1827" t="s">
        <v>834</v>
      </c>
      <c r="F1827" s="32">
        <v>46416</v>
      </c>
      <c r="G1827" t="s">
        <v>514</v>
      </c>
      <c r="H1827">
        <v>47128364</v>
      </c>
      <c r="I1827" t="s">
        <v>1264</v>
      </c>
      <c r="J1827" t="s">
        <v>1263</v>
      </c>
      <c r="K1827" t="s">
        <v>530</v>
      </c>
      <c r="N1827">
        <v>20</v>
      </c>
      <c r="O1827">
        <v>20</v>
      </c>
      <c r="P1827" t="str">
        <f t="shared" si="28"/>
        <v>N</v>
      </c>
      <c r="Q1827" t="s">
        <v>7557</v>
      </c>
    </row>
    <row r="1828" spans="1:17" x14ac:dyDescent="0.25">
      <c r="A1828" t="s">
        <v>3898</v>
      </c>
      <c r="B1828" t="s">
        <v>1043</v>
      </c>
      <c r="C1828">
        <v>2027</v>
      </c>
      <c r="D1828" t="s">
        <v>542</v>
      </c>
      <c r="E1828" t="s">
        <v>834</v>
      </c>
      <c r="F1828" s="32">
        <v>46416</v>
      </c>
      <c r="G1828" t="s">
        <v>514</v>
      </c>
      <c r="H1828">
        <v>47128706</v>
      </c>
      <c r="I1828" t="s">
        <v>1201</v>
      </c>
      <c r="J1828" t="s">
        <v>1200</v>
      </c>
      <c r="K1828" t="s">
        <v>530</v>
      </c>
      <c r="N1828">
        <v>0</v>
      </c>
      <c r="O1828">
        <v>0</v>
      </c>
      <c r="P1828" t="str">
        <f t="shared" si="28"/>
        <v>N</v>
      </c>
      <c r="Q1828" t="s">
        <v>7558</v>
      </c>
    </row>
    <row r="1829" spans="1:17" x14ac:dyDescent="0.25">
      <c r="A1829" t="s">
        <v>3996</v>
      </c>
      <c r="B1829" t="s">
        <v>3939</v>
      </c>
      <c r="C1829">
        <v>2027</v>
      </c>
      <c r="D1829" t="s">
        <v>542</v>
      </c>
      <c r="E1829" t="s">
        <v>834</v>
      </c>
      <c r="F1829" s="32">
        <v>46416</v>
      </c>
      <c r="G1829" t="s">
        <v>514</v>
      </c>
      <c r="H1829">
        <v>47140037</v>
      </c>
      <c r="I1829" t="s">
        <v>2347</v>
      </c>
      <c r="J1829" t="s">
        <v>2348</v>
      </c>
      <c r="K1829" t="s">
        <v>530</v>
      </c>
      <c r="N1829">
        <v>0</v>
      </c>
      <c r="O1829">
        <v>0</v>
      </c>
      <c r="P1829" t="str">
        <f t="shared" si="28"/>
        <v>N</v>
      </c>
      <c r="Q1829" t="s">
        <v>7559</v>
      </c>
    </row>
    <row r="1830" spans="1:17" x14ac:dyDescent="0.25">
      <c r="A1830" t="s">
        <v>3997</v>
      </c>
      <c r="B1830" t="s">
        <v>3939</v>
      </c>
      <c r="C1830">
        <v>2027</v>
      </c>
      <c r="D1830" t="s">
        <v>542</v>
      </c>
      <c r="E1830" t="s">
        <v>834</v>
      </c>
      <c r="F1830" s="32">
        <v>46416</v>
      </c>
      <c r="G1830" t="s">
        <v>514</v>
      </c>
      <c r="H1830">
        <v>47128820</v>
      </c>
      <c r="I1830" t="s">
        <v>2411</v>
      </c>
      <c r="J1830" t="s">
        <v>2412</v>
      </c>
      <c r="K1830" t="s">
        <v>530</v>
      </c>
      <c r="N1830">
        <v>0</v>
      </c>
      <c r="O1830">
        <v>0</v>
      </c>
      <c r="P1830" t="str">
        <f t="shared" si="28"/>
        <v>N</v>
      </c>
      <c r="Q1830" t="s">
        <v>7560</v>
      </c>
    </row>
    <row r="1831" spans="1:17" x14ac:dyDescent="0.25">
      <c r="A1831" t="s">
        <v>3998</v>
      </c>
      <c r="B1831" t="s">
        <v>3939</v>
      </c>
      <c r="C1831">
        <v>2027</v>
      </c>
      <c r="D1831" t="s">
        <v>542</v>
      </c>
      <c r="E1831" t="s">
        <v>834</v>
      </c>
      <c r="F1831" s="32">
        <v>46416</v>
      </c>
      <c r="G1831" t="s">
        <v>514</v>
      </c>
      <c r="H1831">
        <v>47128378</v>
      </c>
      <c r="I1831" t="s">
        <v>2392</v>
      </c>
      <c r="J1831" t="s">
        <v>2393</v>
      </c>
      <c r="K1831" t="s">
        <v>530</v>
      </c>
      <c r="N1831">
        <v>0</v>
      </c>
      <c r="O1831">
        <v>0</v>
      </c>
      <c r="P1831" t="str">
        <f t="shared" si="28"/>
        <v>N</v>
      </c>
      <c r="Q1831" t="s">
        <v>7561</v>
      </c>
    </row>
    <row r="1832" spans="1:17" x14ac:dyDescent="0.25">
      <c r="A1832" t="s">
        <v>3999</v>
      </c>
      <c r="B1832" t="s">
        <v>3939</v>
      </c>
      <c r="C1832">
        <v>2027</v>
      </c>
      <c r="D1832" t="s">
        <v>542</v>
      </c>
      <c r="E1832" t="s">
        <v>834</v>
      </c>
      <c r="F1832" s="32">
        <v>46416</v>
      </c>
      <c r="G1832" t="s">
        <v>514</v>
      </c>
      <c r="H1832">
        <v>47128020</v>
      </c>
      <c r="I1832" t="s">
        <v>2395</v>
      </c>
      <c r="J1832" t="s">
        <v>2396</v>
      </c>
      <c r="K1832" t="s">
        <v>530</v>
      </c>
      <c r="N1832">
        <v>0</v>
      </c>
      <c r="O1832">
        <v>0</v>
      </c>
      <c r="P1832" t="str">
        <f t="shared" si="28"/>
        <v>N</v>
      </c>
      <c r="Q1832" t="s">
        <v>7562</v>
      </c>
    </row>
    <row r="1833" spans="1:17" x14ac:dyDescent="0.25">
      <c r="A1833" t="s">
        <v>4000</v>
      </c>
      <c r="B1833" t="s">
        <v>3939</v>
      </c>
      <c r="C1833">
        <v>2027</v>
      </c>
      <c r="D1833" t="s">
        <v>542</v>
      </c>
      <c r="E1833" t="s">
        <v>834</v>
      </c>
      <c r="F1833" s="32">
        <v>46416</v>
      </c>
      <c r="G1833" t="s">
        <v>514</v>
      </c>
      <c r="H1833">
        <v>47128459</v>
      </c>
      <c r="I1833" t="s">
        <v>2398</v>
      </c>
      <c r="J1833" t="s">
        <v>2399</v>
      </c>
      <c r="K1833" t="s">
        <v>530</v>
      </c>
      <c r="N1833">
        <v>0</v>
      </c>
      <c r="O1833">
        <v>0</v>
      </c>
      <c r="P1833" t="str">
        <f t="shared" si="28"/>
        <v>N</v>
      </c>
      <c r="Q1833" t="s">
        <v>7563</v>
      </c>
    </row>
    <row r="1834" spans="1:17" x14ac:dyDescent="0.25">
      <c r="A1834" t="s">
        <v>4083</v>
      </c>
      <c r="B1834" t="s">
        <v>1489</v>
      </c>
      <c r="C1834">
        <v>2027</v>
      </c>
      <c r="D1834" t="s">
        <v>542</v>
      </c>
      <c r="E1834" t="s">
        <v>834</v>
      </c>
      <c r="F1834" s="32">
        <v>46416</v>
      </c>
      <c r="G1834" t="s">
        <v>514</v>
      </c>
      <c r="H1834">
        <v>47128967</v>
      </c>
      <c r="I1834" t="s">
        <v>1062</v>
      </c>
      <c r="J1834" t="s">
        <v>1061</v>
      </c>
      <c r="K1834" t="s">
        <v>530</v>
      </c>
      <c r="N1834">
        <v>0</v>
      </c>
      <c r="O1834">
        <v>0</v>
      </c>
      <c r="P1834" t="str">
        <f t="shared" si="28"/>
        <v>N</v>
      </c>
      <c r="Q1834" t="s">
        <v>7564</v>
      </c>
    </row>
    <row r="1835" spans="1:17" x14ac:dyDescent="0.25">
      <c r="A1835" t="s">
        <v>4084</v>
      </c>
      <c r="B1835" t="s">
        <v>1489</v>
      </c>
      <c r="C1835">
        <v>2027</v>
      </c>
      <c r="D1835" t="s">
        <v>542</v>
      </c>
      <c r="E1835" t="s">
        <v>834</v>
      </c>
      <c r="F1835" s="32">
        <v>46416</v>
      </c>
      <c r="G1835" t="s">
        <v>514</v>
      </c>
      <c r="H1835">
        <v>47133720</v>
      </c>
      <c r="I1835" t="s">
        <v>1217</v>
      </c>
      <c r="J1835" t="s">
        <v>1216</v>
      </c>
      <c r="K1835" t="s">
        <v>530</v>
      </c>
      <c r="N1835">
        <v>0</v>
      </c>
      <c r="O1835">
        <v>0</v>
      </c>
      <c r="P1835" t="str">
        <f t="shared" si="28"/>
        <v>N</v>
      </c>
      <c r="Q1835" t="s">
        <v>7565</v>
      </c>
    </row>
    <row r="1836" spans="1:17" x14ac:dyDescent="0.25">
      <c r="A1836" t="s">
        <v>4085</v>
      </c>
      <c r="B1836" t="s">
        <v>1489</v>
      </c>
      <c r="C1836">
        <v>2027</v>
      </c>
      <c r="D1836" t="s">
        <v>542</v>
      </c>
      <c r="E1836" t="s">
        <v>834</v>
      </c>
      <c r="F1836" s="32">
        <v>46416</v>
      </c>
      <c r="G1836" t="s">
        <v>514</v>
      </c>
      <c r="H1836">
        <v>47127948</v>
      </c>
      <c r="I1836" t="s">
        <v>1247</v>
      </c>
      <c r="J1836" t="s">
        <v>1246</v>
      </c>
      <c r="K1836" t="s">
        <v>530</v>
      </c>
      <c r="N1836">
        <v>40</v>
      </c>
      <c r="O1836">
        <v>40</v>
      </c>
      <c r="P1836" t="str">
        <f t="shared" si="28"/>
        <v>N</v>
      </c>
      <c r="Q1836" t="s">
        <v>7566</v>
      </c>
    </row>
    <row r="1837" spans="1:17" x14ac:dyDescent="0.25">
      <c r="A1837" t="s">
        <v>4086</v>
      </c>
      <c r="B1837" t="s">
        <v>1489</v>
      </c>
      <c r="C1837">
        <v>2027</v>
      </c>
      <c r="D1837" t="s">
        <v>542</v>
      </c>
      <c r="E1837" t="s">
        <v>834</v>
      </c>
      <c r="F1837" s="32">
        <v>46416</v>
      </c>
      <c r="G1837" t="s">
        <v>514</v>
      </c>
      <c r="H1837">
        <v>47128337</v>
      </c>
      <c r="I1837" t="s">
        <v>1120</v>
      </c>
      <c r="J1837" t="s">
        <v>1119</v>
      </c>
      <c r="K1837" t="s">
        <v>530</v>
      </c>
      <c r="N1837">
        <v>0</v>
      </c>
      <c r="O1837">
        <v>0</v>
      </c>
      <c r="P1837" t="str">
        <f t="shared" si="28"/>
        <v>N</v>
      </c>
      <c r="Q1837" t="s">
        <v>7567</v>
      </c>
    </row>
    <row r="1838" spans="1:17" x14ac:dyDescent="0.25">
      <c r="A1838" t="s">
        <v>4087</v>
      </c>
      <c r="B1838" t="s">
        <v>1489</v>
      </c>
      <c r="C1838">
        <v>2027</v>
      </c>
      <c r="D1838" t="s">
        <v>542</v>
      </c>
      <c r="E1838" t="s">
        <v>834</v>
      </c>
      <c r="F1838" s="32">
        <v>46416</v>
      </c>
      <c r="G1838" t="s">
        <v>514</v>
      </c>
      <c r="H1838">
        <v>47128977</v>
      </c>
      <c r="I1838" t="s">
        <v>1449</v>
      </c>
      <c r="J1838" t="s">
        <v>1448</v>
      </c>
      <c r="K1838" t="s">
        <v>530</v>
      </c>
      <c r="N1838">
        <v>0</v>
      </c>
      <c r="O1838">
        <v>0</v>
      </c>
      <c r="P1838" t="str">
        <f t="shared" si="28"/>
        <v>N</v>
      </c>
      <c r="Q1838" t="s">
        <v>7568</v>
      </c>
    </row>
    <row r="1839" spans="1:17" x14ac:dyDescent="0.25">
      <c r="A1839" t="s">
        <v>4237</v>
      </c>
      <c r="B1839" t="s">
        <v>916</v>
      </c>
      <c r="C1839">
        <v>2027</v>
      </c>
      <c r="D1839" t="s">
        <v>542</v>
      </c>
      <c r="E1839" t="s">
        <v>834</v>
      </c>
      <c r="F1839" s="32">
        <v>46416</v>
      </c>
      <c r="G1839" t="s">
        <v>514</v>
      </c>
      <c r="H1839">
        <v>47128421</v>
      </c>
      <c r="I1839" t="s">
        <v>1086</v>
      </c>
      <c r="J1839" t="s">
        <v>1085</v>
      </c>
      <c r="K1839" t="s">
        <v>530</v>
      </c>
      <c r="N1839">
        <v>0</v>
      </c>
      <c r="O1839">
        <v>0</v>
      </c>
      <c r="P1839" t="str">
        <f t="shared" si="28"/>
        <v>N</v>
      </c>
      <c r="Q1839" t="s">
        <v>7569</v>
      </c>
    </row>
    <row r="1840" spans="1:17" x14ac:dyDescent="0.25">
      <c r="A1840" t="s">
        <v>4238</v>
      </c>
      <c r="B1840" t="s">
        <v>916</v>
      </c>
      <c r="C1840">
        <v>2027</v>
      </c>
      <c r="D1840" t="s">
        <v>542</v>
      </c>
      <c r="E1840" t="s">
        <v>834</v>
      </c>
      <c r="F1840" s="32">
        <v>46416</v>
      </c>
      <c r="G1840" t="s">
        <v>514</v>
      </c>
      <c r="H1840">
        <v>47128706</v>
      </c>
      <c r="I1840" t="s">
        <v>1201</v>
      </c>
      <c r="J1840" t="s">
        <v>1200</v>
      </c>
      <c r="K1840" t="s">
        <v>530</v>
      </c>
      <c r="N1840">
        <v>0</v>
      </c>
      <c r="O1840">
        <v>0</v>
      </c>
      <c r="P1840" t="str">
        <f t="shared" si="28"/>
        <v>N</v>
      </c>
      <c r="Q1840" t="s">
        <v>7570</v>
      </c>
    </row>
    <row r="1841" spans="1:17" x14ac:dyDescent="0.25">
      <c r="A1841" t="s">
        <v>4239</v>
      </c>
      <c r="B1841" t="s">
        <v>916</v>
      </c>
      <c r="C1841">
        <v>2027</v>
      </c>
      <c r="D1841" t="s">
        <v>542</v>
      </c>
      <c r="E1841" t="s">
        <v>834</v>
      </c>
      <c r="F1841" s="32">
        <v>46416</v>
      </c>
      <c r="G1841" t="s">
        <v>514</v>
      </c>
      <c r="H1841">
        <v>47128364</v>
      </c>
      <c r="I1841" t="s">
        <v>1264</v>
      </c>
      <c r="J1841" t="s">
        <v>1263</v>
      </c>
      <c r="K1841" t="s">
        <v>530</v>
      </c>
      <c r="N1841">
        <v>70</v>
      </c>
      <c r="O1841">
        <v>70</v>
      </c>
      <c r="P1841" t="str">
        <f t="shared" si="28"/>
        <v>N</v>
      </c>
      <c r="Q1841" t="s">
        <v>7571</v>
      </c>
    </row>
    <row r="1842" spans="1:17" x14ac:dyDescent="0.25">
      <c r="A1842" t="s">
        <v>4240</v>
      </c>
      <c r="B1842" t="s">
        <v>916</v>
      </c>
      <c r="C1842">
        <v>2027</v>
      </c>
      <c r="D1842" t="s">
        <v>542</v>
      </c>
      <c r="E1842" t="s">
        <v>834</v>
      </c>
      <c r="F1842" s="32">
        <v>46416</v>
      </c>
      <c r="G1842" t="s">
        <v>514</v>
      </c>
      <c r="H1842">
        <v>47128633</v>
      </c>
      <c r="I1842" t="s">
        <v>1164</v>
      </c>
      <c r="J1842" t="s">
        <v>1163</v>
      </c>
      <c r="K1842" t="s">
        <v>530</v>
      </c>
      <c r="N1842">
        <v>0</v>
      </c>
      <c r="O1842">
        <v>0</v>
      </c>
      <c r="P1842" t="str">
        <f t="shared" si="28"/>
        <v>N</v>
      </c>
      <c r="Q1842" t="s">
        <v>7572</v>
      </c>
    </row>
    <row r="1843" spans="1:17" x14ac:dyDescent="0.25">
      <c r="A1843" t="s">
        <v>4241</v>
      </c>
      <c r="B1843" t="s">
        <v>916</v>
      </c>
      <c r="C1843">
        <v>2027</v>
      </c>
      <c r="D1843" t="s">
        <v>542</v>
      </c>
      <c r="E1843" t="s">
        <v>834</v>
      </c>
      <c r="F1843" s="32">
        <v>46416</v>
      </c>
      <c r="G1843" t="s">
        <v>514</v>
      </c>
      <c r="H1843">
        <v>47128046</v>
      </c>
      <c r="I1843" t="s">
        <v>1389</v>
      </c>
      <c r="J1843" t="s">
        <v>1388</v>
      </c>
      <c r="K1843" t="s">
        <v>530</v>
      </c>
      <c r="N1843">
        <v>0</v>
      </c>
      <c r="O1843">
        <v>0</v>
      </c>
      <c r="P1843" t="str">
        <f t="shared" si="28"/>
        <v>N</v>
      </c>
      <c r="Q1843" t="s">
        <v>7573</v>
      </c>
    </row>
    <row r="1844" spans="1:17" x14ac:dyDescent="0.25">
      <c r="A1844" t="s">
        <v>4242</v>
      </c>
      <c r="B1844" t="s">
        <v>916</v>
      </c>
      <c r="C1844">
        <v>2027</v>
      </c>
      <c r="D1844" t="s">
        <v>542</v>
      </c>
      <c r="E1844" t="s">
        <v>834</v>
      </c>
      <c r="F1844" s="32">
        <v>46416</v>
      </c>
      <c r="G1844" t="s">
        <v>514</v>
      </c>
      <c r="H1844">
        <v>47128355</v>
      </c>
      <c r="I1844" t="s">
        <v>964</v>
      </c>
      <c r="J1844" t="s">
        <v>963</v>
      </c>
      <c r="K1844" t="s">
        <v>530</v>
      </c>
      <c r="N1844">
        <v>0</v>
      </c>
      <c r="O1844">
        <v>0</v>
      </c>
      <c r="P1844" t="str">
        <f t="shared" si="28"/>
        <v>N</v>
      </c>
      <c r="Q1844" t="s">
        <v>7574</v>
      </c>
    </row>
    <row r="1845" spans="1:17" x14ac:dyDescent="0.25">
      <c r="A1845" t="s">
        <v>4243</v>
      </c>
      <c r="B1845" t="s">
        <v>916</v>
      </c>
      <c r="C1845">
        <v>2027</v>
      </c>
      <c r="D1845" t="s">
        <v>542</v>
      </c>
      <c r="E1845" t="s">
        <v>834</v>
      </c>
      <c r="F1845" s="32">
        <v>46416</v>
      </c>
      <c r="G1845" t="s">
        <v>514</v>
      </c>
      <c r="H1845">
        <v>47129548</v>
      </c>
      <c r="I1845" t="s">
        <v>1340</v>
      </c>
      <c r="J1845" t="s">
        <v>1339</v>
      </c>
      <c r="K1845" t="s">
        <v>530</v>
      </c>
      <c r="N1845">
        <v>56</v>
      </c>
      <c r="O1845">
        <v>56</v>
      </c>
      <c r="P1845" t="str">
        <f t="shared" si="28"/>
        <v>N</v>
      </c>
      <c r="Q1845" t="s">
        <v>7575</v>
      </c>
    </row>
    <row r="1846" spans="1:17" x14ac:dyDescent="0.25">
      <c r="A1846" t="s">
        <v>4244</v>
      </c>
      <c r="B1846" t="s">
        <v>916</v>
      </c>
      <c r="C1846">
        <v>2027</v>
      </c>
      <c r="D1846" t="s">
        <v>542</v>
      </c>
      <c r="E1846" t="s">
        <v>834</v>
      </c>
      <c r="F1846" s="32">
        <v>46416</v>
      </c>
      <c r="G1846" t="s">
        <v>514</v>
      </c>
      <c r="H1846">
        <v>47128835</v>
      </c>
      <c r="I1846" t="s">
        <v>998</v>
      </c>
      <c r="J1846" t="s">
        <v>997</v>
      </c>
      <c r="K1846" t="s">
        <v>530</v>
      </c>
      <c r="N1846">
        <v>0</v>
      </c>
      <c r="O1846">
        <v>0</v>
      </c>
      <c r="P1846" t="str">
        <f t="shared" si="28"/>
        <v>N</v>
      </c>
      <c r="Q1846" t="s">
        <v>7576</v>
      </c>
    </row>
    <row r="1847" spans="1:17" x14ac:dyDescent="0.25">
      <c r="A1847" t="s">
        <v>4245</v>
      </c>
      <c r="B1847" t="s">
        <v>916</v>
      </c>
      <c r="C1847">
        <v>2027</v>
      </c>
      <c r="D1847" t="s">
        <v>542</v>
      </c>
      <c r="E1847" t="s">
        <v>834</v>
      </c>
      <c r="F1847" s="32">
        <v>46416</v>
      </c>
      <c r="G1847" t="s">
        <v>514</v>
      </c>
      <c r="H1847">
        <v>47128788</v>
      </c>
      <c r="I1847" t="s">
        <v>4188</v>
      </c>
      <c r="J1847" t="s">
        <v>4189</v>
      </c>
      <c r="K1847" t="s">
        <v>530</v>
      </c>
      <c r="N1847">
        <v>0</v>
      </c>
      <c r="O1847">
        <v>0</v>
      </c>
      <c r="P1847" t="str">
        <f t="shared" si="28"/>
        <v>N</v>
      </c>
      <c r="Q1847" t="s">
        <v>7577</v>
      </c>
    </row>
    <row r="1848" spans="1:17" x14ac:dyDescent="0.25">
      <c r="A1848" t="s">
        <v>4246</v>
      </c>
      <c r="B1848" t="s">
        <v>916</v>
      </c>
      <c r="C1848">
        <v>2027</v>
      </c>
      <c r="D1848" t="s">
        <v>542</v>
      </c>
      <c r="E1848" t="s">
        <v>834</v>
      </c>
      <c r="F1848" s="32">
        <v>46416</v>
      </c>
      <c r="G1848" t="s">
        <v>514</v>
      </c>
      <c r="H1848">
        <v>47136348</v>
      </c>
      <c r="I1848" t="s">
        <v>1025</v>
      </c>
      <c r="J1848" t="s">
        <v>1024</v>
      </c>
      <c r="K1848" t="s">
        <v>530</v>
      </c>
      <c r="N1848">
        <v>0</v>
      </c>
      <c r="O1848">
        <v>0</v>
      </c>
      <c r="P1848" t="str">
        <f t="shared" si="28"/>
        <v>N</v>
      </c>
      <c r="Q1848" t="s">
        <v>7578</v>
      </c>
    </row>
    <row r="1849" spans="1:17" x14ac:dyDescent="0.25">
      <c r="A1849" t="s">
        <v>4247</v>
      </c>
      <c r="B1849" t="s">
        <v>916</v>
      </c>
      <c r="C1849">
        <v>2027</v>
      </c>
      <c r="D1849" t="s">
        <v>542</v>
      </c>
      <c r="E1849" t="s">
        <v>834</v>
      </c>
      <c r="F1849" s="32">
        <v>46416</v>
      </c>
      <c r="G1849" t="s">
        <v>514</v>
      </c>
      <c r="H1849">
        <v>47135083</v>
      </c>
      <c r="I1849" t="s">
        <v>4192</v>
      </c>
      <c r="J1849" t="s">
        <v>4193</v>
      </c>
      <c r="K1849" t="s">
        <v>530</v>
      </c>
      <c r="N1849">
        <v>0</v>
      </c>
      <c r="O1849">
        <v>0</v>
      </c>
      <c r="P1849" t="str">
        <f t="shared" si="28"/>
        <v>N</v>
      </c>
      <c r="Q1849" t="s">
        <v>7579</v>
      </c>
    </row>
    <row r="1850" spans="1:17" x14ac:dyDescent="0.25">
      <c r="A1850" t="s">
        <v>4248</v>
      </c>
      <c r="B1850" t="s">
        <v>916</v>
      </c>
      <c r="C1850">
        <v>2027</v>
      </c>
      <c r="D1850" t="s">
        <v>542</v>
      </c>
      <c r="E1850" t="s">
        <v>834</v>
      </c>
      <c r="F1850" s="32">
        <v>46416</v>
      </c>
      <c r="G1850" t="s">
        <v>514</v>
      </c>
      <c r="H1850">
        <v>47128684</v>
      </c>
      <c r="I1850" t="s">
        <v>1005</v>
      </c>
      <c r="J1850" t="s">
        <v>1004</v>
      </c>
      <c r="K1850" t="s">
        <v>530</v>
      </c>
      <c r="N1850">
        <v>0</v>
      </c>
      <c r="O1850">
        <v>0</v>
      </c>
      <c r="P1850" t="str">
        <f t="shared" si="28"/>
        <v>N</v>
      </c>
      <c r="Q1850" t="s">
        <v>7580</v>
      </c>
    </row>
    <row r="1851" spans="1:17" x14ac:dyDescent="0.25">
      <c r="A1851" t="s">
        <v>4249</v>
      </c>
      <c r="B1851" t="s">
        <v>916</v>
      </c>
      <c r="C1851">
        <v>2027</v>
      </c>
      <c r="D1851" t="s">
        <v>542</v>
      </c>
      <c r="E1851" t="s">
        <v>834</v>
      </c>
      <c r="F1851" s="32">
        <v>46416</v>
      </c>
      <c r="G1851" t="s">
        <v>514</v>
      </c>
      <c r="H1851">
        <v>47128469</v>
      </c>
      <c r="I1851" t="s">
        <v>928</v>
      </c>
      <c r="J1851" t="s">
        <v>927</v>
      </c>
      <c r="K1851" t="s">
        <v>530</v>
      </c>
      <c r="N1851">
        <v>0</v>
      </c>
      <c r="O1851">
        <v>0</v>
      </c>
      <c r="P1851" t="str">
        <f t="shared" si="28"/>
        <v>N</v>
      </c>
      <c r="Q1851" t="s">
        <v>7581</v>
      </c>
    </row>
    <row r="1852" spans="1:17" x14ac:dyDescent="0.25">
      <c r="A1852" t="s">
        <v>4250</v>
      </c>
      <c r="B1852" t="s">
        <v>916</v>
      </c>
      <c r="C1852">
        <v>2027</v>
      </c>
      <c r="D1852" t="s">
        <v>542</v>
      </c>
      <c r="E1852" t="s">
        <v>834</v>
      </c>
      <c r="F1852" s="32">
        <v>46416</v>
      </c>
      <c r="G1852" t="s">
        <v>514</v>
      </c>
      <c r="H1852">
        <v>47128359</v>
      </c>
      <c r="I1852" t="s">
        <v>961</v>
      </c>
      <c r="J1852" t="s">
        <v>960</v>
      </c>
      <c r="K1852" t="s">
        <v>530</v>
      </c>
      <c r="N1852">
        <v>0</v>
      </c>
      <c r="O1852">
        <v>0</v>
      </c>
      <c r="P1852" t="str">
        <f t="shared" si="28"/>
        <v>N</v>
      </c>
      <c r="Q1852" t="s">
        <v>7582</v>
      </c>
    </row>
    <row r="1853" spans="1:17" x14ac:dyDescent="0.25">
      <c r="A1853" t="s">
        <v>4251</v>
      </c>
      <c r="B1853" t="s">
        <v>916</v>
      </c>
      <c r="C1853">
        <v>2027</v>
      </c>
      <c r="D1853" t="s">
        <v>542</v>
      </c>
      <c r="E1853" t="s">
        <v>834</v>
      </c>
      <c r="F1853" s="32">
        <v>46416</v>
      </c>
      <c r="G1853" t="s">
        <v>514</v>
      </c>
      <c r="H1853">
        <v>47128202</v>
      </c>
      <c r="I1853" t="s">
        <v>967</v>
      </c>
      <c r="J1853" t="s">
        <v>966</v>
      </c>
      <c r="K1853" t="s">
        <v>530</v>
      </c>
      <c r="N1853">
        <v>40</v>
      </c>
      <c r="O1853">
        <v>40</v>
      </c>
      <c r="P1853" t="str">
        <f t="shared" si="28"/>
        <v>N</v>
      </c>
      <c r="Q1853" t="s">
        <v>7583</v>
      </c>
    </row>
    <row r="1854" spans="1:17" x14ac:dyDescent="0.25">
      <c r="A1854" t="s">
        <v>4252</v>
      </c>
      <c r="B1854" t="s">
        <v>916</v>
      </c>
      <c r="C1854">
        <v>2027</v>
      </c>
      <c r="D1854" t="s">
        <v>542</v>
      </c>
      <c r="E1854" t="s">
        <v>834</v>
      </c>
      <c r="F1854" s="32">
        <v>46416</v>
      </c>
      <c r="G1854" t="s">
        <v>514</v>
      </c>
      <c r="H1854">
        <v>47128154</v>
      </c>
      <c r="I1854" t="s">
        <v>933</v>
      </c>
      <c r="J1854" t="s">
        <v>932</v>
      </c>
      <c r="K1854" t="s">
        <v>530</v>
      </c>
      <c r="N1854">
        <v>40</v>
      </c>
      <c r="O1854">
        <v>40</v>
      </c>
      <c r="P1854" t="str">
        <f t="shared" si="28"/>
        <v>N</v>
      </c>
      <c r="Q1854" t="s">
        <v>7584</v>
      </c>
    </row>
    <row r="1855" spans="1:17" x14ac:dyDescent="0.25">
      <c r="A1855" t="s">
        <v>4253</v>
      </c>
      <c r="B1855" t="s">
        <v>916</v>
      </c>
      <c r="C1855">
        <v>2027</v>
      </c>
      <c r="D1855" t="s">
        <v>542</v>
      </c>
      <c r="E1855" t="s">
        <v>834</v>
      </c>
      <c r="F1855" s="32">
        <v>46416</v>
      </c>
      <c r="G1855" t="s">
        <v>514</v>
      </c>
      <c r="H1855">
        <v>47128108</v>
      </c>
      <c r="I1855" t="s">
        <v>1011</v>
      </c>
      <c r="J1855" t="s">
        <v>1010</v>
      </c>
      <c r="K1855" t="s">
        <v>530</v>
      </c>
      <c r="N1855">
        <v>0</v>
      </c>
      <c r="O1855">
        <v>0</v>
      </c>
      <c r="P1855" t="str">
        <f t="shared" si="28"/>
        <v>N</v>
      </c>
      <c r="Q1855" t="s">
        <v>7585</v>
      </c>
    </row>
    <row r="1856" spans="1:17" x14ac:dyDescent="0.25">
      <c r="A1856" t="s">
        <v>4254</v>
      </c>
      <c r="B1856" t="s">
        <v>916</v>
      </c>
      <c r="C1856">
        <v>2027</v>
      </c>
      <c r="D1856" t="s">
        <v>542</v>
      </c>
      <c r="E1856" t="s">
        <v>834</v>
      </c>
      <c r="F1856" s="32">
        <v>46416</v>
      </c>
      <c r="G1856" t="s">
        <v>514</v>
      </c>
      <c r="H1856">
        <v>47129069</v>
      </c>
      <c r="I1856" t="s">
        <v>1325</v>
      </c>
      <c r="J1856" t="s">
        <v>1324</v>
      </c>
      <c r="K1856" t="s">
        <v>530</v>
      </c>
      <c r="N1856">
        <v>0</v>
      </c>
      <c r="O1856">
        <v>0</v>
      </c>
      <c r="P1856" t="str">
        <f t="shared" si="28"/>
        <v>N</v>
      </c>
      <c r="Q1856" t="s">
        <v>7586</v>
      </c>
    </row>
    <row r="1857" spans="1:17" x14ac:dyDescent="0.25">
      <c r="A1857" t="s">
        <v>4434</v>
      </c>
      <c r="B1857" t="s">
        <v>4428</v>
      </c>
      <c r="C1857">
        <v>2027</v>
      </c>
      <c r="D1857" t="s">
        <v>542</v>
      </c>
      <c r="E1857" t="s">
        <v>834</v>
      </c>
      <c r="F1857" s="32">
        <v>46416</v>
      </c>
      <c r="G1857" t="s">
        <v>514</v>
      </c>
      <c r="H1857">
        <v>47128132</v>
      </c>
      <c r="I1857" t="s">
        <v>4429</v>
      </c>
      <c r="J1857" t="s">
        <v>4430</v>
      </c>
      <c r="K1857" t="s">
        <v>530</v>
      </c>
      <c r="N1857">
        <v>0</v>
      </c>
      <c r="O1857">
        <v>0</v>
      </c>
      <c r="P1857" t="str">
        <f t="shared" si="28"/>
        <v>N</v>
      </c>
      <c r="Q1857" t="s">
        <v>7587</v>
      </c>
    </row>
    <row r="1858" spans="1:17" x14ac:dyDescent="0.25">
      <c r="A1858" t="s">
        <v>4480</v>
      </c>
      <c r="B1858" t="s">
        <v>4445</v>
      </c>
      <c r="C1858">
        <v>2027</v>
      </c>
      <c r="D1858" t="s">
        <v>542</v>
      </c>
      <c r="E1858" t="s">
        <v>834</v>
      </c>
      <c r="F1858" s="32">
        <v>46416</v>
      </c>
      <c r="G1858" t="s">
        <v>514</v>
      </c>
      <c r="H1858">
        <v>47129711</v>
      </c>
      <c r="I1858" t="s">
        <v>4446</v>
      </c>
      <c r="J1858" t="s">
        <v>4447</v>
      </c>
      <c r="K1858" t="s">
        <v>530</v>
      </c>
      <c r="N1858">
        <v>0</v>
      </c>
      <c r="O1858">
        <v>0</v>
      </c>
      <c r="P1858" t="str">
        <f t="shared" si="28"/>
        <v>N</v>
      </c>
      <c r="Q1858" t="s">
        <v>7588</v>
      </c>
    </row>
    <row r="1859" spans="1:17" x14ac:dyDescent="0.25">
      <c r="A1859" t="s">
        <v>4481</v>
      </c>
      <c r="B1859" t="s">
        <v>4445</v>
      </c>
      <c r="C1859">
        <v>2027</v>
      </c>
      <c r="D1859" t="s">
        <v>542</v>
      </c>
      <c r="E1859" t="s">
        <v>834</v>
      </c>
      <c r="F1859" s="32">
        <v>46416</v>
      </c>
      <c r="G1859" t="s">
        <v>514</v>
      </c>
      <c r="H1859">
        <v>47129228</v>
      </c>
      <c r="I1859" t="s">
        <v>4449</v>
      </c>
      <c r="J1859" t="s">
        <v>4450</v>
      </c>
      <c r="K1859" t="s">
        <v>530</v>
      </c>
      <c r="N1859">
        <v>0</v>
      </c>
      <c r="O1859">
        <v>0</v>
      </c>
      <c r="P1859" t="str">
        <f t="shared" ref="P1859:P1922" si="29">IF(N1859=O1859,"N","Y")</f>
        <v>N</v>
      </c>
      <c r="Q1859" t="s">
        <v>7589</v>
      </c>
    </row>
    <row r="1860" spans="1:17" x14ac:dyDescent="0.25">
      <c r="A1860" t="s">
        <v>4616</v>
      </c>
      <c r="B1860" t="s">
        <v>1044</v>
      </c>
      <c r="C1860">
        <v>2027</v>
      </c>
      <c r="D1860" t="s">
        <v>542</v>
      </c>
      <c r="E1860" t="s">
        <v>834</v>
      </c>
      <c r="F1860" s="32">
        <v>46416</v>
      </c>
      <c r="G1860" t="s">
        <v>514</v>
      </c>
      <c r="H1860">
        <v>47128967</v>
      </c>
      <c r="I1860" t="s">
        <v>1062</v>
      </c>
      <c r="J1860" t="s">
        <v>1061</v>
      </c>
      <c r="K1860" t="s">
        <v>530</v>
      </c>
      <c r="N1860">
        <v>0</v>
      </c>
      <c r="O1860">
        <v>0</v>
      </c>
      <c r="P1860" t="str">
        <f t="shared" si="29"/>
        <v>N</v>
      </c>
      <c r="Q1860" t="s">
        <v>7590</v>
      </c>
    </row>
    <row r="1861" spans="1:17" x14ac:dyDescent="0.25">
      <c r="A1861" t="s">
        <v>4617</v>
      </c>
      <c r="B1861" t="s">
        <v>1044</v>
      </c>
      <c r="C1861">
        <v>2027</v>
      </c>
      <c r="D1861" t="s">
        <v>542</v>
      </c>
      <c r="E1861" t="s">
        <v>834</v>
      </c>
      <c r="F1861" s="32">
        <v>46416</v>
      </c>
      <c r="G1861" t="s">
        <v>514</v>
      </c>
      <c r="H1861">
        <v>47133720</v>
      </c>
      <c r="I1861" t="s">
        <v>1217</v>
      </c>
      <c r="J1861" t="s">
        <v>1216</v>
      </c>
      <c r="K1861" t="s">
        <v>530</v>
      </c>
      <c r="N1861">
        <v>0</v>
      </c>
      <c r="O1861">
        <v>0</v>
      </c>
      <c r="P1861" t="str">
        <f t="shared" si="29"/>
        <v>N</v>
      </c>
      <c r="Q1861" t="s">
        <v>7591</v>
      </c>
    </row>
    <row r="1862" spans="1:17" x14ac:dyDescent="0.25">
      <c r="A1862" t="s">
        <v>4618</v>
      </c>
      <c r="B1862" t="s">
        <v>1044</v>
      </c>
      <c r="C1862">
        <v>2027</v>
      </c>
      <c r="D1862" t="s">
        <v>542</v>
      </c>
      <c r="E1862" t="s">
        <v>834</v>
      </c>
      <c r="F1862" s="32">
        <v>46416</v>
      </c>
      <c r="G1862" t="s">
        <v>514</v>
      </c>
      <c r="H1862">
        <v>47127948</v>
      </c>
      <c r="I1862" t="s">
        <v>1247</v>
      </c>
      <c r="J1862" t="s">
        <v>1246</v>
      </c>
      <c r="K1862" t="s">
        <v>530</v>
      </c>
      <c r="N1862">
        <v>60</v>
      </c>
      <c r="O1862">
        <v>60</v>
      </c>
      <c r="P1862" t="str">
        <f t="shared" si="29"/>
        <v>N</v>
      </c>
      <c r="Q1862" t="s">
        <v>7592</v>
      </c>
    </row>
    <row r="1863" spans="1:17" x14ac:dyDescent="0.25">
      <c r="A1863" t="s">
        <v>4619</v>
      </c>
      <c r="B1863" t="s">
        <v>1044</v>
      </c>
      <c r="C1863">
        <v>2027</v>
      </c>
      <c r="D1863" t="s">
        <v>542</v>
      </c>
      <c r="E1863" t="s">
        <v>834</v>
      </c>
      <c r="F1863" s="32">
        <v>46416</v>
      </c>
      <c r="G1863" t="s">
        <v>514</v>
      </c>
      <c r="H1863">
        <v>47128710</v>
      </c>
      <c r="I1863" t="s">
        <v>1189</v>
      </c>
      <c r="J1863" t="s">
        <v>1188</v>
      </c>
      <c r="K1863" t="s">
        <v>530</v>
      </c>
      <c r="N1863">
        <v>0</v>
      </c>
      <c r="O1863">
        <v>0</v>
      </c>
      <c r="P1863" t="str">
        <f t="shared" si="29"/>
        <v>N</v>
      </c>
      <c r="Q1863" t="s">
        <v>7593</v>
      </c>
    </row>
    <row r="1864" spans="1:17" x14ac:dyDescent="0.25">
      <c r="A1864" t="s">
        <v>4620</v>
      </c>
      <c r="B1864" t="s">
        <v>1044</v>
      </c>
      <c r="C1864">
        <v>2027</v>
      </c>
      <c r="D1864" t="s">
        <v>542</v>
      </c>
      <c r="E1864" t="s">
        <v>834</v>
      </c>
      <c r="F1864" s="32">
        <v>46416</v>
      </c>
      <c r="G1864" t="s">
        <v>514</v>
      </c>
      <c r="H1864">
        <v>47128572</v>
      </c>
      <c r="I1864" t="s">
        <v>1197</v>
      </c>
      <c r="J1864" t="s">
        <v>1196</v>
      </c>
      <c r="K1864" t="s">
        <v>530</v>
      </c>
      <c r="N1864">
        <v>0</v>
      </c>
      <c r="O1864">
        <v>0</v>
      </c>
      <c r="P1864" t="str">
        <f t="shared" si="29"/>
        <v>N</v>
      </c>
      <c r="Q1864" t="s">
        <v>7594</v>
      </c>
    </row>
    <row r="1865" spans="1:17" x14ac:dyDescent="0.25">
      <c r="A1865" t="s">
        <v>4621</v>
      </c>
      <c r="B1865" t="s">
        <v>1044</v>
      </c>
      <c r="C1865">
        <v>2027</v>
      </c>
      <c r="D1865" t="s">
        <v>542</v>
      </c>
      <c r="E1865" t="s">
        <v>834</v>
      </c>
      <c r="F1865" s="32">
        <v>46416</v>
      </c>
      <c r="G1865" t="s">
        <v>514</v>
      </c>
      <c r="H1865">
        <v>47128482</v>
      </c>
      <c r="I1865" t="s">
        <v>1393</v>
      </c>
      <c r="J1865" t="s">
        <v>1392</v>
      </c>
      <c r="K1865" t="s">
        <v>530</v>
      </c>
      <c r="N1865">
        <v>0</v>
      </c>
      <c r="O1865">
        <v>0</v>
      </c>
      <c r="P1865" t="str">
        <f t="shared" si="29"/>
        <v>N</v>
      </c>
      <c r="Q1865" t="s">
        <v>7595</v>
      </c>
    </row>
    <row r="1866" spans="1:17" x14ac:dyDescent="0.25">
      <c r="A1866" t="s">
        <v>4622</v>
      </c>
      <c r="B1866" t="s">
        <v>1044</v>
      </c>
      <c r="C1866">
        <v>2027</v>
      </c>
      <c r="D1866" t="s">
        <v>542</v>
      </c>
      <c r="E1866" t="s">
        <v>834</v>
      </c>
      <c r="F1866" s="32">
        <v>46416</v>
      </c>
      <c r="G1866" t="s">
        <v>514</v>
      </c>
      <c r="H1866">
        <v>47128337</v>
      </c>
      <c r="I1866" t="s">
        <v>1120</v>
      </c>
      <c r="J1866" t="s">
        <v>1119</v>
      </c>
      <c r="K1866" t="s">
        <v>530</v>
      </c>
      <c r="N1866">
        <v>0</v>
      </c>
      <c r="O1866">
        <v>0</v>
      </c>
      <c r="P1866" t="str">
        <f t="shared" si="29"/>
        <v>N</v>
      </c>
      <c r="Q1866" t="s">
        <v>7596</v>
      </c>
    </row>
    <row r="1867" spans="1:17" x14ac:dyDescent="0.25">
      <c r="A1867" t="s">
        <v>4623</v>
      </c>
      <c r="B1867" t="s">
        <v>1044</v>
      </c>
      <c r="C1867">
        <v>2027</v>
      </c>
      <c r="D1867" t="s">
        <v>542</v>
      </c>
      <c r="E1867" t="s">
        <v>834</v>
      </c>
      <c r="F1867" s="32">
        <v>46416</v>
      </c>
      <c r="G1867" t="s">
        <v>514</v>
      </c>
      <c r="H1867">
        <v>47128833</v>
      </c>
      <c r="I1867" t="s">
        <v>1193</v>
      </c>
      <c r="J1867" t="s">
        <v>1192</v>
      </c>
      <c r="K1867" t="s">
        <v>530</v>
      </c>
      <c r="N1867">
        <v>0</v>
      </c>
      <c r="O1867">
        <v>0</v>
      </c>
      <c r="P1867" t="str">
        <f t="shared" si="29"/>
        <v>N</v>
      </c>
      <c r="Q1867" t="s">
        <v>7597</v>
      </c>
    </row>
    <row r="1868" spans="1:17" x14ac:dyDescent="0.25">
      <c r="A1868" t="s">
        <v>4624</v>
      </c>
      <c r="B1868" t="s">
        <v>1044</v>
      </c>
      <c r="C1868">
        <v>2027</v>
      </c>
      <c r="D1868" t="s">
        <v>542</v>
      </c>
      <c r="E1868" t="s">
        <v>834</v>
      </c>
      <c r="F1868" s="32">
        <v>46416</v>
      </c>
      <c r="G1868" t="s">
        <v>514</v>
      </c>
      <c r="H1868">
        <v>47128784</v>
      </c>
      <c r="I1868" t="s">
        <v>1426</v>
      </c>
      <c r="J1868" t="s">
        <v>1425</v>
      </c>
      <c r="K1868" t="s">
        <v>530</v>
      </c>
      <c r="N1868">
        <v>0</v>
      </c>
      <c r="O1868">
        <v>0</v>
      </c>
      <c r="P1868" t="str">
        <f t="shared" si="29"/>
        <v>N</v>
      </c>
      <c r="Q1868" t="s">
        <v>7598</v>
      </c>
    </row>
    <row r="1869" spans="1:17" x14ac:dyDescent="0.25">
      <c r="A1869" t="s">
        <v>4625</v>
      </c>
      <c r="B1869" t="s">
        <v>1044</v>
      </c>
      <c r="C1869">
        <v>2027</v>
      </c>
      <c r="D1869" t="s">
        <v>542</v>
      </c>
      <c r="E1869" t="s">
        <v>834</v>
      </c>
      <c r="F1869" s="32">
        <v>46416</v>
      </c>
      <c r="G1869" t="s">
        <v>514</v>
      </c>
      <c r="H1869">
        <v>47129020</v>
      </c>
      <c r="I1869" t="s">
        <v>1058</v>
      </c>
      <c r="J1869" t="s">
        <v>1057</v>
      </c>
      <c r="K1869" t="s">
        <v>530</v>
      </c>
      <c r="N1869">
        <v>0</v>
      </c>
      <c r="O1869">
        <v>0</v>
      </c>
      <c r="P1869" t="str">
        <f t="shared" si="29"/>
        <v>N</v>
      </c>
      <c r="Q1869" t="s">
        <v>7599</v>
      </c>
    </row>
    <row r="1870" spans="1:17" x14ac:dyDescent="0.25">
      <c r="A1870" t="s">
        <v>4626</v>
      </c>
      <c r="B1870" t="s">
        <v>1044</v>
      </c>
      <c r="C1870">
        <v>2027</v>
      </c>
      <c r="D1870" t="s">
        <v>542</v>
      </c>
      <c r="E1870" t="s">
        <v>834</v>
      </c>
      <c r="F1870" s="32">
        <v>46416</v>
      </c>
      <c r="G1870" t="s">
        <v>514</v>
      </c>
      <c r="H1870">
        <v>47129473</v>
      </c>
      <c r="I1870" t="s">
        <v>1430</v>
      </c>
      <c r="J1870" t="s">
        <v>1429</v>
      </c>
      <c r="K1870" t="s">
        <v>530</v>
      </c>
      <c r="N1870">
        <v>0</v>
      </c>
      <c r="O1870">
        <v>0</v>
      </c>
      <c r="P1870" t="str">
        <f t="shared" si="29"/>
        <v>N</v>
      </c>
      <c r="Q1870" t="s">
        <v>7600</v>
      </c>
    </row>
    <row r="1871" spans="1:17" x14ac:dyDescent="0.25">
      <c r="A1871" t="s">
        <v>4627</v>
      </c>
      <c r="B1871" t="s">
        <v>1044</v>
      </c>
      <c r="C1871">
        <v>2027</v>
      </c>
      <c r="D1871" t="s">
        <v>542</v>
      </c>
      <c r="E1871" t="s">
        <v>834</v>
      </c>
      <c r="F1871" s="32">
        <v>46416</v>
      </c>
      <c r="G1871" t="s">
        <v>514</v>
      </c>
      <c r="H1871">
        <v>47128429</v>
      </c>
      <c r="I1871" t="s">
        <v>1371</v>
      </c>
      <c r="J1871" t="s">
        <v>1370</v>
      </c>
      <c r="K1871" t="s">
        <v>530</v>
      </c>
      <c r="N1871">
        <v>0</v>
      </c>
      <c r="O1871">
        <v>0</v>
      </c>
      <c r="P1871" t="str">
        <f t="shared" si="29"/>
        <v>N</v>
      </c>
      <c r="Q1871" t="s">
        <v>7601</v>
      </c>
    </row>
    <row r="1872" spans="1:17" x14ac:dyDescent="0.25">
      <c r="A1872" t="s">
        <v>4628</v>
      </c>
      <c r="B1872" t="s">
        <v>1044</v>
      </c>
      <c r="C1872">
        <v>2027</v>
      </c>
      <c r="D1872" t="s">
        <v>542</v>
      </c>
      <c r="E1872" t="s">
        <v>834</v>
      </c>
      <c r="F1872" s="32">
        <v>46416</v>
      </c>
      <c r="G1872" t="s">
        <v>514</v>
      </c>
      <c r="H1872">
        <v>47128181</v>
      </c>
      <c r="I1872" t="s">
        <v>1301</v>
      </c>
      <c r="J1872" t="s">
        <v>1300</v>
      </c>
      <c r="K1872" t="s">
        <v>530</v>
      </c>
      <c r="N1872">
        <v>0</v>
      </c>
      <c r="O1872">
        <v>0</v>
      </c>
      <c r="P1872" t="str">
        <f t="shared" si="29"/>
        <v>N</v>
      </c>
      <c r="Q1872" t="s">
        <v>7602</v>
      </c>
    </row>
    <row r="1873" spans="1:17" x14ac:dyDescent="0.25">
      <c r="A1873" t="s">
        <v>4940</v>
      </c>
      <c r="B1873" t="s">
        <v>1090</v>
      </c>
      <c r="C1873">
        <v>2027</v>
      </c>
      <c r="D1873" t="s">
        <v>542</v>
      </c>
      <c r="E1873" t="s">
        <v>834</v>
      </c>
      <c r="F1873" s="32">
        <v>46416</v>
      </c>
      <c r="G1873" t="s">
        <v>514</v>
      </c>
      <c r="H1873">
        <v>47128477</v>
      </c>
      <c r="I1873" t="s">
        <v>1029</v>
      </c>
      <c r="J1873" t="s">
        <v>1028</v>
      </c>
      <c r="K1873" t="s">
        <v>530</v>
      </c>
      <c r="N1873">
        <v>0</v>
      </c>
      <c r="O1873">
        <v>0</v>
      </c>
      <c r="P1873" t="str">
        <f t="shared" si="29"/>
        <v>N</v>
      </c>
      <c r="Q1873" t="s">
        <v>7603</v>
      </c>
    </row>
    <row r="1874" spans="1:17" x14ac:dyDescent="0.25">
      <c r="A1874" t="s">
        <v>4941</v>
      </c>
      <c r="B1874" t="s">
        <v>1090</v>
      </c>
      <c r="C1874">
        <v>2027</v>
      </c>
      <c r="D1874" t="s">
        <v>542</v>
      </c>
      <c r="E1874" t="s">
        <v>834</v>
      </c>
      <c r="F1874" s="32">
        <v>46416</v>
      </c>
      <c r="G1874" t="s">
        <v>514</v>
      </c>
      <c r="H1874">
        <v>47128353</v>
      </c>
      <c r="I1874" t="s">
        <v>982</v>
      </c>
      <c r="J1874" t="s">
        <v>981</v>
      </c>
      <c r="K1874" t="s">
        <v>530</v>
      </c>
      <c r="N1874">
        <v>0</v>
      </c>
      <c r="O1874">
        <v>0</v>
      </c>
      <c r="P1874" t="str">
        <f t="shared" si="29"/>
        <v>N</v>
      </c>
      <c r="Q1874" t="s">
        <v>7604</v>
      </c>
    </row>
    <row r="1875" spans="1:17" x14ac:dyDescent="0.25">
      <c r="A1875" t="s">
        <v>4942</v>
      </c>
      <c r="B1875" t="s">
        <v>1090</v>
      </c>
      <c r="C1875">
        <v>2027</v>
      </c>
      <c r="D1875" t="s">
        <v>542</v>
      </c>
      <c r="E1875" t="s">
        <v>834</v>
      </c>
      <c r="F1875" s="32">
        <v>46416</v>
      </c>
      <c r="G1875" t="s">
        <v>514</v>
      </c>
      <c r="H1875">
        <v>47128350</v>
      </c>
      <c r="I1875" t="s">
        <v>1032</v>
      </c>
      <c r="J1875" t="s">
        <v>1031</v>
      </c>
      <c r="K1875" t="s">
        <v>530</v>
      </c>
      <c r="N1875">
        <v>0</v>
      </c>
      <c r="O1875">
        <v>0</v>
      </c>
      <c r="P1875" t="str">
        <f t="shared" si="29"/>
        <v>N</v>
      </c>
      <c r="Q1875" t="s">
        <v>7605</v>
      </c>
    </row>
    <row r="1876" spans="1:17" x14ac:dyDescent="0.25">
      <c r="A1876" t="s">
        <v>4943</v>
      </c>
      <c r="B1876" t="s">
        <v>1090</v>
      </c>
      <c r="C1876">
        <v>2027</v>
      </c>
      <c r="D1876" t="s">
        <v>542</v>
      </c>
      <c r="E1876" t="s">
        <v>834</v>
      </c>
      <c r="F1876" s="32">
        <v>46416</v>
      </c>
      <c r="G1876" t="s">
        <v>514</v>
      </c>
      <c r="H1876">
        <v>47128349</v>
      </c>
      <c r="I1876" t="s">
        <v>975</v>
      </c>
      <c r="J1876" t="s">
        <v>974</v>
      </c>
      <c r="K1876" t="s">
        <v>530</v>
      </c>
      <c r="N1876">
        <v>31</v>
      </c>
      <c r="O1876">
        <v>31</v>
      </c>
      <c r="P1876" t="str">
        <f t="shared" si="29"/>
        <v>N</v>
      </c>
      <c r="Q1876" t="s">
        <v>7606</v>
      </c>
    </row>
    <row r="1877" spans="1:17" x14ac:dyDescent="0.25">
      <c r="A1877" t="s">
        <v>4944</v>
      </c>
      <c r="B1877" t="s">
        <v>1090</v>
      </c>
      <c r="C1877">
        <v>2027</v>
      </c>
      <c r="D1877" t="s">
        <v>542</v>
      </c>
      <c r="E1877" t="s">
        <v>834</v>
      </c>
      <c r="F1877" s="32">
        <v>46416</v>
      </c>
      <c r="G1877" t="s">
        <v>514</v>
      </c>
      <c r="H1877">
        <v>47128317</v>
      </c>
      <c r="I1877" t="s">
        <v>985</v>
      </c>
      <c r="J1877" t="s">
        <v>984</v>
      </c>
      <c r="K1877" t="s">
        <v>530</v>
      </c>
      <c r="N1877">
        <v>60</v>
      </c>
      <c r="O1877">
        <v>60</v>
      </c>
      <c r="P1877" t="str">
        <f t="shared" si="29"/>
        <v>N</v>
      </c>
      <c r="Q1877" t="s">
        <v>7607</v>
      </c>
    </row>
    <row r="1878" spans="1:17" x14ac:dyDescent="0.25">
      <c r="A1878" t="s">
        <v>4945</v>
      </c>
      <c r="B1878" t="s">
        <v>1090</v>
      </c>
      <c r="C1878">
        <v>2027</v>
      </c>
      <c r="D1878" t="s">
        <v>542</v>
      </c>
      <c r="E1878" t="s">
        <v>834</v>
      </c>
      <c r="F1878" s="32">
        <v>46416</v>
      </c>
      <c r="G1878" t="s">
        <v>514</v>
      </c>
      <c r="H1878">
        <v>47128137</v>
      </c>
      <c r="I1878" t="s">
        <v>1008</v>
      </c>
      <c r="J1878" t="s">
        <v>1007</v>
      </c>
      <c r="K1878" t="s">
        <v>530</v>
      </c>
      <c r="N1878">
        <v>10</v>
      </c>
      <c r="O1878">
        <v>10</v>
      </c>
      <c r="P1878" t="str">
        <f t="shared" si="29"/>
        <v>N</v>
      </c>
      <c r="Q1878" t="s">
        <v>7608</v>
      </c>
    </row>
    <row r="1879" spans="1:17" x14ac:dyDescent="0.25">
      <c r="A1879" t="s">
        <v>4946</v>
      </c>
      <c r="B1879" t="s">
        <v>1090</v>
      </c>
      <c r="C1879">
        <v>2027</v>
      </c>
      <c r="D1879" t="s">
        <v>542</v>
      </c>
      <c r="E1879" t="s">
        <v>834</v>
      </c>
      <c r="F1879" s="32">
        <v>46416</v>
      </c>
      <c r="G1879" t="s">
        <v>514</v>
      </c>
      <c r="H1879">
        <v>47128085</v>
      </c>
      <c r="I1879" t="s">
        <v>942</v>
      </c>
      <c r="J1879" t="s">
        <v>941</v>
      </c>
      <c r="K1879" t="s">
        <v>530</v>
      </c>
      <c r="N1879">
        <v>0</v>
      </c>
      <c r="O1879">
        <v>0</v>
      </c>
      <c r="P1879" t="str">
        <f t="shared" si="29"/>
        <v>N</v>
      </c>
      <c r="Q1879" t="s">
        <v>7609</v>
      </c>
    </row>
    <row r="1880" spans="1:17" x14ac:dyDescent="0.25">
      <c r="A1880" t="s">
        <v>4947</v>
      </c>
      <c r="B1880" t="s">
        <v>1090</v>
      </c>
      <c r="C1880">
        <v>2027</v>
      </c>
      <c r="D1880" t="s">
        <v>542</v>
      </c>
      <c r="E1880" t="s">
        <v>834</v>
      </c>
      <c r="F1880" s="32">
        <v>46416</v>
      </c>
      <c r="G1880" t="s">
        <v>514</v>
      </c>
      <c r="H1880">
        <v>47128139</v>
      </c>
      <c r="I1880" t="s">
        <v>988</v>
      </c>
      <c r="J1880" t="s">
        <v>987</v>
      </c>
      <c r="K1880" t="s">
        <v>530</v>
      </c>
      <c r="N1880">
        <v>0</v>
      </c>
      <c r="O1880">
        <v>0</v>
      </c>
      <c r="P1880" t="str">
        <f t="shared" si="29"/>
        <v>N</v>
      </c>
      <c r="Q1880" t="s">
        <v>7610</v>
      </c>
    </row>
    <row r="1881" spans="1:17" x14ac:dyDescent="0.25">
      <c r="A1881" t="s">
        <v>4948</v>
      </c>
      <c r="B1881" t="s">
        <v>1090</v>
      </c>
      <c r="C1881">
        <v>2027</v>
      </c>
      <c r="D1881" t="s">
        <v>542</v>
      </c>
      <c r="E1881" t="s">
        <v>834</v>
      </c>
      <c r="F1881" s="32">
        <v>46416</v>
      </c>
      <c r="G1881" t="s">
        <v>514</v>
      </c>
      <c r="H1881">
        <v>47128939</v>
      </c>
      <c r="I1881" t="s">
        <v>1224</v>
      </c>
      <c r="J1881" t="s">
        <v>1223</v>
      </c>
      <c r="K1881" t="s">
        <v>530</v>
      </c>
      <c r="N1881">
        <v>0</v>
      </c>
      <c r="O1881">
        <v>0</v>
      </c>
      <c r="P1881" t="str">
        <f t="shared" si="29"/>
        <v>N</v>
      </c>
      <c r="Q1881" t="s">
        <v>7611</v>
      </c>
    </row>
    <row r="1882" spans="1:17" x14ac:dyDescent="0.25">
      <c r="A1882" t="s">
        <v>4949</v>
      </c>
      <c r="B1882" t="s">
        <v>1090</v>
      </c>
      <c r="C1882">
        <v>2027</v>
      </c>
      <c r="D1882" t="s">
        <v>542</v>
      </c>
      <c r="E1882" t="s">
        <v>834</v>
      </c>
      <c r="F1882" s="32">
        <v>46416</v>
      </c>
      <c r="G1882" t="s">
        <v>514</v>
      </c>
      <c r="H1882">
        <v>47128449</v>
      </c>
      <c r="I1882" t="s">
        <v>1364</v>
      </c>
      <c r="J1882" t="s">
        <v>1363</v>
      </c>
      <c r="K1882" t="s">
        <v>530</v>
      </c>
      <c r="N1882">
        <v>0</v>
      </c>
      <c r="O1882">
        <v>0</v>
      </c>
      <c r="P1882" t="str">
        <f t="shared" si="29"/>
        <v>N</v>
      </c>
      <c r="Q1882" t="s">
        <v>7612</v>
      </c>
    </row>
    <row r="1883" spans="1:17" x14ac:dyDescent="0.25">
      <c r="A1883" t="s">
        <v>4950</v>
      </c>
      <c r="B1883" t="s">
        <v>1090</v>
      </c>
      <c r="C1883">
        <v>2027</v>
      </c>
      <c r="D1883" t="s">
        <v>542</v>
      </c>
      <c r="E1883" t="s">
        <v>834</v>
      </c>
      <c r="F1883" s="32">
        <v>46416</v>
      </c>
      <c r="G1883" t="s">
        <v>514</v>
      </c>
      <c r="H1883">
        <v>47128902</v>
      </c>
      <c r="I1883" t="s">
        <v>1243</v>
      </c>
      <c r="J1883" t="s">
        <v>1242</v>
      </c>
      <c r="K1883" t="s">
        <v>530</v>
      </c>
      <c r="N1883">
        <v>0</v>
      </c>
      <c r="O1883">
        <v>0</v>
      </c>
      <c r="P1883" t="str">
        <f t="shared" si="29"/>
        <v>N</v>
      </c>
      <c r="Q1883" t="s">
        <v>7613</v>
      </c>
    </row>
    <row r="1884" spans="1:17" x14ac:dyDescent="0.25">
      <c r="A1884" t="s">
        <v>4951</v>
      </c>
      <c r="B1884" t="s">
        <v>1090</v>
      </c>
      <c r="C1884">
        <v>2027</v>
      </c>
      <c r="D1884" t="s">
        <v>542</v>
      </c>
      <c r="E1884" t="s">
        <v>834</v>
      </c>
      <c r="F1884" s="32">
        <v>46416</v>
      </c>
      <c r="G1884" t="s">
        <v>514</v>
      </c>
      <c r="H1884">
        <v>47128417</v>
      </c>
      <c r="I1884" t="s">
        <v>1069</v>
      </c>
      <c r="J1884" t="s">
        <v>1068</v>
      </c>
      <c r="K1884" t="s">
        <v>530</v>
      </c>
      <c r="N1884">
        <v>0</v>
      </c>
      <c r="O1884">
        <v>0</v>
      </c>
      <c r="P1884" t="str">
        <f t="shared" si="29"/>
        <v>N</v>
      </c>
      <c r="Q1884" t="s">
        <v>7614</v>
      </c>
    </row>
    <row r="1885" spans="1:17" x14ac:dyDescent="0.25">
      <c r="A1885" t="s">
        <v>4952</v>
      </c>
      <c r="B1885" t="s">
        <v>1090</v>
      </c>
      <c r="C1885">
        <v>2027</v>
      </c>
      <c r="D1885" t="s">
        <v>542</v>
      </c>
      <c r="E1885" t="s">
        <v>834</v>
      </c>
      <c r="F1885" s="32">
        <v>46416</v>
      </c>
      <c r="G1885" t="s">
        <v>514</v>
      </c>
      <c r="H1885">
        <v>47129017</v>
      </c>
      <c r="I1885" t="s">
        <v>1073</v>
      </c>
      <c r="J1885" t="s">
        <v>1072</v>
      </c>
      <c r="K1885" t="s">
        <v>530</v>
      </c>
      <c r="N1885">
        <v>0</v>
      </c>
      <c r="O1885">
        <v>0</v>
      </c>
      <c r="P1885" t="str">
        <f t="shared" si="29"/>
        <v>N</v>
      </c>
      <c r="Q1885" t="s">
        <v>7615</v>
      </c>
    </row>
    <row r="1886" spans="1:17" x14ac:dyDescent="0.25">
      <c r="A1886" t="s">
        <v>4953</v>
      </c>
      <c r="B1886" t="s">
        <v>1090</v>
      </c>
      <c r="C1886">
        <v>2027</v>
      </c>
      <c r="D1886" t="s">
        <v>542</v>
      </c>
      <c r="E1886" t="s">
        <v>834</v>
      </c>
      <c r="F1886" s="32">
        <v>46416</v>
      </c>
      <c r="G1886" t="s">
        <v>514</v>
      </c>
      <c r="H1886">
        <v>47128936</v>
      </c>
      <c r="I1886" t="s">
        <v>1173</v>
      </c>
      <c r="J1886" t="s">
        <v>1172</v>
      </c>
      <c r="K1886" t="s">
        <v>530</v>
      </c>
      <c r="N1886">
        <v>0</v>
      </c>
      <c r="O1886">
        <v>0</v>
      </c>
      <c r="P1886" t="str">
        <f t="shared" si="29"/>
        <v>N</v>
      </c>
      <c r="Q1886" t="s">
        <v>7616</v>
      </c>
    </row>
    <row r="1887" spans="1:17" x14ac:dyDescent="0.25">
      <c r="A1887" t="s">
        <v>4954</v>
      </c>
      <c r="B1887" t="s">
        <v>1090</v>
      </c>
      <c r="C1887">
        <v>2027</v>
      </c>
      <c r="D1887" t="s">
        <v>542</v>
      </c>
      <c r="E1887" t="s">
        <v>834</v>
      </c>
      <c r="F1887" s="32">
        <v>46416</v>
      </c>
      <c r="G1887" t="s">
        <v>514</v>
      </c>
      <c r="H1887">
        <v>47129715</v>
      </c>
      <c r="I1887" t="s">
        <v>1272</v>
      </c>
      <c r="J1887" t="s">
        <v>1271</v>
      </c>
      <c r="K1887" t="s">
        <v>530</v>
      </c>
      <c r="N1887">
        <v>0</v>
      </c>
      <c r="O1887">
        <v>0</v>
      </c>
      <c r="P1887" t="str">
        <f t="shared" si="29"/>
        <v>N</v>
      </c>
      <c r="Q1887" t="s">
        <v>7617</v>
      </c>
    </row>
    <row r="1888" spans="1:17" x14ac:dyDescent="0.25">
      <c r="A1888" t="s">
        <v>4955</v>
      </c>
      <c r="B1888" t="s">
        <v>1090</v>
      </c>
      <c r="C1888">
        <v>2027</v>
      </c>
      <c r="D1888" t="s">
        <v>542</v>
      </c>
      <c r="E1888" t="s">
        <v>834</v>
      </c>
      <c r="F1888" s="32">
        <v>46416</v>
      </c>
      <c r="G1888" t="s">
        <v>514</v>
      </c>
      <c r="H1888">
        <v>47129702</v>
      </c>
      <c r="I1888" t="s">
        <v>1309</v>
      </c>
      <c r="J1888" t="s">
        <v>1308</v>
      </c>
      <c r="K1888" t="s">
        <v>530</v>
      </c>
      <c r="N1888">
        <v>17</v>
      </c>
      <c r="O1888">
        <v>17</v>
      </c>
      <c r="P1888" t="str">
        <f t="shared" si="29"/>
        <v>N</v>
      </c>
      <c r="Q1888" t="s">
        <v>7618</v>
      </c>
    </row>
    <row r="1889" spans="1:17" x14ac:dyDescent="0.25">
      <c r="A1889" t="s">
        <v>4956</v>
      </c>
      <c r="B1889" t="s">
        <v>1090</v>
      </c>
      <c r="C1889">
        <v>2027</v>
      </c>
      <c r="D1889" t="s">
        <v>542</v>
      </c>
      <c r="E1889" t="s">
        <v>834</v>
      </c>
      <c r="F1889" s="32">
        <v>46416</v>
      </c>
      <c r="G1889" t="s">
        <v>514</v>
      </c>
      <c r="H1889">
        <v>47148279</v>
      </c>
      <c r="I1889" t="s">
        <v>1236</v>
      </c>
      <c r="J1889" t="s">
        <v>1235</v>
      </c>
      <c r="K1889" t="s">
        <v>530</v>
      </c>
      <c r="N1889">
        <v>0</v>
      </c>
      <c r="O1889">
        <v>0</v>
      </c>
      <c r="P1889" t="str">
        <f t="shared" si="29"/>
        <v>N</v>
      </c>
      <c r="Q1889" t="s">
        <v>7619</v>
      </c>
    </row>
    <row r="1890" spans="1:17" x14ac:dyDescent="0.25">
      <c r="A1890" t="s">
        <v>4957</v>
      </c>
      <c r="B1890" t="s">
        <v>1090</v>
      </c>
      <c r="C1890">
        <v>2027</v>
      </c>
      <c r="D1890" t="s">
        <v>542</v>
      </c>
      <c r="E1890" t="s">
        <v>834</v>
      </c>
      <c r="F1890" s="32">
        <v>46416</v>
      </c>
      <c r="G1890" t="s">
        <v>514</v>
      </c>
      <c r="H1890">
        <v>47128777</v>
      </c>
      <c r="I1890" t="s">
        <v>1329</v>
      </c>
      <c r="J1890" t="s">
        <v>1328</v>
      </c>
      <c r="K1890" t="s">
        <v>530</v>
      </c>
      <c r="N1890">
        <v>0</v>
      </c>
      <c r="O1890">
        <v>0</v>
      </c>
      <c r="P1890" t="str">
        <f t="shared" si="29"/>
        <v>N</v>
      </c>
      <c r="Q1890" t="s">
        <v>7620</v>
      </c>
    </row>
    <row r="1891" spans="1:17" x14ac:dyDescent="0.25">
      <c r="A1891" t="s">
        <v>4958</v>
      </c>
      <c r="B1891" t="s">
        <v>1090</v>
      </c>
      <c r="C1891">
        <v>2027</v>
      </c>
      <c r="D1891" t="s">
        <v>542</v>
      </c>
      <c r="E1891" t="s">
        <v>834</v>
      </c>
      <c r="F1891" s="32">
        <v>46416</v>
      </c>
      <c r="G1891" t="s">
        <v>514</v>
      </c>
      <c r="H1891">
        <v>47148880</v>
      </c>
      <c r="I1891" t="s">
        <v>1305</v>
      </c>
      <c r="J1891" t="s">
        <v>1304</v>
      </c>
      <c r="K1891" t="s">
        <v>530</v>
      </c>
      <c r="N1891">
        <v>9</v>
      </c>
      <c r="O1891">
        <v>9</v>
      </c>
      <c r="P1891" t="str">
        <f t="shared" si="29"/>
        <v>N</v>
      </c>
      <c r="Q1891" t="s">
        <v>7621</v>
      </c>
    </row>
    <row r="1892" spans="1:17" x14ac:dyDescent="0.25">
      <c r="A1892" t="s">
        <v>4959</v>
      </c>
      <c r="B1892" t="s">
        <v>1090</v>
      </c>
      <c r="C1892">
        <v>2027</v>
      </c>
      <c r="D1892" t="s">
        <v>542</v>
      </c>
      <c r="E1892" t="s">
        <v>834</v>
      </c>
      <c r="F1892" s="32">
        <v>46416</v>
      </c>
      <c r="G1892" t="s">
        <v>514</v>
      </c>
      <c r="H1892">
        <v>47128467</v>
      </c>
      <c r="I1892" t="s">
        <v>1292</v>
      </c>
      <c r="J1892" t="s">
        <v>1291</v>
      </c>
      <c r="K1892" t="s">
        <v>530</v>
      </c>
      <c r="N1892">
        <v>0</v>
      </c>
      <c r="O1892">
        <v>0</v>
      </c>
      <c r="P1892" t="str">
        <f t="shared" si="29"/>
        <v>N</v>
      </c>
      <c r="Q1892" t="s">
        <v>7622</v>
      </c>
    </row>
    <row r="1893" spans="1:17" x14ac:dyDescent="0.25">
      <c r="A1893" t="s">
        <v>4960</v>
      </c>
      <c r="B1893" t="s">
        <v>1090</v>
      </c>
      <c r="C1893">
        <v>2027</v>
      </c>
      <c r="D1893" t="s">
        <v>542</v>
      </c>
      <c r="E1893" t="s">
        <v>834</v>
      </c>
      <c r="F1893" s="32">
        <v>46416</v>
      </c>
      <c r="G1893" t="s">
        <v>514</v>
      </c>
      <c r="H1893">
        <v>47128643</v>
      </c>
      <c r="I1893" t="s">
        <v>1367</v>
      </c>
      <c r="J1893" t="s">
        <v>1366</v>
      </c>
      <c r="K1893" t="s">
        <v>530</v>
      </c>
      <c r="N1893">
        <v>0</v>
      </c>
      <c r="O1893">
        <v>0</v>
      </c>
      <c r="P1893" t="str">
        <f t="shared" si="29"/>
        <v>N</v>
      </c>
      <c r="Q1893" t="s">
        <v>7623</v>
      </c>
    </row>
    <row r="1894" spans="1:17" x14ac:dyDescent="0.25">
      <c r="A1894" t="s">
        <v>4961</v>
      </c>
      <c r="B1894" t="s">
        <v>1090</v>
      </c>
      <c r="C1894">
        <v>2027</v>
      </c>
      <c r="D1894" t="s">
        <v>542</v>
      </c>
      <c r="E1894" t="s">
        <v>834</v>
      </c>
      <c r="F1894" s="32">
        <v>46416</v>
      </c>
      <c r="G1894" t="s">
        <v>514</v>
      </c>
      <c r="H1894">
        <v>47151576</v>
      </c>
      <c r="I1894" t="s">
        <v>1506</v>
      </c>
      <c r="J1894" t="s">
        <v>1505</v>
      </c>
      <c r="K1894" t="s">
        <v>530</v>
      </c>
      <c r="N1894">
        <v>0</v>
      </c>
      <c r="O1894">
        <v>0</v>
      </c>
      <c r="P1894" t="str">
        <f t="shared" si="29"/>
        <v>N</v>
      </c>
      <c r="Q1894" t="s">
        <v>7624</v>
      </c>
    </row>
    <row r="1895" spans="1:17" x14ac:dyDescent="0.25">
      <c r="A1895" t="s">
        <v>4962</v>
      </c>
      <c r="B1895" t="s">
        <v>1090</v>
      </c>
      <c r="C1895">
        <v>2027</v>
      </c>
      <c r="D1895" t="s">
        <v>542</v>
      </c>
      <c r="E1895" t="s">
        <v>834</v>
      </c>
      <c r="F1895" s="32">
        <v>46416</v>
      </c>
      <c r="G1895" t="s">
        <v>514</v>
      </c>
      <c r="H1895">
        <v>47129459</v>
      </c>
      <c r="I1895" t="s">
        <v>1321</v>
      </c>
      <c r="J1895" t="s">
        <v>1320</v>
      </c>
      <c r="K1895" t="s">
        <v>530</v>
      </c>
      <c r="N1895">
        <v>0</v>
      </c>
      <c r="O1895">
        <v>0</v>
      </c>
      <c r="P1895" t="str">
        <f t="shared" si="29"/>
        <v>N</v>
      </c>
      <c r="Q1895" t="s">
        <v>7625</v>
      </c>
    </row>
    <row r="1896" spans="1:17" x14ac:dyDescent="0.25">
      <c r="A1896" t="s">
        <v>4963</v>
      </c>
      <c r="B1896" t="s">
        <v>1090</v>
      </c>
      <c r="C1896">
        <v>2027</v>
      </c>
      <c r="D1896" t="s">
        <v>542</v>
      </c>
      <c r="E1896" t="s">
        <v>834</v>
      </c>
      <c r="F1896" s="32">
        <v>46416</v>
      </c>
      <c r="G1896" t="s">
        <v>514</v>
      </c>
      <c r="H1896">
        <v>47129130</v>
      </c>
      <c r="I1896" t="s">
        <v>1434</v>
      </c>
      <c r="J1896" t="s">
        <v>1433</v>
      </c>
      <c r="K1896" t="s">
        <v>530</v>
      </c>
      <c r="N1896">
        <v>0</v>
      </c>
      <c r="O1896">
        <v>0</v>
      </c>
      <c r="P1896" t="str">
        <f t="shared" si="29"/>
        <v>N</v>
      </c>
      <c r="Q1896" t="s">
        <v>7626</v>
      </c>
    </row>
    <row r="1897" spans="1:17" x14ac:dyDescent="0.25">
      <c r="A1897" t="s">
        <v>4964</v>
      </c>
      <c r="B1897" t="s">
        <v>1090</v>
      </c>
      <c r="C1897">
        <v>2027</v>
      </c>
      <c r="D1897" t="s">
        <v>542</v>
      </c>
      <c r="E1897" t="s">
        <v>834</v>
      </c>
      <c r="F1897" s="32">
        <v>46416</v>
      </c>
      <c r="G1897" t="s">
        <v>514</v>
      </c>
      <c r="H1897">
        <v>47129692</v>
      </c>
      <c r="I1897" t="s">
        <v>1475</v>
      </c>
      <c r="J1897" t="s">
        <v>1474</v>
      </c>
      <c r="K1897" t="s">
        <v>530</v>
      </c>
      <c r="N1897">
        <v>0</v>
      </c>
      <c r="O1897">
        <v>0</v>
      </c>
      <c r="P1897" t="str">
        <f t="shared" si="29"/>
        <v>N</v>
      </c>
      <c r="Q1897" t="s">
        <v>7627</v>
      </c>
    </row>
    <row r="1898" spans="1:17" x14ac:dyDescent="0.25">
      <c r="A1898" t="s">
        <v>4965</v>
      </c>
      <c r="B1898" t="s">
        <v>1090</v>
      </c>
      <c r="C1898">
        <v>2027</v>
      </c>
      <c r="D1898" t="s">
        <v>542</v>
      </c>
      <c r="E1898" t="s">
        <v>834</v>
      </c>
      <c r="F1898" s="32">
        <v>46416</v>
      </c>
      <c r="G1898" t="s">
        <v>514</v>
      </c>
      <c r="H1898">
        <v>47153262</v>
      </c>
      <c r="I1898" t="s">
        <v>1502</v>
      </c>
      <c r="J1898" t="s">
        <v>1501</v>
      </c>
      <c r="K1898" t="s">
        <v>530</v>
      </c>
      <c r="N1898">
        <v>0</v>
      </c>
      <c r="O1898">
        <v>0</v>
      </c>
      <c r="P1898" t="str">
        <f t="shared" si="29"/>
        <v>N</v>
      </c>
      <c r="Q1898" t="s">
        <v>7628</v>
      </c>
    </row>
    <row r="1899" spans="1:17" x14ac:dyDescent="0.25">
      <c r="A1899" t="s">
        <v>4966</v>
      </c>
      <c r="B1899" t="s">
        <v>1090</v>
      </c>
      <c r="C1899">
        <v>2027</v>
      </c>
      <c r="D1899" t="s">
        <v>542</v>
      </c>
      <c r="E1899" t="s">
        <v>834</v>
      </c>
      <c r="F1899" s="32">
        <v>46416</v>
      </c>
      <c r="G1899" t="s">
        <v>514</v>
      </c>
      <c r="H1899">
        <v>47146895</v>
      </c>
      <c r="I1899" t="s">
        <v>1375</v>
      </c>
      <c r="J1899" t="s">
        <v>1374</v>
      </c>
      <c r="K1899" t="s">
        <v>530</v>
      </c>
      <c r="N1899">
        <v>0</v>
      </c>
      <c r="O1899">
        <v>0</v>
      </c>
      <c r="P1899" t="str">
        <f t="shared" si="29"/>
        <v>N</v>
      </c>
      <c r="Q1899" t="s">
        <v>7629</v>
      </c>
    </row>
    <row r="1900" spans="1:17" x14ac:dyDescent="0.25">
      <c r="A1900" t="s">
        <v>4967</v>
      </c>
      <c r="B1900" t="s">
        <v>1090</v>
      </c>
      <c r="C1900">
        <v>2027</v>
      </c>
      <c r="D1900" t="s">
        <v>542</v>
      </c>
      <c r="E1900" t="s">
        <v>834</v>
      </c>
      <c r="F1900" s="32">
        <v>46416</v>
      </c>
      <c r="G1900" t="s">
        <v>514</v>
      </c>
      <c r="H1900">
        <v>47128115</v>
      </c>
      <c r="I1900" t="s">
        <v>1260</v>
      </c>
      <c r="J1900" t="s">
        <v>1499</v>
      </c>
      <c r="K1900" t="s">
        <v>530</v>
      </c>
      <c r="N1900">
        <v>0</v>
      </c>
      <c r="O1900">
        <v>0</v>
      </c>
      <c r="P1900" t="str">
        <f t="shared" si="29"/>
        <v>N</v>
      </c>
      <c r="Q1900" t="s">
        <v>7630</v>
      </c>
    </row>
    <row r="1901" spans="1:17" x14ac:dyDescent="0.25">
      <c r="A1901" t="s">
        <v>4968</v>
      </c>
      <c r="B1901" t="s">
        <v>1090</v>
      </c>
      <c r="C1901">
        <v>2027</v>
      </c>
      <c r="D1901" t="s">
        <v>542</v>
      </c>
      <c r="E1901" t="s">
        <v>834</v>
      </c>
      <c r="F1901" s="32">
        <v>46416</v>
      </c>
      <c r="G1901" t="s">
        <v>514</v>
      </c>
      <c r="H1901">
        <v>47129679</v>
      </c>
      <c r="I1901" t="s">
        <v>1422</v>
      </c>
      <c r="J1901" t="s">
        <v>1421</v>
      </c>
      <c r="K1901" t="s">
        <v>530</v>
      </c>
      <c r="N1901">
        <v>0</v>
      </c>
      <c r="O1901">
        <v>0</v>
      </c>
      <c r="P1901" t="str">
        <f t="shared" si="29"/>
        <v>N</v>
      </c>
      <c r="Q1901" t="s">
        <v>7631</v>
      </c>
    </row>
    <row r="1902" spans="1:17" x14ac:dyDescent="0.25">
      <c r="A1902" t="s">
        <v>4969</v>
      </c>
      <c r="B1902" t="s">
        <v>1090</v>
      </c>
      <c r="C1902">
        <v>2027</v>
      </c>
      <c r="D1902" t="s">
        <v>542</v>
      </c>
      <c r="E1902" t="s">
        <v>834</v>
      </c>
      <c r="F1902" s="32">
        <v>46416</v>
      </c>
      <c r="G1902" t="s">
        <v>514</v>
      </c>
      <c r="H1902">
        <v>47129432</v>
      </c>
      <c r="I1902" t="s">
        <v>1468</v>
      </c>
      <c r="J1902" t="s">
        <v>1467</v>
      </c>
      <c r="K1902" t="s">
        <v>530</v>
      </c>
      <c r="N1902">
        <v>0</v>
      </c>
      <c r="O1902">
        <v>0</v>
      </c>
      <c r="P1902" t="str">
        <f t="shared" si="29"/>
        <v>N</v>
      </c>
      <c r="Q1902" t="s">
        <v>7632</v>
      </c>
    </row>
    <row r="1903" spans="1:17" x14ac:dyDescent="0.25">
      <c r="A1903" t="s">
        <v>4970</v>
      </c>
      <c r="B1903" t="s">
        <v>1090</v>
      </c>
      <c r="C1903">
        <v>2027</v>
      </c>
      <c r="D1903" t="s">
        <v>542</v>
      </c>
      <c r="E1903" t="s">
        <v>834</v>
      </c>
      <c r="F1903" s="32">
        <v>46416</v>
      </c>
      <c r="G1903" t="s">
        <v>514</v>
      </c>
      <c r="H1903">
        <v>47129050</v>
      </c>
      <c r="I1903" t="s">
        <v>1482</v>
      </c>
      <c r="J1903" t="s">
        <v>1481</v>
      </c>
      <c r="K1903" t="s">
        <v>530</v>
      </c>
      <c r="N1903">
        <v>0</v>
      </c>
      <c r="O1903">
        <v>0</v>
      </c>
      <c r="P1903" t="str">
        <f t="shared" si="29"/>
        <v>N</v>
      </c>
      <c r="Q1903" t="s">
        <v>7633</v>
      </c>
    </row>
    <row r="1904" spans="1:17" x14ac:dyDescent="0.25">
      <c r="A1904" t="s">
        <v>5281</v>
      </c>
      <c r="B1904" t="s">
        <v>1089</v>
      </c>
      <c r="C1904">
        <v>2027</v>
      </c>
      <c r="D1904" t="s">
        <v>542</v>
      </c>
      <c r="E1904" t="s">
        <v>834</v>
      </c>
      <c r="F1904" s="32">
        <v>46416</v>
      </c>
      <c r="G1904" t="s">
        <v>514</v>
      </c>
      <c r="H1904">
        <v>47128421</v>
      </c>
      <c r="I1904" t="s">
        <v>1086</v>
      </c>
      <c r="J1904" t="s">
        <v>1085</v>
      </c>
      <c r="K1904" t="s">
        <v>530</v>
      </c>
      <c r="N1904">
        <v>0</v>
      </c>
      <c r="O1904">
        <v>0</v>
      </c>
      <c r="P1904" t="str">
        <f t="shared" si="29"/>
        <v>N</v>
      </c>
      <c r="Q1904" t="s">
        <v>7634</v>
      </c>
    </row>
    <row r="1905" spans="1:17" x14ac:dyDescent="0.25">
      <c r="A1905" t="s">
        <v>5282</v>
      </c>
      <c r="B1905" t="s">
        <v>1089</v>
      </c>
      <c r="C1905">
        <v>2027</v>
      </c>
      <c r="D1905" t="s">
        <v>542</v>
      </c>
      <c r="E1905" t="s">
        <v>834</v>
      </c>
      <c r="F1905" s="32">
        <v>46416</v>
      </c>
      <c r="G1905" t="s">
        <v>514</v>
      </c>
      <c r="H1905">
        <v>47128706</v>
      </c>
      <c r="I1905" t="s">
        <v>1201</v>
      </c>
      <c r="J1905" t="s">
        <v>1200</v>
      </c>
      <c r="K1905" t="s">
        <v>530</v>
      </c>
      <c r="N1905">
        <v>0</v>
      </c>
      <c r="O1905">
        <v>0</v>
      </c>
      <c r="P1905" t="str">
        <f t="shared" si="29"/>
        <v>N</v>
      </c>
      <c r="Q1905" t="s">
        <v>7635</v>
      </c>
    </row>
    <row r="1906" spans="1:17" x14ac:dyDescent="0.25">
      <c r="A1906" t="s">
        <v>5283</v>
      </c>
      <c r="B1906" t="s">
        <v>1089</v>
      </c>
      <c r="C1906">
        <v>2027</v>
      </c>
      <c r="D1906" t="s">
        <v>542</v>
      </c>
      <c r="E1906" t="s">
        <v>834</v>
      </c>
      <c r="F1906" s="32">
        <v>46416</v>
      </c>
      <c r="G1906" t="s">
        <v>514</v>
      </c>
      <c r="H1906">
        <v>47128364</v>
      </c>
      <c r="I1906" t="s">
        <v>1264</v>
      </c>
      <c r="J1906" t="s">
        <v>1263</v>
      </c>
      <c r="K1906" t="s">
        <v>530</v>
      </c>
      <c r="N1906">
        <v>70</v>
      </c>
      <c r="O1906">
        <v>70</v>
      </c>
      <c r="P1906" t="str">
        <f t="shared" si="29"/>
        <v>N</v>
      </c>
      <c r="Q1906" t="s">
        <v>7636</v>
      </c>
    </row>
    <row r="1907" spans="1:17" x14ac:dyDescent="0.25">
      <c r="A1907" t="s">
        <v>5284</v>
      </c>
      <c r="B1907" t="s">
        <v>1089</v>
      </c>
      <c r="C1907">
        <v>2027</v>
      </c>
      <c r="D1907" t="s">
        <v>542</v>
      </c>
      <c r="E1907" t="s">
        <v>834</v>
      </c>
      <c r="F1907" s="32">
        <v>46416</v>
      </c>
      <c r="G1907" t="s">
        <v>514</v>
      </c>
      <c r="H1907">
        <v>47128633</v>
      </c>
      <c r="I1907" t="s">
        <v>1164</v>
      </c>
      <c r="J1907" t="s">
        <v>1163</v>
      </c>
      <c r="K1907" t="s">
        <v>530</v>
      </c>
      <c r="N1907">
        <v>0</v>
      </c>
      <c r="O1907">
        <v>0</v>
      </c>
      <c r="P1907" t="str">
        <f t="shared" si="29"/>
        <v>N</v>
      </c>
      <c r="Q1907" t="s">
        <v>7637</v>
      </c>
    </row>
    <row r="1908" spans="1:17" x14ac:dyDescent="0.25">
      <c r="A1908" t="s">
        <v>5285</v>
      </c>
      <c r="B1908" t="s">
        <v>1089</v>
      </c>
      <c r="C1908">
        <v>2027</v>
      </c>
      <c r="D1908" t="s">
        <v>542</v>
      </c>
      <c r="E1908" t="s">
        <v>834</v>
      </c>
      <c r="F1908" s="32">
        <v>46416</v>
      </c>
      <c r="G1908" t="s">
        <v>514</v>
      </c>
      <c r="H1908">
        <v>47128046</v>
      </c>
      <c r="I1908" t="s">
        <v>1389</v>
      </c>
      <c r="J1908" t="s">
        <v>1388</v>
      </c>
      <c r="K1908" t="s">
        <v>530</v>
      </c>
      <c r="N1908">
        <v>0</v>
      </c>
      <c r="O1908">
        <v>0</v>
      </c>
      <c r="P1908" t="str">
        <f t="shared" si="29"/>
        <v>N</v>
      </c>
      <c r="Q1908" t="s">
        <v>7638</v>
      </c>
    </row>
    <row r="1909" spans="1:17" x14ac:dyDescent="0.25">
      <c r="A1909" t="s">
        <v>5286</v>
      </c>
      <c r="B1909" t="s">
        <v>1089</v>
      </c>
      <c r="C1909">
        <v>2027</v>
      </c>
      <c r="D1909" t="s">
        <v>542</v>
      </c>
      <c r="E1909" t="s">
        <v>834</v>
      </c>
      <c r="F1909" s="32">
        <v>46416</v>
      </c>
      <c r="G1909" t="s">
        <v>514</v>
      </c>
      <c r="H1909">
        <v>47129548</v>
      </c>
      <c r="I1909" t="s">
        <v>1340</v>
      </c>
      <c r="J1909" t="s">
        <v>1339</v>
      </c>
      <c r="K1909" t="s">
        <v>530</v>
      </c>
      <c r="N1909">
        <v>25</v>
      </c>
      <c r="O1909">
        <v>25</v>
      </c>
      <c r="P1909" t="str">
        <f t="shared" si="29"/>
        <v>N</v>
      </c>
      <c r="Q1909" t="s">
        <v>7639</v>
      </c>
    </row>
    <row r="1910" spans="1:17" x14ac:dyDescent="0.25">
      <c r="A1910" t="s">
        <v>5287</v>
      </c>
      <c r="B1910" t="s">
        <v>1089</v>
      </c>
      <c r="C1910">
        <v>2027</v>
      </c>
      <c r="D1910" t="s">
        <v>542</v>
      </c>
      <c r="E1910" t="s">
        <v>834</v>
      </c>
      <c r="F1910" s="32">
        <v>46416</v>
      </c>
      <c r="G1910" t="s">
        <v>514</v>
      </c>
      <c r="H1910">
        <v>47128835</v>
      </c>
      <c r="I1910" t="s">
        <v>998</v>
      </c>
      <c r="J1910" t="s">
        <v>997</v>
      </c>
      <c r="K1910" t="s">
        <v>530</v>
      </c>
      <c r="N1910">
        <v>0</v>
      </c>
      <c r="O1910">
        <v>0</v>
      </c>
      <c r="P1910" t="str">
        <f t="shared" si="29"/>
        <v>N</v>
      </c>
      <c r="Q1910" t="s">
        <v>7640</v>
      </c>
    </row>
    <row r="1911" spans="1:17" x14ac:dyDescent="0.25">
      <c r="A1911" t="s">
        <v>5288</v>
      </c>
      <c r="B1911" t="s">
        <v>1089</v>
      </c>
      <c r="C1911">
        <v>2027</v>
      </c>
      <c r="D1911" t="s">
        <v>542</v>
      </c>
      <c r="E1911" t="s">
        <v>834</v>
      </c>
      <c r="F1911" s="32">
        <v>46416</v>
      </c>
      <c r="G1911" t="s">
        <v>514</v>
      </c>
      <c r="H1911">
        <v>47128788</v>
      </c>
      <c r="I1911" t="s">
        <v>4188</v>
      </c>
      <c r="J1911" t="s">
        <v>4189</v>
      </c>
      <c r="K1911" t="s">
        <v>530</v>
      </c>
      <c r="N1911">
        <v>0</v>
      </c>
      <c r="O1911">
        <v>0</v>
      </c>
      <c r="P1911" t="str">
        <f t="shared" si="29"/>
        <v>N</v>
      </c>
      <c r="Q1911" t="s">
        <v>7641</v>
      </c>
    </row>
    <row r="1912" spans="1:17" x14ac:dyDescent="0.25">
      <c r="A1912" t="s">
        <v>5289</v>
      </c>
      <c r="B1912" t="s">
        <v>1089</v>
      </c>
      <c r="C1912">
        <v>2027</v>
      </c>
      <c r="D1912" t="s">
        <v>542</v>
      </c>
      <c r="E1912" t="s">
        <v>834</v>
      </c>
      <c r="F1912" s="32">
        <v>46416</v>
      </c>
      <c r="G1912" t="s">
        <v>514</v>
      </c>
      <c r="H1912">
        <v>47136348</v>
      </c>
      <c r="I1912" t="s">
        <v>1025</v>
      </c>
      <c r="J1912" t="s">
        <v>1024</v>
      </c>
      <c r="K1912" t="s">
        <v>530</v>
      </c>
      <c r="N1912">
        <v>0</v>
      </c>
      <c r="O1912">
        <v>0</v>
      </c>
      <c r="P1912" t="str">
        <f t="shared" si="29"/>
        <v>N</v>
      </c>
      <c r="Q1912" t="s">
        <v>7642</v>
      </c>
    </row>
    <row r="1913" spans="1:17" x14ac:dyDescent="0.25">
      <c r="A1913" t="s">
        <v>5290</v>
      </c>
      <c r="B1913" t="s">
        <v>1089</v>
      </c>
      <c r="C1913">
        <v>2027</v>
      </c>
      <c r="D1913" t="s">
        <v>542</v>
      </c>
      <c r="E1913" t="s">
        <v>834</v>
      </c>
      <c r="F1913" s="32">
        <v>46416</v>
      </c>
      <c r="G1913" t="s">
        <v>514</v>
      </c>
      <c r="H1913">
        <v>47135083</v>
      </c>
      <c r="I1913" t="s">
        <v>4192</v>
      </c>
      <c r="J1913" t="s">
        <v>4193</v>
      </c>
      <c r="K1913" t="s">
        <v>530</v>
      </c>
      <c r="N1913">
        <v>0</v>
      </c>
      <c r="O1913">
        <v>0</v>
      </c>
      <c r="P1913" t="str">
        <f t="shared" si="29"/>
        <v>N</v>
      </c>
      <c r="Q1913" t="s">
        <v>7643</v>
      </c>
    </row>
    <row r="1914" spans="1:17" x14ac:dyDescent="0.25">
      <c r="A1914" t="s">
        <v>5291</v>
      </c>
      <c r="B1914" t="s">
        <v>1089</v>
      </c>
      <c r="C1914">
        <v>2027</v>
      </c>
      <c r="D1914" t="s">
        <v>542</v>
      </c>
      <c r="E1914" t="s">
        <v>834</v>
      </c>
      <c r="F1914" s="32">
        <v>46416</v>
      </c>
      <c r="G1914" t="s">
        <v>514</v>
      </c>
      <c r="H1914">
        <v>47128515</v>
      </c>
      <c r="I1914" t="s">
        <v>1185</v>
      </c>
      <c r="J1914" t="s">
        <v>1184</v>
      </c>
      <c r="K1914" t="s">
        <v>530</v>
      </c>
      <c r="N1914">
        <v>38</v>
      </c>
      <c r="O1914">
        <v>38</v>
      </c>
      <c r="P1914" t="str">
        <f t="shared" si="29"/>
        <v>N</v>
      </c>
      <c r="Q1914" t="s">
        <v>7644</v>
      </c>
    </row>
    <row r="1915" spans="1:17" x14ac:dyDescent="0.25">
      <c r="A1915" t="s">
        <v>5292</v>
      </c>
      <c r="B1915" t="s">
        <v>1089</v>
      </c>
      <c r="C1915">
        <v>2027</v>
      </c>
      <c r="D1915" t="s">
        <v>542</v>
      </c>
      <c r="E1915" t="s">
        <v>834</v>
      </c>
      <c r="F1915" s="32">
        <v>46416</v>
      </c>
      <c r="G1915" t="s">
        <v>514</v>
      </c>
      <c r="H1915">
        <v>47128472</v>
      </c>
      <c r="I1915" t="s">
        <v>995</v>
      </c>
      <c r="J1915" t="s">
        <v>994</v>
      </c>
      <c r="K1915" t="s">
        <v>530</v>
      </c>
      <c r="N1915">
        <v>0</v>
      </c>
      <c r="O1915">
        <v>0</v>
      </c>
      <c r="P1915" t="str">
        <f t="shared" si="29"/>
        <v>N</v>
      </c>
      <c r="Q1915" t="s">
        <v>7645</v>
      </c>
    </row>
    <row r="1916" spans="1:17" x14ac:dyDescent="0.25">
      <c r="A1916" t="s">
        <v>5293</v>
      </c>
      <c r="B1916" t="s">
        <v>1089</v>
      </c>
      <c r="C1916">
        <v>2027</v>
      </c>
      <c r="D1916" t="s">
        <v>542</v>
      </c>
      <c r="E1916" t="s">
        <v>834</v>
      </c>
      <c r="F1916" s="32">
        <v>46416</v>
      </c>
      <c r="G1916" t="s">
        <v>514</v>
      </c>
      <c r="H1916">
        <v>47128202</v>
      </c>
      <c r="I1916" t="s">
        <v>967</v>
      </c>
      <c r="J1916" t="s">
        <v>966</v>
      </c>
      <c r="K1916" t="s">
        <v>530</v>
      </c>
      <c r="N1916">
        <v>40</v>
      </c>
      <c r="O1916">
        <v>40</v>
      </c>
      <c r="P1916" t="str">
        <f t="shared" si="29"/>
        <v>N</v>
      </c>
      <c r="Q1916" t="s">
        <v>7646</v>
      </c>
    </row>
    <row r="1917" spans="1:17" x14ac:dyDescent="0.25">
      <c r="A1917" t="s">
        <v>5294</v>
      </c>
      <c r="B1917" t="s">
        <v>1089</v>
      </c>
      <c r="C1917">
        <v>2027</v>
      </c>
      <c r="D1917" t="s">
        <v>542</v>
      </c>
      <c r="E1917" t="s">
        <v>834</v>
      </c>
      <c r="F1917" s="32">
        <v>46416</v>
      </c>
      <c r="G1917" t="s">
        <v>514</v>
      </c>
      <c r="H1917">
        <v>47128132</v>
      </c>
      <c r="I1917" t="s">
        <v>4429</v>
      </c>
      <c r="J1917" t="s">
        <v>4430</v>
      </c>
      <c r="K1917" t="s">
        <v>530</v>
      </c>
      <c r="N1917">
        <v>0</v>
      </c>
      <c r="O1917">
        <v>0</v>
      </c>
      <c r="P1917" t="str">
        <f t="shared" si="29"/>
        <v>N</v>
      </c>
      <c r="Q1917" t="s">
        <v>7647</v>
      </c>
    </row>
    <row r="1918" spans="1:17" x14ac:dyDescent="0.25">
      <c r="A1918" t="s">
        <v>5295</v>
      </c>
      <c r="B1918" t="s">
        <v>1089</v>
      </c>
      <c r="C1918">
        <v>2027</v>
      </c>
      <c r="D1918" t="s">
        <v>542</v>
      </c>
      <c r="E1918" t="s">
        <v>834</v>
      </c>
      <c r="F1918" s="32">
        <v>46416</v>
      </c>
      <c r="G1918" t="s">
        <v>514</v>
      </c>
      <c r="H1918">
        <v>47127971</v>
      </c>
      <c r="I1918" t="s">
        <v>991</v>
      </c>
      <c r="J1918" t="s">
        <v>990</v>
      </c>
      <c r="K1918" t="s">
        <v>530</v>
      </c>
      <c r="N1918">
        <v>0</v>
      </c>
      <c r="O1918">
        <v>0</v>
      </c>
      <c r="P1918" t="str">
        <f t="shared" si="29"/>
        <v>N</v>
      </c>
      <c r="Q1918" t="s">
        <v>7648</v>
      </c>
    </row>
    <row r="1919" spans="1:17" x14ac:dyDescent="0.25">
      <c r="A1919" t="s">
        <v>5549</v>
      </c>
      <c r="B1919" t="s">
        <v>5437</v>
      </c>
      <c r="C1919">
        <v>2027</v>
      </c>
      <c r="D1919" t="s">
        <v>542</v>
      </c>
      <c r="E1919" t="s">
        <v>834</v>
      </c>
      <c r="F1919" s="32">
        <v>46416</v>
      </c>
      <c r="G1919" t="s">
        <v>514</v>
      </c>
      <c r="H1919">
        <v>47128967</v>
      </c>
      <c r="I1919" t="s">
        <v>1062</v>
      </c>
      <c r="J1919" t="s">
        <v>1061</v>
      </c>
      <c r="K1919" t="s">
        <v>530</v>
      </c>
      <c r="N1919">
        <v>0</v>
      </c>
      <c r="O1919">
        <v>0</v>
      </c>
      <c r="P1919" t="str">
        <f t="shared" si="29"/>
        <v>N</v>
      </c>
      <c r="Q1919" t="s">
        <v>7649</v>
      </c>
    </row>
    <row r="1920" spans="1:17" x14ac:dyDescent="0.25">
      <c r="A1920" t="s">
        <v>5550</v>
      </c>
      <c r="B1920" t="s">
        <v>5437</v>
      </c>
      <c r="C1920">
        <v>2027</v>
      </c>
      <c r="D1920" t="s">
        <v>542</v>
      </c>
      <c r="E1920" t="s">
        <v>834</v>
      </c>
      <c r="F1920" s="32">
        <v>46416</v>
      </c>
      <c r="G1920" t="s">
        <v>514</v>
      </c>
      <c r="H1920">
        <v>47127948</v>
      </c>
      <c r="I1920" t="s">
        <v>1247</v>
      </c>
      <c r="J1920" t="s">
        <v>1246</v>
      </c>
      <c r="K1920" t="s">
        <v>530</v>
      </c>
      <c r="N1920">
        <v>60</v>
      </c>
      <c r="O1920">
        <v>60</v>
      </c>
      <c r="P1920" t="str">
        <f t="shared" si="29"/>
        <v>N</v>
      </c>
      <c r="Q1920" t="s">
        <v>7650</v>
      </c>
    </row>
    <row r="1921" spans="1:17" x14ac:dyDescent="0.25">
      <c r="A1921" t="s">
        <v>5551</v>
      </c>
      <c r="B1921" t="s">
        <v>5437</v>
      </c>
      <c r="C1921">
        <v>2027</v>
      </c>
      <c r="D1921" t="s">
        <v>542</v>
      </c>
      <c r="E1921" t="s">
        <v>834</v>
      </c>
      <c r="F1921" s="32">
        <v>46416</v>
      </c>
      <c r="G1921" t="s">
        <v>514</v>
      </c>
      <c r="H1921">
        <v>47128710</v>
      </c>
      <c r="I1921" t="s">
        <v>1189</v>
      </c>
      <c r="J1921" t="s">
        <v>1188</v>
      </c>
      <c r="K1921" t="s">
        <v>530</v>
      </c>
      <c r="N1921">
        <v>0</v>
      </c>
      <c r="O1921">
        <v>0</v>
      </c>
      <c r="P1921" t="str">
        <f t="shared" si="29"/>
        <v>N</v>
      </c>
      <c r="Q1921" t="s">
        <v>7651</v>
      </c>
    </row>
    <row r="1922" spans="1:17" x14ac:dyDescent="0.25">
      <c r="A1922" t="s">
        <v>5552</v>
      </c>
      <c r="B1922" t="s">
        <v>5437</v>
      </c>
      <c r="C1922">
        <v>2027</v>
      </c>
      <c r="D1922" t="s">
        <v>542</v>
      </c>
      <c r="E1922" t="s">
        <v>834</v>
      </c>
      <c r="F1922" s="32">
        <v>46416</v>
      </c>
      <c r="G1922" t="s">
        <v>514</v>
      </c>
      <c r="H1922">
        <v>47128572</v>
      </c>
      <c r="I1922" t="s">
        <v>1197</v>
      </c>
      <c r="J1922" t="s">
        <v>1196</v>
      </c>
      <c r="K1922" t="s">
        <v>530</v>
      </c>
      <c r="N1922">
        <v>0</v>
      </c>
      <c r="O1922">
        <v>0</v>
      </c>
      <c r="P1922" t="str">
        <f t="shared" si="29"/>
        <v>N</v>
      </c>
      <c r="Q1922" t="s">
        <v>7652</v>
      </c>
    </row>
    <row r="1923" spans="1:17" x14ac:dyDescent="0.25">
      <c r="A1923" t="s">
        <v>5553</v>
      </c>
      <c r="B1923" t="s">
        <v>5437</v>
      </c>
      <c r="C1923">
        <v>2027</v>
      </c>
      <c r="D1923" t="s">
        <v>542</v>
      </c>
      <c r="E1923" t="s">
        <v>834</v>
      </c>
      <c r="F1923" s="32">
        <v>46416</v>
      </c>
      <c r="G1923" t="s">
        <v>514</v>
      </c>
      <c r="H1923">
        <v>47128482</v>
      </c>
      <c r="I1923" t="s">
        <v>1393</v>
      </c>
      <c r="J1923" t="s">
        <v>1392</v>
      </c>
      <c r="K1923" t="s">
        <v>530</v>
      </c>
      <c r="N1923">
        <v>0</v>
      </c>
      <c r="O1923">
        <v>0</v>
      </c>
      <c r="P1923" t="str">
        <f t="shared" ref="P1923:P1986" si="30">IF(N1923=O1923,"N","Y")</f>
        <v>N</v>
      </c>
      <c r="Q1923" t="s">
        <v>7653</v>
      </c>
    </row>
    <row r="1924" spans="1:17" x14ac:dyDescent="0.25">
      <c r="A1924" t="s">
        <v>5554</v>
      </c>
      <c r="B1924" t="s">
        <v>5437</v>
      </c>
      <c r="C1924">
        <v>2027</v>
      </c>
      <c r="D1924" t="s">
        <v>542</v>
      </c>
      <c r="E1924" t="s">
        <v>834</v>
      </c>
      <c r="F1924" s="32">
        <v>46416</v>
      </c>
      <c r="G1924" t="s">
        <v>514</v>
      </c>
      <c r="H1924">
        <v>47128115</v>
      </c>
      <c r="I1924" t="s">
        <v>1260</v>
      </c>
      <c r="J1924" t="s">
        <v>1259</v>
      </c>
      <c r="K1924" t="s">
        <v>530</v>
      </c>
      <c r="N1924">
        <v>60</v>
      </c>
      <c r="O1924">
        <v>60</v>
      </c>
      <c r="P1924" t="str">
        <f t="shared" si="30"/>
        <v>N</v>
      </c>
      <c r="Q1924" t="s">
        <v>7654</v>
      </c>
    </row>
    <row r="1925" spans="1:17" x14ac:dyDescent="0.25">
      <c r="A1925" t="s">
        <v>5555</v>
      </c>
      <c r="B1925" t="s">
        <v>5437</v>
      </c>
      <c r="C1925">
        <v>2027</v>
      </c>
      <c r="D1925" t="s">
        <v>542</v>
      </c>
      <c r="E1925" t="s">
        <v>834</v>
      </c>
      <c r="F1925" s="32">
        <v>46416</v>
      </c>
      <c r="G1925" t="s">
        <v>514</v>
      </c>
      <c r="H1925">
        <v>47128337</v>
      </c>
      <c r="I1925" t="s">
        <v>1120</v>
      </c>
      <c r="J1925" t="s">
        <v>1119</v>
      </c>
      <c r="K1925" t="s">
        <v>530</v>
      </c>
      <c r="N1925">
        <v>0</v>
      </c>
      <c r="O1925">
        <v>0</v>
      </c>
      <c r="P1925" t="str">
        <f t="shared" si="30"/>
        <v>N</v>
      </c>
      <c r="Q1925" t="s">
        <v>7655</v>
      </c>
    </row>
    <row r="1926" spans="1:17" x14ac:dyDescent="0.25">
      <c r="A1926" t="s">
        <v>5556</v>
      </c>
      <c r="B1926" t="s">
        <v>5437</v>
      </c>
      <c r="C1926">
        <v>2027</v>
      </c>
      <c r="D1926" t="s">
        <v>542</v>
      </c>
      <c r="E1926" t="s">
        <v>834</v>
      </c>
      <c r="F1926" s="32">
        <v>46416</v>
      </c>
      <c r="G1926" t="s">
        <v>514</v>
      </c>
      <c r="H1926">
        <v>47128833</v>
      </c>
      <c r="I1926" t="s">
        <v>1193</v>
      </c>
      <c r="J1926" t="s">
        <v>1192</v>
      </c>
      <c r="K1926" t="s">
        <v>530</v>
      </c>
      <c r="N1926">
        <v>0</v>
      </c>
      <c r="O1926">
        <v>0</v>
      </c>
      <c r="P1926" t="str">
        <f t="shared" si="30"/>
        <v>N</v>
      </c>
      <c r="Q1926" t="s">
        <v>7656</v>
      </c>
    </row>
    <row r="1927" spans="1:17" x14ac:dyDescent="0.25">
      <c r="A1927" t="s">
        <v>5557</v>
      </c>
      <c r="B1927" t="s">
        <v>5437</v>
      </c>
      <c r="C1927">
        <v>2027</v>
      </c>
      <c r="D1927" t="s">
        <v>542</v>
      </c>
      <c r="E1927" t="s">
        <v>834</v>
      </c>
      <c r="F1927" s="32">
        <v>46416</v>
      </c>
      <c r="G1927" t="s">
        <v>514</v>
      </c>
      <c r="H1927">
        <v>47128784</v>
      </c>
      <c r="I1927" t="s">
        <v>1426</v>
      </c>
      <c r="J1927" t="s">
        <v>1425</v>
      </c>
      <c r="K1927" t="s">
        <v>530</v>
      </c>
      <c r="N1927">
        <v>0</v>
      </c>
      <c r="O1927">
        <v>0</v>
      </c>
      <c r="P1927" t="str">
        <f t="shared" si="30"/>
        <v>N</v>
      </c>
      <c r="Q1927" t="s">
        <v>7657</v>
      </c>
    </row>
    <row r="1928" spans="1:17" x14ac:dyDescent="0.25">
      <c r="A1928" t="s">
        <v>5558</v>
      </c>
      <c r="B1928" t="s">
        <v>5437</v>
      </c>
      <c r="C1928">
        <v>2027</v>
      </c>
      <c r="D1928" t="s">
        <v>542</v>
      </c>
      <c r="E1928" t="s">
        <v>834</v>
      </c>
      <c r="F1928" s="32">
        <v>46416</v>
      </c>
      <c r="G1928" t="s">
        <v>514</v>
      </c>
      <c r="H1928">
        <v>47129020</v>
      </c>
      <c r="I1928" t="s">
        <v>1058</v>
      </c>
      <c r="J1928" t="s">
        <v>1057</v>
      </c>
      <c r="K1928" t="s">
        <v>530</v>
      </c>
      <c r="N1928">
        <v>0</v>
      </c>
      <c r="O1928">
        <v>0</v>
      </c>
      <c r="P1928" t="str">
        <f t="shared" si="30"/>
        <v>N</v>
      </c>
      <c r="Q1928" t="s">
        <v>7658</v>
      </c>
    </row>
    <row r="1929" spans="1:17" x14ac:dyDescent="0.25">
      <c r="A1929" t="s">
        <v>5559</v>
      </c>
      <c r="B1929" t="s">
        <v>5437</v>
      </c>
      <c r="C1929">
        <v>2027</v>
      </c>
      <c r="D1929" t="s">
        <v>542</v>
      </c>
      <c r="E1929" t="s">
        <v>834</v>
      </c>
      <c r="F1929" s="32">
        <v>46416</v>
      </c>
      <c r="G1929" t="s">
        <v>514</v>
      </c>
      <c r="H1929">
        <v>47129473</v>
      </c>
      <c r="I1929" t="s">
        <v>1430</v>
      </c>
      <c r="J1929" t="s">
        <v>1429</v>
      </c>
      <c r="K1929" t="s">
        <v>530</v>
      </c>
      <c r="N1929">
        <v>0</v>
      </c>
      <c r="O1929">
        <v>0</v>
      </c>
      <c r="P1929" t="str">
        <f t="shared" si="30"/>
        <v>N</v>
      </c>
      <c r="Q1929" t="s">
        <v>7659</v>
      </c>
    </row>
    <row r="1930" spans="1:17" x14ac:dyDescent="0.25">
      <c r="A1930" t="s">
        <v>5560</v>
      </c>
      <c r="B1930" t="s">
        <v>5437</v>
      </c>
      <c r="C1930">
        <v>2027</v>
      </c>
      <c r="D1930" t="s">
        <v>542</v>
      </c>
      <c r="E1930" t="s">
        <v>834</v>
      </c>
      <c r="F1930" s="32">
        <v>46416</v>
      </c>
      <c r="G1930" t="s">
        <v>514</v>
      </c>
      <c r="H1930">
        <v>47128429</v>
      </c>
      <c r="I1930" t="s">
        <v>1371</v>
      </c>
      <c r="J1930" t="s">
        <v>1370</v>
      </c>
      <c r="K1930" t="s">
        <v>530</v>
      </c>
      <c r="N1930">
        <v>0</v>
      </c>
      <c r="O1930">
        <v>0</v>
      </c>
      <c r="P1930" t="str">
        <f t="shared" si="30"/>
        <v>N</v>
      </c>
      <c r="Q1930" t="s">
        <v>7660</v>
      </c>
    </row>
    <row r="1931" spans="1:17" x14ac:dyDescent="0.25">
      <c r="A1931" t="s">
        <v>5561</v>
      </c>
      <c r="B1931" t="s">
        <v>5437</v>
      </c>
      <c r="C1931">
        <v>2027</v>
      </c>
      <c r="D1931" t="s">
        <v>542</v>
      </c>
      <c r="E1931" t="s">
        <v>834</v>
      </c>
      <c r="F1931" s="32">
        <v>46416</v>
      </c>
      <c r="G1931" t="s">
        <v>514</v>
      </c>
      <c r="H1931">
        <v>47128181</v>
      </c>
      <c r="I1931" t="s">
        <v>1301</v>
      </c>
      <c r="J1931" t="s">
        <v>1300</v>
      </c>
      <c r="K1931" t="s">
        <v>530</v>
      </c>
      <c r="N1931">
        <v>0</v>
      </c>
      <c r="O1931">
        <v>0</v>
      </c>
      <c r="P1931" t="str">
        <f t="shared" si="30"/>
        <v>N</v>
      </c>
      <c r="Q1931" t="s">
        <v>7661</v>
      </c>
    </row>
    <row r="1932" spans="1:17" x14ac:dyDescent="0.25">
      <c r="A1932" t="s">
        <v>1604</v>
      </c>
      <c r="B1932" t="s">
        <v>1520</v>
      </c>
      <c r="C1932">
        <v>2027</v>
      </c>
      <c r="D1932" t="s">
        <v>544</v>
      </c>
      <c r="E1932" t="s">
        <v>835</v>
      </c>
      <c r="F1932" s="32">
        <v>46423</v>
      </c>
      <c r="G1932" t="s">
        <v>514</v>
      </c>
      <c r="H1932">
        <v>47128207</v>
      </c>
      <c r="I1932" t="s">
        <v>1522</v>
      </c>
      <c r="J1932" t="s">
        <v>1523</v>
      </c>
      <c r="K1932" t="s">
        <v>530</v>
      </c>
      <c r="N1932">
        <v>0</v>
      </c>
      <c r="O1932">
        <v>0</v>
      </c>
      <c r="P1932" t="str">
        <f t="shared" si="30"/>
        <v>N</v>
      </c>
      <c r="Q1932" t="s">
        <v>7662</v>
      </c>
    </row>
    <row r="1933" spans="1:17" x14ac:dyDescent="0.25">
      <c r="A1933" t="s">
        <v>1605</v>
      </c>
      <c r="B1933" t="s">
        <v>1520</v>
      </c>
      <c r="C1933">
        <v>2027</v>
      </c>
      <c r="D1933" t="s">
        <v>544</v>
      </c>
      <c r="E1933" t="s">
        <v>835</v>
      </c>
      <c r="F1933" s="32">
        <v>46423</v>
      </c>
      <c r="G1933" t="s">
        <v>514</v>
      </c>
      <c r="H1933">
        <v>47128581</v>
      </c>
      <c r="I1933" t="s">
        <v>1525</v>
      </c>
      <c r="J1933" t="s">
        <v>1526</v>
      </c>
      <c r="K1933" t="s">
        <v>530</v>
      </c>
      <c r="N1933">
        <v>45</v>
      </c>
      <c r="O1933">
        <v>45</v>
      </c>
      <c r="P1933" t="str">
        <f t="shared" si="30"/>
        <v>N</v>
      </c>
      <c r="Q1933" t="s">
        <v>7663</v>
      </c>
    </row>
    <row r="1934" spans="1:17" x14ac:dyDescent="0.25">
      <c r="A1934" t="s">
        <v>1606</v>
      </c>
      <c r="B1934" t="s">
        <v>1520</v>
      </c>
      <c r="C1934">
        <v>2027</v>
      </c>
      <c r="D1934" t="s">
        <v>544</v>
      </c>
      <c r="E1934" t="s">
        <v>835</v>
      </c>
      <c r="F1934" s="32">
        <v>46423</v>
      </c>
      <c r="G1934" t="s">
        <v>514</v>
      </c>
      <c r="H1934">
        <v>47127959</v>
      </c>
      <c r="I1934" t="s">
        <v>1528</v>
      </c>
      <c r="J1934" t="s">
        <v>1529</v>
      </c>
      <c r="K1934" t="s">
        <v>530</v>
      </c>
      <c r="N1934">
        <v>0</v>
      </c>
      <c r="O1934">
        <v>0</v>
      </c>
      <c r="P1934" t="str">
        <f t="shared" si="30"/>
        <v>N</v>
      </c>
      <c r="Q1934" t="s">
        <v>7664</v>
      </c>
    </row>
    <row r="1935" spans="1:17" x14ac:dyDescent="0.25">
      <c r="A1935" t="s">
        <v>1607</v>
      </c>
      <c r="B1935" t="s">
        <v>1520</v>
      </c>
      <c r="C1935">
        <v>2027</v>
      </c>
      <c r="D1935" t="s">
        <v>544</v>
      </c>
      <c r="E1935" t="s">
        <v>835</v>
      </c>
      <c r="F1935" s="32">
        <v>46423</v>
      </c>
      <c r="G1935" t="s">
        <v>514</v>
      </c>
      <c r="H1935">
        <v>47128204</v>
      </c>
      <c r="I1935" t="s">
        <v>1531</v>
      </c>
      <c r="J1935" t="s">
        <v>1532</v>
      </c>
      <c r="K1935" t="s">
        <v>530</v>
      </c>
      <c r="N1935">
        <v>0</v>
      </c>
      <c r="O1935">
        <v>0</v>
      </c>
      <c r="P1935" t="str">
        <f t="shared" si="30"/>
        <v>N</v>
      </c>
      <c r="Q1935" t="s">
        <v>7665</v>
      </c>
    </row>
    <row r="1936" spans="1:17" x14ac:dyDescent="0.25">
      <c r="A1936" t="s">
        <v>1608</v>
      </c>
      <c r="B1936" t="s">
        <v>1520</v>
      </c>
      <c r="C1936">
        <v>2027</v>
      </c>
      <c r="D1936" t="s">
        <v>544</v>
      </c>
      <c r="E1936" t="s">
        <v>835</v>
      </c>
      <c r="F1936" s="32">
        <v>46423</v>
      </c>
      <c r="G1936" t="s">
        <v>514</v>
      </c>
      <c r="H1936">
        <v>47128207</v>
      </c>
      <c r="I1936" t="s">
        <v>1522</v>
      </c>
      <c r="J1936" t="s">
        <v>1534</v>
      </c>
      <c r="K1936" t="s">
        <v>530</v>
      </c>
      <c r="N1936">
        <v>0</v>
      </c>
      <c r="O1936">
        <v>0</v>
      </c>
      <c r="P1936" t="str">
        <f t="shared" si="30"/>
        <v>N</v>
      </c>
      <c r="Q1936" t="s">
        <v>7666</v>
      </c>
    </row>
    <row r="1937" spans="1:17" x14ac:dyDescent="0.25">
      <c r="A1937" t="s">
        <v>1609</v>
      </c>
      <c r="B1937" t="s">
        <v>1520</v>
      </c>
      <c r="C1937">
        <v>2027</v>
      </c>
      <c r="D1937" t="s">
        <v>544</v>
      </c>
      <c r="E1937" t="s">
        <v>835</v>
      </c>
      <c r="F1937" s="32">
        <v>46423</v>
      </c>
      <c r="G1937" t="s">
        <v>563</v>
      </c>
      <c r="H1937">
        <v>10000015</v>
      </c>
      <c r="I1937" t="s">
        <v>562</v>
      </c>
      <c r="K1937" t="s">
        <v>530</v>
      </c>
      <c r="N1937">
        <v>0</v>
      </c>
      <c r="O1937">
        <v>0</v>
      </c>
      <c r="P1937" t="str">
        <f t="shared" si="30"/>
        <v>N</v>
      </c>
      <c r="Q1937" t="s">
        <v>7667</v>
      </c>
    </row>
    <row r="1938" spans="1:17" x14ac:dyDescent="0.25">
      <c r="A1938" t="s">
        <v>1610</v>
      </c>
      <c r="B1938" t="s">
        <v>1520</v>
      </c>
      <c r="C1938">
        <v>2027</v>
      </c>
      <c r="D1938" t="s">
        <v>544</v>
      </c>
      <c r="E1938" t="s">
        <v>835</v>
      </c>
      <c r="F1938" s="32">
        <v>46423</v>
      </c>
      <c r="G1938" t="s">
        <v>514</v>
      </c>
      <c r="H1938">
        <v>47127959</v>
      </c>
      <c r="I1938" t="s">
        <v>1528</v>
      </c>
      <c r="J1938" t="s">
        <v>1537</v>
      </c>
      <c r="K1938" t="s">
        <v>530</v>
      </c>
      <c r="N1938">
        <v>0</v>
      </c>
      <c r="O1938">
        <v>0</v>
      </c>
      <c r="P1938" t="str">
        <f t="shared" si="30"/>
        <v>N</v>
      </c>
      <c r="Q1938" t="s">
        <v>7668</v>
      </c>
    </row>
    <row r="1939" spans="1:17" x14ac:dyDescent="0.25">
      <c r="A1939" t="s">
        <v>1611</v>
      </c>
      <c r="B1939" t="s">
        <v>1520</v>
      </c>
      <c r="C1939">
        <v>2027</v>
      </c>
      <c r="D1939" t="s">
        <v>544</v>
      </c>
      <c r="E1939" t="s">
        <v>835</v>
      </c>
      <c r="F1939" s="32">
        <v>46423</v>
      </c>
      <c r="G1939" t="s">
        <v>514</v>
      </c>
      <c r="H1939">
        <v>47128581</v>
      </c>
      <c r="I1939" t="s">
        <v>1525</v>
      </c>
      <c r="J1939" t="s">
        <v>1539</v>
      </c>
      <c r="K1939" t="s">
        <v>530</v>
      </c>
      <c r="N1939">
        <v>0</v>
      </c>
      <c r="O1939">
        <v>0</v>
      </c>
      <c r="P1939" t="str">
        <f t="shared" si="30"/>
        <v>N</v>
      </c>
      <c r="Q1939" t="s">
        <v>7669</v>
      </c>
    </row>
    <row r="1940" spans="1:17" x14ac:dyDescent="0.25">
      <c r="A1940" t="s">
        <v>1958</v>
      </c>
      <c r="B1940" t="s">
        <v>1135</v>
      </c>
      <c r="C1940">
        <v>2027</v>
      </c>
      <c r="D1940" t="s">
        <v>544</v>
      </c>
      <c r="E1940" t="s">
        <v>835</v>
      </c>
      <c r="F1940" s="32">
        <v>46423</v>
      </c>
      <c r="G1940" t="s">
        <v>514</v>
      </c>
      <c r="H1940">
        <v>47146464</v>
      </c>
      <c r="I1940" t="s">
        <v>1438</v>
      </c>
      <c r="J1940" t="s">
        <v>1437</v>
      </c>
      <c r="K1940" t="s">
        <v>530</v>
      </c>
      <c r="N1940">
        <v>0</v>
      </c>
      <c r="O1940">
        <v>0</v>
      </c>
      <c r="P1940" t="str">
        <f t="shared" si="30"/>
        <v>N</v>
      </c>
      <c r="Q1940" t="s">
        <v>7670</v>
      </c>
    </row>
    <row r="1941" spans="1:17" x14ac:dyDescent="0.25">
      <c r="A1941" t="s">
        <v>1959</v>
      </c>
      <c r="B1941" t="s">
        <v>1135</v>
      </c>
      <c r="C1941">
        <v>2027</v>
      </c>
      <c r="D1941" t="s">
        <v>544</v>
      </c>
      <c r="E1941" t="s">
        <v>835</v>
      </c>
      <c r="F1941" s="32">
        <v>46423</v>
      </c>
      <c r="G1941" t="s">
        <v>514</v>
      </c>
      <c r="H1941">
        <v>47146463</v>
      </c>
      <c r="I1941" t="s">
        <v>1441</v>
      </c>
      <c r="J1941" t="s">
        <v>1440</v>
      </c>
      <c r="K1941" t="s">
        <v>530</v>
      </c>
      <c r="N1941">
        <v>0</v>
      </c>
      <c r="O1941">
        <v>0</v>
      </c>
      <c r="P1941" t="str">
        <f t="shared" si="30"/>
        <v>N</v>
      </c>
      <c r="Q1941" t="s">
        <v>7671</v>
      </c>
    </row>
    <row r="1942" spans="1:17" x14ac:dyDescent="0.25">
      <c r="A1942" t="s">
        <v>1960</v>
      </c>
      <c r="B1942" t="s">
        <v>1135</v>
      </c>
      <c r="C1942">
        <v>2027</v>
      </c>
      <c r="D1942" t="s">
        <v>544</v>
      </c>
      <c r="E1942" t="s">
        <v>835</v>
      </c>
      <c r="F1942" s="32">
        <v>46423</v>
      </c>
      <c r="G1942" t="s">
        <v>514</v>
      </c>
      <c r="H1942">
        <v>47128729</v>
      </c>
      <c r="I1942" t="s">
        <v>1149</v>
      </c>
      <c r="J1942" t="s">
        <v>1148</v>
      </c>
      <c r="K1942" t="s">
        <v>530</v>
      </c>
      <c r="N1942">
        <v>0</v>
      </c>
      <c r="O1942">
        <v>0</v>
      </c>
      <c r="P1942" t="str">
        <f t="shared" si="30"/>
        <v>N</v>
      </c>
      <c r="Q1942" t="s">
        <v>7672</v>
      </c>
    </row>
    <row r="1943" spans="1:17" x14ac:dyDescent="0.25">
      <c r="A1943" t="s">
        <v>1961</v>
      </c>
      <c r="B1943" t="s">
        <v>1135</v>
      </c>
      <c r="C1943">
        <v>2027</v>
      </c>
      <c r="D1943" t="s">
        <v>544</v>
      </c>
      <c r="E1943" t="s">
        <v>835</v>
      </c>
      <c r="F1943" s="32">
        <v>46423</v>
      </c>
      <c r="G1943" t="s">
        <v>514</v>
      </c>
      <c r="H1943">
        <v>47128413</v>
      </c>
      <c r="I1943" t="s">
        <v>1397</v>
      </c>
      <c r="J1943" t="s">
        <v>1396</v>
      </c>
      <c r="K1943" t="s">
        <v>530</v>
      </c>
      <c r="N1943">
        <v>0</v>
      </c>
      <c r="O1943">
        <v>0</v>
      </c>
      <c r="P1943" t="str">
        <f t="shared" si="30"/>
        <v>N</v>
      </c>
      <c r="Q1943" t="s">
        <v>7673</v>
      </c>
    </row>
    <row r="1944" spans="1:17" x14ac:dyDescent="0.25">
      <c r="A1944" t="s">
        <v>1962</v>
      </c>
      <c r="B1944" t="s">
        <v>1135</v>
      </c>
      <c r="C1944">
        <v>2027</v>
      </c>
      <c r="D1944" t="s">
        <v>544</v>
      </c>
      <c r="E1944" t="s">
        <v>835</v>
      </c>
      <c r="F1944" s="32">
        <v>46423</v>
      </c>
      <c r="G1944" t="s">
        <v>514</v>
      </c>
      <c r="H1944">
        <v>47128783</v>
      </c>
      <c r="I1944" t="s">
        <v>1280</v>
      </c>
      <c r="J1944" t="s">
        <v>1279</v>
      </c>
      <c r="K1944" t="s">
        <v>530</v>
      </c>
      <c r="N1944">
        <v>0</v>
      </c>
      <c r="O1944">
        <v>0</v>
      </c>
      <c r="P1944" t="str">
        <f t="shared" si="30"/>
        <v>N</v>
      </c>
      <c r="Q1944" t="s">
        <v>7674</v>
      </c>
    </row>
    <row r="1945" spans="1:17" x14ac:dyDescent="0.25">
      <c r="A1945" t="s">
        <v>1963</v>
      </c>
      <c r="B1945" t="s">
        <v>1135</v>
      </c>
      <c r="C1945">
        <v>2027</v>
      </c>
      <c r="D1945" t="s">
        <v>544</v>
      </c>
      <c r="E1945" t="s">
        <v>835</v>
      </c>
      <c r="F1945" s="32">
        <v>46423</v>
      </c>
      <c r="G1945" t="s">
        <v>514</v>
      </c>
      <c r="H1945">
        <v>47128944</v>
      </c>
      <c r="I1945" t="s">
        <v>1137</v>
      </c>
      <c r="J1945" t="s">
        <v>1136</v>
      </c>
      <c r="K1945" t="s">
        <v>530</v>
      </c>
      <c r="N1945">
        <v>0</v>
      </c>
      <c r="O1945">
        <v>0</v>
      </c>
      <c r="P1945" t="str">
        <f t="shared" si="30"/>
        <v>N</v>
      </c>
      <c r="Q1945" t="s">
        <v>7675</v>
      </c>
    </row>
    <row r="1946" spans="1:17" x14ac:dyDescent="0.25">
      <c r="A1946" t="s">
        <v>1964</v>
      </c>
      <c r="B1946" t="s">
        <v>1135</v>
      </c>
      <c r="C1946">
        <v>2027</v>
      </c>
      <c r="D1946" t="s">
        <v>544</v>
      </c>
      <c r="E1946" t="s">
        <v>835</v>
      </c>
      <c r="F1946" s="32">
        <v>46423</v>
      </c>
      <c r="G1946" t="s">
        <v>514</v>
      </c>
      <c r="H1946">
        <v>47129547</v>
      </c>
      <c r="I1946" t="s">
        <v>1128</v>
      </c>
      <c r="J1946" t="s">
        <v>1352</v>
      </c>
      <c r="K1946" t="s">
        <v>530</v>
      </c>
      <c r="N1946">
        <v>0</v>
      </c>
      <c r="O1946">
        <v>0</v>
      </c>
      <c r="P1946" t="str">
        <f t="shared" si="30"/>
        <v>N</v>
      </c>
      <c r="Q1946" t="s">
        <v>7676</v>
      </c>
    </row>
    <row r="1947" spans="1:17" x14ac:dyDescent="0.25">
      <c r="A1947" t="s">
        <v>1965</v>
      </c>
      <c r="B1947" t="s">
        <v>1135</v>
      </c>
      <c r="C1947">
        <v>2027</v>
      </c>
      <c r="D1947" t="s">
        <v>544</v>
      </c>
      <c r="E1947" t="s">
        <v>835</v>
      </c>
      <c r="F1947" s="32">
        <v>46423</v>
      </c>
      <c r="G1947" t="s">
        <v>514</v>
      </c>
      <c r="H1947">
        <v>47128518</v>
      </c>
      <c r="I1947" t="s">
        <v>1232</v>
      </c>
      <c r="J1947" t="s">
        <v>1493</v>
      </c>
      <c r="K1947" t="s">
        <v>530</v>
      </c>
      <c r="N1947">
        <v>0</v>
      </c>
      <c r="O1947">
        <v>0</v>
      </c>
      <c r="P1947" t="str">
        <f t="shared" si="30"/>
        <v>N</v>
      </c>
      <c r="Q1947" t="s">
        <v>7677</v>
      </c>
    </row>
    <row r="1948" spans="1:17" x14ac:dyDescent="0.25">
      <c r="A1948" t="s">
        <v>1966</v>
      </c>
      <c r="B1948" t="s">
        <v>1135</v>
      </c>
      <c r="C1948">
        <v>2027</v>
      </c>
      <c r="D1948" t="s">
        <v>544</v>
      </c>
      <c r="E1948" t="s">
        <v>835</v>
      </c>
      <c r="F1948" s="32">
        <v>46423</v>
      </c>
      <c r="G1948" t="s">
        <v>514</v>
      </c>
      <c r="H1948">
        <v>47128168</v>
      </c>
      <c r="I1948" t="s">
        <v>1100</v>
      </c>
      <c r="J1948" t="s">
        <v>1099</v>
      </c>
      <c r="K1948" t="s">
        <v>530</v>
      </c>
      <c r="N1948">
        <v>0</v>
      </c>
      <c r="O1948">
        <v>0</v>
      </c>
      <c r="P1948" t="str">
        <f t="shared" si="30"/>
        <v>N</v>
      </c>
      <c r="Q1948" t="s">
        <v>7678</v>
      </c>
    </row>
    <row r="1949" spans="1:17" x14ac:dyDescent="0.25">
      <c r="A1949" t="s">
        <v>1967</v>
      </c>
      <c r="B1949" t="s">
        <v>1135</v>
      </c>
      <c r="C1949">
        <v>2027</v>
      </c>
      <c r="D1949" t="s">
        <v>544</v>
      </c>
      <c r="E1949" t="s">
        <v>835</v>
      </c>
      <c r="F1949" s="32">
        <v>46423</v>
      </c>
      <c r="G1949" t="s">
        <v>514</v>
      </c>
      <c r="H1949">
        <v>47128687</v>
      </c>
      <c r="I1949" t="s">
        <v>1153</v>
      </c>
      <c r="J1949" t="s">
        <v>1152</v>
      </c>
      <c r="K1949" t="s">
        <v>530</v>
      </c>
      <c r="N1949">
        <v>0</v>
      </c>
      <c r="O1949">
        <v>0</v>
      </c>
      <c r="P1949" t="str">
        <f t="shared" si="30"/>
        <v>N</v>
      </c>
      <c r="Q1949" t="s">
        <v>7679</v>
      </c>
    </row>
    <row r="1950" spans="1:17" x14ac:dyDescent="0.25">
      <c r="A1950" t="s">
        <v>1968</v>
      </c>
      <c r="B1950" t="s">
        <v>1135</v>
      </c>
      <c r="C1950">
        <v>2027</v>
      </c>
      <c r="D1950" t="s">
        <v>544</v>
      </c>
      <c r="E1950" t="s">
        <v>835</v>
      </c>
      <c r="F1950" s="32">
        <v>46423</v>
      </c>
      <c r="G1950" t="s">
        <v>514</v>
      </c>
      <c r="H1950">
        <v>47128585</v>
      </c>
      <c r="I1950" t="s">
        <v>1141</v>
      </c>
      <c r="J1950" t="s">
        <v>1140</v>
      </c>
      <c r="K1950" t="s">
        <v>530</v>
      </c>
      <c r="N1950">
        <v>0</v>
      </c>
      <c r="O1950">
        <v>0</v>
      </c>
      <c r="P1950" t="str">
        <f t="shared" si="30"/>
        <v>N</v>
      </c>
      <c r="Q1950" t="s">
        <v>7680</v>
      </c>
    </row>
    <row r="1951" spans="1:17" x14ac:dyDescent="0.25">
      <c r="A1951" t="s">
        <v>1969</v>
      </c>
      <c r="B1951" t="s">
        <v>1135</v>
      </c>
      <c r="C1951">
        <v>2027</v>
      </c>
      <c r="D1951" t="s">
        <v>544</v>
      </c>
      <c r="E1951" t="s">
        <v>835</v>
      </c>
      <c r="F1951" s="32">
        <v>46423</v>
      </c>
      <c r="G1951" t="s">
        <v>514</v>
      </c>
      <c r="H1951">
        <v>47128906</v>
      </c>
      <c r="I1951" t="s">
        <v>1349</v>
      </c>
      <c r="J1951" t="s">
        <v>1348</v>
      </c>
      <c r="K1951" t="s">
        <v>530</v>
      </c>
      <c r="N1951">
        <v>0</v>
      </c>
      <c r="O1951">
        <v>0</v>
      </c>
      <c r="P1951" t="str">
        <f t="shared" si="30"/>
        <v>N</v>
      </c>
      <c r="Q1951" t="s">
        <v>7681</v>
      </c>
    </row>
    <row r="1952" spans="1:17" x14ac:dyDescent="0.25">
      <c r="A1952" t="s">
        <v>1970</v>
      </c>
      <c r="B1952" t="s">
        <v>1135</v>
      </c>
      <c r="C1952">
        <v>2027</v>
      </c>
      <c r="D1952" t="s">
        <v>544</v>
      </c>
      <c r="E1952" t="s">
        <v>835</v>
      </c>
      <c r="F1952" s="32">
        <v>46423</v>
      </c>
      <c r="G1952" t="s">
        <v>514</v>
      </c>
      <c r="H1952">
        <v>47128585</v>
      </c>
      <c r="I1952" t="s">
        <v>1141</v>
      </c>
      <c r="J1952" t="s">
        <v>1408</v>
      </c>
      <c r="K1952" t="s">
        <v>530</v>
      </c>
      <c r="N1952">
        <v>0</v>
      </c>
      <c r="O1952">
        <v>0</v>
      </c>
      <c r="P1952" t="str">
        <f t="shared" si="30"/>
        <v>N</v>
      </c>
      <c r="Q1952" t="s">
        <v>7682</v>
      </c>
    </row>
    <row r="1953" spans="1:17" x14ac:dyDescent="0.25">
      <c r="A1953" t="s">
        <v>1971</v>
      </c>
      <c r="B1953" t="s">
        <v>1135</v>
      </c>
      <c r="C1953">
        <v>2027</v>
      </c>
      <c r="D1953" t="s">
        <v>544</v>
      </c>
      <c r="E1953" t="s">
        <v>835</v>
      </c>
      <c r="F1953" s="32">
        <v>46423</v>
      </c>
      <c r="G1953" t="s">
        <v>514</v>
      </c>
      <c r="H1953">
        <v>47128518</v>
      </c>
      <c r="I1953" t="s">
        <v>1232</v>
      </c>
      <c r="J1953" t="s">
        <v>1231</v>
      </c>
      <c r="K1953" t="s">
        <v>530</v>
      </c>
      <c r="N1953">
        <v>0</v>
      </c>
      <c r="O1953">
        <v>0</v>
      </c>
      <c r="P1953" t="str">
        <f t="shared" si="30"/>
        <v>N</v>
      </c>
      <c r="Q1953" t="s">
        <v>7683</v>
      </c>
    </row>
    <row r="1954" spans="1:17" x14ac:dyDescent="0.25">
      <c r="A1954" t="s">
        <v>1972</v>
      </c>
      <c r="B1954" t="s">
        <v>1135</v>
      </c>
      <c r="C1954">
        <v>2027</v>
      </c>
      <c r="D1954" t="s">
        <v>544</v>
      </c>
      <c r="E1954" t="s">
        <v>835</v>
      </c>
      <c r="F1954" s="32">
        <v>46423</v>
      </c>
      <c r="G1954" t="s">
        <v>514</v>
      </c>
      <c r="H1954">
        <v>47128024</v>
      </c>
      <c r="I1954" t="s">
        <v>1108</v>
      </c>
      <c r="J1954" t="s">
        <v>1107</v>
      </c>
      <c r="K1954" t="s">
        <v>530</v>
      </c>
      <c r="N1954">
        <v>0</v>
      </c>
      <c r="O1954">
        <v>0</v>
      </c>
      <c r="P1954" t="str">
        <f t="shared" si="30"/>
        <v>N</v>
      </c>
      <c r="Q1954" t="s">
        <v>7684</v>
      </c>
    </row>
    <row r="1955" spans="1:17" x14ac:dyDescent="0.25">
      <c r="A1955" t="s">
        <v>1973</v>
      </c>
      <c r="B1955" t="s">
        <v>1135</v>
      </c>
      <c r="C1955">
        <v>2027</v>
      </c>
      <c r="D1955" t="s">
        <v>544</v>
      </c>
      <c r="E1955" t="s">
        <v>835</v>
      </c>
      <c r="F1955" s="32">
        <v>46423</v>
      </c>
      <c r="G1955" t="s">
        <v>514</v>
      </c>
      <c r="H1955">
        <v>47128680</v>
      </c>
      <c r="I1955" t="s">
        <v>1284</v>
      </c>
      <c r="J1955" t="s">
        <v>1283</v>
      </c>
      <c r="K1955" t="s">
        <v>530</v>
      </c>
      <c r="N1955">
        <v>0</v>
      </c>
      <c r="O1955">
        <v>0</v>
      </c>
      <c r="P1955" t="str">
        <f t="shared" si="30"/>
        <v>N</v>
      </c>
      <c r="Q1955" t="s">
        <v>7685</v>
      </c>
    </row>
    <row r="1956" spans="1:17" x14ac:dyDescent="0.25">
      <c r="A1956" t="s">
        <v>1974</v>
      </c>
      <c r="B1956" t="s">
        <v>1135</v>
      </c>
      <c r="C1956">
        <v>2027</v>
      </c>
      <c r="D1956" t="s">
        <v>544</v>
      </c>
      <c r="E1956" t="s">
        <v>835</v>
      </c>
      <c r="F1956" s="32">
        <v>46423</v>
      </c>
      <c r="G1956" t="s">
        <v>514</v>
      </c>
      <c r="H1956">
        <v>47128944</v>
      </c>
      <c r="I1956" t="s">
        <v>1137</v>
      </c>
      <c r="J1956" t="s">
        <v>1513</v>
      </c>
      <c r="K1956" t="s">
        <v>530</v>
      </c>
      <c r="N1956">
        <v>0</v>
      </c>
      <c r="O1956">
        <v>0</v>
      </c>
      <c r="P1956" t="str">
        <f t="shared" si="30"/>
        <v>N</v>
      </c>
      <c r="Q1956" t="s">
        <v>7686</v>
      </c>
    </row>
    <row r="1957" spans="1:17" x14ac:dyDescent="0.25">
      <c r="A1957" t="s">
        <v>1975</v>
      </c>
      <c r="B1957" t="s">
        <v>1135</v>
      </c>
      <c r="C1957">
        <v>2027</v>
      </c>
      <c r="D1957" t="s">
        <v>544</v>
      </c>
      <c r="E1957" t="s">
        <v>835</v>
      </c>
      <c r="F1957" s="32">
        <v>46423</v>
      </c>
      <c r="G1957" t="s">
        <v>514</v>
      </c>
      <c r="H1957">
        <v>47147546</v>
      </c>
      <c r="I1957" t="s">
        <v>1077</v>
      </c>
      <c r="J1957" t="s">
        <v>1076</v>
      </c>
      <c r="K1957" t="s">
        <v>530</v>
      </c>
      <c r="N1957">
        <v>0</v>
      </c>
      <c r="O1957">
        <v>0</v>
      </c>
      <c r="P1957" t="str">
        <f t="shared" si="30"/>
        <v>N</v>
      </c>
      <c r="Q1957" t="s">
        <v>7687</v>
      </c>
    </row>
    <row r="1958" spans="1:17" x14ac:dyDescent="0.25">
      <c r="A1958" t="s">
        <v>1976</v>
      </c>
      <c r="B1958" t="s">
        <v>1135</v>
      </c>
      <c r="C1958">
        <v>2027</v>
      </c>
      <c r="D1958" t="s">
        <v>544</v>
      </c>
      <c r="E1958" t="s">
        <v>835</v>
      </c>
      <c r="F1958" s="32">
        <v>46423</v>
      </c>
      <c r="G1958" t="s">
        <v>514</v>
      </c>
      <c r="H1958">
        <v>47128346</v>
      </c>
      <c r="I1958" t="s">
        <v>1157</v>
      </c>
      <c r="J1958" t="s">
        <v>1156</v>
      </c>
      <c r="K1958" t="s">
        <v>530</v>
      </c>
      <c r="N1958">
        <v>0</v>
      </c>
      <c r="O1958">
        <v>0</v>
      </c>
      <c r="P1958" t="str">
        <f t="shared" si="30"/>
        <v>N</v>
      </c>
      <c r="Q1958" t="s">
        <v>7688</v>
      </c>
    </row>
    <row r="1959" spans="1:17" x14ac:dyDescent="0.25">
      <c r="A1959" t="s">
        <v>1977</v>
      </c>
      <c r="B1959" t="s">
        <v>1135</v>
      </c>
      <c r="C1959">
        <v>2027</v>
      </c>
      <c r="D1959" t="s">
        <v>544</v>
      </c>
      <c r="E1959" t="s">
        <v>835</v>
      </c>
      <c r="F1959" s="32">
        <v>46423</v>
      </c>
      <c r="G1959" t="s">
        <v>514</v>
      </c>
      <c r="H1959">
        <v>47128800</v>
      </c>
      <c r="I1959" t="s">
        <v>1145</v>
      </c>
      <c r="J1959" t="s">
        <v>1144</v>
      </c>
      <c r="K1959" t="s">
        <v>530</v>
      </c>
      <c r="N1959">
        <v>0</v>
      </c>
      <c r="O1959">
        <v>0</v>
      </c>
      <c r="P1959" t="str">
        <f t="shared" si="30"/>
        <v>N</v>
      </c>
      <c r="Q1959" t="s">
        <v>7689</v>
      </c>
    </row>
    <row r="1960" spans="1:17" x14ac:dyDescent="0.25">
      <c r="A1960" t="s">
        <v>1978</v>
      </c>
      <c r="B1960" t="s">
        <v>1135</v>
      </c>
      <c r="C1960">
        <v>2027</v>
      </c>
      <c r="D1960" t="s">
        <v>544</v>
      </c>
      <c r="E1960" t="s">
        <v>835</v>
      </c>
      <c r="F1960" s="32">
        <v>46423</v>
      </c>
      <c r="G1960" t="s">
        <v>514</v>
      </c>
      <c r="H1960">
        <v>47128109</v>
      </c>
      <c r="I1960" t="s">
        <v>1336</v>
      </c>
      <c r="J1960" t="s">
        <v>1335</v>
      </c>
      <c r="K1960" t="s">
        <v>530</v>
      </c>
      <c r="N1960">
        <v>0</v>
      </c>
      <c r="O1960">
        <v>0</v>
      </c>
      <c r="P1960" t="str">
        <f t="shared" si="30"/>
        <v>N</v>
      </c>
      <c r="Q1960" t="s">
        <v>7690</v>
      </c>
    </row>
    <row r="1961" spans="1:17" x14ac:dyDescent="0.25">
      <c r="A1961" t="s">
        <v>1979</v>
      </c>
      <c r="B1961" t="s">
        <v>1135</v>
      </c>
      <c r="C1961">
        <v>2027</v>
      </c>
      <c r="D1961" t="s">
        <v>544</v>
      </c>
      <c r="E1961" t="s">
        <v>835</v>
      </c>
      <c r="F1961" s="32">
        <v>46423</v>
      </c>
      <c r="G1961" t="s">
        <v>514</v>
      </c>
      <c r="H1961">
        <v>47128430</v>
      </c>
      <c r="I1961" t="s">
        <v>1401</v>
      </c>
      <c r="J1961" t="s">
        <v>1400</v>
      </c>
      <c r="K1961" t="s">
        <v>530</v>
      </c>
      <c r="N1961">
        <v>0</v>
      </c>
      <c r="O1961">
        <v>0</v>
      </c>
      <c r="P1961" t="str">
        <f t="shared" si="30"/>
        <v>N</v>
      </c>
      <c r="Q1961" t="s">
        <v>7691</v>
      </c>
    </row>
    <row r="1962" spans="1:17" x14ac:dyDescent="0.25">
      <c r="A1962" t="s">
        <v>1980</v>
      </c>
      <c r="B1962" t="s">
        <v>1135</v>
      </c>
      <c r="C1962">
        <v>2027</v>
      </c>
      <c r="D1962" t="s">
        <v>544</v>
      </c>
      <c r="E1962" t="s">
        <v>835</v>
      </c>
      <c r="F1962" s="32">
        <v>46423</v>
      </c>
      <c r="G1962" t="s">
        <v>514</v>
      </c>
      <c r="H1962">
        <v>47128522</v>
      </c>
      <c r="I1962" t="s">
        <v>1092</v>
      </c>
      <c r="J1962" t="s">
        <v>1091</v>
      </c>
      <c r="K1962" t="s">
        <v>530</v>
      </c>
      <c r="N1962">
        <v>0</v>
      </c>
      <c r="O1962">
        <v>0</v>
      </c>
      <c r="P1962" t="str">
        <f t="shared" si="30"/>
        <v>N</v>
      </c>
      <c r="Q1962" t="s">
        <v>7692</v>
      </c>
    </row>
    <row r="1963" spans="1:17" x14ac:dyDescent="0.25">
      <c r="A1963" t="s">
        <v>1981</v>
      </c>
      <c r="B1963" t="s">
        <v>1135</v>
      </c>
      <c r="C1963">
        <v>2027</v>
      </c>
      <c r="D1963" t="s">
        <v>544</v>
      </c>
      <c r="E1963" t="s">
        <v>835</v>
      </c>
      <c r="F1963" s="32">
        <v>46423</v>
      </c>
      <c r="G1963" t="s">
        <v>514</v>
      </c>
      <c r="H1963">
        <v>47147546</v>
      </c>
      <c r="I1963" t="s">
        <v>1077</v>
      </c>
      <c r="J1963" t="s">
        <v>1381</v>
      </c>
      <c r="K1963" t="s">
        <v>530</v>
      </c>
      <c r="N1963">
        <v>0</v>
      </c>
      <c r="O1963">
        <v>0</v>
      </c>
      <c r="P1963" t="str">
        <f t="shared" si="30"/>
        <v>N</v>
      </c>
      <c r="Q1963" t="s">
        <v>7693</v>
      </c>
    </row>
    <row r="1964" spans="1:17" x14ac:dyDescent="0.25">
      <c r="A1964" t="s">
        <v>1982</v>
      </c>
      <c r="B1964" t="s">
        <v>1135</v>
      </c>
      <c r="C1964">
        <v>2027</v>
      </c>
      <c r="D1964" t="s">
        <v>544</v>
      </c>
      <c r="E1964" t="s">
        <v>835</v>
      </c>
      <c r="F1964" s="32">
        <v>46423</v>
      </c>
      <c r="G1964" t="s">
        <v>514</v>
      </c>
      <c r="H1964">
        <v>47147658</v>
      </c>
      <c r="I1964" t="s">
        <v>1276</v>
      </c>
      <c r="J1964" t="s">
        <v>1275</v>
      </c>
      <c r="K1964" t="s">
        <v>530</v>
      </c>
      <c r="N1964">
        <v>0</v>
      </c>
      <c r="O1964">
        <v>0</v>
      </c>
      <c r="P1964" t="str">
        <f t="shared" si="30"/>
        <v>N</v>
      </c>
      <c r="Q1964" t="s">
        <v>7694</v>
      </c>
    </row>
    <row r="1965" spans="1:17" x14ac:dyDescent="0.25">
      <c r="A1965" t="s">
        <v>1983</v>
      </c>
      <c r="B1965" t="s">
        <v>1135</v>
      </c>
      <c r="C1965">
        <v>2027</v>
      </c>
      <c r="D1965" t="s">
        <v>544</v>
      </c>
      <c r="E1965" t="s">
        <v>835</v>
      </c>
      <c r="F1965" s="32">
        <v>46423</v>
      </c>
      <c r="G1965" t="s">
        <v>514</v>
      </c>
      <c r="H1965">
        <v>47147546</v>
      </c>
      <c r="I1965" t="s">
        <v>1077</v>
      </c>
      <c r="J1965" t="s">
        <v>1171</v>
      </c>
      <c r="K1965" t="s">
        <v>530</v>
      </c>
      <c r="N1965">
        <v>0</v>
      </c>
      <c r="O1965">
        <v>0</v>
      </c>
      <c r="P1965" t="str">
        <f t="shared" si="30"/>
        <v>N</v>
      </c>
      <c r="Q1965" t="s">
        <v>7695</v>
      </c>
    </row>
    <row r="1966" spans="1:17" x14ac:dyDescent="0.25">
      <c r="A1966" t="s">
        <v>1984</v>
      </c>
      <c r="B1966" t="s">
        <v>1135</v>
      </c>
      <c r="C1966">
        <v>2027</v>
      </c>
      <c r="D1966" t="s">
        <v>544</v>
      </c>
      <c r="E1966" t="s">
        <v>835</v>
      </c>
      <c r="F1966" s="32">
        <v>46423</v>
      </c>
      <c r="G1966" t="s">
        <v>514</v>
      </c>
      <c r="H1966">
        <v>47128028</v>
      </c>
      <c r="I1966" t="s">
        <v>1035</v>
      </c>
      <c r="J1966" t="s">
        <v>1034</v>
      </c>
      <c r="K1966" t="s">
        <v>530</v>
      </c>
      <c r="N1966">
        <v>0</v>
      </c>
      <c r="O1966">
        <v>0</v>
      </c>
      <c r="P1966" t="str">
        <f t="shared" si="30"/>
        <v>N</v>
      </c>
      <c r="Q1966" t="s">
        <v>7696</v>
      </c>
    </row>
    <row r="1967" spans="1:17" x14ac:dyDescent="0.25">
      <c r="A1967" t="s">
        <v>1985</v>
      </c>
      <c r="B1967" t="s">
        <v>1135</v>
      </c>
      <c r="C1967">
        <v>2027</v>
      </c>
      <c r="D1967" t="s">
        <v>544</v>
      </c>
      <c r="E1967" t="s">
        <v>835</v>
      </c>
      <c r="F1967" s="32">
        <v>46423</v>
      </c>
      <c r="G1967" t="s">
        <v>514</v>
      </c>
      <c r="H1967">
        <v>47128465</v>
      </c>
      <c r="I1967" t="s">
        <v>1333</v>
      </c>
      <c r="J1967" t="s">
        <v>1332</v>
      </c>
      <c r="K1967" t="s">
        <v>530</v>
      </c>
      <c r="N1967">
        <v>0</v>
      </c>
      <c r="O1967">
        <v>0</v>
      </c>
      <c r="P1967" t="str">
        <f t="shared" si="30"/>
        <v>N</v>
      </c>
      <c r="Q1967" t="s">
        <v>7697</v>
      </c>
    </row>
    <row r="1968" spans="1:17" x14ac:dyDescent="0.25">
      <c r="A1968" t="s">
        <v>1986</v>
      </c>
      <c r="B1968" t="s">
        <v>1135</v>
      </c>
      <c r="C1968">
        <v>2027</v>
      </c>
      <c r="D1968" t="s">
        <v>544</v>
      </c>
      <c r="E1968" t="s">
        <v>835</v>
      </c>
      <c r="F1968" s="32">
        <v>46423</v>
      </c>
      <c r="G1968" t="s">
        <v>514</v>
      </c>
      <c r="H1968">
        <v>47128548</v>
      </c>
      <c r="I1968" t="s">
        <v>958</v>
      </c>
      <c r="J1968" t="s">
        <v>957</v>
      </c>
      <c r="K1968" t="s">
        <v>530</v>
      </c>
      <c r="N1968">
        <v>0</v>
      </c>
      <c r="O1968">
        <v>0</v>
      </c>
      <c r="P1968" t="str">
        <f t="shared" si="30"/>
        <v>N</v>
      </c>
      <c r="Q1968" t="s">
        <v>7698</v>
      </c>
    </row>
    <row r="1969" spans="1:17" x14ac:dyDescent="0.25">
      <c r="A1969" t="s">
        <v>2426</v>
      </c>
      <c r="B1969" t="s">
        <v>2344</v>
      </c>
      <c r="C1969">
        <v>2027</v>
      </c>
      <c r="D1969" t="s">
        <v>544</v>
      </c>
      <c r="E1969" t="s">
        <v>835</v>
      </c>
      <c r="F1969" s="32">
        <v>46423</v>
      </c>
      <c r="G1969" t="s">
        <v>514</v>
      </c>
      <c r="H1969">
        <v>47140037</v>
      </c>
      <c r="I1969" t="s">
        <v>2347</v>
      </c>
      <c r="J1969" t="s">
        <v>2348</v>
      </c>
      <c r="K1969" t="s">
        <v>530</v>
      </c>
      <c r="N1969">
        <v>0</v>
      </c>
      <c r="O1969">
        <v>0</v>
      </c>
      <c r="P1969" t="str">
        <f t="shared" si="30"/>
        <v>N</v>
      </c>
      <c r="Q1969" t="s">
        <v>7699</v>
      </c>
    </row>
    <row r="1970" spans="1:17" x14ac:dyDescent="0.25">
      <c r="A1970" t="s">
        <v>2427</v>
      </c>
      <c r="B1970" t="s">
        <v>2344</v>
      </c>
      <c r="C1970">
        <v>2027</v>
      </c>
      <c r="D1970" t="s">
        <v>544</v>
      </c>
      <c r="E1970" t="s">
        <v>835</v>
      </c>
      <c r="F1970" s="32">
        <v>46423</v>
      </c>
      <c r="G1970" t="s">
        <v>514</v>
      </c>
      <c r="H1970">
        <v>47128820</v>
      </c>
      <c r="I1970" t="s">
        <v>2411</v>
      </c>
      <c r="J1970" t="s">
        <v>2412</v>
      </c>
      <c r="K1970" t="s">
        <v>530</v>
      </c>
      <c r="N1970">
        <v>0</v>
      </c>
      <c r="O1970">
        <v>0</v>
      </c>
      <c r="P1970" t="str">
        <f t="shared" si="30"/>
        <v>N</v>
      </c>
      <c r="Q1970" t="s">
        <v>7700</v>
      </c>
    </row>
    <row r="1971" spans="1:17" x14ac:dyDescent="0.25">
      <c r="A1971" t="s">
        <v>2428</v>
      </c>
      <c r="B1971" t="s">
        <v>2344</v>
      </c>
      <c r="C1971">
        <v>2027</v>
      </c>
      <c r="D1971" t="s">
        <v>544</v>
      </c>
      <c r="E1971" t="s">
        <v>835</v>
      </c>
      <c r="F1971" s="32">
        <v>46423</v>
      </c>
      <c r="G1971" t="s">
        <v>514</v>
      </c>
      <c r="H1971">
        <v>47128378</v>
      </c>
      <c r="I1971" t="s">
        <v>2392</v>
      </c>
      <c r="J1971" t="s">
        <v>2393</v>
      </c>
      <c r="K1971" t="s">
        <v>530</v>
      </c>
      <c r="N1971">
        <v>0</v>
      </c>
      <c r="O1971">
        <v>0</v>
      </c>
      <c r="P1971" t="str">
        <f t="shared" si="30"/>
        <v>N</v>
      </c>
      <c r="Q1971" t="s">
        <v>7701</v>
      </c>
    </row>
    <row r="1972" spans="1:17" x14ac:dyDescent="0.25">
      <c r="A1972" t="s">
        <v>2429</v>
      </c>
      <c r="B1972" t="s">
        <v>2344</v>
      </c>
      <c r="C1972">
        <v>2027</v>
      </c>
      <c r="D1972" t="s">
        <v>544</v>
      </c>
      <c r="E1972" t="s">
        <v>835</v>
      </c>
      <c r="F1972" s="32">
        <v>46423</v>
      </c>
      <c r="G1972" t="s">
        <v>514</v>
      </c>
      <c r="H1972">
        <v>47128020</v>
      </c>
      <c r="I1972" t="s">
        <v>2395</v>
      </c>
      <c r="J1972" t="s">
        <v>2396</v>
      </c>
      <c r="K1972" t="s">
        <v>530</v>
      </c>
      <c r="N1972">
        <v>0</v>
      </c>
      <c r="O1972">
        <v>0</v>
      </c>
      <c r="P1972" t="str">
        <f t="shared" si="30"/>
        <v>N</v>
      </c>
      <c r="Q1972" t="s">
        <v>7702</v>
      </c>
    </row>
    <row r="1973" spans="1:17" x14ac:dyDescent="0.25">
      <c r="A1973" t="s">
        <v>2430</v>
      </c>
      <c r="B1973" t="s">
        <v>2344</v>
      </c>
      <c r="C1973">
        <v>2027</v>
      </c>
      <c r="D1973" t="s">
        <v>544</v>
      </c>
      <c r="E1973" t="s">
        <v>835</v>
      </c>
      <c r="F1973" s="32">
        <v>46423</v>
      </c>
      <c r="G1973" t="s">
        <v>514</v>
      </c>
      <c r="H1973">
        <v>47128459</v>
      </c>
      <c r="I1973" t="s">
        <v>2398</v>
      </c>
      <c r="J1973" t="s">
        <v>2399</v>
      </c>
      <c r="K1973" t="s">
        <v>530</v>
      </c>
      <c r="N1973">
        <v>0</v>
      </c>
      <c r="O1973">
        <v>0</v>
      </c>
      <c r="P1973" t="str">
        <f t="shared" si="30"/>
        <v>N</v>
      </c>
      <c r="Q1973" t="s">
        <v>7703</v>
      </c>
    </row>
    <row r="1974" spans="1:17" x14ac:dyDescent="0.25">
      <c r="A1974" t="s">
        <v>2622</v>
      </c>
      <c r="B1974" t="s">
        <v>2444</v>
      </c>
      <c r="C1974">
        <v>2027</v>
      </c>
      <c r="D1974" t="s">
        <v>544</v>
      </c>
      <c r="E1974" t="s">
        <v>835</v>
      </c>
      <c r="F1974" s="32">
        <v>46423</v>
      </c>
      <c r="G1974" t="s">
        <v>514</v>
      </c>
      <c r="H1974">
        <v>47128006</v>
      </c>
      <c r="I1974" t="s">
        <v>2447</v>
      </c>
      <c r="J1974" t="s">
        <v>2448</v>
      </c>
      <c r="K1974" t="s">
        <v>530</v>
      </c>
      <c r="N1974">
        <v>0</v>
      </c>
      <c r="O1974">
        <v>0</v>
      </c>
      <c r="P1974" t="str">
        <f t="shared" si="30"/>
        <v>N</v>
      </c>
      <c r="Q1974" t="s">
        <v>7704</v>
      </c>
    </row>
    <row r="1975" spans="1:17" x14ac:dyDescent="0.25">
      <c r="A1975" t="s">
        <v>2623</v>
      </c>
      <c r="B1975" t="s">
        <v>2444</v>
      </c>
      <c r="C1975">
        <v>2027</v>
      </c>
      <c r="D1975" t="s">
        <v>544</v>
      </c>
      <c r="E1975" t="s">
        <v>835</v>
      </c>
      <c r="F1975" s="32">
        <v>46423</v>
      </c>
      <c r="G1975" t="s">
        <v>514</v>
      </c>
      <c r="H1975">
        <v>47128300</v>
      </c>
      <c r="I1975" t="s">
        <v>2471</v>
      </c>
      <c r="J1975" t="s">
        <v>2472</v>
      </c>
      <c r="K1975" t="s">
        <v>530</v>
      </c>
      <c r="N1975">
        <v>0</v>
      </c>
      <c r="O1975">
        <v>0</v>
      </c>
      <c r="P1975" t="str">
        <f t="shared" si="30"/>
        <v>N</v>
      </c>
      <c r="Q1975" t="s">
        <v>7705</v>
      </c>
    </row>
    <row r="1976" spans="1:17" x14ac:dyDescent="0.25">
      <c r="A1976" t="s">
        <v>2624</v>
      </c>
      <c r="B1976" t="s">
        <v>2444</v>
      </c>
      <c r="C1976">
        <v>2027</v>
      </c>
      <c r="D1976" t="s">
        <v>544</v>
      </c>
      <c r="E1976" t="s">
        <v>835</v>
      </c>
      <c r="F1976" s="32">
        <v>46423</v>
      </c>
      <c r="G1976" t="s">
        <v>514</v>
      </c>
      <c r="H1976">
        <v>47128213</v>
      </c>
      <c r="I1976" t="s">
        <v>2456</v>
      </c>
      <c r="J1976" t="s">
        <v>2457</v>
      </c>
      <c r="K1976" t="s">
        <v>530</v>
      </c>
      <c r="N1976">
        <v>60</v>
      </c>
      <c r="O1976">
        <v>60</v>
      </c>
      <c r="P1976" t="str">
        <f t="shared" si="30"/>
        <v>N</v>
      </c>
      <c r="Q1976" t="s">
        <v>7706</v>
      </c>
    </row>
    <row r="1977" spans="1:17" x14ac:dyDescent="0.25">
      <c r="A1977" t="s">
        <v>2625</v>
      </c>
      <c r="B1977" t="s">
        <v>2444</v>
      </c>
      <c r="C1977">
        <v>2027</v>
      </c>
      <c r="D1977" t="s">
        <v>544</v>
      </c>
      <c r="E1977" t="s">
        <v>835</v>
      </c>
      <c r="F1977" s="32">
        <v>46423</v>
      </c>
      <c r="G1977" t="s">
        <v>514</v>
      </c>
      <c r="H1977">
        <v>47128667</v>
      </c>
      <c r="I1977" t="s">
        <v>2450</v>
      </c>
      <c r="J1977" t="s">
        <v>2451</v>
      </c>
      <c r="K1977" t="s">
        <v>530</v>
      </c>
      <c r="N1977">
        <v>0</v>
      </c>
      <c r="O1977">
        <v>0</v>
      </c>
      <c r="P1977" t="str">
        <f t="shared" si="30"/>
        <v>N</v>
      </c>
      <c r="Q1977" t="s">
        <v>7707</v>
      </c>
    </row>
    <row r="1978" spans="1:17" x14ac:dyDescent="0.25">
      <c r="A1978" t="s">
        <v>2626</v>
      </c>
      <c r="B1978" t="s">
        <v>2444</v>
      </c>
      <c r="C1978">
        <v>2027</v>
      </c>
      <c r="D1978" t="s">
        <v>544</v>
      </c>
      <c r="E1978" t="s">
        <v>835</v>
      </c>
      <c r="F1978" s="32">
        <v>46423</v>
      </c>
      <c r="G1978" t="s">
        <v>514</v>
      </c>
      <c r="H1978">
        <v>47128179</v>
      </c>
      <c r="I1978" t="s">
        <v>2477</v>
      </c>
      <c r="J1978" t="s">
        <v>2478</v>
      </c>
      <c r="K1978" t="s">
        <v>530</v>
      </c>
      <c r="N1978">
        <v>0</v>
      </c>
      <c r="O1978">
        <v>0</v>
      </c>
      <c r="P1978" t="str">
        <f t="shared" si="30"/>
        <v>N</v>
      </c>
      <c r="Q1978" t="s">
        <v>7708</v>
      </c>
    </row>
    <row r="1979" spans="1:17" x14ac:dyDescent="0.25">
      <c r="A1979" t="s">
        <v>2627</v>
      </c>
      <c r="B1979" t="s">
        <v>2444</v>
      </c>
      <c r="C1979">
        <v>2027</v>
      </c>
      <c r="D1979" t="s">
        <v>544</v>
      </c>
      <c r="E1979" t="s">
        <v>835</v>
      </c>
      <c r="F1979" s="32">
        <v>46423</v>
      </c>
      <c r="G1979" t="s">
        <v>514</v>
      </c>
      <c r="H1979">
        <v>47128655</v>
      </c>
      <c r="I1979" t="s">
        <v>2474</v>
      </c>
      <c r="J1979" t="s">
        <v>2475</v>
      </c>
      <c r="K1979" t="s">
        <v>530</v>
      </c>
      <c r="N1979">
        <v>0</v>
      </c>
      <c r="O1979">
        <v>0</v>
      </c>
      <c r="P1979" t="str">
        <f t="shared" si="30"/>
        <v>N</v>
      </c>
      <c r="Q1979" t="s">
        <v>7709</v>
      </c>
    </row>
    <row r="1980" spans="1:17" x14ac:dyDescent="0.25">
      <c r="A1980" t="s">
        <v>2628</v>
      </c>
      <c r="B1980" t="s">
        <v>2444</v>
      </c>
      <c r="C1980">
        <v>2027</v>
      </c>
      <c r="D1980" t="s">
        <v>544</v>
      </c>
      <c r="E1980" t="s">
        <v>835</v>
      </c>
      <c r="F1980" s="32">
        <v>46423</v>
      </c>
      <c r="G1980" t="s">
        <v>514</v>
      </c>
      <c r="H1980">
        <v>47129222</v>
      </c>
      <c r="I1980" t="s">
        <v>2459</v>
      </c>
      <c r="J1980" t="s">
        <v>2460</v>
      </c>
      <c r="K1980" t="s">
        <v>530</v>
      </c>
      <c r="N1980">
        <v>0</v>
      </c>
      <c r="O1980">
        <v>0</v>
      </c>
      <c r="P1980" t="str">
        <f t="shared" si="30"/>
        <v>N</v>
      </c>
      <c r="Q1980" t="s">
        <v>7710</v>
      </c>
    </row>
    <row r="1981" spans="1:17" x14ac:dyDescent="0.25">
      <c r="A1981" t="s">
        <v>2629</v>
      </c>
      <c r="B1981" t="s">
        <v>2444</v>
      </c>
      <c r="C1981">
        <v>2027</v>
      </c>
      <c r="D1981" t="s">
        <v>544</v>
      </c>
      <c r="E1981" t="s">
        <v>835</v>
      </c>
      <c r="F1981" s="32">
        <v>46423</v>
      </c>
      <c r="G1981" t="s">
        <v>514</v>
      </c>
      <c r="H1981">
        <v>47132096</v>
      </c>
      <c r="I1981" t="s">
        <v>2468</v>
      </c>
      <c r="J1981" t="s">
        <v>2469</v>
      </c>
      <c r="K1981" t="s">
        <v>530</v>
      </c>
      <c r="N1981">
        <v>0</v>
      </c>
      <c r="O1981">
        <v>0</v>
      </c>
      <c r="P1981" t="str">
        <f t="shared" si="30"/>
        <v>N</v>
      </c>
      <c r="Q1981" t="s">
        <v>7711</v>
      </c>
    </row>
    <row r="1982" spans="1:17" x14ac:dyDescent="0.25">
      <c r="A1982" t="s">
        <v>2630</v>
      </c>
      <c r="B1982" t="s">
        <v>2444</v>
      </c>
      <c r="C1982">
        <v>2027</v>
      </c>
      <c r="D1982" t="s">
        <v>544</v>
      </c>
      <c r="E1982" t="s">
        <v>835</v>
      </c>
      <c r="F1982" s="32">
        <v>46423</v>
      </c>
      <c r="G1982" t="s">
        <v>514</v>
      </c>
      <c r="H1982">
        <v>47128561</v>
      </c>
      <c r="I1982" t="s">
        <v>2462</v>
      </c>
      <c r="J1982" t="s">
        <v>2463</v>
      </c>
      <c r="K1982" t="s">
        <v>530</v>
      </c>
      <c r="N1982">
        <v>0</v>
      </c>
      <c r="O1982">
        <v>0</v>
      </c>
      <c r="P1982" t="str">
        <f t="shared" si="30"/>
        <v>N</v>
      </c>
      <c r="Q1982" t="s">
        <v>7712</v>
      </c>
    </row>
    <row r="1983" spans="1:17" x14ac:dyDescent="0.25">
      <c r="A1983" t="s">
        <v>2631</v>
      </c>
      <c r="B1983" t="s">
        <v>2444</v>
      </c>
      <c r="C1983">
        <v>2027</v>
      </c>
      <c r="D1983" t="s">
        <v>544</v>
      </c>
      <c r="E1983" t="s">
        <v>835</v>
      </c>
      <c r="F1983" s="32">
        <v>46423</v>
      </c>
      <c r="G1983" t="s">
        <v>514</v>
      </c>
      <c r="H1983">
        <v>47129274</v>
      </c>
      <c r="I1983" t="s">
        <v>2486</v>
      </c>
      <c r="J1983" t="s">
        <v>2487</v>
      </c>
      <c r="K1983" t="s">
        <v>530</v>
      </c>
      <c r="N1983">
        <v>0</v>
      </c>
      <c r="O1983">
        <v>0</v>
      </c>
      <c r="P1983" t="str">
        <f t="shared" si="30"/>
        <v>N</v>
      </c>
      <c r="Q1983" t="s">
        <v>7713</v>
      </c>
    </row>
    <row r="1984" spans="1:17" x14ac:dyDescent="0.25">
      <c r="A1984" t="s">
        <v>2632</v>
      </c>
      <c r="B1984" t="s">
        <v>2444</v>
      </c>
      <c r="C1984">
        <v>2027</v>
      </c>
      <c r="D1984" t="s">
        <v>544</v>
      </c>
      <c r="E1984" t="s">
        <v>835</v>
      </c>
      <c r="F1984" s="32">
        <v>46423</v>
      </c>
      <c r="G1984" t="s">
        <v>514</v>
      </c>
      <c r="H1984">
        <v>47129262</v>
      </c>
      <c r="I1984" t="s">
        <v>2453</v>
      </c>
      <c r="J1984" t="s">
        <v>2454</v>
      </c>
      <c r="K1984" t="s">
        <v>530</v>
      </c>
      <c r="N1984">
        <v>0</v>
      </c>
      <c r="O1984">
        <v>0</v>
      </c>
      <c r="P1984" t="str">
        <f t="shared" si="30"/>
        <v>N</v>
      </c>
      <c r="Q1984" t="s">
        <v>7714</v>
      </c>
    </row>
    <row r="1985" spans="1:17" x14ac:dyDescent="0.25">
      <c r="A1985" t="s">
        <v>2633</v>
      </c>
      <c r="B1985" t="s">
        <v>2444</v>
      </c>
      <c r="C1985">
        <v>2027</v>
      </c>
      <c r="D1985" t="s">
        <v>544</v>
      </c>
      <c r="E1985" t="s">
        <v>835</v>
      </c>
      <c r="F1985" s="32">
        <v>46423</v>
      </c>
      <c r="G1985" t="s">
        <v>514</v>
      </c>
      <c r="H1985">
        <v>47129558</v>
      </c>
      <c r="I1985" t="s">
        <v>2480</v>
      </c>
      <c r="J1985" t="s">
        <v>2481</v>
      </c>
      <c r="K1985" t="s">
        <v>530</v>
      </c>
      <c r="N1985">
        <v>0</v>
      </c>
      <c r="O1985">
        <v>0</v>
      </c>
      <c r="P1985" t="str">
        <f t="shared" si="30"/>
        <v>N</v>
      </c>
      <c r="Q1985" t="s">
        <v>7715</v>
      </c>
    </row>
    <row r="1986" spans="1:17" x14ac:dyDescent="0.25">
      <c r="A1986" t="s">
        <v>2634</v>
      </c>
      <c r="B1986" t="s">
        <v>2444</v>
      </c>
      <c r="C1986">
        <v>2027</v>
      </c>
      <c r="D1986" t="s">
        <v>544</v>
      </c>
      <c r="E1986" t="s">
        <v>835</v>
      </c>
      <c r="F1986" s="32">
        <v>46423</v>
      </c>
      <c r="G1986" t="s">
        <v>514</v>
      </c>
      <c r="H1986">
        <v>47129727</v>
      </c>
      <c r="I1986" t="s">
        <v>2465</v>
      </c>
      <c r="J1986" t="s">
        <v>2466</v>
      </c>
      <c r="K1986" t="s">
        <v>530</v>
      </c>
      <c r="N1986">
        <v>0</v>
      </c>
      <c r="O1986">
        <v>0</v>
      </c>
      <c r="P1986" t="str">
        <f t="shared" si="30"/>
        <v>N</v>
      </c>
      <c r="Q1986" t="s">
        <v>7716</v>
      </c>
    </row>
    <row r="1987" spans="1:17" x14ac:dyDescent="0.25">
      <c r="A1987" t="s">
        <v>2635</v>
      </c>
      <c r="B1987" t="s">
        <v>2444</v>
      </c>
      <c r="C1987">
        <v>2027</v>
      </c>
      <c r="D1987" t="s">
        <v>544</v>
      </c>
      <c r="E1987" t="s">
        <v>835</v>
      </c>
      <c r="F1987" s="32">
        <v>46423</v>
      </c>
      <c r="G1987" t="s">
        <v>514</v>
      </c>
      <c r="H1987">
        <v>47129273</v>
      </c>
      <c r="I1987" t="s">
        <v>2483</v>
      </c>
      <c r="J1987" t="s">
        <v>2484</v>
      </c>
      <c r="K1987" t="s">
        <v>530</v>
      </c>
      <c r="N1987">
        <v>0</v>
      </c>
      <c r="O1987">
        <v>0</v>
      </c>
      <c r="P1987" t="str">
        <f t="shared" ref="P1987:P2050" si="31">IF(N1987=O1987,"N","Y")</f>
        <v>N</v>
      </c>
      <c r="Q1987" t="s">
        <v>7717</v>
      </c>
    </row>
    <row r="1988" spans="1:17" x14ac:dyDescent="0.25">
      <c r="A1988" t="s">
        <v>2636</v>
      </c>
      <c r="B1988" t="s">
        <v>2444</v>
      </c>
      <c r="C1988">
        <v>2027</v>
      </c>
      <c r="D1988" t="s">
        <v>544</v>
      </c>
      <c r="E1988" t="s">
        <v>835</v>
      </c>
      <c r="F1988" s="32">
        <v>46423</v>
      </c>
      <c r="G1988" t="s">
        <v>514</v>
      </c>
      <c r="H1988">
        <v>47128587</v>
      </c>
      <c r="I1988" t="s">
        <v>2489</v>
      </c>
      <c r="J1988" t="s">
        <v>2490</v>
      </c>
      <c r="K1988" t="s">
        <v>530</v>
      </c>
      <c r="N1988">
        <v>0</v>
      </c>
      <c r="O1988">
        <v>0</v>
      </c>
      <c r="P1988" t="str">
        <f t="shared" si="31"/>
        <v>N</v>
      </c>
      <c r="Q1988" t="s">
        <v>7718</v>
      </c>
    </row>
    <row r="1989" spans="1:17" x14ac:dyDescent="0.25">
      <c r="A1989" t="s">
        <v>2637</v>
      </c>
      <c r="B1989" t="s">
        <v>2444</v>
      </c>
      <c r="C1989">
        <v>2027</v>
      </c>
      <c r="D1989" t="s">
        <v>544</v>
      </c>
      <c r="E1989" t="s">
        <v>835</v>
      </c>
      <c r="F1989" s="32">
        <v>46423</v>
      </c>
      <c r="G1989" t="s">
        <v>514</v>
      </c>
      <c r="H1989">
        <v>47128247</v>
      </c>
      <c r="I1989" t="s">
        <v>2492</v>
      </c>
      <c r="J1989" t="s">
        <v>2493</v>
      </c>
      <c r="K1989" t="s">
        <v>530</v>
      </c>
      <c r="N1989">
        <v>0</v>
      </c>
      <c r="O1989">
        <v>0</v>
      </c>
      <c r="P1989" t="str">
        <f t="shared" si="31"/>
        <v>N</v>
      </c>
      <c r="Q1989" t="s">
        <v>7719</v>
      </c>
    </row>
    <row r="1990" spans="1:17" x14ac:dyDescent="0.25">
      <c r="A1990" t="s">
        <v>2928</v>
      </c>
      <c r="B1990" t="s">
        <v>2783</v>
      </c>
      <c r="C1990">
        <v>2027</v>
      </c>
      <c r="D1990" t="s">
        <v>544</v>
      </c>
      <c r="E1990" t="s">
        <v>835</v>
      </c>
      <c r="F1990" s="32">
        <v>46423</v>
      </c>
      <c r="G1990" t="s">
        <v>514</v>
      </c>
      <c r="H1990">
        <v>47128006</v>
      </c>
      <c r="I1990" t="s">
        <v>2447</v>
      </c>
      <c r="J1990" t="s">
        <v>2448</v>
      </c>
      <c r="K1990" t="s">
        <v>530</v>
      </c>
      <c r="N1990">
        <v>0</v>
      </c>
      <c r="O1990">
        <v>0</v>
      </c>
      <c r="P1990" t="str">
        <f t="shared" si="31"/>
        <v>N</v>
      </c>
      <c r="Q1990" t="s">
        <v>7720</v>
      </c>
    </row>
    <row r="1991" spans="1:17" x14ac:dyDescent="0.25">
      <c r="A1991" t="s">
        <v>2929</v>
      </c>
      <c r="B1991" t="s">
        <v>2783</v>
      </c>
      <c r="C1991">
        <v>2027</v>
      </c>
      <c r="D1991" t="s">
        <v>544</v>
      </c>
      <c r="E1991" t="s">
        <v>835</v>
      </c>
      <c r="F1991" s="32">
        <v>46423</v>
      </c>
      <c r="G1991" t="s">
        <v>514</v>
      </c>
      <c r="H1991">
        <v>47128300</v>
      </c>
      <c r="I1991" t="s">
        <v>2471</v>
      </c>
      <c r="J1991" t="s">
        <v>2472</v>
      </c>
      <c r="K1991" t="s">
        <v>530</v>
      </c>
      <c r="N1991">
        <v>0</v>
      </c>
      <c r="O1991">
        <v>0</v>
      </c>
      <c r="P1991" t="str">
        <f t="shared" si="31"/>
        <v>N</v>
      </c>
      <c r="Q1991" t="s">
        <v>7721</v>
      </c>
    </row>
    <row r="1992" spans="1:17" x14ac:dyDescent="0.25">
      <c r="A1992" t="s">
        <v>2930</v>
      </c>
      <c r="B1992" t="s">
        <v>2783</v>
      </c>
      <c r="C1992">
        <v>2027</v>
      </c>
      <c r="D1992" t="s">
        <v>544</v>
      </c>
      <c r="E1992" t="s">
        <v>835</v>
      </c>
      <c r="F1992" s="32">
        <v>46423</v>
      </c>
      <c r="G1992" t="s">
        <v>514</v>
      </c>
      <c r="H1992">
        <v>47128213</v>
      </c>
      <c r="I1992" t="s">
        <v>2456</v>
      </c>
      <c r="J1992" t="s">
        <v>2457</v>
      </c>
      <c r="K1992" t="s">
        <v>530</v>
      </c>
      <c r="N1992">
        <v>60</v>
      </c>
      <c r="O1992">
        <v>60</v>
      </c>
      <c r="P1992" t="str">
        <f t="shared" si="31"/>
        <v>N</v>
      </c>
      <c r="Q1992" t="s">
        <v>7722</v>
      </c>
    </row>
    <row r="1993" spans="1:17" x14ac:dyDescent="0.25">
      <c r="A1993" t="s">
        <v>2931</v>
      </c>
      <c r="B1993" t="s">
        <v>2783</v>
      </c>
      <c r="C1993">
        <v>2027</v>
      </c>
      <c r="D1993" t="s">
        <v>544</v>
      </c>
      <c r="E1993" t="s">
        <v>835</v>
      </c>
      <c r="F1993" s="32">
        <v>46423</v>
      </c>
      <c r="G1993" t="s">
        <v>514</v>
      </c>
      <c r="H1993">
        <v>47128667</v>
      </c>
      <c r="I1993" t="s">
        <v>2450</v>
      </c>
      <c r="J1993" t="s">
        <v>2451</v>
      </c>
      <c r="K1993" t="s">
        <v>530</v>
      </c>
      <c r="N1993">
        <v>0</v>
      </c>
      <c r="O1993">
        <v>0</v>
      </c>
      <c r="P1993" t="str">
        <f t="shared" si="31"/>
        <v>N</v>
      </c>
      <c r="Q1993" t="s">
        <v>7723</v>
      </c>
    </row>
    <row r="1994" spans="1:17" x14ac:dyDescent="0.25">
      <c r="A1994" t="s">
        <v>2932</v>
      </c>
      <c r="B1994" t="s">
        <v>2783</v>
      </c>
      <c r="C1994">
        <v>2027</v>
      </c>
      <c r="D1994" t="s">
        <v>544</v>
      </c>
      <c r="E1994" t="s">
        <v>835</v>
      </c>
      <c r="F1994" s="32">
        <v>46423</v>
      </c>
      <c r="G1994" t="s">
        <v>514</v>
      </c>
      <c r="H1994">
        <v>47128179</v>
      </c>
      <c r="I1994" t="s">
        <v>2477</v>
      </c>
      <c r="J1994" t="s">
        <v>2478</v>
      </c>
      <c r="K1994" t="s">
        <v>530</v>
      </c>
      <c r="N1994">
        <v>0</v>
      </c>
      <c r="O1994">
        <v>0</v>
      </c>
      <c r="P1994" t="str">
        <f t="shared" si="31"/>
        <v>N</v>
      </c>
      <c r="Q1994" t="s">
        <v>7724</v>
      </c>
    </row>
    <row r="1995" spans="1:17" x14ac:dyDescent="0.25">
      <c r="A1995" t="s">
        <v>2933</v>
      </c>
      <c r="B1995" t="s">
        <v>2783</v>
      </c>
      <c r="C1995">
        <v>2027</v>
      </c>
      <c r="D1995" t="s">
        <v>544</v>
      </c>
      <c r="E1995" t="s">
        <v>835</v>
      </c>
      <c r="F1995" s="32">
        <v>46423</v>
      </c>
      <c r="G1995" t="s">
        <v>514</v>
      </c>
      <c r="H1995">
        <v>47128655</v>
      </c>
      <c r="I1995" t="s">
        <v>2474</v>
      </c>
      <c r="J1995" t="s">
        <v>2475</v>
      </c>
      <c r="K1995" t="s">
        <v>530</v>
      </c>
      <c r="N1995">
        <v>0</v>
      </c>
      <c r="O1995">
        <v>0</v>
      </c>
      <c r="P1995" t="str">
        <f t="shared" si="31"/>
        <v>N</v>
      </c>
      <c r="Q1995" t="s">
        <v>7725</v>
      </c>
    </row>
    <row r="1996" spans="1:17" x14ac:dyDescent="0.25">
      <c r="A1996" t="s">
        <v>2934</v>
      </c>
      <c r="B1996" t="s">
        <v>2783</v>
      </c>
      <c r="C1996">
        <v>2027</v>
      </c>
      <c r="D1996" t="s">
        <v>544</v>
      </c>
      <c r="E1996" t="s">
        <v>835</v>
      </c>
      <c r="F1996" s="32">
        <v>46423</v>
      </c>
      <c r="G1996" t="s">
        <v>514</v>
      </c>
      <c r="H1996">
        <v>47132096</v>
      </c>
      <c r="I1996" t="s">
        <v>2468</v>
      </c>
      <c r="J1996" t="s">
        <v>2469</v>
      </c>
      <c r="K1996" t="s">
        <v>530</v>
      </c>
      <c r="N1996">
        <v>0</v>
      </c>
      <c r="O1996">
        <v>0</v>
      </c>
      <c r="P1996" t="str">
        <f t="shared" si="31"/>
        <v>N</v>
      </c>
      <c r="Q1996" t="s">
        <v>7726</v>
      </c>
    </row>
    <row r="1997" spans="1:17" x14ac:dyDescent="0.25">
      <c r="A1997" t="s">
        <v>2935</v>
      </c>
      <c r="B1997" t="s">
        <v>2783</v>
      </c>
      <c r="C1997">
        <v>2027</v>
      </c>
      <c r="D1997" t="s">
        <v>544</v>
      </c>
      <c r="E1997" t="s">
        <v>835</v>
      </c>
      <c r="F1997" s="32">
        <v>46423</v>
      </c>
      <c r="G1997" t="s">
        <v>514</v>
      </c>
      <c r="H1997">
        <v>47129222</v>
      </c>
      <c r="I1997" t="s">
        <v>2459</v>
      </c>
      <c r="J1997" t="s">
        <v>2460</v>
      </c>
      <c r="K1997" t="s">
        <v>530</v>
      </c>
      <c r="N1997">
        <v>0</v>
      </c>
      <c r="O1997">
        <v>0</v>
      </c>
      <c r="P1997" t="str">
        <f t="shared" si="31"/>
        <v>N</v>
      </c>
      <c r="Q1997" t="s">
        <v>7727</v>
      </c>
    </row>
    <row r="1998" spans="1:17" x14ac:dyDescent="0.25">
      <c r="A1998" t="s">
        <v>2936</v>
      </c>
      <c r="B1998" t="s">
        <v>2783</v>
      </c>
      <c r="C1998">
        <v>2027</v>
      </c>
      <c r="D1998" t="s">
        <v>544</v>
      </c>
      <c r="E1998" t="s">
        <v>835</v>
      </c>
      <c r="F1998" s="32">
        <v>46423</v>
      </c>
      <c r="G1998" t="s">
        <v>514</v>
      </c>
      <c r="H1998">
        <v>47128561</v>
      </c>
      <c r="I1998" t="s">
        <v>2462</v>
      </c>
      <c r="J1998" t="s">
        <v>2463</v>
      </c>
      <c r="K1998" t="s">
        <v>530</v>
      </c>
      <c r="N1998">
        <v>0</v>
      </c>
      <c r="O1998">
        <v>0</v>
      </c>
      <c r="P1998" t="str">
        <f t="shared" si="31"/>
        <v>N</v>
      </c>
      <c r="Q1998" t="s">
        <v>7728</v>
      </c>
    </row>
    <row r="1999" spans="1:17" x14ac:dyDescent="0.25">
      <c r="A1999" t="s">
        <v>2937</v>
      </c>
      <c r="B1999" t="s">
        <v>2783</v>
      </c>
      <c r="C1999">
        <v>2027</v>
      </c>
      <c r="D1999" t="s">
        <v>544</v>
      </c>
      <c r="E1999" t="s">
        <v>835</v>
      </c>
      <c r="F1999" s="32">
        <v>46423</v>
      </c>
      <c r="G1999" t="s">
        <v>514</v>
      </c>
      <c r="H1999">
        <v>47129274</v>
      </c>
      <c r="I1999" t="s">
        <v>2486</v>
      </c>
      <c r="J1999" t="s">
        <v>2487</v>
      </c>
      <c r="K1999" t="s">
        <v>530</v>
      </c>
      <c r="N1999">
        <v>0</v>
      </c>
      <c r="O1999">
        <v>0</v>
      </c>
      <c r="P1999" t="str">
        <f t="shared" si="31"/>
        <v>N</v>
      </c>
      <c r="Q1999" t="s">
        <v>7729</v>
      </c>
    </row>
    <row r="2000" spans="1:17" x14ac:dyDescent="0.25">
      <c r="A2000" t="s">
        <v>2938</v>
      </c>
      <c r="B2000" t="s">
        <v>2783</v>
      </c>
      <c r="C2000">
        <v>2027</v>
      </c>
      <c r="D2000" t="s">
        <v>544</v>
      </c>
      <c r="E2000" t="s">
        <v>835</v>
      </c>
      <c r="F2000" s="32">
        <v>46423</v>
      </c>
      <c r="G2000" t="s">
        <v>514</v>
      </c>
      <c r="H2000">
        <v>47129262</v>
      </c>
      <c r="I2000" t="s">
        <v>2453</v>
      </c>
      <c r="J2000" t="s">
        <v>2454</v>
      </c>
      <c r="K2000" t="s">
        <v>530</v>
      </c>
      <c r="N2000">
        <v>0</v>
      </c>
      <c r="O2000">
        <v>0</v>
      </c>
      <c r="P2000" t="str">
        <f t="shared" si="31"/>
        <v>N</v>
      </c>
      <c r="Q2000" t="s">
        <v>7730</v>
      </c>
    </row>
    <row r="2001" spans="1:17" x14ac:dyDescent="0.25">
      <c r="A2001" t="s">
        <v>2939</v>
      </c>
      <c r="B2001" t="s">
        <v>2783</v>
      </c>
      <c r="C2001">
        <v>2027</v>
      </c>
      <c r="D2001" t="s">
        <v>544</v>
      </c>
      <c r="E2001" t="s">
        <v>835</v>
      </c>
      <c r="F2001" s="32">
        <v>46423</v>
      </c>
      <c r="G2001" t="s">
        <v>514</v>
      </c>
      <c r="H2001">
        <v>47129558</v>
      </c>
      <c r="I2001" t="s">
        <v>2480</v>
      </c>
      <c r="J2001" t="s">
        <v>2481</v>
      </c>
      <c r="K2001" t="s">
        <v>530</v>
      </c>
      <c r="N2001">
        <v>0</v>
      </c>
      <c r="O2001">
        <v>0</v>
      </c>
      <c r="P2001" t="str">
        <f t="shared" si="31"/>
        <v>N</v>
      </c>
      <c r="Q2001" t="s">
        <v>7731</v>
      </c>
    </row>
    <row r="2002" spans="1:17" x14ac:dyDescent="0.25">
      <c r="A2002" t="s">
        <v>2940</v>
      </c>
      <c r="B2002" t="s">
        <v>2783</v>
      </c>
      <c r="C2002">
        <v>2027</v>
      </c>
      <c r="D2002" t="s">
        <v>544</v>
      </c>
      <c r="E2002" t="s">
        <v>835</v>
      </c>
      <c r="F2002" s="32">
        <v>46423</v>
      </c>
      <c r="G2002" t="s">
        <v>514</v>
      </c>
      <c r="H2002">
        <v>47129727</v>
      </c>
      <c r="I2002" t="s">
        <v>2465</v>
      </c>
      <c r="J2002" t="s">
        <v>2466</v>
      </c>
      <c r="K2002" t="s">
        <v>530</v>
      </c>
      <c r="N2002">
        <v>0</v>
      </c>
      <c r="O2002">
        <v>0</v>
      </c>
      <c r="P2002" t="str">
        <f t="shared" si="31"/>
        <v>N</v>
      </c>
      <c r="Q2002" t="s">
        <v>7732</v>
      </c>
    </row>
    <row r="2003" spans="1:17" x14ac:dyDescent="0.25">
      <c r="A2003" t="s">
        <v>2941</v>
      </c>
      <c r="B2003" t="s">
        <v>2783</v>
      </c>
      <c r="C2003">
        <v>2027</v>
      </c>
      <c r="D2003" t="s">
        <v>544</v>
      </c>
      <c r="E2003" t="s">
        <v>835</v>
      </c>
      <c r="F2003" s="32">
        <v>46423</v>
      </c>
      <c r="G2003" t="s">
        <v>514</v>
      </c>
      <c r="H2003">
        <v>47129273</v>
      </c>
      <c r="I2003" t="s">
        <v>2483</v>
      </c>
      <c r="J2003" t="s">
        <v>2484</v>
      </c>
      <c r="K2003" t="s">
        <v>530</v>
      </c>
      <c r="N2003">
        <v>0</v>
      </c>
      <c r="O2003">
        <v>0</v>
      </c>
      <c r="P2003" t="str">
        <f t="shared" si="31"/>
        <v>N</v>
      </c>
      <c r="Q2003" t="s">
        <v>7733</v>
      </c>
    </row>
    <row r="2004" spans="1:17" x14ac:dyDescent="0.25">
      <c r="A2004" t="s">
        <v>2942</v>
      </c>
      <c r="B2004" t="s">
        <v>2783</v>
      </c>
      <c r="C2004">
        <v>2027</v>
      </c>
      <c r="D2004" t="s">
        <v>544</v>
      </c>
      <c r="E2004" t="s">
        <v>835</v>
      </c>
      <c r="F2004" s="32">
        <v>46423</v>
      </c>
      <c r="G2004" t="s">
        <v>514</v>
      </c>
      <c r="H2004">
        <v>47128587</v>
      </c>
      <c r="I2004" t="s">
        <v>2489</v>
      </c>
      <c r="J2004" t="s">
        <v>2490</v>
      </c>
      <c r="K2004" t="s">
        <v>530</v>
      </c>
      <c r="N2004">
        <v>0</v>
      </c>
      <c r="O2004">
        <v>0</v>
      </c>
      <c r="P2004" t="str">
        <f t="shared" si="31"/>
        <v>N</v>
      </c>
      <c r="Q2004" t="s">
        <v>7734</v>
      </c>
    </row>
    <row r="2005" spans="1:17" x14ac:dyDescent="0.25">
      <c r="A2005" t="s">
        <v>2943</v>
      </c>
      <c r="B2005" t="s">
        <v>2783</v>
      </c>
      <c r="C2005">
        <v>2027</v>
      </c>
      <c r="D2005" t="s">
        <v>544</v>
      </c>
      <c r="E2005" t="s">
        <v>835</v>
      </c>
      <c r="F2005" s="32">
        <v>46423</v>
      </c>
      <c r="G2005" t="s">
        <v>514</v>
      </c>
      <c r="H2005">
        <v>47128247</v>
      </c>
      <c r="I2005" t="s">
        <v>2492</v>
      </c>
      <c r="J2005" t="s">
        <v>2493</v>
      </c>
      <c r="K2005" t="s">
        <v>530</v>
      </c>
      <c r="N2005">
        <v>0</v>
      </c>
      <c r="O2005">
        <v>0</v>
      </c>
      <c r="P2005" t="str">
        <f t="shared" si="31"/>
        <v>N</v>
      </c>
      <c r="Q2005" t="s">
        <v>7735</v>
      </c>
    </row>
    <row r="2006" spans="1:17" x14ac:dyDescent="0.25">
      <c r="A2006" t="s">
        <v>3382</v>
      </c>
      <c r="B2006" t="s">
        <v>1080</v>
      </c>
      <c r="C2006">
        <v>2027</v>
      </c>
      <c r="D2006" t="s">
        <v>544</v>
      </c>
      <c r="E2006" t="s">
        <v>835</v>
      </c>
      <c r="F2006" s="32">
        <v>46423</v>
      </c>
      <c r="G2006" t="s">
        <v>514</v>
      </c>
      <c r="H2006">
        <v>47128787</v>
      </c>
      <c r="I2006" t="s">
        <v>1453</v>
      </c>
      <c r="J2006" t="s">
        <v>1452</v>
      </c>
      <c r="K2006" t="s">
        <v>530</v>
      </c>
      <c r="N2006">
        <v>0</v>
      </c>
      <c r="O2006">
        <v>0</v>
      </c>
      <c r="P2006" t="str">
        <f t="shared" si="31"/>
        <v>N</v>
      </c>
      <c r="Q2006" t="s">
        <v>7736</v>
      </c>
    </row>
    <row r="2007" spans="1:17" x14ac:dyDescent="0.25">
      <c r="A2007" t="s">
        <v>3383</v>
      </c>
      <c r="B2007" t="s">
        <v>1080</v>
      </c>
      <c r="C2007">
        <v>2027</v>
      </c>
      <c r="D2007" t="s">
        <v>544</v>
      </c>
      <c r="E2007" t="s">
        <v>835</v>
      </c>
      <c r="F2007" s="32">
        <v>46423</v>
      </c>
      <c r="G2007" t="s">
        <v>514</v>
      </c>
      <c r="H2007">
        <v>47146464</v>
      </c>
      <c r="I2007" t="s">
        <v>1438</v>
      </c>
      <c r="J2007" t="s">
        <v>1437</v>
      </c>
      <c r="K2007" t="s">
        <v>530</v>
      </c>
      <c r="N2007">
        <v>0</v>
      </c>
      <c r="O2007">
        <v>0</v>
      </c>
      <c r="P2007" t="str">
        <f t="shared" si="31"/>
        <v>N</v>
      </c>
      <c r="Q2007" t="s">
        <v>7737</v>
      </c>
    </row>
    <row r="2008" spans="1:17" x14ac:dyDescent="0.25">
      <c r="A2008" t="s">
        <v>3384</v>
      </c>
      <c r="B2008" t="s">
        <v>1080</v>
      </c>
      <c r="C2008">
        <v>2027</v>
      </c>
      <c r="D2008" t="s">
        <v>544</v>
      </c>
      <c r="E2008" t="s">
        <v>835</v>
      </c>
      <c r="F2008" s="32">
        <v>46423</v>
      </c>
      <c r="G2008" t="s">
        <v>514</v>
      </c>
      <c r="H2008">
        <v>47146463</v>
      </c>
      <c r="I2008" t="s">
        <v>1441</v>
      </c>
      <c r="J2008" t="s">
        <v>1440</v>
      </c>
      <c r="K2008" t="s">
        <v>530</v>
      </c>
      <c r="N2008">
        <v>0</v>
      </c>
      <c r="O2008">
        <v>0</v>
      </c>
      <c r="P2008" t="str">
        <f t="shared" si="31"/>
        <v>N</v>
      </c>
      <c r="Q2008" t="s">
        <v>7738</v>
      </c>
    </row>
    <row r="2009" spans="1:17" x14ac:dyDescent="0.25">
      <c r="A2009" t="s">
        <v>3385</v>
      </c>
      <c r="B2009" t="s">
        <v>1080</v>
      </c>
      <c r="C2009">
        <v>2027</v>
      </c>
      <c r="D2009" t="s">
        <v>544</v>
      </c>
      <c r="E2009" t="s">
        <v>835</v>
      </c>
      <c r="F2009" s="32">
        <v>46423</v>
      </c>
      <c r="G2009" t="s">
        <v>514</v>
      </c>
      <c r="H2009">
        <v>47128729</v>
      </c>
      <c r="I2009" t="s">
        <v>1149</v>
      </c>
      <c r="J2009" t="s">
        <v>1148</v>
      </c>
      <c r="K2009" t="s">
        <v>530</v>
      </c>
      <c r="N2009">
        <v>40</v>
      </c>
      <c r="O2009">
        <v>40</v>
      </c>
      <c r="P2009" t="str">
        <f t="shared" si="31"/>
        <v>N</v>
      </c>
      <c r="Q2009" t="s">
        <v>7739</v>
      </c>
    </row>
    <row r="2010" spans="1:17" x14ac:dyDescent="0.25">
      <c r="A2010" t="s">
        <v>3386</v>
      </c>
      <c r="B2010" t="s">
        <v>1080</v>
      </c>
      <c r="C2010">
        <v>2027</v>
      </c>
      <c r="D2010" t="s">
        <v>544</v>
      </c>
      <c r="E2010" t="s">
        <v>835</v>
      </c>
      <c r="F2010" s="32">
        <v>46423</v>
      </c>
      <c r="G2010" t="s">
        <v>514</v>
      </c>
      <c r="H2010">
        <v>47128413</v>
      </c>
      <c r="I2010" t="s">
        <v>1397</v>
      </c>
      <c r="J2010" t="s">
        <v>1396</v>
      </c>
      <c r="K2010" t="s">
        <v>530</v>
      </c>
      <c r="N2010">
        <v>0</v>
      </c>
      <c r="O2010">
        <v>0</v>
      </c>
      <c r="P2010" t="str">
        <f t="shared" si="31"/>
        <v>N</v>
      </c>
      <c r="Q2010" t="s">
        <v>7740</v>
      </c>
    </row>
    <row r="2011" spans="1:17" x14ac:dyDescent="0.25">
      <c r="A2011" t="s">
        <v>3387</v>
      </c>
      <c r="B2011" t="s">
        <v>1080</v>
      </c>
      <c r="C2011">
        <v>2027</v>
      </c>
      <c r="D2011" t="s">
        <v>544</v>
      </c>
      <c r="E2011" t="s">
        <v>835</v>
      </c>
      <c r="F2011" s="32">
        <v>46423</v>
      </c>
      <c r="G2011" t="s">
        <v>514</v>
      </c>
      <c r="H2011">
        <v>47128783</v>
      </c>
      <c r="I2011" t="s">
        <v>1280</v>
      </c>
      <c r="J2011" t="s">
        <v>1279</v>
      </c>
      <c r="K2011" t="s">
        <v>530</v>
      </c>
      <c r="N2011">
        <v>0</v>
      </c>
      <c r="O2011">
        <v>0</v>
      </c>
      <c r="P2011" t="str">
        <f t="shared" si="31"/>
        <v>N</v>
      </c>
      <c r="Q2011" t="s">
        <v>7741</v>
      </c>
    </row>
    <row r="2012" spans="1:17" x14ac:dyDescent="0.25">
      <c r="A2012" t="s">
        <v>3388</v>
      </c>
      <c r="B2012" t="s">
        <v>1080</v>
      </c>
      <c r="C2012">
        <v>2027</v>
      </c>
      <c r="D2012" t="s">
        <v>544</v>
      </c>
      <c r="E2012" t="s">
        <v>835</v>
      </c>
      <c r="F2012" s="32">
        <v>46423</v>
      </c>
      <c r="G2012" t="s">
        <v>514</v>
      </c>
      <c r="H2012">
        <v>47128944</v>
      </c>
      <c r="I2012" t="s">
        <v>1137</v>
      </c>
      <c r="J2012" t="s">
        <v>1136</v>
      </c>
      <c r="K2012" t="s">
        <v>530</v>
      </c>
      <c r="N2012">
        <v>0</v>
      </c>
      <c r="O2012">
        <v>0</v>
      </c>
      <c r="P2012" t="str">
        <f t="shared" si="31"/>
        <v>N</v>
      </c>
      <c r="Q2012" t="s">
        <v>7742</v>
      </c>
    </row>
    <row r="2013" spans="1:17" x14ac:dyDescent="0.25">
      <c r="A2013" t="s">
        <v>3389</v>
      </c>
      <c r="B2013" t="s">
        <v>1080</v>
      </c>
      <c r="C2013">
        <v>2027</v>
      </c>
      <c r="D2013" t="s">
        <v>544</v>
      </c>
      <c r="E2013" t="s">
        <v>835</v>
      </c>
      <c r="F2013" s="32">
        <v>46423</v>
      </c>
      <c r="G2013" t="s">
        <v>514</v>
      </c>
      <c r="H2013">
        <v>47129547</v>
      </c>
      <c r="I2013" t="s">
        <v>1128</v>
      </c>
      <c r="J2013" t="s">
        <v>1352</v>
      </c>
      <c r="K2013" t="s">
        <v>530</v>
      </c>
      <c r="N2013">
        <v>0</v>
      </c>
      <c r="O2013">
        <v>0</v>
      </c>
      <c r="P2013" t="str">
        <f t="shared" si="31"/>
        <v>N</v>
      </c>
      <c r="Q2013" t="s">
        <v>7743</v>
      </c>
    </row>
    <row r="2014" spans="1:17" x14ac:dyDescent="0.25">
      <c r="A2014" t="s">
        <v>3390</v>
      </c>
      <c r="B2014" t="s">
        <v>1080</v>
      </c>
      <c r="C2014">
        <v>2027</v>
      </c>
      <c r="D2014" t="s">
        <v>544</v>
      </c>
      <c r="E2014" t="s">
        <v>835</v>
      </c>
      <c r="F2014" s="32">
        <v>46423</v>
      </c>
      <c r="G2014" t="s">
        <v>514</v>
      </c>
      <c r="H2014">
        <v>47128518</v>
      </c>
      <c r="I2014" t="s">
        <v>1232</v>
      </c>
      <c r="J2014" t="s">
        <v>1493</v>
      </c>
      <c r="K2014" t="s">
        <v>530</v>
      </c>
      <c r="N2014">
        <v>0</v>
      </c>
      <c r="O2014">
        <v>0</v>
      </c>
      <c r="P2014" t="str">
        <f t="shared" si="31"/>
        <v>N</v>
      </c>
      <c r="Q2014" t="s">
        <v>7744</v>
      </c>
    </row>
    <row r="2015" spans="1:17" x14ac:dyDescent="0.25">
      <c r="A2015" t="s">
        <v>3391</v>
      </c>
      <c r="B2015" t="s">
        <v>1080</v>
      </c>
      <c r="C2015">
        <v>2027</v>
      </c>
      <c r="D2015" t="s">
        <v>544</v>
      </c>
      <c r="E2015" t="s">
        <v>835</v>
      </c>
      <c r="F2015" s="32">
        <v>46423</v>
      </c>
      <c r="G2015" t="s">
        <v>514</v>
      </c>
      <c r="H2015">
        <v>47128977</v>
      </c>
      <c r="I2015" t="s">
        <v>1449</v>
      </c>
      <c r="J2015" t="s">
        <v>1448</v>
      </c>
      <c r="K2015" t="s">
        <v>530</v>
      </c>
      <c r="N2015">
        <v>0</v>
      </c>
      <c r="O2015">
        <v>0</v>
      </c>
      <c r="P2015" t="str">
        <f t="shared" si="31"/>
        <v>N</v>
      </c>
      <c r="Q2015" t="s">
        <v>7745</v>
      </c>
    </row>
    <row r="2016" spans="1:17" x14ac:dyDescent="0.25">
      <c r="A2016" t="s">
        <v>3392</v>
      </c>
      <c r="B2016" t="s">
        <v>1080</v>
      </c>
      <c r="C2016">
        <v>2027</v>
      </c>
      <c r="D2016" t="s">
        <v>544</v>
      </c>
      <c r="E2016" t="s">
        <v>835</v>
      </c>
      <c r="F2016" s="32">
        <v>46423</v>
      </c>
      <c r="G2016" t="s">
        <v>514</v>
      </c>
      <c r="H2016">
        <v>47128168</v>
      </c>
      <c r="I2016" t="s">
        <v>1100</v>
      </c>
      <c r="J2016" t="s">
        <v>1099</v>
      </c>
      <c r="K2016" t="s">
        <v>530</v>
      </c>
      <c r="N2016">
        <v>0</v>
      </c>
      <c r="O2016">
        <v>0</v>
      </c>
      <c r="P2016" t="str">
        <f t="shared" si="31"/>
        <v>N</v>
      </c>
      <c r="Q2016" t="s">
        <v>7746</v>
      </c>
    </row>
    <row r="2017" spans="1:17" x14ac:dyDescent="0.25">
      <c r="A2017" t="s">
        <v>3393</v>
      </c>
      <c r="B2017" t="s">
        <v>1080</v>
      </c>
      <c r="C2017">
        <v>2027</v>
      </c>
      <c r="D2017" t="s">
        <v>544</v>
      </c>
      <c r="E2017" t="s">
        <v>835</v>
      </c>
      <c r="F2017" s="32">
        <v>46423</v>
      </c>
      <c r="G2017" t="s">
        <v>514</v>
      </c>
      <c r="H2017">
        <v>47128687</v>
      </c>
      <c r="I2017" t="s">
        <v>1153</v>
      </c>
      <c r="J2017" t="s">
        <v>1152</v>
      </c>
      <c r="K2017" t="s">
        <v>530</v>
      </c>
      <c r="N2017">
        <v>142</v>
      </c>
      <c r="O2017">
        <v>142</v>
      </c>
      <c r="P2017" t="str">
        <f t="shared" si="31"/>
        <v>N</v>
      </c>
      <c r="Q2017" t="s">
        <v>7747</v>
      </c>
    </row>
    <row r="2018" spans="1:17" x14ac:dyDescent="0.25">
      <c r="A2018" t="s">
        <v>3394</v>
      </c>
      <c r="B2018" t="s">
        <v>1080</v>
      </c>
      <c r="C2018">
        <v>2027</v>
      </c>
      <c r="D2018" t="s">
        <v>544</v>
      </c>
      <c r="E2018" t="s">
        <v>835</v>
      </c>
      <c r="F2018" s="32">
        <v>46423</v>
      </c>
      <c r="G2018" t="s">
        <v>514</v>
      </c>
      <c r="H2018">
        <v>47128585</v>
      </c>
      <c r="I2018" t="s">
        <v>1141</v>
      </c>
      <c r="J2018" t="s">
        <v>1140</v>
      </c>
      <c r="K2018" t="s">
        <v>530</v>
      </c>
      <c r="N2018">
        <v>0</v>
      </c>
      <c r="O2018">
        <v>0</v>
      </c>
      <c r="P2018" t="str">
        <f t="shared" si="31"/>
        <v>N</v>
      </c>
      <c r="Q2018" t="s">
        <v>7748</v>
      </c>
    </row>
    <row r="2019" spans="1:17" x14ac:dyDescent="0.25">
      <c r="A2019" t="s">
        <v>3395</v>
      </c>
      <c r="B2019" t="s">
        <v>1080</v>
      </c>
      <c r="C2019">
        <v>2027</v>
      </c>
      <c r="D2019" t="s">
        <v>544</v>
      </c>
      <c r="E2019" t="s">
        <v>835</v>
      </c>
      <c r="F2019" s="32">
        <v>46423</v>
      </c>
      <c r="G2019" t="s">
        <v>514</v>
      </c>
      <c r="H2019">
        <v>47128906</v>
      </c>
      <c r="I2019" t="s">
        <v>1349</v>
      </c>
      <c r="J2019" t="s">
        <v>1348</v>
      </c>
      <c r="K2019" t="s">
        <v>530</v>
      </c>
      <c r="N2019">
        <v>0</v>
      </c>
      <c r="O2019">
        <v>0</v>
      </c>
      <c r="P2019" t="str">
        <f t="shared" si="31"/>
        <v>N</v>
      </c>
      <c r="Q2019" t="s">
        <v>7749</v>
      </c>
    </row>
    <row r="2020" spans="1:17" x14ac:dyDescent="0.25">
      <c r="A2020" t="s">
        <v>3396</v>
      </c>
      <c r="B2020" t="s">
        <v>1080</v>
      </c>
      <c r="C2020">
        <v>2027</v>
      </c>
      <c r="D2020" t="s">
        <v>544</v>
      </c>
      <c r="E2020" t="s">
        <v>835</v>
      </c>
      <c r="F2020" s="32">
        <v>46423</v>
      </c>
      <c r="G2020" t="s">
        <v>514</v>
      </c>
      <c r="H2020">
        <v>47128585</v>
      </c>
      <c r="I2020" t="s">
        <v>1141</v>
      </c>
      <c r="J2020" t="s">
        <v>1408</v>
      </c>
      <c r="K2020" t="s">
        <v>530</v>
      </c>
      <c r="N2020">
        <v>0</v>
      </c>
      <c r="O2020">
        <v>0</v>
      </c>
      <c r="P2020" t="str">
        <f t="shared" si="31"/>
        <v>N</v>
      </c>
      <c r="Q2020" t="s">
        <v>7750</v>
      </c>
    </row>
    <row r="2021" spans="1:17" x14ac:dyDescent="0.25">
      <c r="A2021" t="s">
        <v>3397</v>
      </c>
      <c r="B2021" t="s">
        <v>1080</v>
      </c>
      <c r="C2021">
        <v>2027</v>
      </c>
      <c r="D2021" t="s">
        <v>544</v>
      </c>
      <c r="E2021" t="s">
        <v>835</v>
      </c>
      <c r="F2021" s="32">
        <v>46423</v>
      </c>
      <c r="G2021" t="s">
        <v>514</v>
      </c>
      <c r="H2021">
        <v>47128518</v>
      </c>
      <c r="I2021" t="s">
        <v>1232</v>
      </c>
      <c r="J2021" t="s">
        <v>1231</v>
      </c>
      <c r="K2021" t="s">
        <v>530</v>
      </c>
      <c r="N2021">
        <v>0</v>
      </c>
      <c r="O2021">
        <v>0</v>
      </c>
      <c r="P2021" t="str">
        <f t="shared" si="31"/>
        <v>N</v>
      </c>
      <c r="Q2021" t="s">
        <v>7751</v>
      </c>
    </row>
    <row r="2022" spans="1:17" x14ac:dyDescent="0.25">
      <c r="A2022" t="s">
        <v>3398</v>
      </c>
      <c r="B2022" t="s">
        <v>1080</v>
      </c>
      <c r="C2022">
        <v>2027</v>
      </c>
      <c r="D2022" t="s">
        <v>544</v>
      </c>
      <c r="E2022" t="s">
        <v>835</v>
      </c>
      <c r="F2022" s="32">
        <v>46423</v>
      </c>
      <c r="G2022" t="s">
        <v>514</v>
      </c>
      <c r="H2022">
        <v>47128680</v>
      </c>
      <c r="I2022" t="s">
        <v>1284</v>
      </c>
      <c r="J2022" t="s">
        <v>1283</v>
      </c>
      <c r="K2022" t="s">
        <v>530</v>
      </c>
      <c r="N2022">
        <v>0</v>
      </c>
      <c r="O2022">
        <v>0</v>
      </c>
      <c r="P2022" t="str">
        <f t="shared" si="31"/>
        <v>N</v>
      </c>
      <c r="Q2022" t="s">
        <v>7752</v>
      </c>
    </row>
    <row r="2023" spans="1:17" x14ac:dyDescent="0.25">
      <c r="A2023" t="s">
        <v>3399</v>
      </c>
      <c r="B2023" t="s">
        <v>1080</v>
      </c>
      <c r="C2023">
        <v>2027</v>
      </c>
      <c r="D2023" t="s">
        <v>544</v>
      </c>
      <c r="E2023" t="s">
        <v>835</v>
      </c>
      <c r="F2023" s="32">
        <v>46423</v>
      </c>
      <c r="G2023" t="s">
        <v>514</v>
      </c>
      <c r="H2023">
        <v>47128024</v>
      </c>
      <c r="I2023" t="s">
        <v>1108</v>
      </c>
      <c r="J2023" t="s">
        <v>1107</v>
      </c>
      <c r="K2023" t="s">
        <v>530</v>
      </c>
      <c r="N2023">
        <v>0</v>
      </c>
      <c r="O2023">
        <v>0</v>
      </c>
      <c r="P2023" t="str">
        <f t="shared" si="31"/>
        <v>N</v>
      </c>
      <c r="Q2023" t="s">
        <v>7753</v>
      </c>
    </row>
    <row r="2024" spans="1:17" x14ac:dyDescent="0.25">
      <c r="A2024" t="s">
        <v>3400</v>
      </c>
      <c r="B2024" t="s">
        <v>1080</v>
      </c>
      <c r="C2024">
        <v>2027</v>
      </c>
      <c r="D2024" t="s">
        <v>544</v>
      </c>
      <c r="E2024" t="s">
        <v>835</v>
      </c>
      <c r="F2024" s="32">
        <v>46423</v>
      </c>
      <c r="G2024" t="s">
        <v>514</v>
      </c>
      <c r="H2024">
        <v>47128944</v>
      </c>
      <c r="I2024" t="s">
        <v>1137</v>
      </c>
      <c r="J2024" t="s">
        <v>1513</v>
      </c>
      <c r="K2024" t="s">
        <v>530</v>
      </c>
      <c r="N2024">
        <v>0</v>
      </c>
      <c r="O2024">
        <v>0</v>
      </c>
      <c r="P2024" t="str">
        <f t="shared" si="31"/>
        <v>N</v>
      </c>
      <c r="Q2024" t="s">
        <v>7754</v>
      </c>
    </row>
    <row r="2025" spans="1:17" x14ac:dyDescent="0.25">
      <c r="A2025" t="s">
        <v>3401</v>
      </c>
      <c r="B2025" t="s">
        <v>1080</v>
      </c>
      <c r="C2025">
        <v>2027</v>
      </c>
      <c r="D2025" t="s">
        <v>544</v>
      </c>
      <c r="E2025" t="s">
        <v>835</v>
      </c>
      <c r="F2025" s="32">
        <v>46423</v>
      </c>
      <c r="G2025" t="s">
        <v>514</v>
      </c>
      <c r="H2025">
        <v>47147546</v>
      </c>
      <c r="I2025" t="s">
        <v>1077</v>
      </c>
      <c r="J2025" t="s">
        <v>1076</v>
      </c>
      <c r="K2025" t="s">
        <v>530</v>
      </c>
      <c r="N2025">
        <v>0</v>
      </c>
      <c r="O2025">
        <v>0</v>
      </c>
      <c r="P2025" t="str">
        <f t="shared" si="31"/>
        <v>N</v>
      </c>
      <c r="Q2025" t="s">
        <v>7755</v>
      </c>
    </row>
    <row r="2026" spans="1:17" x14ac:dyDescent="0.25">
      <c r="A2026" t="s">
        <v>3402</v>
      </c>
      <c r="B2026" t="s">
        <v>1080</v>
      </c>
      <c r="C2026">
        <v>2027</v>
      </c>
      <c r="D2026" t="s">
        <v>544</v>
      </c>
      <c r="E2026" t="s">
        <v>835</v>
      </c>
      <c r="F2026" s="32">
        <v>46423</v>
      </c>
      <c r="G2026" t="s">
        <v>514</v>
      </c>
      <c r="H2026">
        <v>47128346</v>
      </c>
      <c r="I2026" t="s">
        <v>1157</v>
      </c>
      <c r="J2026" t="s">
        <v>1156</v>
      </c>
      <c r="K2026" t="s">
        <v>530</v>
      </c>
      <c r="N2026">
        <v>0</v>
      </c>
      <c r="O2026">
        <v>0</v>
      </c>
      <c r="P2026" t="str">
        <f t="shared" si="31"/>
        <v>N</v>
      </c>
      <c r="Q2026" t="s">
        <v>7756</v>
      </c>
    </row>
    <row r="2027" spans="1:17" x14ac:dyDescent="0.25">
      <c r="A2027" t="s">
        <v>3403</v>
      </c>
      <c r="B2027" t="s">
        <v>1080</v>
      </c>
      <c r="C2027">
        <v>2027</v>
      </c>
      <c r="D2027" t="s">
        <v>544</v>
      </c>
      <c r="E2027" t="s">
        <v>835</v>
      </c>
      <c r="F2027" s="32">
        <v>46423</v>
      </c>
      <c r="G2027" t="s">
        <v>514</v>
      </c>
      <c r="H2027">
        <v>47128800</v>
      </c>
      <c r="I2027" t="s">
        <v>1145</v>
      </c>
      <c r="J2027" t="s">
        <v>1144</v>
      </c>
      <c r="K2027" t="s">
        <v>530</v>
      </c>
      <c r="N2027">
        <v>0</v>
      </c>
      <c r="O2027">
        <v>0</v>
      </c>
      <c r="P2027" t="str">
        <f t="shared" si="31"/>
        <v>N</v>
      </c>
      <c r="Q2027" t="s">
        <v>7757</v>
      </c>
    </row>
    <row r="2028" spans="1:17" x14ac:dyDescent="0.25">
      <c r="A2028" t="s">
        <v>3404</v>
      </c>
      <c r="B2028" t="s">
        <v>1080</v>
      </c>
      <c r="C2028">
        <v>2027</v>
      </c>
      <c r="D2028" t="s">
        <v>544</v>
      </c>
      <c r="E2028" t="s">
        <v>835</v>
      </c>
      <c r="F2028" s="32">
        <v>46423</v>
      </c>
      <c r="G2028" t="s">
        <v>514</v>
      </c>
      <c r="H2028">
        <v>47128109</v>
      </c>
      <c r="I2028" t="s">
        <v>1336</v>
      </c>
      <c r="J2028" t="s">
        <v>1335</v>
      </c>
      <c r="K2028" t="s">
        <v>530</v>
      </c>
      <c r="N2028">
        <v>0</v>
      </c>
      <c r="O2028">
        <v>0</v>
      </c>
      <c r="P2028" t="str">
        <f t="shared" si="31"/>
        <v>N</v>
      </c>
      <c r="Q2028" t="s">
        <v>7758</v>
      </c>
    </row>
    <row r="2029" spans="1:17" x14ac:dyDescent="0.25">
      <c r="A2029" t="s">
        <v>3405</v>
      </c>
      <c r="B2029" t="s">
        <v>1080</v>
      </c>
      <c r="C2029">
        <v>2027</v>
      </c>
      <c r="D2029" t="s">
        <v>544</v>
      </c>
      <c r="E2029" t="s">
        <v>835</v>
      </c>
      <c r="F2029" s="32">
        <v>46423</v>
      </c>
      <c r="G2029" t="s">
        <v>514</v>
      </c>
      <c r="H2029">
        <v>47128430</v>
      </c>
      <c r="I2029" t="s">
        <v>1401</v>
      </c>
      <c r="J2029" t="s">
        <v>1400</v>
      </c>
      <c r="K2029" t="s">
        <v>530</v>
      </c>
      <c r="N2029">
        <v>0</v>
      </c>
      <c r="O2029">
        <v>0</v>
      </c>
      <c r="P2029" t="str">
        <f t="shared" si="31"/>
        <v>N</v>
      </c>
      <c r="Q2029" t="s">
        <v>7759</v>
      </c>
    </row>
    <row r="2030" spans="1:17" x14ac:dyDescent="0.25">
      <c r="A2030" t="s">
        <v>3406</v>
      </c>
      <c r="B2030" t="s">
        <v>1080</v>
      </c>
      <c r="C2030">
        <v>2027</v>
      </c>
      <c r="D2030" t="s">
        <v>544</v>
      </c>
      <c r="E2030" t="s">
        <v>835</v>
      </c>
      <c r="F2030" s="32">
        <v>46423</v>
      </c>
      <c r="G2030" t="s">
        <v>514</v>
      </c>
      <c r="H2030">
        <v>47128522</v>
      </c>
      <c r="I2030" t="s">
        <v>1092</v>
      </c>
      <c r="J2030" t="s">
        <v>1091</v>
      </c>
      <c r="K2030" t="s">
        <v>530</v>
      </c>
      <c r="N2030">
        <v>0</v>
      </c>
      <c r="O2030">
        <v>0</v>
      </c>
      <c r="P2030" t="str">
        <f t="shared" si="31"/>
        <v>N</v>
      </c>
      <c r="Q2030" t="s">
        <v>7760</v>
      </c>
    </row>
    <row r="2031" spans="1:17" x14ac:dyDescent="0.25">
      <c r="A2031" t="s">
        <v>3407</v>
      </c>
      <c r="B2031" t="s">
        <v>1080</v>
      </c>
      <c r="C2031">
        <v>2027</v>
      </c>
      <c r="D2031" t="s">
        <v>544</v>
      </c>
      <c r="E2031" t="s">
        <v>835</v>
      </c>
      <c r="F2031" s="32">
        <v>46423</v>
      </c>
      <c r="G2031" t="s">
        <v>514</v>
      </c>
      <c r="H2031">
        <v>47147546</v>
      </c>
      <c r="I2031" t="s">
        <v>1077</v>
      </c>
      <c r="J2031" t="s">
        <v>1381</v>
      </c>
      <c r="K2031" t="s">
        <v>530</v>
      </c>
      <c r="N2031">
        <v>0</v>
      </c>
      <c r="O2031">
        <v>0</v>
      </c>
      <c r="P2031" t="str">
        <f t="shared" si="31"/>
        <v>N</v>
      </c>
      <c r="Q2031" t="s">
        <v>7761</v>
      </c>
    </row>
    <row r="2032" spans="1:17" x14ac:dyDescent="0.25">
      <c r="A2032" t="s">
        <v>3408</v>
      </c>
      <c r="B2032" t="s">
        <v>1080</v>
      </c>
      <c r="C2032">
        <v>2027</v>
      </c>
      <c r="D2032" t="s">
        <v>544</v>
      </c>
      <c r="E2032" t="s">
        <v>835</v>
      </c>
      <c r="F2032" s="32">
        <v>46423</v>
      </c>
      <c r="G2032" t="s">
        <v>514</v>
      </c>
      <c r="H2032">
        <v>47147658</v>
      </c>
      <c r="I2032" t="s">
        <v>1276</v>
      </c>
      <c r="J2032" t="s">
        <v>1275</v>
      </c>
      <c r="K2032" t="s">
        <v>530</v>
      </c>
      <c r="N2032">
        <v>0</v>
      </c>
      <c r="O2032">
        <v>0</v>
      </c>
      <c r="P2032" t="str">
        <f t="shared" si="31"/>
        <v>N</v>
      </c>
      <c r="Q2032" t="s">
        <v>7762</v>
      </c>
    </row>
    <row r="2033" spans="1:17" x14ac:dyDescent="0.25">
      <c r="A2033" t="s">
        <v>3409</v>
      </c>
      <c r="B2033" t="s">
        <v>1080</v>
      </c>
      <c r="C2033">
        <v>2027</v>
      </c>
      <c r="D2033" t="s">
        <v>544</v>
      </c>
      <c r="E2033" t="s">
        <v>835</v>
      </c>
      <c r="F2033" s="32">
        <v>46423</v>
      </c>
      <c r="G2033" t="s">
        <v>514</v>
      </c>
      <c r="H2033">
        <v>47147546</v>
      </c>
      <c r="I2033" t="s">
        <v>1077</v>
      </c>
      <c r="J2033" t="s">
        <v>1171</v>
      </c>
      <c r="K2033" t="s">
        <v>530</v>
      </c>
      <c r="N2033">
        <v>0</v>
      </c>
      <c r="O2033">
        <v>0</v>
      </c>
      <c r="P2033" t="str">
        <f t="shared" si="31"/>
        <v>N</v>
      </c>
      <c r="Q2033" t="s">
        <v>7763</v>
      </c>
    </row>
    <row r="2034" spans="1:17" x14ac:dyDescent="0.25">
      <c r="A2034" t="s">
        <v>3410</v>
      </c>
      <c r="B2034" t="s">
        <v>1080</v>
      </c>
      <c r="C2034">
        <v>2027</v>
      </c>
      <c r="D2034" t="s">
        <v>544</v>
      </c>
      <c r="E2034" t="s">
        <v>835</v>
      </c>
      <c r="F2034" s="32">
        <v>46423</v>
      </c>
      <c r="G2034" t="s">
        <v>514</v>
      </c>
      <c r="H2034">
        <v>47128028</v>
      </c>
      <c r="I2034" t="s">
        <v>1035</v>
      </c>
      <c r="J2034" t="s">
        <v>1034</v>
      </c>
      <c r="K2034" t="s">
        <v>530</v>
      </c>
      <c r="N2034">
        <v>0</v>
      </c>
      <c r="O2034">
        <v>0</v>
      </c>
      <c r="P2034" t="str">
        <f t="shared" si="31"/>
        <v>N</v>
      </c>
      <c r="Q2034" t="s">
        <v>7764</v>
      </c>
    </row>
    <row r="2035" spans="1:17" x14ac:dyDescent="0.25">
      <c r="A2035" t="s">
        <v>3411</v>
      </c>
      <c r="B2035" t="s">
        <v>1080</v>
      </c>
      <c r="C2035">
        <v>2027</v>
      </c>
      <c r="D2035" t="s">
        <v>544</v>
      </c>
      <c r="E2035" t="s">
        <v>835</v>
      </c>
      <c r="F2035" s="32">
        <v>46423</v>
      </c>
      <c r="G2035" t="s">
        <v>514</v>
      </c>
      <c r="H2035">
        <v>47128465</v>
      </c>
      <c r="I2035" t="s">
        <v>1333</v>
      </c>
      <c r="J2035" t="s">
        <v>1332</v>
      </c>
      <c r="K2035" t="s">
        <v>530</v>
      </c>
      <c r="N2035">
        <v>0</v>
      </c>
      <c r="O2035">
        <v>0</v>
      </c>
      <c r="P2035" t="str">
        <f t="shared" si="31"/>
        <v>N</v>
      </c>
      <c r="Q2035" t="s">
        <v>7765</v>
      </c>
    </row>
    <row r="2036" spans="1:17" x14ac:dyDescent="0.25">
      <c r="A2036" t="s">
        <v>3412</v>
      </c>
      <c r="B2036" t="s">
        <v>1080</v>
      </c>
      <c r="C2036">
        <v>2027</v>
      </c>
      <c r="D2036" t="s">
        <v>544</v>
      </c>
      <c r="E2036" t="s">
        <v>835</v>
      </c>
      <c r="F2036" s="32">
        <v>46423</v>
      </c>
      <c r="G2036" t="s">
        <v>514</v>
      </c>
      <c r="H2036">
        <v>47128548</v>
      </c>
      <c r="I2036" t="s">
        <v>958</v>
      </c>
      <c r="J2036" t="s">
        <v>957</v>
      </c>
      <c r="K2036" t="s">
        <v>530</v>
      </c>
      <c r="N2036">
        <v>0</v>
      </c>
      <c r="O2036">
        <v>0</v>
      </c>
      <c r="P2036" t="str">
        <f t="shared" si="31"/>
        <v>N</v>
      </c>
      <c r="Q2036" t="s">
        <v>7766</v>
      </c>
    </row>
    <row r="2037" spans="1:17" x14ac:dyDescent="0.25">
      <c r="A2037" t="s">
        <v>3854</v>
      </c>
      <c r="B2037" t="s">
        <v>912</v>
      </c>
      <c r="C2037">
        <v>2027</v>
      </c>
      <c r="D2037" t="s">
        <v>544</v>
      </c>
      <c r="E2037" t="s">
        <v>835</v>
      </c>
      <c r="F2037" s="32">
        <v>46423</v>
      </c>
      <c r="G2037" t="s">
        <v>514</v>
      </c>
      <c r="H2037">
        <v>47140037</v>
      </c>
      <c r="I2037" t="s">
        <v>2347</v>
      </c>
      <c r="J2037" t="s">
        <v>2348</v>
      </c>
      <c r="K2037" t="s">
        <v>530</v>
      </c>
      <c r="N2037">
        <v>0</v>
      </c>
      <c r="O2037">
        <v>0</v>
      </c>
      <c r="P2037" t="str">
        <f t="shared" si="31"/>
        <v>N</v>
      </c>
      <c r="Q2037" t="s">
        <v>7767</v>
      </c>
    </row>
    <row r="2038" spans="1:17" x14ac:dyDescent="0.25">
      <c r="A2038" t="s">
        <v>3855</v>
      </c>
      <c r="B2038" t="s">
        <v>912</v>
      </c>
      <c r="C2038">
        <v>2027</v>
      </c>
      <c r="D2038" t="s">
        <v>544</v>
      </c>
      <c r="E2038" t="s">
        <v>835</v>
      </c>
      <c r="F2038" s="32">
        <v>46423</v>
      </c>
      <c r="G2038" t="s">
        <v>514</v>
      </c>
      <c r="H2038">
        <v>47128820</v>
      </c>
      <c r="I2038" t="s">
        <v>2411</v>
      </c>
      <c r="J2038" t="s">
        <v>2412</v>
      </c>
      <c r="K2038" t="s">
        <v>530</v>
      </c>
      <c r="N2038">
        <v>0</v>
      </c>
      <c r="O2038">
        <v>0</v>
      </c>
      <c r="P2038" t="str">
        <f t="shared" si="31"/>
        <v>N</v>
      </c>
      <c r="Q2038" t="s">
        <v>7768</v>
      </c>
    </row>
    <row r="2039" spans="1:17" x14ac:dyDescent="0.25">
      <c r="A2039" t="s">
        <v>3856</v>
      </c>
      <c r="B2039" t="s">
        <v>912</v>
      </c>
      <c r="C2039">
        <v>2027</v>
      </c>
      <c r="D2039" t="s">
        <v>544</v>
      </c>
      <c r="E2039" t="s">
        <v>835</v>
      </c>
      <c r="F2039" s="32">
        <v>46423</v>
      </c>
      <c r="G2039" t="s">
        <v>514</v>
      </c>
      <c r="H2039">
        <v>47128378</v>
      </c>
      <c r="I2039" t="s">
        <v>2392</v>
      </c>
      <c r="J2039" t="s">
        <v>2393</v>
      </c>
      <c r="K2039" t="s">
        <v>530</v>
      </c>
      <c r="N2039">
        <v>0</v>
      </c>
      <c r="O2039">
        <v>0</v>
      </c>
      <c r="P2039" t="str">
        <f t="shared" si="31"/>
        <v>N</v>
      </c>
      <c r="Q2039" t="s">
        <v>7769</v>
      </c>
    </row>
    <row r="2040" spans="1:17" x14ac:dyDescent="0.25">
      <c r="A2040" t="s">
        <v>3857</v>
      </c>
      <c r="B2040" t="s">
        <v>912</v>
      </c>
      <c r="C2040">
        <v>2027</v>
      </c>
      <c r="D2040" t="s">
        <v>544</v>
      </c>
      <c r="E2040" t="s">
        <v>835</v>
      </c>
      <c r="F2040" s="32">
        <v>46423</v>
      </c>
      <c r="G2040" t="s">
        <v>514</v>
      </c>
      <c r="H2040">
        <v>47128020</v>
      </c>
      <c r="I2040" t="s">
        <v>2395</v>
      </c>
      <c r="J2040" t="s">
        <v>2396</v>
      </c>
      <c r="K2040" t="s">
        <v>530</v>
      </c>
      <c r="N2040">
        <v>0</v>
      </c>
      <c r="O2040">
        <v>0</v>
      </c>
      <c r="P2040" t="str">
        <f t="shared" si="31"/>
        <v>N</v>
      </c>
      <c r="Q2040" t="s">
        <v>7770</v>
      </c>
    </row>
    <row r="2041" spans="1:17" x14ac:dyDescent="0.25">
      <c r="A2041" t="s">
        <v>3858</v>
      </c>
      <c r="B2041" t="s">
        <v>912</v>
      </c>
      <c r="C2041">
        <v>2027</v>
      </c>
      <c r="D2041" t="s">
        <v>544</v>
      </c>
      <c r="E2041" t="s">
        <v>835</v>
      </c>
      <c r="F2041" s="32">
        <v>46423</v>
      </c>
      <c r="G2041" t="s">
        <v>514</v>
      </c>
      <c r="H2041">
        <v>47128459</v>
      </c>
      <c r="I2041" t="s">
        <v>2398</v>
      </c>
      <c r="J2041" t="s">
        <v>2399</v>
      </c>
      <c r="K2041" t="s">
        <v>530</v>
      </c>
      <c r="N2041">
        <v>0</v>
      </c>
      <c r="O2041">
        <v>0</v>
      </c>
      <c r="P2041" t="str">
        <f t="shared" si="31"/>
        <v>N</v>
      </c>
      <c r="Q2041" t="s">
        <v>7771</v>
      </c>
    </row>
    <row r="2042" spans="1:17" x14ac:dyDescent="0.25">
      <c r="A2042" t="s">
        <v>3899</v>
      </c>
      <c r="B2042" t="s">
        <v>1043</v>
      </c>
      <c r="C2042">
        <v>2027</v>
      </c>
      <c r="D2042" t="s">
        <v>544</v>
      </c>
      <c r="E2042" t="s">
        <v>835</v>
      </c>
      <c r="F2042" s="32">
        <v>46423</v>
      </c>
      <c r="G2042" t="s">
        <v>514</v>
      </c>
      <c r="H2042">
        <v>47128421</v>
      </c>
      <c r="I2042" t="s">
        <v>1086</v>
      </c>
      <c r="J2042" t="s">
        <v>1085</v>
      </c>
      <c r="K2042" t="s">
        <v>530</v>
      </c>
      <c r="N2042">
        <v>0</v>
      </c>
      <c r="O2042">
        <v>0</v>
      </c>
      <c r="P2042" t="str">
        <f t="shared" si="31"/>
        <v>N</v>
      </c>
      <c r="Q2042" t="s">
        <v>7772</v>
      </c>
    </row>
    <row r="2043" spans="1:17" x14ac:dyDescent="0.25">
      <c r="A2043" t="s">
        <v>3900</v>
      </c>
      <c r="B2043" t="s">
        <v>1043</v>
      </c>
      <c r="C2043">
        <v>2027</v>
      </c>
      <c r="D2043" t="s">
        <v>544</v>
      </c>
      <c r="E2043" t="s">
        <v>835</v>
      </c>
      <c r="F2043" s="32">
        <v>46423</v>
      </c>
      <c r="G2043" t="s">
        <v>514</v>
      </c>
      <c r="H2043">
        <v>47128364</v>
      </c>
      <c r="I2043" t="s">
        <v>1264</v>
      </c>
      <c r="J2043" t="s">
        <v>1263</v>
      </c>
      <c r="K2043" t="s">
        <v>530</v>
      </c>
      <c r="N2043">
        <v>0</v>
      </c>
      <c r="O2043">
        <v>0</v>
      </c>
      <c r="P2043" t="str">
        <f t="shared" si="31"/>
        <v>N</v>
      </c>
      <c r="Q2043" t="s">
        <v>7773</v>
      </c>
    </row>
    <row r="2044" spans="1:17" x14ac:dyDescent="0.25">
      <c r="A2044" t="s">
        <v>3901</v>
      </c>
      <c r="B2044" t="s">
        <v>1043</v>
      </c>
      <c r="C2044">
        <v>2027</v>
      </c>
      <c r="D2044" t="s">
        <v>544</v>
      </c>
      <c r="E2044" t="s">
        <v>835</v>
      </c>
      <c r="F2044" s="32">
        <v>46423</v>
      </c>
      <c r="G2044" t="s">
        <v>514</v>
      </c>
      <c r="H2044">
        <v>47128706</v>
      </c>
      <c r="I2044" t="s">
        <v>1201</v>
      </c>
      <c r="J2044" t="s">
        <v>1200</v>
      </c>
      <c r="K2044" t="s">
        <v>530</v>
      </c>
      <c r="N2044">
        <v>0</v>
      </c>
      <c r="O2044">
        <v>0</v>
      </c>
      <c r="P2044" t="str">
        <f t="shared" si="31"/>
        <v>N</v>
      </c>
      <c r="Q2044" t="s">
        <v>7774</v>
      </c>
    </row>
    <row r="2045" spans="1:17" x14ac:dyDescent="0.25">
      <c r="A2045" t="s">
        <v>4001</v>
      </c>
      <c r="B2045" t="s">
        <v>3939</v>
      </c>
      <c r="C2045">
        <v>2027</v>
      </c>
      <c r="D2045" t="s">
        <v>544</v>
      </c>
      <c r="E2045" t="s">
        <v>835</v>
      </c>
      <c r="F2045" s="32">
        <v>46423</v>
      </c>
      <c r="G2045" t="s">
        <v>514</v>
      </c>
      <c r="H2045">
        <v>47140037</v>
      </c>
      <c r="I2045" t="s">
        <v>2347</v>
      </c>
      <c r="J2045" t="s">
        <v>2348</v>
      </c>
      <c r="K2045" t="s">
        <v>530</v>
      </c>
      <c r="N2045">
        <v>0</v>
      </c>
      <c r="O2045">
        <v>0</v>
      </c>
      <c r="P2045" t="str">
        <f t="shared" si="31"/>
        <v>N</v>
      </c>
      <c r="Q2045" t="s">
        <v>7775</v>
      </c>
    </row>
    <row r="2046" spans="1:17" x14ac:dyDescent="0.25">
      <c r="A2046" t="s">
        <v>4002</v>
      </c>
      <c r="B2046" t="s">
        <v>3939</v>
      </c>
      <c r="C2046">
        <v>2027</v>
      </c>
      <c r="D2046" t="s">
        <v>544</v>
      </c>
      <c r="E2046" t="s">
        <v>835</v>
      </c>
      <c r="F2046" s="32">
        <v>46423</v>
      </c>
      <c r="G2046" t="s">
        <v>514</v>
      </c>
      <c r="H2046">
        <v>47128820</v>
      </c>
      <c r="I2046" t="s">
        <v>2411</v>
      </c>
      <c r="J2046" t="s">
        <v>2412</v>
      </c>
      <c r="K2046" t="s">
        <v>530</v>
      </c>
      <c r="N2046">
        <v>0</v>
      </c>
      <c r="O2046">
        <v>0</v>
      </c>
      <c r="P2046" t="str">
        <f t="shared" si="31"/>
        <v>N</v>
      </c>
      <c r="Q2046" t="s">
        <v>7776</v>
      </c>
    </row>
    <row r="2047" spans="1:17" x14ac:dyDescent="0.25">
      <c r="A2047" t="s">
        <v>4003</v>
      </c>
      <c r="B2047" t="s">
        <v>3939</v>
      </c>
      <c r="C2047">
        <v>2027</v>
      </c>
      <c r="D2047" t="s">
        <v>544</v>
      </c>
      <c r="E2047" t="s">
        <v>835</v>
      </c>
      <c r="F2047" s="32">
        <v>46423</v>
      </c>
      <c r="G2047" t="s">
        <v>514</v>
      </c>
      <c r="H2047">
        <v>47128378</v>
      </c>
      <c r="I2047" t="s">
        <v>2392</v>
      </c>
      <c r="J2047" t="s">
        <v>2393</v>
      </c>
      <c r="K2047" t="s">
        <v>530</v>
      </c>
      <c r="N2047">
        <v>0</v>
      </c>
      <c r="O2047">
        <v>0</v>
      </c>
      <c r="P2047" t="str">
        <f t="shared" si="31"/>
        <v>N</v>
      </c>
      <c r="Q2047" t="s">
        <v>7777</v>
      </c>
    </row>
    <row r="2048" spans="1:17" x14ac:dyDescent="0.25">
      <c r="A2048" t="s">
        <v>4004</v>
      </c>
      <c r="B2048" t="s">
        <v>3939</v>
      </c>
      <c r="C2048">
        <v>2027</v>
      </c>
      <c r="D2048" t="s">
        <v>544</v>
      </c>
      <c r="E2048" t="s">
        <v>835</v>
      </c>
      <c r="F2048" s="32">
        <v>46423</v>
      </c>
      <c r="G2048" t="s">
        <v>514</v>
      </c>
      <c r="H2048">
        <v>47128020</v>
      </c>
      <c r="I2048" t="s">
        <v>2395</v>
      </c>
      <c r="J2048" t="s">
        <v>2396</v>
      </c>
      <c r="K2048" t="s">
        <v>530</v>
      </c>
      <c r="N2048">
        <v>0</v>
      </c>
      <c r="O2048">
        <v>0</v>
      </c>
      <c r="P2048" t="str">
        <f t="shared" si="31"/>
        <v>N</v>
      </c>
      <c r="Q2048" t="s">
        <v>7778</v>
      </c>
    </row>
    <row r="2049" spans="1:17" x14ac:dyDescent="0.25">
      <c r="A2049" t="s">
        <v>4005</v>
      </c>
      <c r="B2049" t="s">
        <v>3939</v>
      </c>
      <c r="C2049">
        <v>2027</v>
      </c>
      <c r="D2049" t="s">
        <v>544</v>
      </c>
      <c r="E2049" t="s">
        <v>835</v>
      </c>
      <c r="F2049" s="32">
        <v>46423</v>
      </c>
      <c r="G2049" t="s">
        <v>514</v>
      </c>
      <c r="H2049">
        <v>47128459</v>
      </c>
      <c r="I2049" t="s">
        <v>2398</v>
      </c>
      <c r="J2049" t="s">
        <v>2399</v>
      </c>
      <c r="K2049" t="s">
        <v>530</v>
      </c>
      <c r="N2049">
        <v>0</v>
      </c>
      <c r="O2049">
        <v>0</v>
      </c>
      <c r="P2049" t="str">
        <f t="shared" si="31"/>
        <v>N</v>
      </c>
      <c r="Q2049" t="s">
        <v>7779</v>
      </c>
    </row>
    <row r="2050" spans="1:17" x14ac:dyDescent="0.25">
      <c r="A2050" t="s">
        <v>4088</v>
      </c>
      <c r="B2050" t="s">
        <v>1489</v>
      </c>
      <c r="C2050">
        <v>2027</v>
      </c>
      <c r="D2050" t="s">
        <v>544</v>
      </c>
      <c r="E2050" t="s">
        <v>835</v>
      </c>
      <c r="F2050" s="32">
        <v>46423</v>
      </c>
      <c r="G2050" t="s">
        <v>514</v>
      </c>
      <c r="H2050">
        <v>47128967</v>
      </c>
      <c r="I2050" t="s">
        <v>1062</v>
      </c>
      <c r="J2050" t="s">
        <v>1061</v>
      </c>
      <c r="K2050" t="s">
        <v>530</v>
      </c>
      <c r="N2050">
        <v>0</v>
      </c>
      <c r="O2050">
        <v>0</v>
      </c>
      <c r="P2050" t="str">
        <f t="shared" si="31"/>
        <v>N</v>
      </c>
      <c r="Q2050" t="s">
        <v>7780</v>
      </c>
    </row>
    <row r="2051" spans="1:17" x14ac:dyDescent="0.25">
      <c r="A2051" t="s">
        <v>4089</v>
      </c>
      <c r="B2051" t="s">
        <v>1489</v>
      </c>
      <c r="C2051">
        <v>2027</v>
      </c>
      <c r="D2051" t="s">
        <v>544</v>
      </c>
      <c r="E2051" t="s">
        <v>835</v>
      </c>
      <c r="F2051" s="32">
        <v>46423</v>
      </c>
      <c r="G2051" t="s">
        <v>514</v>
      </c>
      <c r="H2051">
        <v>47133720</v>
      </c>
      <c r="I2051" t="s">
        <v>1217</v>
      </c>
      <c r="J2051" t="s">
        <v>1216</v>
      </c>
      <c r="K2051" t="s">
        <v>530</v>
      </c>
      <c r="N2051">
        <v>0</v>
      </c>
      <c r="O2051">
        <v>0</v>
      </c>
      <c r="P2051" t="str">
        <f t="shared" ref="P2051:P2114" si="32">IF(N2051=O2051,"N","Y")</f>
        <v>N</v>
      </c>
      <c r="Q2051" t="s">
        <v>7781</v>
      </c>
    </row>
    <row r="2052" spans="1:17" x14ac:dyDescent="0.25">
      <c r="A2052" t="s">
        <v>4090</v>
      </c>
      <c r="B2052" t="s">
        <v>1489</v>
      </c>
      <c r="C2052">
        <v>2027</v>
      </c>
      <c r="D2052" t="s">
        <v>544</v>
      </c>
      <c r="E2052" t="s">
        <v>835</v>
      </c>
      <c r="F2052" s="32">
        <v>46423</v>
      </c>
      <c r="G2052" t="s">
        <v>514</v>
      </c>
      <c r="H2052">
        <v>47127948</v>
      </c>
      <c r="I2052" t="s">
        <v>1247</v>
      </c>
      <c r="J2052" t="s">
        <v>1246</v>
      </c>
      <c r="K2052" t="s">
        <v>530</v>
      </c>
      <c r="N2052">
        <v>40</v>
      </c>
      <c r="O2052">
        <v>40</v>
      </c>
      <c r="P2052" t="str">
        <f t="shared" si="32"/>
        <v>N</v>
      </c>
      <c r="Q2052" t="s">
        <v>7782</v>
      </c>
    </row>
    <row r="2053" spans="1:17" x14ac:dyDescent="0.25">
      <c r="A2053" t="s">
        <v>4091</v>
      </c>
      <c r="B2053" t="s">
        <v>1489</v>
      </c>
      <c r="C2053">
        <v>2027</v>
      </c>
      <c r="D2053" t="s">
        <v>544</v>
      </c>
      <c r="E2053" t="s">
        <v>835</v>
      </c>
      <c r="F2053" s="32">
        <v>46423</v>
      </c>
      <c r="G2053" t="s">
        <v>514</v>
      </c>
      <c r="H2053">
        <v>47128337</v>
      </c>
      <c r="I2053" t="s">
        <v>1120</v>
      </c>
      <c r="J2053" t="s">
        <v>1119</v>
      </c>
      <c r="K2053" t="s">
        <v>530</v>
      </c>
      <c r="N2053">
        <v>10</v>
      </c>
      <c r="O2053">
        <v>10</v>
      </c>
      <c r="P2053" t="str">
        <f t="shared" si="32"/>
        <v>N</v>
      </c>
      <c r="Q2053" t="s">
        <v>7783</v>
      </c>
    </row>
    <row r="2054" spans="1:17" x14ac:dyDescent="0.25">
      <c r="A2054" t="s">
        <v>4092</v>
      </c>
      <c r="B2054" t="s">
        <v>1489</v>
      </c>
      <c r="C2054">
        <v>2027</v>
      </c>
      <c r="D2054" t="s">
        <v>544</v>
      </c>
      <c r="E2054" t="s">
        <v>835</v>
      </c>
      <c r="F2054" s="32">
        <v>46423</v>
      </c>
      <c r="G2054" t="s">
        <v>514</v>
      </c>
      <c r="H2054">
        <v>47128977</v>
      </c>
      <c r="I2054" t="s">
        <v>1449</v>
      </c>
      <c r="J2054" t="s">
        <v>1448</v>
      </c>
      <c r="K2054" t="s">
        <v>530</v>
      </c>
      <c r="N2054">
        <v>0</v>
      </c>
      <c r="O2054">
        <v>0</v>
      </c>
      <c r="P2054" t="str">
        <f t="shared" si="32"/>
        <v>N</v>
      </c>
      <c r="Q2054" t="s">
        <v>7784</v>
      </c>
    </row>
    <row r="2055" spans="1:17" x14ac:dyDescent="0.25">
      <c r="A2055" t="s">
        <v>4255</v>
      </c>
      <c r="B2055" t="s">
        <v>916</v>
      </c>
      <c r="C2055">
        <v>2027</v>
      </c>
      <c r="D2055" t="s">
        <v>544</v>
      </c>
      <c r="E2055" t="s">
        <v>835</v>
      </c>
      <c r="F2055" s="32">
        <v>46423</v>
      </c>
      <c r="G2055" t="s">
        <v>514</v>
      </c>
      <c r="H2055">
        <v>47128421</v>
      </c>
      <c r="I2055" t="s">
        <v>1086</v>
      </c>
      <c r="J2055" t="s">
        <v>1085</v>
      </c>
      <c r="K2055" t="s">
        <v>530</v>
      </c>
      <c r="N2055">
        <v>0</v>
      </c>
      <c r="O2055">
        <v>0</v>
      </c>
      <c r="P2055" t="str">
        <f t="shared" si="32"/>
        <v>N</v>
      </c>
      <c r="Q2055" t="s">
        <v>7785</v>
      </c>
    </row>
    <row r="2056" spans="1:17" x14ac:dyDescent="0.25">
      <c r="A2056" t="s">
        <v>4256</v>
      </c>
      <c r="B2056" t="s">
        <v>916</v>
      </c>
      <c r="C2056">
        <v>2027</v>
      </c>
      <c r="D2056" t="s">
        <v>544</v>
      </c>
      <c r="E2056" t="s">
        <v>835</v>
      </c>
      <c r="F2056" s="32">
        <v>46423</v>
      </c>
      <c r="G2056" t="s">
        <v>514</v>
      </c>
      <c r="H2056">
        <v>47128706</v>
      </c>
      <c r="I2056" t="s">
        <v>1201</v>
      </c>
      <c r="J2056" t="s">
        <v>1200</v>
      </c>
      <c r="K2056" t="s">
        <v>530</v>
      </c>
      <c r="N2056">
        <v>0</v>
      </c>
      <c r="O2056">
        <v>0</v>
      </c>
      <c r="P2056" t="str">
        <f t="shared" si="32"/>
        <v>N</v>
      </c>
      <c r="Q2056" t="s">
        <v>7786</v>
      </c>
    </row>
    <row r="2057" spans="1:17" x14ac:dyDescent="0.25">
      <c r="A2057" t="s">
        <v>4257</v>
      </c>
      <c r="B2057" t="s">
        <v>916</v>
      </c>
      <c r="C2057">
        <v>2027</v>
      </c>
      <c r="D2057" t="s">
        <v>544</v>
      </c>
      <c r="E2057" t="s">
        <v>835</v>
      </c>
      <c r="F2057" s="32">
        <v>46423</v>
      </c>
      <c r="G2057" t="s">
        <v>514</v>
      </c>
      <c r="H2057">
        <v>47128364</v>
      </c>
      <c r="I2057" t="s">
        <v>1264</v>
      </c>
      <c r="J2057" t="s">
        <v>1263</v>
      </c>
      <c r="K2057" t="s">
        <v>530</v>
      </c>
      <c r="N2057">
        <v>45</v>
      </c>
      <c r="O2057">
        <v>45</v>
      </c>
      <c r="P2057" t="str">
        <f t="shared" si="32"/>
        <v>N</v>
      </c>
      <c r="Q2057" t="s">
        <v>7787</v>
      </c>
    </row>
    <row r="2058" spans="1:17" x14ac:dyDescent="0.25">
      <c r="A2058" t="s">
        <v>4258</v>
      </c>
      <c r="B2058" t="s">
        <v>916</v>
      </c>
      <c r="C2058">
        <v>2027</v>
      </c>
      <c r="D2058" t="s">
        <v>544</v>
      </c>
      <c r="E2058" t="s">
        <v>835</v>
      </c>
      <c r="F2058" s="32">
        <v>46423</v>
      </c>
      <c r="G2058" t="s">
        <v>514</v>
      </c>
      <c r="H2058">
        <v>47128633</v>
      </c>
      <c r="I2058" t="s">
        <v>1164</v>
      </c>
      <c r="J2058" t="s">
        <v>1163</v>
      </c>
      <c r="K2058" t="s">
        <v>530</v>
      </c>
      <c r="N2058">
        <v>0</v>
      </c>
      <c r="O2058">
        <v>0</v>
      </c>
      <c r="P2058" t="str">
        <f t="shared" si="32"/>
        <v>N</v>
      </c>
      <c r="Q2058" t="s">
        <v>7788</v>
      </c>
    </row>
    <row r="2059" spans="1:17" x14ac:dyDescent="0.25">
      <c r="A2059" t="s">
        <v>4259</v>
      </c>
      <c r="B2059" t="s">
        <v>916</v>
      </c>
      <c r="C2059">
        <v>2027</v>
      </c>
      <c r="D2059" t="s">
        <v>544</v>
      </c>
      <c r="E2059" t="s">
        <v>835</v>
      </c>
      <c r="F2059" s="32">
        <v>46423</v>
      </c>
      <c r="G2059" t="s">
        <v>514</v>
      </c>
      <c r="H2059">
        <v>47128046</v>
      </c>
      <c r="I2059" t="s">
        <v>1389</v>
      </c>
      <c r="J2059" t="s">
        <v>1388</v>
      </c>
      <c r="K2059" t="s">
        <v>530</v>
      </c>
      <c r="N2059">
        <v>0</v>
      </c>
      <c r="O2059">
        <v>0</v>
      </c>
      <c r="P2059" t="str">
        <f t="shared" si="32"/>
        <v>N</v>
      </c>
      <c r="Q2059" t="s">
        <v>7789</v>
      </c>
    </row>
    <row r="2060" spans="1:17" x14ac:dyDescent="0.25">
      <c r="A2060" t="s">
        <v>4260</v>
      </c>
      <c r="B2060" t="s">
        <v>916</v>
      </c>
      <c r="C2060">
        <v>2027</v>
      </c>
      <c r="D2060" t="s">
        <v>544</v>
      </c>
      <c r="E2060" t="s">
        <v>835</v>
      </c>
      <c r="F2060" s="32">
        <v>46423</v>
      </c>
      <c r="G2060" t="s">
        <v>514</v>
      </c>
      <c r="H2060">
        <v>47128355</v>
      </c>
      <c r="I2060" t="s">
        <v>964</v>
      </c>
      <c r="J2060" t="s">
        <v>963</v>
      </c>
      <c r="K2060" t="s">
        <v>530</v>
      </c>
      <c r="N2060">
        <v>0</v>
      </c>
      <c r="O2060">
        <v>0</v>
      </c>
      <c r="P2060" t="str">
        <f t="shared" si="32"/>
        <v>N</v>
      </c>
      <c r="Q2060" t="s">
        <v>7790</v>
      </c>
    </row>
    <row r="2061" spans="1:17" x14ac:dyDescent="0.25">
      <c r="A2061" t="s">
        <v>4261</v>
      </c>
      <c r="B2061" t="s">
        <v>916</v>
      </c>
      <c r="C2061">
        <v>2027</v>
      </c>
      <c r="D2061" t="s">
        <v>544</v>
      </c>
      <c r="E2061" t="s">
        <v>835</v>
      </c>
      <c r="F2061" s="32">
        <v>46423</v>
      </c>
      <c r="G2061" t="s">
        <v>514</v>
      </c>
      <c r="H2061">
        <v>47129548</v>
      </c>
      <c r="I2061" t="s">
        <v>1340</v>
      </c>
      <c r="J2061" t="s">
        <v>1339</v>
      </c>
      <c r="K2061" t="s">
        <v>530</v>
      </c>
      <c r="N2061">
        <v>56</v>
      </c>
      <c r="O2061">
        <v>56</v>
      </c>
      <c r="P2061" t="str">
        <f t="shared" si="32"/>
        <v>N</v>
      </c>
      <c r="Q2061" t="s">
        <v>7791</v>
      </c>
    </row>
    <row r="2062" spans="1:17" x14ac:dyDescent="0.25">
      <c r="A2062" t="s">
        <v>4262</v>
      </c>
      <c r="B2062" t="s">
        <v>916</v>
      </c>
      <c r="C2062">
        <v>2027</v>
      </c>
      <c r="D2062" t="s">
        <v>544</v>
      </c>
      <c r="E2062" t="s">
        <v>835</v>
      </c>
      <c r="F2062" s="32">
        <v>46423</v>
      </c>
      <c r="G2062" t="s">
        <v>514</v>
      </c>
      <c r="H2062">
        <v>47128835</v>
      </c>
      <c r="I2062" t="s">
        <v>998</v>
      </c>
      <c r="J2062" t="s">
        <v>997</v>
      </c>
      <c r="K2062" t="s">
        <v>530</v>
      </c>
      <c r="N2062">
        <v>0</v>
      </c>
      <c r="O2062">
        <v>0</v>
      </c>
      <c r="P2062" t="str">
        <f t="shared" si="32"/>
        <v>N</v>
      </c>
      <c r="Q2062" t="s">
        <v>7792</v>
      </c>
    </row>
    <row r="2063" spans="1:17" x14ac:dyDescent="0.25">
      <c r="A2063" t="s">
        <v>4263</v>
      </c>
      <c r="B2063" t="s">
        <v>916</v>
      </c>
      <c r="C2063">
        <v>2027</v>
      </c>
      <c r="D2063" t="s">
        <v>544</v>
      </c>
      <c r="E2063" t="s">
        <v>835</v>
      </c>
      <c r="F2063" s="32">
        <v>46423</v>
      </c>
      <c r="G2063" t="s">
        <v>514</v>
      </c>
      <c r="H2063">
        <v>47128788</v>
      </c>
      <c r="I2063" t="s">
        <v>4188</v>
      </c>
      <c r="J2063" t="s">
        <v>4189</v>
      </c>
      <c r="K2063" t="s">
        <v>530</v>
      </c>
      <c r="N2063">
        <v>0</v>
      </c>
      <c r="O2063">
        <v>0</v>
      </c>
      <c r="P2063" t="str">
        <f t="shared" si="32"/>
        <v>N</v>
      </c>
      <c r="Q2063" t="s">
        <v>7793</v>
      </c>
    </row>
    <row r="2064" spans="1:17" x14ac:dyDescent="0.25">
      <c r="A2064" t="s">
        <v>4264</v>
      </c>
      <c r="B2064" t="s">
        <v>916</v>
      </c>
      <c r="C2064">
        <v>2027</v>
      </c>
      <c r="D2064" t="s">
        <v>544</v>
      </c>
      <c r="E2064" t="s">
        <v>835</v>
      </c>
      <c r="F2064" s="32">
        <v>46423</v>
      </c>
      <c r="G2064" t="s">
        <v>514</v>
      </c>
      <c r="H2064">
        <v>47136348</v>
      </c>
      <c r="I2064" t="s">
        <v>1025</v>
      </c>
      <c r="J2064" t="s">
        <v>1024</v>
      </c>
      <c r="K2064" t="s">
        <v>530</v>
      </c>
      <c r="N2064">
        <v>0</v>
      </c>
      <c r="O2064">
        <v>0</v>
      </c>
      <c r="P2064" t="str">
        <f t="shared" si="32"/>
        <v>N</v>
      </c>
      <c r="Q2064" t="s">
        <v>7794</v>
      </c>
    </row>
    <row r="2065" spans="1:17" x14ac:dyDescent="0.25">
      <c r="A2065" t="s">
        <v>4265</v>
      </c>
      <c r="B2065" t="s">
        <v>916</v>
      </c>
      <c r="C2065">
        <v>2027</v>
      </c>
      <c r="D2065" t="s">
        <v>544</v>
      </c>
      <c r="E2065" t="s">
        <v>835</v>
      </c>
      <c r="F2065" s="32">
        <v>46423</v>
      </c>
      <c r="G2065" t="s">
        <v>514</v>
      </c>
      <c r="H2065">
        <v>47135083</v>
      </c>
      <c r="I2065" t="s">
        <v>4192</v>
      </c>
      <c r="J2065" t="s">
        <v>4193</v>
      </c>
      <c r="K2065" t="s">
        <v>530</v>
      </c>
      <c r="N2065">
        <v>0</v>
      </c>
      <c r="O2065">
        <v>0</v>
      </c>
      <c r="P2065" t="str">
        <f t="shared" si="32"/>
        <v>N</v>
      </c>
      <c r="Q2065" t="s">
        <v>7795</v>
      </c>
    </row>
    <row r="2066" spans="1:17" x14ac:dyDescent="0.25">
      <c r="A2066" t="s">
        <v>4266</v>
      </c>
      <c r="B2066" t="s">
        <v>916</v>
      </c>
      <c r="C2066">
        <v>2027</v>
      </c>
      <c r="D2066" t="s">
        <v>544</v>
      </c>
      <c r="E2066" t="s">
        <v>835</v>
      </c>
      <c r="F2066" s="32">
        <v>46423</v>
      </c>
      <c r="G2066" t="s">
        <v>514</v>
      </c>
      <c r="H2066">
        <v>47128684</v>
      </c>
      <c r="I2066" t="s">
        <v>1005</v>
      </c>
      <c r="J2066" t="s">
        <v>1004</v>
      </c>
      <c r="K2066" t="s">
        <v>530</v>
      </c>
      <c r="N2066">
        <v>0</v>
      </c>
      <c r="O2066">
        <v>0</v>
      </c>
      <c r="P2066" t="str">
        <f t="shared" si="32"/>
        <v>N</v>
      </c>
      <c r="Q2066" t="s">
        <v>7796</v>
      </c>
    </row>
    <row r="2067" spans="1:17" x14ac:dyDescent="0.25">
      <c r="A2067" t="s">
        <v>4267</v>
      </c>
      <c r="B2067" t="s">
        <v>916</v>
      </c>
      <c r="C2067">
        <v>2027</v>
      </c>
      <c r="D2067" t="s">
        <v>544</v>
      </c>
      <c r="E2067" t="s">
        <v>835</v>
      </c>
      <c r="F2067" s="32">
        <v>46423</v>
      </c>
      <c r="G2067" t="s">
        <v>514</v>
      </c>
      <c r="H2067">
        <v>47128469</v>
      </c>
      <c r="I2067" t="s">
        <v>928</v>
      </c>
      <c r="J2067" t="s">
        <v>927</v>
      </c>
      <c r="K2067" t="s">
        <v>530</v>
      </c>
      <c r="N2067">
        <v>0</v>
      </c>
      <c r="O2067">
        <v>0</v>
      </c>
      <c r="P2067" t="str">
        <f t="shared" si="32"/>
        <v>N</v>
      </c>
      <c r="Q2067" t="s">
        <v>7797</v>
      </c>
    </row>
    <row r="2068" spans="1:17" x14ac:dyDescent="0.25">
      <c r="A2068" t="s">
        <v>4268</v>
      </c>
      <c r="B2068" t="s">
        <v>916</v>
      </c>
      <c r="C2068">
        <v>2027</v>
      </c>
      <c r="D2068" t="s">
        <v>544</v>
      </c>
      <c r="E2068" t="s">
        <v>835</v>
      </c>
      <c r="F2068" s="32">
        <v>46423</v>
      </c>
      <c r="G2068" t="s">
        <v>514</v>
      </c>
      <c r="H2068">
        <v>47128359</v>
      </c>
      <c r="I2068" t="s">
        <v>961</v>
      </c>
      <c r="J2068" t="s">
        <v>960</v>
      </c>
      <c r="K2068" t="s">
        <v>530</v>
      </c>
      <c r="N2068">
        <v>0</v>
      </c>
      <c r="O2068">
        <v>0</v>
      </c>
      <c r="P2068" t="str">
        <f t="shared" si="32"/>
        <v>N</v>
      </c>
      <c r="Q2068" t="s">
        <v>7798</v>
      </c>
    </row>
    <row r="2069" spans="1:17" x14ac:dyDescent="0.25">
      <c r="A2069" t="s">
        <v>4269</v>
      </c>
      <c r="B2069" t="s">
        <v>916</v>
      </c>
      <c r="C2069">
        <v>2027</v>
      </c>
      <c r="D2069" t="s">
        <v>544</v>
      </c>
      <c r="E2069" t="s">
        <v>835</v>
      </c>
      <c r="F2069" s="32">
        <v>46423</v>
      </c>
      <c r="G2069" t="s">
        <v>514</v>
      </c>
      <c r="H2069">
        <v>47128202</v>
      </c>
      <c r="I2069" t="s">
        <v>967</v>
      </c>
      <c r="J2069" t="s">
        <v>966</v>
      </c>
      <c r="K2069" t="s">
        <v>530</v>
      </c>
      <c r="N2069">
        <v>0</v>
      </c>
      <c r="O2069">
        <v>0</v>
      </c>
      <c r="P2069" t="str">
        <f t="shared" si="32"/>
        <v>N</v>
      </c>
      <c r="Q2069" t="s">
        <v>7799</v>
      </c>
    </row>
    <row r="2070" spans="1:17" x14ac:dyDescent="0.25">
      <c r="A2070" t="s">
        <v>4270</v>
      </c>
      <c r="B2070" t="s">
        <v>916</v>
      </c>
      <c r="C2070">
        <v>2027</v>
      </c>
      <c r="D2070" t="s">
        <v>544</v>
      </c>
      <c r="E2070" t="s">
        <v>835</v>
      </c>
      <c r="F2070" s="32">
        <v>46423</v>
      </c>
      <c r="G2070" t="s">
        <v>514</v>
      </c>
      <c r="H2070">
        <v>47128154</v>
      </c>
      <c r="I2070" t="s">
        <v>933</v>
      </c>
      <c r="J2070" t="s">
        <v>932</v>
      </c>
      <c r="K2070" t="s">
        <v>530</v>
      </c>
      <c r="N2070">
        <v>0</v>
      </c>
      <c r="O2070">
        <v>0</v>
      </c>
      <c r="P2070" t="str">
        <f t="shared" si="32"/>
        <v>N</v>
      </c>
      <c r="Q2070" t="s">
        <v>7800</v>
      </c>
    </row>
    <row r="2071" spans="1:17" x14ac:dyDescent="0.25">
      <c r="A2071" t="s">
        <v>4271</v>
      </c>
      <c r="B2071" t="s">
        <v>916</v>
      </c>
      <c r="C2071">
        <v>2027</v>
      </c>
      <c r="D2071" t="s">
        <v>544</v>
      </c>
      <c r="E2071" t="s">
        <v>835</v>
      </c>
      <c r="F2071" s="32">
        <v>46423</v>
      </c>
      <c r="G2071" t="s">
        <v>514</v>
      </c>
      <c r="H2071">
        <v>47128108</v>
      </c>
      <c r="I2071" t="s">
        <v>1011</v>
      </c>
      <c r="J2071" t="s">
        <v>1010</v>
      </c>
      <c r="K2071" t="s">
        <v>530</v>
      </c>
      <c r="N2071">
        <v>0</v>
      </c>
      <c r="O2071">
        <v>0</v>
      </c>
      <c r="P2071" t="str">
        <f t="shared" si="32"/>
        <v>N</v>
      </c>
      <c r="Q2071" t="s">
        <v>7801</v>
      </c>
    </row>
    <row r="2072" spans="1:17" x14ac:dyDescent="0.25">
      <c r="A2072" t="s">
        <v>4272</v>
      </c>
      <c r="B2072" t="s">
        <v>916</v>
      </c>
      <c r="C2072">
        <v>2027</v>
      </c>
      <c r="D2072" t="s">
        <v>544</v>
      </c>
      <c r="E2072" t="s">
        <v>835</v>
      </c>
      <c r="F2072" s="32">
        <v>46423</v>
      </c>
      <c r="G2072" t="s">
        <v>514</v>
      </c>
      <c r="H2072">
        <v>47129069</v>
      </c>
      <c r="I2072" t="s">
        <v>1325</v>
      </c>
      <c r="J2072" t="s">
        <v>1324</v>
      </c>
      <c r="K2072" t="s">
        <v>530</v>
      </c>
      <c r="N2072">
        <v>0</v>
      </c>
      <c r="O2072">
        <v>0</v>
      </c>
      <c r="P2072" t="str">
        <f t="shared" si="32"/>
        <v>N</v>
      </c>
      <c r="Q2072" t="s">
        <v>7802</v>
      </c>
    </row>
    <row r="2073" spans="1:17" x14ac:dyDescent="0.25">
      <c r="A2073" t="s">
        <v>4435</v>
      </c>
      <c r="B2073" t="s">
        <v>4428</v>
      </c>
      <c r="C2073">
        <v>2027</v>
      </c>
      <c r="D2073" t="s">
        <v>544</v>
      </c>
      <c r="E2073" t="s">
        <v>835</v>
      </c>
      <c r="F2073" s="32">
        <v>46423</v>
      </c>
      <c r="G2073" t="s">
        <v>514</v>
      </c>
      <c r="H2073">
        <v>47128132</v>
      </c>
      <c r="I2073" t="s">
        <v>4429</v>
      </c>
      <c r="J2073" t="s">
        <v>4430</v>
      </c>
      <c r="K2073" t="s">
        <v>530</v>
      </c>
      <c r="N2073">
        <v>0</v>
      </c>
      <c r="O2073">
        <v>0</v>
      </c>
      <c r="P2073" t="str">
        <f t="shared" si="32"/>
        <v>N</v>
      </c>
      <c r="Q2073" t="s">
        <v>7803</v>
      </c>
    </row>
    <row r="2074" spans="1:17" x14ac:dyDescent="0.25">
      <c r="A2074" t="s">
        <v>4482</v>
      </c>
      <c r="B2074" t="s">
        <v>4445</v>
      </c>
      <c r="C2074">
        <v>2027</v>
      </c>
      <c r="D2074" t="s">
        <v>544</v>
      </c>
      <c r="E2074" t="s">
        <v>835</v>
      </c>
      <c r="F2074" s="32">
        <v>46423</v>
      </c>
      <c r="G2074" t="s">
        <v>514</v>
      </c>
      <c r="H2074">
        <v>47129711</v>
      </c>
      <c r="I2074" t="s">
        <v>4446</v>
      </c>
      <c r="J2074" t="s">
        <v>4447</v>
      </c>
      <c r="K2074" t="s">
        <v>530</v>
      </c>
      <c r="N2074">
        <v>20</v>
      </c>
      <c r="O2074">
        <v>20</v>
      </c>
      <c r="P2074" t="str">
        <f t="shared" si="32"/>
        <v>N</v>
      </c>
      <c r="Q2074" t="s">
        <v>7804</v>
      </c>
    </row>
    <row r="2075" spans="1:17" x14ac:dyDescent="0.25">
      <c r="A2075" t="s">
        <v>4483</v>
      </c>
      <c r="B2075" t="s">
        <v>4445</v>
      </c>
      <c r="C2075">
        <v>2027</v>
      </c>
      <c r="D2075" t="s">
        <v>544</v>
      </c>
      <c r="E2075" t="s">
        <v>835</v>
      </c>
      <c r="F2075" s="32">
        <v>46423</v>
      </c>
      <c r="G2075" t="s">
        <v>514</v>
      </c>
      <c r="H2075">
        <v>47129228</v>
      </c>
      <c r="I2075" t="s">
        <v>4449</v>
      </c>
      <c r="J2075" t="s">
        <v>4450</v>
      </c>
      <c r="K2075" t="s">
        <v>530</v>
      </c>
      <c r="N2075">
        <v>32</v>
      </c>
      <c r="O2075">
        <v>32</v>
      </c>
      <c r="P2075" t="str">
        <f t="shared" si="32"/>
        <v>N</v>
      </c>
      <c r="Q2075" t="s">
        <v>7805</v>
      </c>
    </row>
    <row r="2076" spans="1:17" x14ac:dyDescent="0.25">
      <c r="A2076" t="s">
        <v>4629</v>
      </c>
      <c r="B2076" t="s">
        <v>1044</v>
      </c>
      <c r="C2076">
        <v>2027</v>
      </c>
      <c r="D2076" t="s">
        <v>544</v>
      </c>
      <c r="E2076" t="s">
        <v>835</v>
      </c>
      <c r="F2076" s="32">
        <v>46423</v>
      </c>
      <c r="G2076" t="s">
        <v>514</v>
      </c>
      <c r="H2076">
        <v>47128967</v>
      </c>
      <c r="I2076" t="s">
        <v>1062</v>
      </c>
      <c r="J2076" t="s">
        <v>1061</v>
      </c>
      <c r="K2076" t="s">
        <v>530</v>
      </c>
      <c r="N2076">
        <v>0</v>
      </c>
      <c r="O2076">
        <v>0</v>
      </c>
      <c r="P2076" t="str">
        <f t="shared" si="32"/>
        <v>N</v>
      </c>
      <c r="Q2076" t="s">
        <v>7806</v>
      </c>
    </row>
    <row r="2077" spans="1:17" x14ac:dyDescent="0.25">
      <c r="A2077" t="s">
        <v>4630</v>
      </c>
      <c r="B2077" t="s">
        <v>1044</v>
      </c>
      <c r="C2077">
        <v>2027</v>
      </c>
      <c r="D2077" t="s">
        <v>544</v>
      </c>
      <c r="E2077" t="s">
        <v>835</v>
      </c>
      <c r="F2077" s="32">
        <v>46423</v>
      </c>
      <c r="G2077" t="s">
        <v>514</v>
      </c>
      <c r="H2077">
        <v>47133720</v>
      </c>
      <c r="I2077" t="s">
        <v>1217</v>
      </c>
      <c r="J2077" t="s">
        <v>1216</v>
      </c>
      <c r="K2077" t="s">
        <v>530</v>
      </c>
      <c r="N2077">
        <v>40</v>
      </c>
      <c r="O2077">
        <v>40</v>
      </c>
      <c r="P2077" t="str">
        <f t="shared" si="32"/>
        <v>N</v>
      </c>
      <c r="Q2077" t="s">
        <v>7807</v>
      </c>
    </row>
    <row r="2078" spans="1:17" x14ac:dyDescent="0.25">
      <c r="A2078" t="s">
        <v>4631</v>
      </c>
      <c r="B2078" t="s">
        <v>1044</v>
      </c>
      <c r="C2078">
        <v>2027</v>
      </c>
      <c r="D2078" t="s">
        <v>544</v>
      </c>
      <c r="E2078" t="s">
        <v>835</v>
      </c>
      <c r="F2078" s="32">
        <v>46423</v>
      </c>
      <c r="G2078" t="s">
        <v>514</v>
      </c>
      <c r="H2078">
        <v>47127948</v>
      </c>
      <c r="I2078" t="s">
        <v>1247</v>
      </c>
      <c r="J2078" t="s">
        <v>1246</v>
      </c>
      <c r="K2078" t="s">
        <v>530</v>
      </c>
      <c r="N2078">
        <v>44</v>
      </c>
      <c r="O2078">
        <v>44</v>
      </c>
      <c r="P2078" t="str">
        <f t="shared" si="32"/>
        <v>N</v>
      </c>
      <c r="Q2078" t="s">
        <v>7808</v>
      </c>
    </row>
    <row r="2079" spans="1:17" x14ac:dyDescent="0.25">
      <c r="A2079" t="s">
        <v>4632</v>
      </c>
      <c r="B2079" t="s">
        <v>1044</v>
      </c>
      <c r="C2079">
        <v>2027</v>
      </c>
      <c r="D2079" t="s">
        <v>544</v>
      </c>
      <c r="E2079" t="s">
        <v>835</v>
      </c>
      <c r="F2079" s="32">
        <v>46423</v>
      </c>
      <c r="G2079" t="s">
        <v>514</v>
      </c>
      <c r="H2079">
        <v>47128710</v>
      </c>
      <c r="I2079" t="s">
        <v>1189</v>
      </c>
      <c r="J2079" t="s">
        <v>1188</v>
      </c>
      <c r="K2079" t="s">
        <v>530</v>
      </c>
      <c r="N2079">
        <v>0</v>
      </c>
      <c r="O2079">
        <v>0</v>
      </c>
      <c r="P2079" t="str">
        <f t="shared" si="32"/>
        <v>N</v>
      </c>
      <c r="Q2079" t="s">
        <v>7809</v>
      </c>
    </row>
    <row r="2080" spans="1:17" x14ac:dyDescent="0.25">
      <c r="A2080" t="s">
        <v>4633</v>
      </c>
      <c r="B2080" t="s">
        <v>1044</v>
      </c>
      <c r="C2080">
        <v>2027</v>
      </c>
      <c r="D2080" t="s">
        <v>544</v>
      </c>
      <c r="E2080" t="s">
        <v>835</v>
      </c>
      <c r="F2080" s="32">
        <v>46423</v>
      </c>
      <c r="G2080" t="s">
        <v>514</v>
      </c>
      <c r="H2080">
        <v>47128572</v>
      </c>
      <c r="I2080" t="s">
        <v>1197</v>
      </c>
      <c r="J2080" t="s">
        <v>1196</v>
      </c>
      <c r="K2080" t="s">
        <v>530</v>
      </c>
      <c r="N2080">
        <v>0</v>
      </c>
      <c r="O2080">
        <v>0</v>
      </c>
      <c r="P2080" t="str">
        <f t="shared" si="32"/>
        <v>N</v>
      </c>
      <c r="Q2080" t="s">
        <v>7810</v>
      </c>
    </row>
    <row r="2081" spans="1:17" x14ac:dyDescent="0.25">
      <c r="A2081" t="s">
        <v>4634</v>
      </c>
      <c r="B2081" t="s">
        <v>1044</v>
      </c>
      <c r="C2081">
        <v>2027</v>
      </c>
      <c r="D2081" t="s">
        <v>544</v>
      </c>
      <c r="E2081" t="s">
        <v>835</v>
      </c>
      <c r="F2081" s="32">
        <v>46423</v>
      </c>
      <c r="G2081" t="s">
        <v>514</v>
      </c>
      <c r="H2081">
        <v>47128482</v>
      </c>
      <c r="I2081" t="s">
        <v>1393</v>
      </c>
      <c r="J2081" t="s">
        <v>1392</v>
      </c>
      <c r="K2081" t="s">
        <v>530</v>
      </c>
      <c r="N2081">
        <v>0</v>
      </c>
      <c r="O2081">
        <v>0</v>
      </c>
      <c r="P2081" t="str">
        <f t="shared" si="32"/>
        <v>N</v>
      </c>
      <c r="Q2081" t="s">
        <v>7811</v>
      </c>
    </row>
    <row r="2082" spans="1:17" x14ac:dyDescent="0.25">
      <c r="A2082" t="s">
        <v>4635</v>
      </c>
      <c r="B2082" t="s">
        <v>1044</v>
      </c>
      <c r="C2082">
        <v>2027</v>
      </c>
      <c r="D2082" t="s">
        <v>544</v>
      </c>
      <c r="E2082" t="s">
        <v>835</v>
      </c>
      <c r="F2082" s="32">
        <v>46423</v>
      </c>
      <c r="G2082" t="s">
        <v>514</v>
      </c>
      <c r="H2082">
        <v>47128337</v>
      </c>
      <c r="I2082" t="s">
        <v>1120</v>
      </c>
      <c r="J2082" t="s">
        <v>1119</v>
      </c>
      <c r="K2082" t="s">
        <v>530</v>
      </c>
      <c r="N2082">
        <v>10</v>
      </c>
      <c r="O2082">
        <v>10</v>
      </c>
      <c r="P2082" t="str">
        <f t="shared" si="32"/>
        <v>N</v>
      </c>
      <c r="Q2082" t="s">
        <v>7812</v>
      </c>
    </row>
    <row r="2083" spans="1:17" x14ac:dyDescent="0.25">
      <c r="A2083" t="s">
        <v>4636</v>
      </c>
      <c r="B2083" t="s">
        <v>1044</v>
      </c>
      <c r="C2083">
        <v>2027</v>
      </c>
      <c r="D2083" t="s">
        <v>544</v>
      </c>
      <c r="E2083" t="s">
        <v>835</v>
      </c>
      <c r="F2083" s="32">
        <v>46423</v>
      </c>
      <c r="G2083" t="s">
        <v>514</v>
      </c>
      <c r="H2083">
        <v>47128833</v>
      </c>
      <c r="I2083" t="s">
        <v>1193</v>
      </c>
      <c r="J2083" t="s">
        <v>1192</v>
      </c>
      <c r="K2083" t="s">
        <v>530</v>
      </c>
      <c r="N2083">
        <v>0</v>
      </c>
      <c r="O2083">
        <v>0</v>
      </c>
      <c r="P2083" t="str">
        <f t="shared" si="32"/>
        <v>N</v>
      </c>
      <c r="Q2083" t="s">
        <v>7813</v>
      </c>
    </row>
    <row r="2084" spans="1:17" x14ac:dyDescent="0.25">
      <c r="A2084" t="s">
        <v>4637</v>
      </c>
      <c r="B2084" t="s">
        <v>1044</v>
      </c>
      <c r="C2084">
        <v>2027</v>
      </c>
      <c r="D2084" t="s">
        <v>544</v>
      </c>
      <c r="E2084" t="s">
        <v>835</v>
      </c>
      <c r="F2084" s="32">
        <v>46423</v>
      </c>
      <c r="G2084" t="s">
        <v>514</v>
      </c>
      <c r="H2084">
        <v>47128784</v>
      </c>
      <c r="I2084" t="s">
        <v>1426</v>
      </c>
      <c r="J2084" t="s">
        <v>1425</v>
      </c>
      <c r="K2084" t="s">
        <v>530</v>
      </c>
      <c r="N2084">
        <v>0</v>
      </c>
      <c r="O2084">
        <v>0</v>
      </c>
      <c r="P2084" t="str">
        <f t="shared" si="32"/>
        <v>N</v>
      </c>
      <c r="Q2084" t="s">
        <v>7814</v>
      </c>
    </row>
    <row r="2085" spans="1:17" x14ac:dyDescent="0.25">
      <c r="A2085" t="s">
        <v>4638</v>
      </c>
      <c r="B2085" t="s">
        <v>1044</v>
      </c>
      <c r="C2085">
        <v>2027</v>
      </c>
      <c r="D2085" t="s">
        <v>544</v>
      </c>
      <c r="E2085" t="s">
        <v>835</v>
      </c>
      <c r="F2085" s="32">
        <v>46423</v>
      </c>
      <c r="G2085" t="s">
        <v>514</v>
      </c>
      <c r="H2085">
        <v>47129020</v>
      </c>
      <c r="I2085" t="s">
        <v>1058</v>
      </c>
      <c r="J2085" t="s">
        <v>1057</v>
      </c>
      <c r="K2085" t="s">
        <v>530</v>
      </c>
      <c r="N2085">
        <v>0</v>
      </c>
      <c r="O2085">
        <v>0</v>
      </c>
      <c r="P2085" t="str">
        <f t="shared" si="32"/>
        <v>N</v>
      </c>
      <c r="Q2085" t="s">
        <v>7815</v>
      </c>
    </row>
    <row r="2086" spans="1:17" x14ac:dyDescent="0.25">
      <c r="A2086" t="s">
        <v>4639</v>
      </c>
      <c r="B2086" t="s">
        <v>1044</v>
      </c>
      <c r="C2086">
        <v>2027</v>
      </c>
      <c r="D2086" t="s">
        <v>544</v>
      </c>
      <c r="E2086" t="s">
        <v>835</v>
      </c>
      <c r="F2086" s="32">
        <v>46423</v>
      </c>
      <c r="G2086" t="s">
        <v>514</v>
      </c>
      <c r="H2086">
        <v>47129473</v>
      </c>
      <c r="I2086" t="s">
        <v>1430</v>
      </c>
      <c r="J2086" t="s">
        <v>1429</v>
      </c>
      <c r="K2086" t="s">
        <v>530</v>
      </c>
      <c r="N2086">
        <v>0</v>
      </c>
      <c r="O2086">
        <v>0</v>
      </c>
      <c r="P2086" t="str">
        <f t="shared" si="32"/>
        <v>N</v>
      </c>
      <c r="Q2086" t="s">
        <v>7816</v>
      </c>
    </row>
    <row r="2087" spans="1:17" x14ac:dyDescent="0.25">
      <c r="A2087" t="s">
        <v>4640</v>
      </c>
      <c r="B2087" t="s">
        <v>1044</v>
      </c>
      <c r="C2087">
        <v>2027</v>
      </c>
      <c r="D2087" t="s">
        <v>544</v>
      </c>
      <c r="E2087" t="s">
        <v>835</v>
      </c>
      <c r="F2087" s="32">
        <v>46423</v>
      </c>
      <c r="G2087" t="s">
        <v>514</v>
      </c>
      <c r="H2087">
        <v>47128429</v>
      </c>
      <c r="I2087" t="s">
        <v>1371</v>
      </c>
      <c r="J2087" t="s">
        <v>1370</v>
      </c>
      <c r="K2087" t="s">
        <v>530</v>
      </c>
      <c r="N2087">
        <v>0</v>
      </c>
      <c r="O2087">
        <v>0</v>
      </c>
      <c r="P2087" t="str">
        <f t="shared" si="32"/>
        <v>N</v>
      </c>
      <c r="Q2087" t="s">
        <v>7817</v>
      </c>
    </row>
    <row r="2088" spans="1:17" x14ac:dyDescent="0.25">
      <c r="A2088" t="s">
        <v>4641</v>
      </c>
      <c r="B2088" t="s">
        <v>1044</v>
      </c>
      <c r="C2088">
        <v>2027</v>
      </c>
      <c r="D2088" t="s">
        <v>544</v>
      </c>
      <c r="E2088" t="s">
        <v>835</v>
      </c>
      <c r="F2088" s="32">
        <v>46423</v>
      </c>
      <c r="G2088" t="s">
        <v>514</v>
      </c>
      <c r="H2088">
        <v>47128181</v>
      </c>
      <c r="I2088" t="s">
        <v>1301</v>
      </c>
      <c r="J2088" t="s">
        <v>1300</v>
      </c>
      <c r="K2088" t="s">
        <v>530</v>
      </c>
      <c r="N2088">
        <v>0</v>
      </c>
      <c r="O2088">
        <v>0</v>
      </c>
      <c r="P2088" t="str">
        <f t="shared" si="32"/>
        <v>N</v>
      </c>
      <c r="Q2088" t="s">
        <v>7818</v>
      </c>
    </row>
    <row r="2089" spans="1:17" x14ac:dyDescent="0.25">
      <c r="A2089" t="s">
        <v>4971</v>
      </c>
      <c r="B2089" t="s">
        <v>1090</v>
      </c>
      <c r="C2089">
        <v>2027</v>
      </c>
      <c r="D2089" t="s">
        <v>544</v>
      </c>
      <c r="E2089" t="s">
        <v>835</v>
      </c>
      <c r="F2089" s="32">
        <v>46423</v>
      </c>
      <c r="G2089" t="s">
        <v>514</v>
      </c>
      <c r="H2089">
        <v>47128477</v>
      </c>
      <c r="I2089" t="s">
        <v>1029</v>
      </c>
      <c r="J2089" t="s">
        <v>1028</v>
      </c>
      <c r="K2089" t="s">
        <v>530</v>
      </c>
      <c r="N2089">
        <v>0</v>
      </c>
      <c r="O2089">
        <v>0</v>
      </c>
      <c r="P2089" t="str">
        <f t="shared" si="32"/>
        <v>N</v>
      </c>
      <c r="Q2089" t="s">
        <v>7819</v>
      </c>
    </row>
    <row r="2090" spans="1:17" x14ac:dyDescent="0.25">
      <c r="A2090" t="s">
        <v>4972</v>
      </c>
      <c r="B2090" t="s">
        <v>1090</v>
      </c>
      <c r="C2090">
        <v>2027</v>
      </c>
      <c r="D2090" t="s">
        <v>544</v>
      </c>
      <c r="E2090" t="s">
        <v>835</v>
      </c>
      <c r="F2090" s="32">
        <v>46423</v>
      </c>
      <c r="G2090" t="s">
        <v>514</v>
      </c>
      <c r="H2090">
        <v>47128353</v>
      </c>
      <c r="I2090" t="s">
        <v>982</v>
      </c>
      <c r="J2090" t="s">
        <v>981</v>
      </c>
      <c r="K2090" t="s">
        <v>530</v>
      </c>
      <c r="N2090">
        <v>0</v>
      </c>
      <c r="O2090">
        <v>0</v>
      </c>
      <c r="P2090" t="str">
        <f t="shared" si="32"/>
        <v>N</v>
      </c>
      <c r="Q2090" t="s">
        <v>7820</v>
      </c>
    </row>
    <row r="2091" spans="1:17" x14ac:dyDescent="0.25">
      <c r="A2091" t="s">
        <v>4973</v>
      </c>
      <c r="B2091" t="s">
        <v>1090</v>
      </c>
      <c r="C2091">
        <v>2027</v>
      </c>
      <c r="D2091" t="s">
        <v>544</v>
      </c>
      <c r="E2091" t="s">
        <v>835</v>
      </c>
      <c r="F2091" s="32">
        <v>46423</v>
      </c>
      <c r="G2091" t="s">
        <v>514</v>
      </c>
      <c r="H2091">
        <v>47128350</v>
      </c>
      <c r="I2091" t="s">
        <v>1032</v>
      </c>
      <c r="J2091" t="s">
        <v>1031</v>
      </c>
      <c r="K2091" t="s">
        <v>530</v>
      </c>
      <c r="N2091">
        <v>0</v>
      </c>
      <c r="O2091">
        <v>0</v>
      </c>
      <c r="P2091" t="str">
        <f t="shared" si="32"/>
        <v>N</v>
      </c>
      <c r="Q2091" t="s">
        <v>7821</v>
      </c>
    </row>
    <row r="2092" spans="1:17" x14ac:dyDescent="0.25">
      <c r="A2092" t="s">
        <v>4974</v>
      </c>
      <c r="B2092" t="s">
        <v>1090</v>
      </c>
      <c r="C2092">
        <v>2027</v>
      </c>
      <c r="D2092" t="s">
        <v>544</v>
      </c>
      <c r="E2092" t="s">
        <v>835</v>
      </c>
      <c r="F2092" s="32">
        <v>46423</v>
      </c>
      <c r="G2092" t="s">
        <v>514</v>
      </c>
      <c r="H2092">
        <v>47128349</v>
      </c>
      <c r="I2092" t="s">
        <v>975</v>
      </c>
      <c r="J2092" t="s">
        <v>974</v>
      </c>
      <c r="K2092" t="s">
        <v>530</v>
      </c>
      <c r="N2092">
        <v>0</v>
      </c>
      <c r="O2092">
        <v>0</v>
      </c>
      <c r="P2092" t="str">
        <f t="shared" si="32"/>
        <v>N</v>
      </c>
      <c r="Q2092" t="s">
        <v>7822</v>
      </c>
    </row>
    <row r="2093" spans="1:17" x14ac:dyDescent="0.25">
      <c r="A2093" t="s">
        <v>4975</v>
      </c>
      <c r="B2093" t="s">
        <v>1090</v>
      </c>
      <c r="C2093">
        <v>2027</v>
      </c>
      <c r="D2093" t="s">
        <v>544</v>
      </c>
      <c r="E2093" t="s">
        <v>835</v>
      </c>
      <c r="F2093" s="32">
        <v>46423</v>
      </c>
      <c r="G2093" t="s">
        <v>514</v>
      </c>
      <c r="H2093">
        <v>47128317</v>
      </c>
      <c r="I2093" t="s">
        <v>985</v>
      </c>
      <c r="J2093" t="s">
        <v>984</v>
      </c>
      <c r="K2093" t="s">
        <v>530</v>
      </c>
      <c r="N2093">
        <v>0</v>
      </c>
      <c r="O2093">
        <v>0</v>
      </c>
      <c r="P2093" t="str">
        <f t="shared" si="32"/>
        <v>N</v>
      </c>
      <c r="Q2093" t="s">
        <v>7823</v>
      </c>
    </row>
    <row r="2094" spans="1:17" x14ac:dyDescent="0.25">
      <c r="A2094" t="s">
        <v>4976</v>
      </c>
      <c r="B2094" t="s">
        <v>1090</v>
      </c>
      <c r="C2094">
        <v>2027</v>
      </c>
      <c r="D2094" t="s">
        <v>544</v>
      </c>
      <c r="E2094" t="s">
        <v>835</v>
      </c>
      <c r="F2094" s="32">
        <v>46423</v>
      </c>
      <c r="G2094" t="s">
        <v>514</v>
      </c>
      <c r="H2094">
        <v>47128137</v>
      </c>
      <c r="I2094" t="s">
        <v>1008</v>
      </c>
      <c r="J2094" t="s">
        <v>1007</v>
      </c>
      <c r="K2094" t="s">
        <v>530</v>
      </c>
      <c r="N2094">
        <v>100</v>
      </c>
      <c r="O2094">
        <v>100</v>
      </c>
      <c r="P2094" t="str">
        <f t="shared" si="32"/>
        <v>N</v>
      </c>
      <c r="Q2094" t="s">
        <v>7824</v>
      </c>
    </row>
    <row r="2095" spans="1:17" x14ac:dyDescent="0.25">
      <c r="A2095" t="s">
        <v>4977</v>
      </c>
      <c r="B2095" t="s">
        <v>1090</v>
      </c>
      <c r="C2095">
        <v>2027</v>
      </c>
      <c r="D2095" t="s">
        <v>544</v>
      </c>
      <c r="E2095" t="s">
        <v>835</v>
      </c>
      <c r="F2095" s="32">
        <v>46423</v>
      </c>
      <c r="G2095" t="s">
        <v>514</v>
      </c>
      <c r="H2095">
        <v>47128085</v>
      </c>
      <c r="I2095" t="s">
        <v>942</v>
      </c>
      <c r="J2095" t="s">
        <v>941</v>
      </c>
      <c r="K2095" t="s">
        <v>530</v>
      </c>
      <c r="N2095">
        <v>0</v>
      </c>
      <c r="O2095">
        <v>0</v>
      </c>
      <c r="P2095" t="str">
        <f t="shared" si="32"/>
        <v>N</v>
      </c>
      <c r="Q2095" t="s">
        <v>7825</v>
      </c>
    </row>
    <row r="2096" spans="1:17" x14ac:dyDescent="0.25">
      <c r="A2096" t="s">
        <v>4978</v>
      </c>
      <c r="B2096" t="s">
        <v>1090</v>
      </c>
      <c r="C2096">
        <v>2027</v>
      </c>
      <c r="D2096" t="s">
        <v>544</v>
      </c>
      <c r="E2096" t="s">
        <v>835</v>
      </c>
      <c r="F2096" s="32">
        <v>46423</v>
      </c>
      <c r="G2096" t="s">
        <v>514</v>
      </c>
      <c r="H2096">
        <v>47128139</v>
      </c>
      <c r="I2096" t="s">
        <v>988</v>
      </c>
      <c r="J2096" t="s">
        <v>987</v>
      </c>
      <c r="K2096" t="s">
        <v>530</v>
      </c>
      <c r="N2096">
        <v>0</v>
      </c>
      <c r="O2096">
        <v>0</v>
      </c>
      <c r="P2096" t="str">
        <f t="shared" si="32"/>
        <v>N</v>
      </c>
      <c r="Q2096" t="s">
        <v>7826</v>
      </c>
    </row>
    <row r="2097" spans="1:17" x14ac:dyDescent="0.25">
      <c r="A2097" t="s">
        <v>4979</v>
      </c>
      <c r="B2097" t="s">
        <v>1090</v>
      </c>
      <c r="C2097">
        <v>2027</v>
      </c>
      <c r="D2097" t="s">
        <v>544</v>
      </c>
      <c r="E2097" t="s">
        <v>835</v>
      </c>
      <c r="F2097" s="32">
        <v>46423</v>
      </c>
      <c r="G2097" t="s">
        <v>514</v>
      </c>
      <c r="H2097">
        <v>47128939</v>
      </c>
      <c r="I2097" t="s">
        <v>1224</v>
      </c>
      <c r="J2097" t="s">
        <v>1223</v>
      </c>
      <c r="K2097" t="s">
        <v>530</v>
      </c>
      <c r="N2097">
        <v>0</v>
      </c>
      <c r="O2097">
        <v>0</v>
      </c>
      <c r="P2097" t="str">
        <f t="shared" si="32"/>
        <v>N</v>
      </c>
      <c r="Q2097" t="s">
        <v>7827</v>
      </c>
    </row>
    <row r="2098" spans="1:17" x14ac:dyDescent="0.25">
      <c r="A2098" t="s">
        <v>4980</v>
      </c>
      <c r="B2098" t="s">
        <v>1090</v>
      </c>
      <c r="C2098">
        <v>2027</v>
      </c>
      <c r="D2098" t="s">
        <v>544</v>
      </c>
      <c r="E2098" t="s">
        <v>835</v>
      </c>
      <c r="F2098" s="32">
        <v>46423</v>
      </c>
      <c r="G2098" t="s">
        <v>514</v>
      </c>
      <c r="H2098">
        <v>47128449</v>
      </c>
      <c r="I2098" t="s">
        <v>1364</v>
      </c>
      <c r="J2098" t="s">
        <v>1363</v>
      </c>
      <c r="K2098" t="s">
        <v>530</v>
      </c>
      <c r="N2098">
        <v>0</v>
      </c>
      <c r="O2098">
        <v>0</v>
      </c>
      <c r="P2098" t="str">
        <f t="shared" si="32"/>
        <v>N</v>
      </c>
      <c r="Q2098" t="s">
        <v>7828</v>
      </c>
    </row>
    <row r="2099" spans="1:17" x14ac:dyDescent="0.25">
      <c r="A2099" t="s">
        <v>4981</v>
      </c>
      <c r="B2099" t="s">
        <v>1090</v>
      </c>
      <c r="C2099">
        <v>2027</v>
      </c>
      <c r="D2099" t="s">
        <v>544</v>
      </c>
      <c r="E2099" t="s">
        <v>835</v>
      </c>
      <c r="F2099" s="32">
        <v>46423</v>
      </c>
      <c r="G2099" t="s">
        <v>514</v>
      </c>
      <c r="H2099">
        <v>47128902</v>
      </c>
      <c r="I2099" t="s">
        <v>1243</v>
      </c>
      <c r="J2099" t="s">
        <v>1242</v>
      </c>
      <c r="K2099" t="s">
        <v>530</v>
      </c>
      <c r="N2099">
        <v>0</v>
      </c>
      <c r="O2099">
        <v>0</v>
      </c>
      <c r="P2099" t="str">
        <f t="shared" si="32"/>
        <v>N</v>
      </c>
      <c r="Q2099" t="s">
        <v>7829</v>
      </c>
    </row>
    <row r="2100" spans="1:17" x14ac:dyDescent="0.25">
      <c r="A2100" t="s">
        <v>4982</v>
      </c>
      <c r="B2100" t="s">
        <v>1090</v>
      </c>
      <c r="C2100">
        <v>2027</v>
      </c>
      <c r="D2100" t="s">
        <v>544</v>
      </c>
      <c r="E2100" t="s">
        <v>835</v>
      </c>
      <c r="F2100" s="32">
        <v>46423</v>
      </c>
      <c r="G2100" t="s">
        <v>514</v>
      </c>
      <c r="H2100">
        <v>47128417</v>
      </c>
      <c r="I2100" t="s">
        <v>1069</v>
      </c>
      <c r="J2100" t="s">
        <v>1068</v>
      </c>
      <c r="K2100" t="s">
        <v>530</v>
      </c>
      <c r="N2100">
        <v>0</v>
      </c>
      <c r="O2100">
        <v>0</v>
      </c>
      <c r="P2100" t="str">
        <f t="shared" si="32"/>
        <v>N</v>
      </c>
      <c r="Q2100" t="s">
        <v>7830</v>
      </c>
    </row>
    <row r="2101" spans="1:17" x14ac:dyDescent="0.25">
      <c r="A2101" t="s">
        <v>4983</v>
      </c>
      <c r="B2101" t="s">
        <v>1090</v>
      </c>
      <c r="C2101">
        <v>2027</v>
      </c>
      <c r="D2101" t="s">
        <v>544</v>
      </c>
      <c r="E2101" t="s">
        <v>835</v>
      </c>
      <c r="F2101" s="32">
        <v>46423</v>
      </c>
      <c r="G2101" t="s">
        <v>514</v>
      </c>
      <c r="H2101">
        <v>47129017</v>
      </c>
      <c r="I2101" t="s">
        <v>1073</v>
      </c>
      <c r="J2101" t="s">
        <v>1072</v>
      </c>
      <c r="K2101" t="s">
        <v>530</v>
      </c>
      <c r="N2101">
        <v>0</v>
      </c>
      <c r="O2101">
        <v>0</v>
      </c>
      <c r="P2101" t="str">
        <f t="shared" si="32"/>
        <v>N</v>
      </c>
      <c r="Q2101" t="s">
        <v>7831</v>
      </c>
    </row>
    <row r="2102" spans="1:17" x14ac:dyDescent="0.25">
      <c r="A2102" t="s">
        <v>4984</v>
      </c>
      <c r="B2102" t="s">
        <v>1090</v>
      </c>
      <c r="C2102">
        <v>2027</v>
      </c>
      <c r="D2102" t="s">
        <v>544</v>
      </c>
      <c r="E2102" t="s">
        <v>835</v>
      </c>
      <c r="F2102" s="32">
        <v>46423</v>
      </c>
      <c r="G2102" t="s">
        <v>514</v>
      </c>
      <c r="H2102">
        <v>47128936</v>
      </c>
      <c r="I2102" t="s">
        <v>1173</v>
      </c>
      <c r="J2102" t="s">
        <v>1172</v>
      </c>
      <c r="K2102" t="s">
        <v>530</v>
      </c>
      <c r="N2102">
        <v>0</v>
      </c>
      <c r="O2102">
        <v>0</v>
      </c>
      <c r="P2102" t="str">
        <f t="shared" si="32"/>
        <v>N</v>
      </c>
      <c r="Q2102" t="s">
        <v>7832</v>
      </c>
    </row>
    <row r="2103" spans="1:17" x14ac:dyDescent="0.25">
      <c r="A2103" t="s">
        <v>4985</v>
      </c>
      <c r="B2103" t="s">
        <v>1090</v>
      </c>
      <c r="C2103">
        <v>2027</v>
      </c>
      <c r="D2103" t="s">
        <v>544</v>
      </c>
      <c r="E2103" t="s">
        <v>835</v>
      </c>
      <c r="F2103" s="32">
        <v>46423</v>
      </c>
      <c r="G2103" t="s">
        <v>514</v>
      </c>
      <c r="H2103">
        <v>47129715</v>
      </c>
      <c r="I2103" t="s">
        <v>1272</v>
      </c>
      <c r="J2103" t="s">
        <v>1271</v>
      </c>
      <c r="K2103" t="s">
        <v>530</v>
      </c>
      <c r="N2103">
        <v>0</v>
      </c>
      <c r="O2103">
        <v>0</v>
      </c>
      <c r="P2103" t="str">
        <f t="shared" si="32"/>
        <v>N</v>
      </c>
      <c r="Q2103" t="s">
        <v>7833</v>
      </c>
    </row>
    <row r="2104" spans="1:17" x14ac:dyDescent="0.25">
      <c r="A2104" t="s">
        <v>4986</v>
      </c>
      <c r="B2104" t="s">
        <v>1090</v>
      </c>
      <c r="C2104">
        <v>2027</v>
      </c>
      <c r="D2104" t="s">
        <v>544</v>
      </c>
      <c r="E2104" t="s">
        <v>835</v>
      </c>
      <c r="F2104" s="32">
        <v>46423</v>
      </c>
      <c r="G2104" t="s">
        <v>514</v>
      </c>
      <c r="H2104">
        <v>47129702</v>
      </c>
      <c r="I2104" t="s">
        <v>1309</v>
      </c>
      <c r="J2104" t="s">
        <v>1308</v>
      </c>
      <c r="K2104" t="s">
        <v>530</v>
      </c>
      <c r="N2104">
        <v>0</v>
      </c>
      <c r="O2104">
        <v>0</v>
      </c>
      <c r="P2104" t="str">
        <f t="shared" si="32"/>
        <v>N</v>
      </c>
      <c r="Q2104" t="s">
        <v>7834</v>
      </c>
    </row>
    <row r="2105" spans="1:17" x14ac:dyDescent="0.25">
      <c r="A2105" t="s">
        <v>4987</v>
      </c>
      <c r="B2105" t="s">
        <v>1090</v>
      </c>
      <c r="C2105">
        <v>2027</v>
      </c>
      <c r="D2105" t="s">
        <v>544</v>
      </c>
      <c r="E2105" t="s">
        <v>835</v>
      </c>
      <c r="F2105" s="32">
        <v>46423</v>
      </c>
      <c r="G2105" t="s">
        <v>514</v>
      </c>
      <c r="H2105">
        <v>47128777</v>
      </c>
      <c r="I2105" t="s">
        <v>1329</v>
      </c>
      <c r="J2105" t="s">
        <v>1328</v>
      </c>
      <c r="K2105" t="s">
        <v>530</v>
      </c>
      <c r="N2105">
        <v>40</v>
      </c>
      <c r="O2105">
        <v>40</v>
      </c>
      <c r="P2105" t="str">
        <f t="shared" si="32"/>
        <v>N</v>
      </c>
      <c r="Q2105" t="s">
        <v>7835</v>
      </c>
    </row>
    <row r="2106" spans="1:17" x14ac:dyDescent="0.25">
      <c r="A2106" t="s">
        <v>4988</v>
      </c>
      <c r="B2106" t="s">
        <v>1090</v>
      </c>
      <c r="C2106">
        <v>2027</v>
      </c>
      <c r="D2106" t="s">
        <v>544</v>
      </c>
      <c r="E2106" t="s">
        <v>835</v>
      </c>
      <c r="F2106" s="32">
        <v>46423</v>
      </c>
      <c r="G2106" t="s">
        <v>514</v>
      </c>
      <c r="H2106">
        <v>47148880</v>
      </c>
      <c r="I2106" t="s">
        <v>1305</v>
      </c>
      <c r="J2106" t="s">
        <v>1304</v>
      </c>
      <c r="K2106" t="s">
        <v>530</v>
      </c>
      <c r="N2106">
        <v>0</v>
      </c>
      <c r="O2106">
        <v>0</v>
      </c>
      <c r="P2106" t="str">
        <f t="shared" si="32"/>
        <v>N</v>
      </c>
      <c r="Q2106" t="s">
        <v>7836</v>
      </c>
    </row>
    <row r="2107" spans="1:17" x14ac:dyDescent="0.25">
      <c r="A2107" t="s">
        <v>4989</v>
      </c>
      <c r="B2107" t="s">
        <v>1090</v>
      </c>
      <c r="C2107">
        <v>2027</v>
      </c>
      <c r="D2107" t="s">
        <v>544</v>
      </c>
      <c r="E2107" t="s">
        <v>835</v>
      </c>
      <c r="F2107" s="32">
        <v>46423</v>
      </c>
      <c r="G2107" t="s">
        <v>514</v>
      </c>
      <c r="H2107">
        <v>47128467</v>
      </c>
      <c r="I2107" t="s">
        <v>1292</v>
      </c>
      <c r="J2107" t="s">
        <v>1291</v>
      </c>
      <c r="K2107" t="s">
        <v>530</v>
      </c>
      <c r="N2107">
        <v>40</v>
      </c>
      <c r="O2107">
        <v>40</v>
      </c>
      <c r="P2107" t="str">
        <f t="shared" si="32"/>
        <v>N</v>
      </c>
      <c r="Q2107" t="s">
        <v>7837</v>
      </c>
    </row>
    <row r="2108" spans="1:17" x14ac:dyDescent="0.25">
      <c r="A2108" t="s">
        <v>4990</v>
      </c>
      <c r="B2108" t="s">
        <v>1090</v>
      </c>
      <c r="C2108">
        <v>2027</v>
      </c>
      <c r="D2108" t="s">
        <v>544</v>
      </c>
      <c r="E2108" t="s">
        <v>835</v>
      </c>
      <c r="F2108" s="32">
        <v>46423</v>
      </c>
      <c r="G2108" t="s">
        <v>514</v>
      </c>
      <c r="H2108">
        <v>47128643</v>
      </c>
      <c r="I2108" t="s">
        <v>1367</v>
      </c>
      <c r="J2108" t="s">
        <v>1366</v>
      </c>
      <c r="K2108" t="s">
        <v>530</v>
      </c>
      <c r="N2108">
        <v>0</v>
      </c>
      <c r="O2108">
        <v>0</v>
      </c>
      <c r="P2108" t="str">
        <f t="shared" si="32"/>
        <v>N</v>
      </c>
      <c r="Q2108" t="s">
        <v>7838</v>
      </c>
    </row>
    <row r="2109" spans="1:17" x14ac:dyDescent="0.25">
      <c r="A2109" t="s">
        <v>4991</v>
      </c>
      <c r="B2109" t="s">
        <v>1090</v>
      </c>
      <c r="C2109">
        <v>2027</v>
      </c>
      <c r="D2109" t="s">
        <v>544</v>
      </c>
      <c r="E2109" t="s">
        <v>835</v>
      </c>
      <c r="F2109" s="32">
        <v>46423</v>
      </c>
      <c r="G2109" t="s">
        <v>514</v>
      </c>
      <c r="H2109">
        <v>47151576</v>
      </c>
      <c r="I2109" t="s">
        <v>1506</v>
      </c>
      <c r="J2109" t="s">
        <v>1505</v>
      </c>
      <c r="K2109" t="s">
        <v>530</v>
      </c>
      <c r="N2109">
        <v>0</v>
      </c>
      <c r="O2109">
        <v>0</v>
      </c>
      <c r="P2109" t="str">
        <f t="shared" si="32"/>
        <v>N</v>
      </c>
      <c r="Q2109" t="s">
        <v>7839</v>
      </c>
    </row>
    <row r="2110" spans="1:17" x14ac:dyDescent="0.25">
      <c r="A2110" t="s">
        <v>4992</v>
      </c>
      <c r="B2110" t="s">
        <v>1090</v>
      </c>
      <c r="C2110">
        <v>2027</v>
      </c>
      <c r="D2110" t="s">
        <v>544</v>
      </c>
      <c r="E2110" t="s">
        <v>835</v>
      </c>
      <c r="F2110" s="32">
        <v>46423</v>
      </c>
      <c r="G2110" t="s">
        <v>514</v>
      </c>
      <c r="H2110">
        <v>47129459</v>
      </c>
      <c r="I2110" t="s">
        <v>1321</v>
      </c>
      <c r="J2110" t="s">
        <v>1320</v>
      </c>
      <c r="K2110" t="s">
        <v>530</v>
      </c>
      <c r="N2110">
        <v>0</v>
      </c>
      <c r="O2110">
        <v>0</v>
      </c>
      <c r="P2110" t="str">
        <f t="shared" si="32"/>
        <v>N</v>
      </c>
      <c r="Q2110" t="s">
        <v>7840</v>
      </c>
    </row>
    <row r="2111" spans="1:17" x14ac:dyDescent="0.25">
      <c r="A2111" t="s">
        <v>4993</v>
      </c>
      <c r="B2111" t="s">
        <v>1090</v>
      </c>
      <c r="C2111">
        <v>2027</v>
      </c>
      <c r="D2111" t="s">
        <v>544</v>
      </c>
      <c r="E2111" t="s">
        <v>835</v>
      </c>
      <c r="F2111" s="32">
        <v>46423</v>
      </c>
      <c r="G2111" t="s">
        <v>514</v>
      </c>
      <c r="H2111">
        <v>47129130</v>
      </c>
      <c r="I2111" t="s">
        <v>1434</v>
      </c>
      <c r="J2111" t="s">
        <v>1433</v>
      </c>
      <c r="K2111" t="s">
        <v>530</v>
      </c>
      <c r="N2111">
        <v>0</v>
      </c>
      <c r="O2111">
        <v>0</v>
      </c>
      <c r="P2111" t="str">
        <f t="shared" si="32"/>
        <v>N</v>
      </c>
      <c r="Q2111" t="s">
        <v>7841</v>
      </c>
    </row>
    <row r="2112" spans="1:17" x14ac:dyDescent="0.25">
      <c r="A2112" t="s">
        <v>4994</v>
      </c>
      <c r="B2112" t="s">
        <v>1090</v>
      </c>
      <c r="C2112">
        <v>2027</v>
      </c>
      <c r="D2112" t="s">
        <v>544</v>
      </c>
      <c r="E2112" t="s">
        <v>835</v>
      </c>
      <c r="F2112" s="32">
        <v>46423</v>
      </c>
      <c r="G2112" t="s">
        <v>514</v>
      </c>
      <c r="H2112">
        <v>47129692</v>
      </c>
      <c r="I2112" t="s">
        <v>1475</v>
      </c>
      <c r="J2112" t="s">
        <v>1474</v>
      </c>
      <c r="K2112" t="s">
        <v>530</v>
      </c>
      <c r="N2112">
        <v>0</v>
      </c>
      <c r="O2112">
        <v>0</v>
      </c>
      <c r="P2112" t="str">
        <f t="shared" si="32"/>
        <v>N</v>
      </c>
      <c r="Q2112" t="s">
        <v>7842</v>
      </c>
    </row>
    <row r="2113" spans="1:17" x14ac:dyDescent="0.25">
      <c r="A2113" t="s">
        <v>4995</v>
      </c>
      <c r="B2113" t="s">
        <v>1090</v>
      </c>
      <c r="C2113">
        <v>2027</v>
      </c>
      <c r="D2113" t="s">
        <v>544</v>
      </c>
      <c r="E2113" t="s">
        <v>835</v>
      </c>
      <c r="F2113" s="32">
        <v>46423</v>
      </c>
      <c r="G2113" t="s">
        <v>514</v>
      </c>
      <c r="H2113">
        <v>47153262</v>
      </c>
      <c r="I2113" t="s">
        <v>1502</v>
      </c>
      <c r="J2113" t="s">
        <v>1501</v>
      </c>
      <c r="K2113" t="s">
        <v>530</v>
      </c>
      <c r="N2113">
        <v>0</v>
      </c>
      <c r="O2113">
        <v>0</v>
      </c>
      <c r="P2113" t="str">
        <f t="shared" si="32"/>
        <v>N</v>
      </c>
      <c r="Q2113" t="s">
        <v>7843</v>
      </c>
    </row>
    <row r="2114" spans="1:17" x14ac:dyDescent="0.25">
      <c r="A2114" t="s">
        <v>4996</v>
      </c>
      <c r="B2114" t="s">
        <v>1090</v>
      </c>
      <c r="C2114">
        <v>2027</v>
      </c>
      <c r="D2114" t="s">
        <v>544</v>
      </c>
      <c r="E2114" t="s">
        <v>835</v>
      </c>
      <c r="F2114" s="32">
        <v>46423</v>
      </c>
      <c r="G2114" t="s">
        <v>514</v>
      </c>
      <c r="H2114">
        <v>47146895</v>
      </c>
      <c r="I2114" t="s">
        <v>1375</v>
      </c>
      <c r="J2114" t="s">
        <v>1374</v>
      </c>
      <c r="K2114" t="s">
        <v>530</v>
      </c>
      <c r="N2114">
        <v>0</v>
      </c>
      <c r="O2114">
        <v>0</v>
      </c>
      <c r="P2114" t="str">
        <f t="shared" si="32"/>
        <v>N</v>
      </c>
      <c r="Q2114" t="s">
        <v>7844</v>
      </c>
    </row>
    <row r="2115" spans="1:17" x14ac:dyDescent="0.25">
      <c r="A2115" t="s">
        <v>4997</v>
      </c>
      <c r="B2115" t="s">
        <v>1090</v>
      </c>
      <c r="C2115">
        <v>2027</v>
      </c>
      <c r="D2115" t="s">
        <v>544</v>
      </c>
      <c r="E2115" t="s">
        <v>835</v>
      </c>
      <c r="F2115" s="32">
        <v>46423</v>
      </c>
      <c r="G2115" t="s">
        <v>514</v>
      </c>
      <c r="H2115">
        <v>47128115</v>
      </c>
      <c r="I2115" t="s">
        <v>1260</v>
      </c>
      <c r="J2115" t="s">
        <v>1499</v>
      </c>
      <c r="K2115" t="s">
        <v>530</v>
      </c>
      <c r="N2115">
        <v>0</v>
      </c>
      <c r="O2115">
        <v>0</v>
      </c>
      <c r="P2115" t="str">
        <f t="shared" ref="P2115:P2178" si="33">IF(N2115=O2115,"N","Y")</f>
        <v>N</v>
      </c>
      <c r="Q2115" t="s">
        <v>7845</v>
      </c>
    </row>
    <row r="2116" spans="1:17" x14ac:dyDescent="0.25">
      <c r="A2116" t="s">
        <v>4998</v>
      </c>
      <c r="B2116" t="s">
        <v>1090</v>
      </c>
      <c r="C2116">
        <v>2027</v>
      </c>
      <c r="D2116" t="s">
        <v>544</v>
      </c>
      <c r="E2116" t="s">
        <v>835</v>
      </c>
      <c r="F2116" s="32">
        <v>46423</v>
      </c>
      <c r="G2116" t="s">
        <v>514</v>
      </c>
      <c r="H2116">
        <v>47129679</v>
      </c>
      <c r="I2116" t="s">
        <v>1422</v>
      </c>
      <c r="J2116" t="s">
        <v>1421</v>
      </c>
      <c r="K2116" t="s">
        <v>530</v>
      </c>
      <c r="N2116">
        <v>0</v>
      </c>
      <c r="O2116">
        <v>0</v>
      </c>
      <c r="P2116" t="str">
        <f t="shared" si="33"/>
        <v>N</v>
      </c>
      <c r="Q2116" t="s">
        <v>7846</v>
      </c>
    </row>
    <row r="2117" spans="1:17" x14ac:dyDescent="0.25">
      <c r="A2117" t="s">
        <v>4999</v>
      </c>
      <c r="B2117" t="s">
        <v>1090</v>
      </c>
      <c r="C2117">
        <v>2027</v>
      </c>
      <c r="D2117" t="s">
        <v>544</v>
      </c>
      <c r="E2117" t="s">
        <v>835</v>
      </c>
      <c r="F2117" s="32">
        <v>46423</v>
      </c>
      <c r="G2117" t="s">
        <v>514</v>
      </c>
      <c r="H2117">
        <v>47129432</v>
      </c>
      <c r="I2117" t="s">
        <v>1468</v>
      </c>
      <c r="J2117" t="s">
        <v>1467</v>
      </c>
      <c r="K2117" t="s">
        <v>530</v>
      </c>
      <c r="N2117">
        <v>0</v>
      </c>
      <c r="O2117">
        <v>0</v>
      </c>
      <c r="P2117" t="str">
        <f t="shared" si="33"/>
        <v>N</v>
      </c>
      <c r="Q2117" t="s">
        <v>7847</v>
      </c>
    </row>
    <row r="2118" spans="1:17" x14ac:dyDescent="0.25">
      <c r="A2118" t="s">
        <v>5000</v>
      </c>
      <c r="B2118" t="s">
        <v>1090</v>
      </c>
      <c r="C2118">
        <v>2027</v>
      </c>
      <c r="D2118" t="s">
        <v>544</v>
      </c>
      <c r="E2118" t="s">
        <v>835</v>
      </c>
      <c r="F2118" s="32">
        <v>46423</v>
      </c>
      <c r="G2118" t="s">
        <v>514</v>
      </c>
      <c r="H2118">
        <v>47129050</v>
      </c>
      <c r="I2118" t="s">
        <v>1482</v>
      </c>
      <c r="J2118" t="s">
        <v>1481</v>
      </c>
      <c r="K2118" t="s">
        <v>530</v>
      </c>
      <c r="N2118">
        <v>0</v>
      </c>
      <c r="O2118">
        <v>0</v>
      </c>
      <c r="P2118" t="str">
        <f t="shared" si="33"/>
        <v>N</v>
      </c>
      <c r="Q2118" t="s">
        <v>7848</v>
      </c>
    </row>
    <row r="2119" spans="1:17" x14ac:dyDescent="0.25">
      <c r="A2119" t="s">
        <v>5001</v>
      </c>
      <c r="B2119" t="s">
        <v>1090</v>
      </c>
      <c r="C2119">
        <v>2027</v>
      </c>
      <c r="D2119" t="s">
        <v>544</v>
      </c>
      <c r="E2119" t="s">
        <v>835</v>
      </c>
      <c r="F2119" s="32">
        <v>46423</v>
      </c>
      <c r="G2119" t="s">
        <v>514</v>
      </c>
      <c r="H2119">
        <v>47148279</v>
      </c>
      <c r="I2119" t="s">
        <v>1236</v>
      </c>
      <c r="J2119" t="s">
        <v>1235</v>
      </c>
      <c r="K2119" t="s">
        <v>530</v>
      </c>
      <c r="N2119">
        <v>0</v>
      </c>
      <c r="O2119">
        <v>0</v>
      </c>
      <c r="P2119" t="str">
        <f t="shared" si="33"/>
        <v>N</v>
      </c>
      <c r="Q2119" t="s">
        <v>7849</v>
      </c>
    </row>
    <row r="2120" spans="1:17" x14ac:dyDescent="0.25">
      <c r="A2120" t="s">
        <v>5296</v>
      </c>
      <c r="B2120" t="s">
        <v>1089</v>
      </c>
      <c r="C2120">
        <v>2027</v>
      </c>
      <c r="D2120" t="s">
        <v>544</v>
      </c>
      <c r="E2120" t="s">
        <v>835</v>
      </c>
      <c r="F2120" s="32">
        <v>46423</v>
      </c>
      <c r="G2120" t="s">
        <v>514</v>
      </c>
      <c r="H2120">
        <v>47128421</v>
      </c>
      <c r="I2120" t="s">
        <v>1086</v>
      </c>
      <c r="J2120" t="s">
        <v>1085</v>
      </c>
      <c r="K2120" t="s">
        <v>530</v>
      </c>
      <c r="N2120">
        <v>0</v>
      </c>
      <c r="O2120">
        <v>0</v>
      </c>
      <c r="P2120" t="str">
        <f t="shared" si="33"/>
        <v>N</v>
      </c>
      <c r="Q2120" t="s">
        <v>7850</v>
      </c>
    </row>
    <row r="2121" spans="1:17" x14ac:dyDescent="0.25">
      <c r="A2121" t="s">
        <v>5297</v>
      </c>
      <c r="B2121" t="s">
        <v>1089</v>
      </c>
      <c r="C2121">
        <v>2027</v>
      </c>
      <c r="D2121" t="s">
        <v>544</v>
      </c>
      <c r="E2121" t="s">
        <v>835</v>
      </c>
      <c r="F2121" s="32">
        <v>46423</v>
      </c>
      <c r="G2121" t="s">
        <v>514</v>
      </c>
      <c r="H2121">
        <v>47128706</v>
      </c>
      <c r="I2121" t="s">
        <v>1201</v>
      </c>
      <c r="J2121" t="s">
        <v>1200</v>
      </c>
      <c r="K2121" t="s">
        <v>530</v>
      </c>
      <c r="N2121">
        <v>0</v>
      </c>
      <c r="O2121">
        <v>0</v>
      </c>
      <c r="P2121" t="str">
        <f t="shared" si="33"/>
        <v>N</v>
      </c>
      <c r="Q2121" t="s">
        <v>7851</v>
      </c>
    </row>
    <row r="2122" spans="1:17" x14ac:dyDescent="0.25">
      <c r="A2122" t="s">
        <v>5298</v>
      </c>
      <c r="B2122" t="s">
        <v>1089</v>
      </c>
      <c r="C2122">
        <v>2027</v>
      </c>
      <c r="D2122" t="s">
        <v>544</v>
      </c>
      <c r="E2122" t="s">
        <v>835</v>
      </c>
      <c r="F2122" s="32">
        <v>46423</v>
      </c>
      <c r="G2122" t="s">
        <v>514</v>
      </c>
      <c r="H2122">
        <v>47128364</v>
      </c>
      <c r="I2122" t="s">
        <v>1264</v>
      </c>
      <c r="J2122" t="s">
        <v>1263</v>
      </c>
      <c r="K2122" t="s">
        <v>530</v>
      </c>
      <c r="N2122">
        <v>45</v>
      </c>
      <c r="O2122">
        <v>45</v>
      </c>
      <c r="P2122" t="str">
        <f t="shared" si="33"/>
        <v>N</v>
      </c>
      <c r="Q2122" t="s">
        <v>7852</v>
      </c>
    </row>
    <row r="2123" spans="1:17" x14ac:dyDescent="0.25">
      <c r="A2123" t="s">
        <v>5299</v>
      </c>
      <c r="B2123" t="s">
        <v>1089</v>
      </c>
      <c r="C2123">
        <v>2027</v>
      </c>
      <c r="D2123" t="s">
        <v>544</v>
      </c>
      <c r="E2123" t="s">
        <v>835</v>
      </c>
      <c r="F2123" s="32">
        <v>46423</v>
      </c>
      <c r="G2123" t="s">
        <v>514</v>
      </c>
      <c r="H2123">
        <v>47128633</v>
      </c>
      <c r="I2123" t="s">
        <v>1164</v>
      </c>
      <c r="J2123" t="s">
        <v>1163</v>
      </c>
      <c r="K2123" t="s">
        <v>530</v>
      </c>
      <c r="N2123">
        <v>0</v>
      </c>
      <c r="O2123">
        <v>0</v>
      </c>
      <c r="P2123" t="str">
        <f t="shared" si="33"/>
        <v>N</v>
      </c>
      <c r="Q2123" t="s">
        <v>7853</v>
      </c>
    </row>
    <row r="2124" spans="1:17" x14ac:dyDescent="0.25">
      <c r="A2124" t="s">
        <v>5300</v>
      </c>
      <c r="B2124" t="s">
        <v>1089</v>
      </c>
      <c r="C2124">
        <v>2027</v>
      </c>
      <c r="D2124" t="s">
        <v>544</v>
      </c>
      <c r="E2124" t="s">
        <v>835</v>
      </c>
      <c r="F2124" s="32">
        <v>46423</v>
      </c>
      <c r="G2124" t="s">
        <v>514</v>
      </c>
      <c r="H2124">
        <v>47128046</v>
      </c>
      <c r="I2124" t="s">
        <v>1389</v>
      </c>
      <c r="J2124" t="s">
        <v>1388</v>
      </c>
      <c r="K2124" t="s">
        <v>530</v>
      </c>
      <c r="N2124">
        <v>0</v>
      </c>
      <c r="O2124">
        <v>0</v>
      </c>
      <c r="P2124" t="str">
        <f t="shared" si="33"/>
        <v>N</v>
      </c>
      <c r="Q2124" t="s">
        <v>7854</v>
      </c>
    </row>
    <row r="2125" spans="1:17" x14ac:dyDescent="0.25">
      <c r="A2125" t="s">
        <v>5301</v>
      </c>
      <c r="B2125" t="s">
        <v>1089</v>
      </c>
      <c r="C2125">
        <v>2027</v>
      </c>
      <c r="D2125" t="s">
        <v>544</v>
      </c>
      <c r="E2125" t="s">
        <v>835</v>
      </c>
      <c r="F2125" s="32">
        <v>46423</v>
      </c>
      <c r="G2125" t="s">
        <v>514</v>
      </c>
      <c r="H2125">
        <v>47129548</v>
      </c>
      <c r="I2125" t="s">
        <v>1340</v>
      </c>
      <c r="J2125" t="s">
        <v>1339</v>
      </c>
      <c r="K2125" t="s">
        <v>530</v>
      </c>
      <c r="N2125">
        <v>25</v>
      </c>
      <c r="O2125">
        <v>25</v>
      </c>
      <c r="P2125" t="str">
        <f t="shared" si="33"/>
        <v>N</v>
      </c>
      <c r="Q2125" t="s">
        <v>7855</v>
      </c>
    </row>
    <row r="2126" spans="1:17" x14ac:dyDescent="0.25">
      <c r="A2126" t="s">
        <v>5302</v>
      </c>
      <c r="B2126" t="s">
        <v>1089</v>
      </c>
      <c r="C2126">
        <v>2027</v>
      </c>
      <c r="D2126" t="s">
        <v>544</v>
      </c>
      <c r="E2126" t="s">
        <v>835</v>
      </c>
      <c r="F2126" s="32">
        <v>46423</v>
      </c>
      <c r="G2126" t="s">
        <v>514</v>
      </c>
      <c r="H2126">
        <v>47128835</v>
      </c>
      <c r="I2126" t="s">
        <v>998</v>
      </c>
      <c r="J2126" t="s">
        <v>997</v>
      </c>
      <c r="K2126" t="s">
        <v>530</v>
      </c>
      <c r="N2126">
        <v>0</v>
      </c>
      <c r="O2126">
        <v>0</v>
      </c>
      <c r="P2126" t="str">
        <f t="shared" si="33"/>
        <v>N</v>
      </c>
      <c r="Q2126" t="s">
        <v>7856</v>
      </c>
    </row>
    <row r="2127" spans="1:17" x14ac:dyDescent="0.25">
      <c r="A2127" t="s">
        <v>5303</v>
      </c>
      <c r="B2127" t="s">
        <v>1089</v>
      </c>
      <c r="C2127">
        <v>2027</v>
      </c>
      <c r="D2127" t="s">
        <v>544</v>
      </c>
      <c r="E2127" t="s">
        <v>835</v>
      </c>
      <c r="F2127" s="32">
        <v>46423</v>
      </c>
      <c r="G2127" t="s">
        <v>514</v>
      </c>
      <c r="H2127">
        <v>47128788</v>
      </c>
      <c r="I2127" t="s">
        <v>4188</v>
      </c>
      <c r="J2127" t="s">
        <v>4189</v>
      </c>
      <c r="K2127" t="s">
        <v>530</v>
      </c>
      <c r="N2127">
        <v>0</v>
      </c>
      <c r="O2127">
        <v>0</v>
      </c>
      <c r="P2127" t="str">
        <f t="shared" si="33"/>
        <v>N</v>
      </c>
      <c r="Q2127" t="s">
        <v>7857</v>
      </c>
    </row>
    <row r="2128" spans="1:17" x14ac:dyDescent="0.25">
      <c r="A2128" t="s">
        <v>5304</v>
      </c>
      <c r="B2128" t="s">
        <v>1089</v>
      </c>
      <c r="C2128">
        <v>2027</v>
      </c>
      <c r="D2128" t="s">
        <v>544</v>
      </c>
      <c r="E2128" t="s">
        <v>835</v>
      </c>
      <c r="F2128" s="32">
        <v>46423</v>
      </c>
      <c r="G2128" t="s">
        <v>514</v>
      </c>
      <c r="H2128">
        <v>47136348</v>
      </c>
      <c r="I2128" t="s">
        <v>1025</v>
      </c>
      <c r="J2128" t="s">
        <v>1024</v>
      </c>
      <c r="K2128" t="s">
        <v>530</v>
      </c>
      <c r="N2128">
        <v>0</v>
      </c>
      <c r="O2128">
        <v>0</v>
      </c>
      <c r="P2128" t="str">
        <f t="shared" si="33"/>
        <v>N</v>
      </c>
      <c r="Q2128" t="s">
        <v>7858</v>
      </c>
    </row>
    <row r="2129" spans="1:17" x14ac:dyDescent="0.25">
      <c r="A2129" t="s">
        <v>5305</v>
      </c>
      <c r="B2129" t="s">
        <v>1089</v>
      </c>
      <c r="C2129">
        <v>2027</v>
      </c>
      <c r="D2129" t="s">
        <v>544</v>
      </c>
      <c r="E2129" t="s">
        <v>835</v>
      </c>
      <c r="F2129" s="32">
        <v>46423</v>
      </c>
      <c r="G2129" t="s">
        <v>514</v>
      </c>
      <c r="H2129">
        <v>47135083</v>
      </c>
      <c r="I2129" t="s">
        <v>4192</v>
      </c>
      <c r="J2129" t="s">
        <v>4193</v>
      </c>
      <c r="K2129" t="s">
        <v>530</v>
      </c>
      <c r="N2129">
        <v>0</v>
      </c>
      <c r="O2129">
        <v>0</v>
      </c>
      <c r="P2129" t="str">
        <f t="shared" si="33"/>
        <v>N</v>
      </c>
      <c r="Q2129" t="s">
        <v>7859</v>
      </c>
    </row>
    <row r="2130" spans="1:17" x14ac:dyDescent="0.25">
      <c r="A2130" t="s">
        <v>5306</v>
      </c>
      <c r="B2130" t="s">
        <v>1089</v>
      </c>
      <c r="C2130">
        <v>2027</v>
      </c>
      <c r="D2130" t="s">
        <v>544</v>
      </c>
      <c r="E2130" t="s">
        <v>835</v>
      </c>
      <c r="F2130" s="32">
        <v>46423</v>
      </c>
      <c r="G2130" t="s">
        <v>514</v>
      </c>
      <c r="H2130">
        <v>47128515</v>
      </c>
      <c r="I2130" t="s">
        <v>1185</v>
      </c>
      <c r="J2130" t="s">
        <v>1184</v>
      </c>
      <c r="K2130" t="s">
        <v>530</v>
      </c>
      <c r="N2130">
        <v>0</v>
      </c>
      <c r="O2130">
        <v>0</v>
      </c>
      <c r="P2130" t="str">
        <f t="shared" si="33"/>
        <v>N</v>
      </c>
      <c r="Q2130" t="s">
        <v>7860</v>
      </c>
    </row>
    <row r="2131" spans="1:17" x14ac:dyDescent="0.25">
      <c r="A2131" t="s">
        <v>5307</v>
      </c>
      <c r="B2131" t="s">
        <v>1089</v>
      </c>
      <c r="C2131">
        <v>2027</v>
      </c>
      <c r="D2131" t="s">
        <v>544</v>
      </c>
      <c r="E2131" t="s">
        <v>835</v>
      </c>
      <c r="F2131" s="32">
        <v>46423</v>
      </c>
      <c r="G2131" t="s">
        <v>514</v>
      </c>
      <c r="H2131">
        <v>47128472</v>
      </c>
      <c r="I2131" t="s">
        <v>995</v>
      </c>
      <c r="J2131" t="s">
        <v>994</v>
      </c>
      <c r="K2131" t="s">
        <v>530</v>
      </c>
      <c r="N2131">
        <v>0</v>
      </c>
      <c r="O2131">
        <v>0</v>
      </c>
      <c r="P2131" t="str">
        <f t="shared" si="33"/>
        <v>N</v>
      </c>
      <c r="Q2131" t="s">
        <v>7861</v>
      </c>
    </row>
    <row r="2132" spans="1:17" x14ac:dyDescent="0.25">
      <c r="A2132" t="s">
        <v>5308</v>
      </c>
      <c r="B2132" t="s">
        <v>1089</v>
      </c>
      <c r="C2132">
        <v>2027</v>
      </c>
      <c r="D2132" t="s">
        <v>544</v>
      </c>
      <c r="E2132" t="s">
        <v>835</v>
      </c>
      <c r="F2132" s="32">
        <v>46423</v>
      </c>
      <c r="G2132" t="s">
        <v>514</v>
      </c>
      <c r="H2132">
        <v>47128202</v>
      </c>
      <c r="I2132" t="s">
        <v>967</v>
      </c>
      <c r="J2132" t="s">
        <v>966</v>
      </c>
      <c r="K2132" t="s">
        <v>530</v>
      </c>
      <c r="N2132">
        <v>0</v>
      </c>
      <c r="O2132">
        <v>0</v>
      </c>
      <c r="P2132" t="str">
        <f t="shared" si="33"/>
        <v>N</v>
      </c>
      <c r="Q2132" t="s">
        <v>7862</v>
      </c>
    </row>
    <row r="2133" spans="1:17" x14ac:dyDescent="0.25">
      <c r="A2133" t="s">
        <v>5309</v>
      </c>
      <c r="B2133" t="s">
        <v>1089</v>
      </c>
      <c r="C2133">
        <v>2027</v>
      </c>
      <c r="D2133" t="s">
        <v>544</v>
      </c>
      <c r="E2133" t="s">
        <v>835</v>
      </c>
      <c r="F2133" s="32">
        <v>46423</v>
      </c>
      <c r="G2133" t="s">
        <v>514</v>
      </c>
      <c r="H2133">
        <v>47128132</v>
      </c>
      <c r="I2133" t="s">
        <v>4429</v>
      </c>
      <c r="J2133" t="s">
        <v>4430</v>
      </c>
      <c r="K2133" t="s">
        <v>530</v>
      </c>
      <c r="N2133">
        <v>0</v>
      </c>
      <c r="O2133">
        <v>0</v>
      </c>
      <c r="P2133" t="str">
        <f t="shared" si="33"/>
        <v>N</v>
      </c>
      <c r="Q2133" t="s">
        <v>7863</v>
      </c>
    </row>
    <row r="2134" spans="1:17" x14ac:dyDescent="0.25">
      <c r="A2134" t="s">
        <v>5310</v>
      </c>
      <c r="B2134" t="s">
        <v>1089</v>
      </c>
      <c r="C2134">
        <v>2027</v>
      </c>
      <c r="D2134" t="s">
        <v>544</v>
      </c>
      <c r="E2134" t="s">
        <v>835</v>
      </c>
      <c r="F2134" s="32">
        <v>46423</v>
      </c>
      <c r="G2134" t="s">
        <v>514</v>
      </c>
      <c r="H2134">
        <v>47127971</v>
      </c>
      <c r="I2134" t="s">
        <v>991</v>
      </c>
      <c r="J2134" t="s">
        <v>990</v>
      </c>
      <c r="K2134" t="s">
        <v>530</v>
      </c>
      <c r="N2134">
        <v>0</v>
      </c>
      <c r="O2134">
        <v>0</v>
      </c>
      <c r="P2134" t="str">
        <f t="shared" si="33"/>
        <v>N</v>
      </c>
      <c r="Q2134" t="s">
        <v>7864</v>
      </c>
    </row>
    <row r="2135" spans="1:17" x14ac:dyDescent="0.25">
      <c r="A2135" t="s">
        <v>5562</v>
      </c>
      <c r="B2135" t="s">
        <v>5437</v>
      </c>
      <c r="C2135">
        <v>2027</v>
      </c>
      <c r="D2135" t="s">
        <v>544</v>
      </c>
      <c r="E2135" t="s">
        <v>835</v>
      </c>
      <c r="F2135" s="32">
        <v>46423</v>
      </c>
      <c r="G2135" t="s">
        <v>514</v>
      </c>
      <c r="H2135">
        <v>47128967</v>
      </c>
      <c r="I2135" t="s">
        <v>1062</v>
      </c>
      <c r="J2135" t="s">
        <v>1061</v>
      </c>
      <c r="K2135" t="s">
        <v>530</v>
      </c>
      <c r="N2135">
        <v>0</v>
      </c>
      <c r="O2135">
        <v>0</v>
      </c>
      <c r="P2135" t="str">
        <f t="shared" si="33"/>
        <v>N</v>
      </c>
      <c r="Q2135" t="s">
        <v>7865</v>
      </c>
    </row>
    <row r="2136" spans="1:17" x14ac:dyDescent="0.25">
      <c r="A2136" t="s">
        <v>5563</v>
      </c>
      <c r="B2136" t="s">
        <v>5437</v>
      </c>
      <c r="C2136">
        <v>2027</v>
      </c>
      <c r="D2136" t="s">
        <v>544</v>
      </c>
      <c r="E2136" t="s">
        <v>835</v>
      </c>
      <c r="F2136" s="32">
        <v>46423</v>
      </c>
      <c r="G2136" t="s">
        <v>514</v>
      </c>
      <c r="H2136">
        <v>47127948</v>
      </c>
      <c r="I2136" t="s">
        <v>1247</v>
      </c>
      <c r="J2136" t="s">
        <v>1246</v>
      </c>
      <c r="K2136" t="s">
        <v>530</v>
      </c>
      <c r="N2136">
        <v>40</v>
      </c>
      <c r="O2136">
        <v>40</v>
      </c>
      <c r="P2136" t="str">
        <f t="shared" si="33"/>
        <v>N</v>
      </c>
      <c r="Q2136" t="s">
        <v>7866</v>
      </c>
    </row>
    <row r="2137" spans="1:17" x14ac:dyDescent="0.25">
      <c r="A2137" t="s">
        <v>5564</v>
      </c>
      <c r="B2137" t="s">
        <v>5437</v>
      </c>
      <c r="C2137">
        <v>2027</v>
      </c>
      <c r="D2137" t="s">
        <v>544</v>
      </c>
      <c r="E2137" t="s">
        <v>835</v>
      </c>
      <c r="F2137" s="32">
        <v>46423</v>
      </c>
      <c r="G2137" t="s">
        <v>514</v>
      </c>
      <c r="H2137">
        <v>47128710</v>
      </c>
      <c r="I2137" t="s">
        <v>1189</v>
      </c>
      <c r="J2137" t="s">
        <v>1188</v>
      </c>
      <c r="K2137" t="s">
        <v>530</v>
      </c>
      <c r="N2137">
        <v>0</v>
      </c>
      <c r="O2137">
        <v>0</v>
      </c>
      <c r="P2137" t="str">
        <f t="shared" si="33"/>
        <v>N</v>
      </c>
      <c r="Q2137" t="s">
        <v>7867</v>
      </c>
    </row>
    <row r="2138" spans="1:17" x14ac:dyDescent="0.25">
      <c r="A2138" t="s">
        <v>5565</v>
      </c>
      <c r="B2138" t="s">
        <v>5437</v>
      </c>
      <c r="C2138">
        <v>2027</v>
      </c>
      <c r="D2138" t="s">
        <v>544</v>
      </c>
      <c r="E2138" t="s">
        <v>835</v>
      </c>
      <c r="F2138" s="32">
        <v>46423</v>
      </c>
      <c r="G2138" t="s">
        <v>514</v>
      </c>
      <c r="H2138">
        <v>47128572</v>
      </c>
      <c r="I2138" t="s">
        <v>1197</v>
      </c>
      <c r="J2138" t="s">
        <v>1196</v>
      </c>
      <c r="K2138" t="s">
        <v>530</v>
      </c>
      <c r="N2138">
        <v>0</v>
      </c>
      <c r="O2138">
        <v>0</v>
      </c>
      <c r="P2138" t="str">
        <f t="shared" si="33"/>
        <v>N</v>
      </c>
      <c r="Q2138" t="s">
        <v>7868</v>
      </c>
    </row>
    <row r="2139" spans="1:17" x14ac:dyDescent="0.25">
      <c r="A2139" t="s">
        <v>5566</v>
      </c>
      <c r="B2139" t="s">
        <v>5437</v>
      </c>
      <c r="C2139">
        <v>2027</v>
      </c>
      <c r="D2139" t="s">
        <v>544</v>
      </c>
      <c r="E2139" t="s">
        <v>835</v>
      </c>
      <c r="F2139" s="32">
        <v>46423</v>
      </c>
      <c r="G2139" t="s">
        <v>514</v>
      </c>
      <c r="H2139">
        <v>47128482</v>
      </c>
      <c r="I2139" t="s">
        <v>1393</v>
      </c>
      <c r="J2139" t="s">
        <v>1392</v>
      </c>
      <c r="K2139" t="s">
        <v>530</v>
      </c>
      <c r="N2139">
        <v>0</v>
      </c>
      <c r="O2139">
        <v>0</v>
      </c>
      <c r="P2139" t="str">
        <f t="shared" si="33"/>
        <v>N</v>
      </c>
      <c r="Q2139" t="s">
        <v>7869</v>
      </c>
    </row>
    <row r="2140" spans="1:17" x14ac:dyDescent="0.25">
      <c r="A2140" t="s">
        <v>5567</v>
      </c>
      <c r="B2140" t="s">
        <v>5437</v>
      </c>
      <c r="C2140">
        <v>2027</v>
      </c>
      <c r="D2140" t="s">
        <v>544</v>
      </c>
      <c r="E2140" t="s">
        <v>835</v>
      </c>
      <c r="F2140" s="32">
        <v>46423</v>
      </c>
      <c r="G2140" t="s">
        <v>514</v>
      </c>
      <c r="H2140">
        <v>47128115</v>
      </c>
      <c r="I2140" t="s">
        <v>1260</v>
      </c>
      <c r="J2140" t="s">
        <v>1259</v>
      </c>
      <c r="K2140" t="s">
        <v>530</v>
      </c>
      <c r="N2140">
        <v>60</v>
      </c>
      <c r="O2140">
        <v>60</v>
      </c>
      <c r="P2140" t="str">
        <f t="shared" si="33"/>
        <v>N</v>
      </c>
      <c r="Q2140" t="s">
        <v>7870</v>
      </c>
    </row>
    <row r="2141" spans="1:17" x14ac:dyDescent="0.25">
      <c r="A2141" t="s">
        <v>5568</v>
      </c>
      <c r="B2141" t="s">
        <v>5437</v>
      </c>
      <c r="C2141">
        <v>2027</v>
      </c>
      <c r="D2141" t="s">
        <v>544</v>
      </c>
      <c r="E2141" t="s">
        <v>835</v>
      </c>
      <c r="F2141" s="32">
        <v>46423</v>
      </c>
      <c r="G2141" t="s">
        <v>514</v>
      </c>
      <c r="H2141">
        <v>47128337</v>
      </c>
      <c r="I2141" t="s">
        <v>1120</v>
      </c>
      <c r="J2141" t="s">
        <v>1119</v>
      </c>
      <c r="K2141" t="s">
        <v>530</v>
      </c>
      <c r="N2141">
        <v>10</v>
      </c>
      <c r="O2141">
        <v>10</v>
      </c>
      <c r="P2141" t="str">
        <f t="shared" si="33"/>
        <v>N</v>
      </c>
      <c r="Q2141" t="s">
        <v>7871</v>
      </c>
    </row>
    <row r="2142" spans="1:17" x14ac:dyDescent="0.25">
      <c r="A2142" t="s">
        <v>5569</v>
      </c>
      <c r="B2142" t="s">
        <v>5437</v>
      </c>
      <c r="C2142">
        <v>2027</v>
      </c>
      <c r="D2142" t="s">
        <v>544</v>
      </c>
      <c r="E2142" t="s">
        <v>835</v>
      </c>
      <c r="F2142" s="32">
        <v>46423</v>
      </c>
      <c r="G2142" t="s">
        <v>514</v>
      </c>
      <c r="H2142">
        <v>47128833</v>
      </c>
      <c r="I2142" t="s">
        <v>1193</v>
      </c>
      <c r="J2142" t="s">
        <v>1192</v>
      </c>
      <c r="K2142" t="s">
        <v>530</v>
      </c>
      <c r="N2142">
        <v>0</v>
      </c>
      <c r="O2142">
        <v>0</v>
      </c>
      <c r="P2142" t="str">
        <f t="shared" si="33"/>
        <v>N</v>
      </c>
      <c r="Q2142" t="s">
        <v>7872</v>
      </c>
    </row>
    <row r="2143" spans="1:17" x14ac:dyDescent="0.25">
      <c r="A2143" t="s">
        <v>5570</v>
      </c>
      <c r="B2143" t="s">
        <v>5437</v>
      </c>
      <c r="C2143">
        <v>2027</v>
      </c>
      <c r="D2143" t="s">
        <v>544</v>
      </c>
      <c r="E2143" t="s">
        <v>835</v>
      </c>
      <c r="F2143" s="32">
        <v>46423</v>
      </c>
      <c r="G2143" t="s">
        <v>514</v>
      </c>
      <c r="H2143">
        <v>47128784</v>
      </c>
      <c r="I2143" t="s">
        <v>1426</v>
      </c>
      <c r="J2143" t="s">
        <v>1425</v>
      </c>
      <c r="K2143" t="s">
        <v>530</v>
      </c>
      <c r="N2143">
        <v>0</v>
      </c>
      <c r="O2143">
        <v>0</v>
      </c>
      <c r="P2143" t="str">
        <f t="shared" si="33"/>
        <v>N</v>
      </c>
      <c r="Q2143" t="s">
        <v>7873</v>
      </c>
    </row>
    <row r="2144" spans="1:17" x14ac:dyDescent="0.25">
      <c r="A2144" t="s">
        <v>5571</v>
      </c>
      <c r="B2144" t="s">
        <v>5437</v>
      </c>
      <c r="C2144">
        <v>2027</v>
      </c>
      <c r="D2144" t="s">
        <v>544</v>
      </c>
      <c r="E2144" t="s">
        <v>835</v>
      </c>
      <c r="F2144" s="32">
        <v>46423</v>
      </c>
      <c r="G2144" t="s">
        <v>514</v>
      </c>
      <c r="H2144">
        <v>47129020</v>
      </c>
      <c r="I2144" t="s">
        <v>1058</v>
      </c>
      <c r="J2144" t="s">
        <v>1057</v>
      </c>
      <c r="K2144" t="s">
        <v>530</v>
      </c>
      <c r="N2144">
        <v>0</v>
      </c>
      <c r="O2144">
        <v>0</v>
      </c>
      <c r="P2144" t="str">
        <f t="shared" si="33"/>
        <v>N</v>
      </c>
      <c r="Q2144" t="s">
        <v>7874</v>
      </c>
    </row>
    <row r="2145" spans="1:17" x14ac:dyDescent="0.25">
      <c r="A2145" t="s">
        <v>5572</v>
      </c>
      <c r="B2145" t="s">
        <v>5437</v>
      </c>
      <c r="C2145">
        <v>2027</v>
      </c>
      <c r="D2145" t="s">
        <v>544</v>
      </c>
      <c r="E2145" t="s">
        <v>835</v>
      </c>
      <c r="F2145" s="32">
        <v>46423</v>
      </c>
      <c r="G2145" t="s">
        <v>514</v>
      </c>
      <c r="H2145">
        <v>47129473</v>
      </c>
      <c r="I2145" t="s">
        <v>1430</v>
      </c>
      <c r="J2145" t="s">
        <v>1429</v>
      </c>
      <c r="K2145" t="s">
        <v>530</v>
      </c>
      <c r="N2145">
        <v>0</v>
      </c>
      <c r="O2145">
        <v>0</v>
      </c>
      <c r="P2145" t="str">
        <f t="shared" si="33"/>
        <v>N</v>
      </c>
      <c r="Q2145" t="s">
        <v>7875</v>
      </c>
    </row>
    <row r="2146" spans="1:17" x14ac:dyDescent="0.25">
      <c r="A2146" t="s">
        <v>5573</v>
      </c>
      <c r="B2146" t="s">
        <v>5437</v>
      </c>
      <c r="C2146">
        <v>2027</v>
      </c>
      <c r="D2146" t="s">
        <v>544</v>
      </c>
      <c r="E2146" t="s">
        <v>835</v>
      </c>
      <c r="F2146" s="32">
        <v>46423</v>
      </c>
      <c r="G2146" t="s">
        <v>514</v>
      </c>
      <c r="H2146">
        <v>47128429</v>
      </c>
      <c r="I2146" t="s">
        <v>1371</v>
      </c>
      <c r="J2146" t="s">
        <v>1370</v>
      </c>
      <c r="K2146" t="s">
        <v>530</v>
      </c>
      <c r="N2146">
        <v>0</v>
      </c>
      <c r="O2146">
        <v>0</v>
      </c>
      <c r="P2146" t="str">
        <f t="shared" si="33"/>
        <v>N</v>
      </c>
      <c r="Q2146" t="s">
        <v>7876</v>
      </c>
    </row>
    <row r="2147" spans="1:17" x14ac:dyDescent="0.25">
      <c r="A2147" t="s">
        <v>5574</v>
      </c>
      <c r="B2147" t="s">
        <v>5437</v>
      </c>
      <c r="C2147">
        <v>2027</v>
      </c>
      <c r="D2147" t="s">
        <v>544</v>
      </c>
      <c r="E2147" t="s">
        <v>835</v>
      </c>
      <c r="F2147" s="32">
        <v>46423</v>
      </c>
      <c r="G2147" t="s">
        <v>514</v>
      </c>
      <c r="H2147">
        <v>47128181</v>
      </c>
      <c r="I2147" t="s">
        <v>1301</v>
      </c>
      <c r="J2147" t="s">
        <v>1300</v>
      </c>
      <c r="K2147" t="s">
        <v>530</v>
      </c>
      <c r="N2147">
        <v>0</v>
      </c>
      <c r="O2147">
        <v>0</v>
      </c>
      <c r="P2147" t="str">
        <f t="shared" si="33"/>
        <v>N</v>
      </c>
      <c r="Q2147" t="s">
        <v>7877</v>
      </c>
    </row>
    <row r="2148" spans="1:17" x14ac:dyDescent="0.25">
      <c r="A2148" t="s">
        <v>1612</v>
      </c>
      <c r="B2148" t="s">
        <v>1520</v>
      </c>
      <c r="C2148">
        <v>2027</v>
      </c>
      <c r="D2148" t="s">
        <v>628</v>
      </c>
      <c r="E2148" t="s">
        <v>836</v>
      </c>
      <c r="F2148" s="32">
        <v>46430</v>
      </c>
      <c r="G2148" t="s">
        <v>514</v>
      </c>
      <c r="H2148">
        <v>47128207</v>
      </c>
      <c r="I2148" t="s">
        <v>1522</v>
      </c>
      <c r="J2148" t="s">
        <v>1523</v>
      </c>
      <c r="K2148" t="s">
        <v>530</v>
      </c>
      <c r="N2148">
        <v>0</v>
      </c>
      <c r="O2148">
        <v>0</v>
      </c>
      <c r="P2148" t="str">
        <f t="shared" si="33"/>
        <v>N</v>
      </c>
      <c r="Q2148" t="s">
        <v>7878</v>
      </c>
    </row>
    <row r="2149" spans="1:17" x14ac:dyDescent="0.25">
      <c r="A2149" t="s">
        <v>1613</v>
      </c>
      <c r="B2149" t="s">
        <v>1520</v>
      </c>
      <c r="C2149">
        <v>2027</v>
      </c>
      <c r="D2149" t="s">
        <v>628</v>
      </c>
      <c r="E2149" t="s">
        <v>836</v>
      </c>
      <c r="F2149" s="32">
        <v>46430</v>
      </c>
      <c r="G2149" t="s">
        <v>514</v>
      </c>
      <c r="H2149">
        <v>47128581</v>
      </c>
      <c r="I2149" t="s">
        <v>1525</v>
      </c>
      <c r="J2149" t="s">
        <v>1526</v>
      </c>
      <c r="K2149" t="s">
        <v>530</v>
      </c>
      <c r="N2149">
        <v>0</v>
      </c>
      <c r="O2149">
        <v>0</v>
      </c>
      <c r="P2149" t="str">
        <f t="shared" si="33"/>
        <v>N</v>
      </c>
      <c r="Q2149" t="s">
        <v>7879</v>
      </c>
    </row>
    <row r="2150" spans="1:17" x14ac:dyDescent="0.25">
      <c r="A2150" t="s">
        <v>1614</v>
      </c>
      <c r="B2150" t="s">
        <v>1520</v>
      </c>
      <c r="C2150">
        <v>2027</v>
      </c>
      <c r="D2150" t="s">
        <v>628</v>
      </c>
      <c r="E2150" t="s">
        <v>836</v>
      </c>
      <c r="F2150" s="32">
        <v>46430</v>
      </c>
      <c r="G2150" t="s">
        <v>514</v>
      </c>
      <c r="H2150">
        <v>47127959</v>
      </c>
      <c r="I2150" t="s">
        <v>1528</v>
      </c>
      <c r="J2150" t="s">
        <v>1529</v>
      </c>
      <c r="K2150" t="s">
        <v>530</v>
      </c>
      <c r="N2150">
        <v>0</v>
      </c>
      <c r="O2150">
        <v>0</v>
      </c>
      <c r="P2150" t="str">
        <f t="shared" si="33"/>
        <v>N</v>
      </c>
      <c r="Q2150" t="s">
        <v>7880</v>
      </c>
    </row>
    <row r="2151" spans="1:17" x14ac:dyDescent="0.25">
      <c r="A2151" t="s">
        <v>1615</v>
      </c>
      <c r="B2151" t="s">
        <v>1520</v>
      </c>
      <c r="C2151">
        <v>2027</v>
      </c>
      <c r="D2151" t="s">
        <v>628</v>
      </c>
      <c r="E2151" t="s">
        <v>836</v>
      </c>
      <c r="F2151" s="32">
        <v>46430</v>
      </c>
      <c r="G2151" t="s">
        <v>514</v>
      </c>
      <c r="H2151">
        <v>47128204</v>
      </c>
      <c r="I2151" t="s">
        <v>1531</v>
      </c>
      <c r="J2151" t="s">
        <v>1532</v>
      </c>
      <c r="K2151" t="s">
        <v>530</v>
      </c>
      <c r="N2151">
        <v>0</v>
      </c>
      <c r="O2151">
        <v>0</v>
      </c>
      <c r="P2151" t="str">
        <f t="shared" si="33"/>
        <v>N</v>
      </c>
      <c r="Q2151" t="s">
        <v>7881</v>
      </c>
    </row>
    <row r="2152" spans="1:17" x14ac:dyDescent="0.25">
      <c r="A2152" t="s">
        <v>1616</v>
      </c>
      <c r="B2152" t="s">
        <v>1520</v>
      </c>
      <c r="C2152">
        <v>2027</v>
      </c>
      <c r="D2152" t="s">
        <v>628</v>
      </c>
      <c r="E2152" t="s">
        <v>836</v>
      </c>
      <c r="F2152" s="32">
        <v>46430</v>
      </c>
      <c r="G2152" t="s">
        <v>514</v>
      </c>
      <c r="H2152">
        <v>47128207</v>
      </c>
      <c r="I2152" t="s">
        <v>1522</v>
      </c>
      <c r="J2152" t="s">
        <v>1534</v>
      </c>
      <c r="K2152" t="s">
        <v>530</v>
      </c>
      <c r="N2152">
        <v>0</v>
      </c>
      <c r="O2152">
        <v>0</v>
      </c>
      <c r="P2152" t="str">
        <f t="shared" si="33"/>
        <v>N</v>
      </c>
      <c r="Q2152" t="s">
        <v>7882</v>
      </c>
    </row>
    <row r="2153" spans="1:17" x14ac:dyDescent="0.25">
      <c r="A2153" t="s">
        <v>1617</v>
      </c>
      <c r="B2153" t="s">
        <v>1520</v>
      </c>
      <c r="C2153">
        <v>2027</v>
      </c>
      <c r="D2153" t="s">
        <v>628</v>
      </c>
      <c r="E2153" t="s">
        <v>836</v>
      </c>
      <c r="F2153" s="32">
        <v>46430</v>
      </c>
      <c r="G2153" t="s">
        <v>563</v>
      </c>
      <c r="H2153">
        <v>10000015</v>
      </c>
      <c r="I2153" t="s">
        <v>562</v>
      </c>
      <c r="K2153" t="s">
        <v>530</v>
      </c>
      <c r="N2153">
        <v>0</v>
      </c>
      <c r="O2153">
        <v>0</v>
      </c>
      <c r="P2153" t="str">
        <f t="shared" si="33"/>
        <v>N</v>
      </c>
      <c r="Q2153" t="s">
        <v>7883</v>
      </c>
    </row>
    <row r="2154" spans="1:17" x14ac:dyDescent="0.25">
      <c r="A2154" t="s">
        <v>1618</v>
      </c>
      <c r="B2154" t="s">
        <v>1520</v>
      </c>
      <c r="C2154">
        <v>2027</v>
      </c>
      <c r="D2154" t="s">
        <v>628</v>
      </c>
      <c r="E2154" t="s">
        <v>836</v>
      </c>
      <c r="F2154" s="32">
        <v>46430</v>
      </c>
      <c r="G2154" t="s">
        <v>514</v>
      </c>
      <c r="H2154">
        <v>47127959</v>
      </c>
      <c r="I2154" t="s">
        <v>1528</v>
      </c>
      <c r="J2154" t="s">
        <v>1537</v>
      </c>
      <c r="K2154" t="s">
        <v>530</v>
      </c>
      <c r="N2154">
        <v>0</v>
      </c>
      <c r="O2154">
        <v>0</v>
      </c>
      <c r="P2154" t="str">
        <f t="shared" si="33"/>
        <v>N</v>
      </c>
      <c r="Q2154" t="s">
        <v>7884</v>
      </c>
    </row>
    <row r="2155" spans="1:17" x14ac:dyDescent="0.25">
      <c r="A2155" t="s">
        <v>1619</v>
      </c>
      <c r="B2155" t="s">
        <v>1520</v>
      </c>
      <c r="C2155">
        <v>2027</v>
      </c>
      <c r="D2155" t="s">
        <v>628</v>
      </c>
      <c r="E2155" t="s">
        <v>836</v>
      </c>
      <c r="F2155" s="32">
        <v>46430</v>
      </c>
      <c r="G2155" t="s">
        <v>514</v>
      </c>
      <c r="H2155">
        <v>47128581</v>
      </c>
      <c r="I2155" t="s">
        <v>1525</v>
      </c>
      <c r="J2155" t="s">
        <v>1539</v>
      </c>
      <c r="K2155" t="s">
        <v>530</v>
      </c>
      <c r="N2155">
        <v>0</v>
      </c>
      <c r="O2155">
        <v>0</v>
      </c>
      <c r="P2155" t="str">
        <f t="shared" si="33"/>
        <v>N</v>
      </c>
      <c r="Q2155" t="s">
        <v>7885</v>
      </c>
    </row>
    <row r="2156" spans="1:17" x14ac:dyDescent="0.25">
      <c r="A2156" t="s">
        <v>1987</v>
      </c>
      <c r="B2156" t="s">
        <v>1135</v>
      </c>
      <c r="C2156">
        <v>2027</v>
      </c>
      <c r="D2156" t="s">
        <v>628</v>
      </c>
      <c r="E2156" t="s">
        <v>836</v>
      </c>
      <c r="F2156" s="32">
        <v>46430</v>
      </c>
      <c r="G2156" t="s">
        <v>514</v>
      </c>
      <c r="H2156">
        <v>47146464</v>
      </c>
      <c r="I2156" t="s">
        <v>1438</v>
      </c>
      <c r="J2156" t="s">
        <v>1437</v>
      </c>
      <c r="K2156" t="s">
        <v>530</v>
      </c>
      <c r="N2156">
        <v>0</v>
      </c>
      <c r="O2156">
        <v>0</v>
      </c>
      <c r="P2156" t="str">
        <f t="shared" si="33"/>
        <v>N</v>
      </c>
      <c r="Q2156" t="s">
        <v>7886</v>
      </c>
    </row>
    <row r="2157" spans="1:17" x14ac:dyDescent="0.25">
      <c r="A2157" t="s">
        <v>1988</v>
      </c>
      <c r="B2157" t="s">
        <v>1135</v>
      </c>
      <c r="C2157">
        <v>2027</v>
      </c>
      <c r="D2157" t="s">
        <v>628</v>
      </c>
      <c r="E2157" t="s">
        <v>836</v>
      </c>
      <c r="F2157" s="32">
        <v>46430</v>
      </c>
      <c r="G2157" t="s">
        <v>514</v>
      </c>
      <c r="H2157">
        <v>47146463</v>
      </c>
      <c r="I2157" t="s">
        <v>1441</v>
      </c>
      <c r="J2157" t="s">
        <v>1440</v>
      </c>
      <c r="K2157" t="s">
        <v>530</v>
      </c>
      <c r="N2157">
        <v>0</v>
      </c>
      <c r="O2157">
        <v>0</v>
      </c>
      <c r="P2157" t="str">
        <f t="shared" si="33"/>
        <v>N</v>
      </c>
      <c r="Q2157" t="s">
        <v>7887</v>
      </c>
    </row>
    <row r="2158" spans="1:17" x14ac:dyDescent="0.25">
      <c r="A2158" t="s">
        <v>1989</v>
      </c>
      <c r="B2158" t="s">
        <v>1135</v>
      </c>
      <c r="C2158">
        <v>2027</v>
      </c>
      <c r="D2158" t="s">
        <v>628</v>
      </c>
      <c r="E2158" t="s">
        <v>836</v>
      </c>
      <c r="F2158" s="32">
        <v>46430</v>
      </c>
      <c r="G2158" t="s">
        <v>514</v>
      </c>
      <c r="H2158">
        <v>47128729</v>
      </c>
      <c r="I2158" t="s">
        <v>1149</v>
      </c>
      <c r="J2158" t="s">
        <v>1148</v>
      </c>
      <c r="K2158" t="s">
        <v>530</v>
      </c>
      <c r="N2158">
        <v>0</v>
      </c>
      <c r="O2158">
        <v>0</v>
      </c>
      <c r="P2158" t="str">
        <f t="shared" si="33"/>
        <v>N</v>
      </c>
      <c r="Q2158" t="s">
        <v>7888</v>
      </c>
    </row>
    <row r="2159" spans="1:17" x14ac:dyDescent="0.25">
      <c r="A2159" t="s">
        <v>1990</v>
      </c>
      <c r="B2159" t="s">
        <v>1135</v>
      </c>
      <c r="C2159">
        <v>2027</v>
      </c>
      <c r="D2159" t="s">
        <v>628</v>
      </c>
      <c r="E2159" t="s">
        <v>836</v>
      </c>
      <c r="F2159" s="32">
        <v>46430</v>
      </c>
      <c r="G2159" t="s">
        <v>514</v>
      </c>
      <c r="H2159">
        <v>47128413</v>
      </c>
      <c r="I2159" t="s">
        <v>1397</v>
      </c>
      <c r="J2159" t="s">
        <v>1396</v>
      </c>
      <c r="K2159" t="s">
        <v>530</v>
      </c>
      <c r="N2159">
        <v>0</v>
      </c>
      <c r="O2159">
        <v>0</v>
      </c>
      <c r="P2159" t="str">
        <f t="shared" si="33"/>
        <v>N</v>
      </c>
      <c r="Q2159" t="s">
        <v>7889</v>
      </c>
    </row>
    <row r="2160" spans="1:17" x14ac:dyDescent="0.25">
      <c r="A2160" t="s">
        <v>1991</v>
      </c>
      <c r="B2160" t="s">
        <v>1135</v>
      </c>
      <c r="C2160">
        <v>2027</v>
      </c>
      <c r="D2160" t="s">
        <v>628</v>
      </c>
      <c r="E2160" t="s">
        <v>836</v>
      </c>
      <c r="F2160" s="32">
        <v>46430</v>
      </c>
      <c r="G2160" t="s">
        <v>514</v>
      </c>
      <c r="H2160">
        <v>47128783</v>
      </c>
      <c r="I2160" t="s">
        <v>1280</v>
      </c>
      <c r="J2160" t="s">
        <v>1279</v>
      </c>
      <c r="K2160" t="s">
        <v>530</v>
      </c>
      <c r="N2160">
        <v>0</v>
      </c>
      <c r="O2160">
        <v>0</v>
      </c>
      <c r="P2160" t="str">
        <f t="shared" si="33"/>
        <v>N</v>
      </c>
      <c r="Q2160" t="s">
        <v>7890</v>
      </c>
    </row>
    <row r="2161" spans="1:17" x14ac:dyDescent="0.25">
      <c r="A2161" t="s">
        <v>1992</v>
      </c>
      <c r="B2161" t="s">
        <v>1135</v>
      </c>
      <c r="C2161">
        <v>2027</v>
      </c>
      <c r="D2161" t="s">
        <v>628</v>
      </c>
      <c r="E2161" t="s">
        <v>836</v>
      </c>
      <c r="F2161" s="32">
        <v>46430</v>
      </c>
      <c r="G2161" t="s">
        <v>514</v>
      </c>
      <c r="H2161">
        <v>47128944</v>
      </c>
      <c r="I2161" t="s">
        <v>1137</v>
      </c>
      <c r="J2161" t="s">
        <v>1136</v>
      </c>
      <c r="K2161" t="s">
        <v>530</v>
      </c>
      <c r="N2161">
        <v>0</v>
      </c>
      <c r="O2161">
        <v>0</v>
      </c>
      <c r="P2161" t="str">
        <f t="shared" si="33"/>
        <v>N</v>
      </c>
      <c r="Q2161" t="s">
        <v>7891</v>
      </c>
    </row>
    <row r="2162" spans="1:17" x14ac:dyDescent="0.25">
      <c r="A2162" t="s">
        <v>1993</v>
      </c>
      <c r="B2162" t="s">
        <v>1135</v>
      </c>
      <c r="C2162">
        <v>2027</v>
      </c>
      <c r="D2162" t="s">
        <v>628</v>
      </c>
      <c r="E2162" t="s">
        <v>836</v>
      </c>
      <c r="F2162" s="32">
        <v>46430</v>
      </c>
      <c r="G2162" t="s">
        <v>514</v>
      </c>
      <c r="H2162">
        <v>47129547</v>
      </c>
      <c r="I2162" t="s">
        <v>1128</v>
      </c>
      <c r="J2162" t="s">
        <v>1352</v>
      </c>
      <c r="K2162" t="s">
        <v>530</v>
      </c>
      <c r="N2162">
        <v>129</v>
      </c>
      <c r="O2162">
        <v>129</v>
      </c>
      <c r="P2162" t="str">
        <f t="shared" si="33"/>
        <v>N</v>
      </c>
      <c r="Q2162" t="s">
        <v>7892</v>
      </c>
    </row>
    <row r="2163" spans="1:17" x14ac:dyDescent="0.25">
      <c r="A2163" t="s">
        <v>1994</v>
      </c>
      <c r="B2163" t="s">
        <v>1135</v>
      </c>
      <c r="C2163">
        <v>2027</v>
      </c>
      <c r="D2163" t="s">
        <v>628</v>
      </c>
      <c r="E2163" t="s">
        <v>836</v>
      </c>
      <c r="F2163" s="32">
        <v>46430</v>
      </c>
      <c r="G2163" t="s">
        <v>514</v>
      </c>
      <c r="H2163">
        <v>47128518</v>
      </c>
      <c r="I2163" t="s">
        <v>1232</v>
      </c>
      <c r="J2163" t="s">
        <v>1493</v>
      </c>
      <c r="K2163" t="s">
        <v>530</v>
      </c>
      <c r="N2163">
        <v>0</v>
      </c>
      <c r="O2163">
        <v>0</v>
      </c>
      <c r="P2163" t="str">
        <f t="shared" si="33"/>
        <v>N</v>
      </c>
      <c r="Q2163" t="s">
        <v>7893</v>
      </c>
    </row>
    <row r="2164" spans="1:17" x14ac:dyDescent="0.25">
      <c r="A2164" t="s">
        <v>1995</v>
      </c>
      <c r="B2164" t="s">
        <v>1135</v>
      </c>
      <c r="C2164">
        <v>2027</v>
      </c>
      <c r="D2164" t="s">
        <v>628</v>
      </c>
      <c r="E2164" t="s">
        <v>836</v>
      </c>
      <c r="F2164" s="32">
        <v>46430</v>
      </c>
      <c r="G2164" t="s">
        <v>514</v>
      </c>
      <c r="H2164">
        <v>47128168</v>
      </c>
      <c r="I2164" t="s">
        <v>1100</v>
      </c>
      <c r="J2164" t="s">
        <v>1099</v>
      </c>
      <c r="K2164" t="s">
        <v>530</v>
      </c>
      <c r="N2164">
        <v>0</v>
      </c>
      <c r="O2164">
        <v>0</v>
      </c>
      <c r="P2164" t="str">
        <f t="shared" si="33"/>
        <v>N</v>
      </c>
      <c r="Q2164" t="s">
        <v>7894</v>
      </c>
    </row>
    <row r="2165" spans="1:17" x14ac:dyDescent="0.25">
      <c r="A2165" t="s">
        <v>1996</v>
      </c>
      <c r="B2165" t="s">
        <v>1135</v>
      </c>
      <c r="C2165">
        <v>2027</v>
      </c>
      <c r="D2165" t="s">
        <v>628</v>
      </c>
      <c r="E2165" t="s">
        <v>836</v>
      </c>
      <c r="F2165" s="32">
        <v>46430</v>
      </c>
      <c r="G2165" t="s">
        <v>514</v>
      </c>
      <c r="H2165">
        <v>47128687</v>
      </c>
      <c r="I2165" t="s">
        <v>1153</v>
      </c>
      <c r="J2165" t="s">
        <v>1152</v>
      </c>
      <c r="K2165" t="s">
        <v>530</v>
      </c>
      <c r="N2165">
        <v>0</v>
      </c>
      <c r="O2165">
        <v>0</v>
      </c>
      <c r="P2165" t="str">
        <f t="shared" si="33"/>
        <v>N</v>
      </c>
      <c r="Q2165" t="s">
        <v>7895</v>
      </c>
    </row>
    <row r="2166" spans="1:17" x14ac:dyDescent="0.25">
      <c r="A2166" t="s">
        <v>1997</v>
      </c>
      <c r="B2166" t="s">
        <v>1135</v>
      </c>
      <c r="C2166">
        <v>2027</v>
      </c>
      <c r="D2166" t="s">
        <v>628</v>
      </c>
      <c r="E2166" t="s">
        <v>836</v>
      </c>
      <c r="F2166" s="32">
        <v>46430</v>
      </c>
      <c r="G2166" t="s">
        <v>514</v>
      </c>
      <c r="H2166">
        <v>47128585</v>
      </c>
      <c r="I2166" t="s">
        <v>1141</v>
      </c>
      <c r="J2166" t="s">
        <v>1140</v>
      </c>
      <c r="K2166" t="s">
        <v>530</v>
      </c>
      <c r="N2166">
        <v>0</v>
      </c>
      <c r="O2166">
        <v>0</v>
      </c>
      <c r="P2166" t="str">
        <f t="shared" si="33"/>
        <v>N</v>
      </c>
      <c r="Q2166" t="s">
        <v>7896</v>
      </c>
    </row>
    <row r="2167" spans="1:17" x14ac:dyDescent="0.25">
      <c r="A2167" t="s">
        <v>1998</v>
      </c>
      <c r="B2167" t="s">
        <v>1135</v>
      </c>
      <c r="C2167">
        <v>2027</v>
      </c>
      <c r="D2167" t="s">
        <v>628</v>
      </c>
      <c r="E2167" t="s">
        <v>836</v>
      </c>
      <c r="F2167" s="32">
        <v>46430</v>
      </c>
      <c r="G2167" t="s">
        <v>514</v>
      </c>
      <c r="H2167">
        <v>47128906</v>
      </c>
      <c r="I2167" t="s">
        <v>1349</v>
      </c>
      <c r="J2167" t="s">
        <v>1348</v>
      </c>
      <c r="K2167" t="s">
        <v>530</v>
      </c>
      <c r="N2167">
        <v>0</v>
      </c>
      <c r="O2167">
        <v>0</v>
      </c>
      <c r="P2167" t="str">
        <f t="shared" si="33"/>
        <v>N</v>
      </c>
      <c r="Q2167" t="s">
        <v>7897</v>
      </c>
    </row>
    <row r="2168" spans="1:17" x14ac:dyDescent="0.25">
      <c r="A2168" t="s">
        <v>1999</v>
      </c>
      <c r="B2168" t="s">
        <v>1135</v>
      </c>
      <c r="C2168">
        <v>2027</v>
      </c>
      <c r="D2168" t="s">
        <v>628</v>
      </c>
      <c r="E2168" t="s">
        <v>836</v>
      </c>
      <c r="F2168" s="32">
        <v>46430</v>
      </c>
      <c r="G2168" t="s">
        <v>514</v>
      </c>
      <c r="H2168">
        <v>47128585</v>
      </c>
      <c r="I2168" t="s">
        <v>1141</v>
      </c>
      <c r="J2168" t="s">
        <v>1408</v>
      </c>
      <c r="K2168" t="s">
        <v>530</v>
      </c>
      <c r="N2168">
        <v>0</v>
      </c>
      <c r="O2168">
        <v>0</v>
      </c>
      <c r="P2168" t="str">
        <f t="shared" si="33"/>
        <v>N</v>
      </c>
      <c r="Q2168" t="s">
        <v>7898</v>
      </c>
    </row>
    <row r="2169" spans="1:17" x14ac:dyDescent="0.25">
      <c r="A2169" t="s">
        <v>2000</v>
      </c>
      <c r="B2169" t="s">
        <v>1135</v>
      </c>
      <c r="C2169">
        <v>2027</v>
      </c>
      <c r="D2169" t="s">
        <v>628</v>
      </c>
      <c r="E2169" t="s">
        <v>836</v>
      </c>
      <c r="F2169" s="32">
        <v>46430</v>
      </c>
      <c r="G2169" t="s">
        <v>514</v>
      </c>
      <c r="H2169">
        <v>47128518</v>
      </c>
      <c r="I2169" t="s">
        <v>1232</v>
      </c>
      <c r="J2169" t="s">
        <v>1231</v>
      </c>
      <c r="K2169" t="s">
        <v>530</v>
      </c>
      <c r="N2169">
        <v>0</v>
      </c>
      <c r="O2169">
        <v>0</v>
      </c>
      <c r="P2169" t="str">
        <f t="shared" si="33"/>
        <v>N</v>
      </c>
      <c r="Q2169" t="s">
        <v>7899</v>
      </c>
    </row>
    <row r="2170" spans="1:17" x14ac:dyDescent="0.25">
      <c r="A2170" t="s">
        <v>2001</v>
      </c>
      <c r="B2170" t="s">
        <v>1135</v>
      </c>
      <c r="C2170">
        <v>2027</v>
      </c>
      <c r="D2170" t="s">
        <v>628</v>
      </c>
      <c r="E2170" t="s">
        <v>836</v>
      </c>
      <c r="F2170" s="32">
        <v>46430</v>
      </c>
      <c r="G2170" t="s">
        <v>514</v>
      </c>
      <c r="H2170">
        <v>47128680</v>
      </c>
      <c r="I2170" t="s">
        <v>1284</v>
      </c>
      <c r="J2170" t="s">
        <v>1283</v>
      </c>
      <c r="K2170" t="s">
        <v>530</v>
      </c>
      <c r="N2170">
        <v>0</v>
      </c>
      <c r="O2170">
        <v>0</v>
      </c>
      <c r="P2170" t="str">
        <f t="shared" si="33"/>
        <v>N</v>
      </c>
      <c r="Q2170" t="s">
        <v>7900</v>
      </c>
    </row>
    <row r="2171" spans="1:17" x14ac:dyDescent="0.25">
      <c r="A2171" t="s">
        <v>2002</v>
      </c>
      <c r="B2171" t="s">
        <v>1135</v>
      </c>
      <c r="C2171">
        <v>2027</v>
      </c>
      <c r="D2171" t="s">
        <v>628</v>
      </c>
      <c r="E2171" t="s">
        <v>836</v>
      </c>
      <c r="F2171" s="32">
        <v>46430</v>
      </c>
      <c r="G2171" t="s">
        <v>514</v>
      </c>
      <c r="H2171">
        <v>47128024</v>
      </c>
      <c r="I2171" t="s">
        <v>1108</v>
      </c>
      <c r="J2171" t="s">
        <v>1107</v>
      </c>
      <c r="K2171" t="s">
        <v>530</v>
      </c>
      <c r="N2171">
        <v>0</v>
      </c>
      <c r="O2171">
        <v>0</v>
      </c>
      <c r="P2171" t="str">
        <f t="shared" si="33"/>
        <v>N</v>
      </c>
      <c r="Q2171" t="s">
        <v>7901</v>
      </c>
    </row>
    <row r="2172" spans="1:17" x14ac:dyDescent="0.25">
      <c r="A2172" t="s">
        <v>2003</v>
      </c>
      <c r="B2172" t="s">
        <v>1135</v>
      </c>
      <c r="C2172">
        <v>2027</v>
      </c>
      <c r="D2172" t="s">
        <v>628</v>
      </c>
      <c r="E2172" t="s">
        <v>836</v>
      </c>
      <c r="F2172" s="32">
        <v>46430</v>
      </c>
      <c r="G2172" t="s">
        <v>514</v>
      </c>
      <c r="H2172">
        <v>47128944</v>
      </c>
      <c r="I2172" t="s">
        <v>1137</v>
      </c>
      <c r="J2172" t="s">
        <v>1513</v>
      </c>
      <c r="K2172" t="s">
        <v>530</v>
      </c>
      <c r="N2172">
        <v>0</v>
      </c>
      <c r="O2172">
        <v>0</v>
      </c>
      <c r="P2172" t="str">
        <f t="shared" si="33"/>
        <v>N</v>
      </c>
      <c r="Q2172" t="s">
        <v>7902</v>
      </c>
    </row>
    <row r="2173" spans="1:17" x14ac:dyDescent="0.25">
      <c r="A2173" t="s">
        <v>2004</v>
      </c>
      <c r="B2173" t="s">
        <v>1135</v>
      </c>
      <c r="C2173">
        <v>2027</v>
      </c>
      <c r="D2173" t="s">
        <v>628</v>
      </c>
      <c r="E2173" t="s">
        <v>836</v>
      </c>
      <c r="F2173" s="32">
        <v>46430</v>
      </c>
      <c r="G2173" t="s">
        <v>514</v>
      </c>
      <c r="H2173">
        <v>47147546</v>
      </c>
      <c r="I2173" t="s">
        <v>1077</v>
      </c>
      <c r="J2173" t="s">
        <v>1076</v>
      </c>
      <c r="K2173" t="s">
        <v>530</v>
      </c>
      <c r="N2173">
        <v>0</v>
      </c>
      <c r="O2173">
        <v>0</v>
      </c>
      <c r="P2173" t="str">
        <f t="shared" si="33"/>
        <v>N</v>
      </c>
      <c r="Q2173" t="s">
        <v>7903</v>
      </c>
    </row>
    <row r="2174" spans="1:17" x14ac:dyDescent="0.25">
      <c r="A2174" t="s">
        <v>2005</v>
      </c>
      <c r="B2174" t="s">
        <v>1135</v>
      </c>
      <c r="C2174">
        <v>2027</v>
      </c>
      <c r="D2174" t="s">
        <v>628</v>
      </c>
      <c r="E2174" t="s">
        <v>836</v>
      </c>
      <c r="F2174" s="32">
        <v>46430</v>
      </c>
      <c r="G2174" t="s">
        <v>514</v>
      </c>
      <c r="H2174">
        <v>47128346</v>
      </c>
      <c r="I2174" t="s">
        <v>1157</v>
      </c>
      <c r="J2174" t="s">
        <v>1156</v>
      </c>
      <c r="K2174" t="s">
        <v>530</v>
      </c>
      <c r="N2174">
        <v>0</v>
      </c>
      <c r="O2174">
        <v>0</v>
      </c>
      <c r="P2174" t="str">
        <f t="shared" si="33"/>
        <v>N</v>
      </c>
      <c r="Q2174" t="s">
        <v>7904</v>
      </c>
    </row>
    <row r="2175" spans="1:17" x14ac:dyDescent="0.25">
      <c r="A2175" t="s">
        <v>2006</v>
      </c>
      <c r="B2175" t="s">
        <v>1135</v>
      </c>
      <c r="C2175">
        <v>2027</v>
      </c>
      <c r="D2175" t="s">
        <v>628</v>
      </c>
      <c r="E2175" t="s">
        <v>836</v>
      </c>
      <c r="F2175" s="32">
        <v>46430</v>
      </c>
      <c r="G2175" t="s">
        <v>514</v>
      </c>
      <c r="H2175">
        <v>47128800</v>
      </c>
      <c r="I2175" t="s">
        <v>1145</v>
      </c>
      <c r="J2175" t="s">
        <v>1144</v>
      </c>
      <c r="K2175" t="s">
        <v>530</v>
      </c>
      <c r="N2175">
        <v>0</v>
      </c>
      <c r="O2175">
        <v>0</v>
      </c>
      <c r="P2175" t="str">
        <f t="shared" si="33"/>
        <v>N</v>
      </c>
      <c r="Q2175" t="s">
        <v>7905</v>
      </c>
    </row>
    <row r="2176" spans="1:17" x14ac:dyDescent="0.25">
      <c r="A2176" t="s">
        <v>2007</v>
      </c>
      <c r="B2176" t="s">
        <v>1135</v>
      </c>
      <c r="C2176">
        <v>2027</v>
      </c>
      <c r="D2176" t="s">
        <v>628</v>
      </c>
      <c r="E2176" t="s">
        <v>836</v>
      </c>
      <c r="F2176" s="32">
        <v>46430</v>
      </c>
      <c r="G2176" t="s">
        <v>514</v>
      </c>
      <c r="H2176">
        <v>47128109</v>
      </c>
      <c r="I2176" t="s">
        <v>1336</v>
      </c>
      <c r="J2176" t="s">
        <v>1335</v>
      </c>
      <c r="K2176" t="s">
        <v>530</v>
      </c>
      <c r="N2176">
        <v>0</v>
      </c>
      <c r="O2176">
        <v>0</v>
      </c>
      <c r="P2176" t="str">
        <f t="shared" si="33"/>
        <v>N</v>
      </c>
      <c r="Q2176" t="s">
        <v>7906</v>
      </c>
    </row>
    <row r="2177" spans="1:17" x14ac:dyDescent="0.25">
      <c r="A2177" t="s">
        <v>2008</v>
      </c>
      <c r="B2177" t="s">
        <v>1135</v>
      </c>
      <c r="C2177">
        <v>2027</v>
      </c>
      <c r="D2177" t="s">
        <v>628</v>
      </c>
      <c r="E2177" t="s">
        <v>836</v>
      </c>
      <c r="F2177" s="32">
        <v>46430</v>
      </c>
      <c r="G2177" t="s">
        <v>514</v>
      </c>
      <c r="H2177">
        <v>47128430</v>
      </c>
      <c r="I2177" t="s">
        <v>1401</v>
      </c>
      <c r="J2177" t="s">
        <v>1400</v>
      </c>
      <c r="K2177" t="s">
        <v>530</v>
      </c>
      <c r="N2177">
        <v>0</v>
      </c>
      <c r="O2177">
        <v>0</v>
      </c>
      <c r="P2177" t="str">
        <f t="shared" si="33"/>
        <v>N</v>
      </c>
      <c r="Q2177" t="s">
        <v>7907</v>
      </c>
    </row>
    <row r="2178" spans="1:17" x14ac:dyDescent="0.25">
      <c r="A2178" t="s">
        <v>2009</v>
      </c>
      <c r="B2178" t="s">
        <v>1135</v>
      </c>
      <c r="C2178">
        <v>2027</v>
      </c>
      <c r="D2178" t="s">
        <v>628</v>
      </c>
      <c r="E2178" t="s">
        <v>836</v>
      </c>
      <c r="F2178" s="32">
        <v>46430</v>
      </c>
      <c r="G2178" t="s">
        <v>514</v>
      </c>
      <c r="H2178">
        <v>47128522</v>
      </c>
      <c r="I2178" t="s">
        <v>1092</v>
      </c>
      <c r="J2178" t="s">
        <v>1091</v>
      </c>
      <c r="K2178" t="s">
        <v>530</v>
      </c>
      <c r="N2178">
        <v>0</v>
      </c>
      <c r="O2178">
        <v>0</v>
      </c>
      <c r="P2178" t="str">
        <f t="shared" si="33"/>
        <v>N</v>
      </c>
      <c r="Q2178" t="s">
        <v>7908</v>
      </c>
    </row>
    <row r="2179" spans="1:17" x14ac:dyDescent="0.25">
      <c r="A2179" t="s">
        <v>2010</v>
      </c>
      <c r="B2179" t="s">
        <v>1135</v>
      </c>
      <c r="C2179">
        <v>2027</v>
      </c>
      <c r="D2179" t="s">
        <v>628</v>
      </c>
      <c r="E2179" t="s">
        <v>836</v>
      </c>
      <c r="F2179" s="32">
        <v>46430</v>
      </c>
      <c r="G2179" t="s">
        <v>514</v>
      </c>
      <c r="H2179">
        <v>47147546</v>
      </c>
      <c r="I2179" t="s">
        <v>1077</v>
      </c>
      <c r="J2179" t="s">
        <v>1381</v>
      </c>
      <c r="K2179" t="s">
        <v>530</v>
      </c>
      <c r="N2179">
        <v>0</v>
      </c>
      <c r="O2179">
        <v>0</v>
      </c>
      <c r="P2179" t="str">
        <f t="shared" ref="P2179:P2242" si="34">IF(N2179=O2179,"N","Y")</f>
        <v>N</v>
      </c>
      <c r="Q2179" t="s">
        <v>7909</v>
      </c>
    </row>
    <row r="2180" spans="1:17" x14ac:dyDescent="0.25">
      <c r="A2180" t="s">
        <v>2011</v>
      </c>
      <c r="B2180" t="s">
        <v>1135</v>
      </c>
      <c r="C2180">
        <v>2027</v>
      </c>
      <c r="D2180" t="s">
        <v>628</v>
      </c>
      <c r="E2180" t="s">
        <v>836</v>
      </c>
      <c r="F2180" s="32">
        <v>46430</v>
      </c>
      <c r="G2180" t="s">
        <v>514</v>
      </c>
      <c r="H2180">
        <v>47147658</v>
      </c>
      <c r="I2180" t="s">
        <v>1276</v>
      </c>
      <c r="J2180" t="s">
        <v>1275</v>
      </c>
      <c r="K2180" t="s">
        <v>530</v>
      </c>
      <c r="N2180">
        <v>0</v>
      </c>
      <c r="O2180">
        <v>0</v>
      </c>
      <c r="P2180" t="str">
        <f t="shared" si="34"/>
        <v>N</v>
      </c>
      <c r="Q2180" t="s">
        <v>7910</v>
      </c>
    </row>
    <row r="2181" spans="1:17" x14ac:dyDescent="0.25">
      <c r="A2181" t="s">
        <v>2012</v>
      </c>
      <c r="B2181" t="s">
        <v>1135</v>
      </c>
      <c r="C2181">
        <v>2027</v>
      </c>
      <c r="D2181" t="s">
        <v>628</v>
      </c>
      <c r="E2181" t="s">
        <v>836</v>
      </c>
      <c r="F2181" s="32">
        <v>46430</v>
      </c>
      <c r="G2181" t="s">
        <v>514</v>
      </c>
      <c r="H2181">
        <v>47147546</v>
      </c>
      <c r="I2181" t="s">
        <v>1077</v>
      </c>
      <c r="J2181" t="s">
        <v>1171</v>
      </c>
      <c r="K2181" t="s">
        <v>530</v>
      </c>
      <c r="N2181">
        <v>0</v>
      </c>
      <c r="O2181">
        <v>0</v>
      </c>
      <c r="P2181" t="str">
        <f t="shared" si="34"/>
        <v>N</v>
      </c>
      <c r="Q2181" t="s">
        <v>7911</v>
      </c>
    </row>
    <row r="2182" spans="1:17" x14ac:dyDescent="0.25">
      <c r="A2182" t="s">
        <v>2013</v>
      </c>
      <c r="B2182" t="s">
        <v>1135</v>
      </c>
      <c r="C2182">
        <v>2027</v>
      </c>
      <c r="D2182" t="s">
        <v>628</v>
      </c>
      <c r="E2182" t="s">
        <v>836</v>
      </c>
      <c r="F2182" s="32">
        <v>46430</v>
      </c>
      <c r="G2182" t="s">
        <v>514</v>
      </c>
      <c r="H2182">
        <v>47128028</v>
      </c>
      <c r="I2182" t="s">
        <v>1035</v>
      </c>
      <c r="J2182" t="s">
        <v>1034</v>
      </c>
      <c r="K2182" t="s">
        <v>530</v>
      </c>
      <c r="N2182">
        <v>0</v>
      </c>
      <c r="O2182">
        <v>0</v>
      </c>
      <c r="P2182" t="str">
        <f t="shared" si="34"/>
        <v>N</v>
      </c>
      <c r="Q2182" t="s">
        <v>7912</v>
      </c>
    </row>
    <row r="2183" spans="1:17" x14ac:dyDescent="0.25">
      <c r="A2183" t="s">
        <v>2014</v>
      </c>
      <c r="B2183" t="s">
        <v>1135</v>
      </c>
      <c r="C2183">
        <v>2027</v>
      </c>
      <c r="D2183" t="s">
        <v>628</v>
      </c>
      <c r="E2183" t="s">
        <v>836</v>
      </c>
      <c r="F2183" s="32">
        <v>46430</v>
      </c>
      <c r="G2183" t="s">
        <v>514</v>
      </c>
      <c r="H2183">
        <v>47128465</v>
      </c>
      <c r="I2183" t="s">
        <v>1333</v>
      </c>
      <c r="J2183" t="s">
        <v>1332</v>
      </c>
      <c r="K2183" t="s">
        <v>530</v>
      </c>
      <c r="N2183">
        <v>0</v>
      </c>
      <c r="O2183">
        <v>0</v>
      </c>
      <c r="P2183" t="str">
        <f t="shared" si="34"/>
        <v>N</v>
      </c>
      <c r="Q2183" t="s">
        <v>7913</v>
      </c>
    </row>
    <row r="2184" spans="1:17" x14ac:dyDescent="0.25">
      <c r="A2184" t="s">
        <v>2015</v>
      </c>
      <c r="B2184" t="s">
        <v>1135</v>
      </c>
      <c r="C2184">
        <v>2027</v>
      </c>
      <c r="D2184" t="s">
        <v>628</v>
      </c>
      <c r="E2184" t="s">
        <v>836</v>
      </c>
      <c r="F2184" s="32">
        <v>46430</v>
      </c>
      <c r="G2184" t="s">
        <v>514</v>
      </c>
      <c r="H2184">
        <v>47128548</v>
      </c>
      <c r="I2184" t="s">
        <v>958</v>
      </c>
      <c r="J2184" t="s">
        <v>957</v>
      </c>
      <c r="K2184" t="s">
        <v>530</v>
      </c>
      <c r="N2184">
        <v>0</v>
      </c>
      <c r="O2184">
        <v>0</v>
      </c>
      <c r="P2184" t="str">
        <f t="shared" si="34"/>
        <v>N</v>
      </c>
      <c r="Q2184" t="s">
        <v>7914</v>
      </c>
    </row>
    <row r="2185" spans="1:17" x14ac:dyDescent="0.25">
      <c r="A2185" t="s">
        <v>2431</v>
      </c>
      <c r="B2185" t="s">
        <v>2344</v>
      </c>
      <c r="C2185">
        <v>2027</v>
      </c>
      <c r="D2185" t="s">
        <v>628</v>
      </c>
      <c r="E2185" t="s">
        <v>836</v>
      </c>
      <c r="F2185" s="32">
        <v>46430</v>
      </c>
      <c r="G2185" t="s">
        <v>514</v>
      </c>
      <c r="H2185">
        <v>47128820</v>
      </c>
      <c r="I2185" t="s">
        <v>2411</v>
      </c>
      <c r="J2185" t="s">
        <v>2412</v>
      </c>
      <c r="K2185" t="s">
        <v>530</v>
      </c>
      <c r="N2185">
        <v>0</v>
      </c>
      <c r="O2185">
        <v>0</v>
      </c>
      <c r="P2185" t="str">
        <f t="shared" si="34"/>
        <v>N</v>
      </c>
      <c r="Q2185" t="s">
        <v>7915</v>
      </c>
    </row>
    <row r="2186" spans="1:17" x14ac:dyDescent="0.25">
      <c r="A2186" t="s">
        <v>2432</v>
      </c>
      <c r="B2186" t="s">
        <v>2344</v>
      </c>
      <c r="C2186">
        <v>2027</v>
      </c>
      <c r="D2186" t="s">
        <v>628</v>
      </c>
      <c r="E2186" t="s">
        <v>836</v>
      </c>
      <c r="F2186" s="32">
        <v>46430</v>
      </c>
      <c r="G2186" t="s">
        <v>514</v>
      </c>
      <c r="H2186">
        <v>47128378</v>
      </c>
      <c r="I2186" t="s">
        <v>2392</v>
      </c>
      <c r="J2186" t="s">
        <v>2393</v>
      </c>
      <c r="K2186" t="s">
        <v>530</v>
      </c>
      <c r="N2186">
        <v>0</v>
      </c>
      <c r="O2186">
        <v>0</v>
      </c>
      <c r="P2186" t="str">
        <f t="shared" si="34"/>
        <v>N</v>
      </c>
      <c r="Q2186" t="s">
        <v>7916</v>
      </c>
    </row>
    <row r="2187" spans="1:17" x14ac:dyDescent="0.25">
      <c r="A2187" t="s">
        <v>2433</v>
      </c>
      <c r="B2187" t="s">
        <v>2344</v>
      </c>
      <c r="C2187">
        <v>2027</v>
      </c>
      <c r="D2187" t="s">
        <v>628</v>
      </c>
      <c r="E2187" t="s">
        <v>836</v>
      </c>
      <c r="F2187" s="32">
        <v>46430</v>
      </c>
      <c r="G2187" t="s">
        <v>514</v>
      </c>
      <c r="H2187">
        <v>47128020</v>
      </c>
      <c r="I2187" t="s">
        <v>2395</v>
      </c>
      <c r="J2187" t="s">
        <v>2396</v>
      </c>
      <c r="K2187" t="s">
        <v>530</v>
      </c>
      <c r="N2187">
        <v>0</v>
      </c>
      <c r="O2187">
        <v>0</v>
      </c>
      <c r="P2187" t="str">
        <f t="shared" si="34"/>
        <v>N</v>
      </c>
      <c r="Q2187" t="s">
        <v>7917</v>
      </c>
    </row>
    <row r="2188" spans="1:17" x14ac:dyDescent="0.25">
      <c r="A2188" t="s">
        <v>2434</v>
      </c>
      <c r="B2188" t="s">
        <v>2344</v>
      </c>
      <c r="C2188">
        <v>2027</v>
      </c>
      <c r="D2188" t="s">
        <v>628</v>
      </c>
      <c r="E2188" t="s">
        <v>836</v>
      </c>
      <c r="F2188" s="32">
        <v>46430</v>
      </c>
      <c r="G2188" t="s">
        <v>514</v>
      </c>
      <c r="H2188">
        <v>47128459</v>
      </c>
      <c r="I2188" t="s">
        <v>2398</v>
      </c>
      <c r="J2188" t="s">
        <v>2399</v>
      </c>
      <c r="K2188" t="s">
        <v>530</v>
      </c>
      <c r="N2188">
        <v>0</v>
      </c>
      <c r="O2188">
        <v>0</v>
      </c>
      <c r="P2188" t="str">
        <f t="shared" si="34"/>
        <v>N</v>
      </c>
      <c r="Q2188" t="s">
        <v>7918</v>
      </c>
    </row>
    <row r="2189" spans="1:17" x14ac:dyDescent="0.25">
      <c r="A2189" t="s">
        <v>2638</v>
      </c>
      <c r="B2189" t="s">
        <v>2444</v>
      </c>
      <c r="C2189">
        <v>2027</v>
      </c>
      <c r="D2189" t="s">
        <v>628</v>
      </c>
      <c r="E2189" t="s">
        <v>836</v>
      </c>
      <c r="F2189" s="32">
        <v>46430</v>
      </c>
      <c r="G2189" t="s">
        <v>514</v>
      </c>
      <c r="H2189">
        <v>47128006</v>
      </c>
      <c r="I2189" t="s">
        <v>2447</v>
      </c>
      <c r="J2189" t="s">
        <v>2448</v>
      </c>
      <c r="K2189" t="s">
        <v>530</v>
      </c>
      <c r="N2189">
        <v>0</v>
      </c>
      <c r="O2189">
        <v>0</v>
      </c>
      <c r="P2189" t="str">
        <f t="shared" si="34"/>
        <v>N</v>
      </c>
      <c r="Q2189" t="s">
        <v>7919</v>
      </c>
    </row>
    <row r="2190" spans="1:17" x14ac:dyDescent="0.25">
      <c r="A2190" t="s">
        <v>2639</v>
      </c>
      <c r="B2190" t="s">
        <v>2444</v>
      </c>
      <c r="C2190">
        <v>2027</v>
      </c>
      <c r="D2190" t="s">
        <v>628</v>
      </c>
      <c r="E2190" t="s">
        <v>836</v>
      </c>
      <c r="F2190" s="32">
        <v>46430</v>
      </c>
      <c r="G2190" t="s">
        <v>514</v>
      </c>
      <c r="H2190">
        <v>47128300</v>
      </c>
      <c r="I2190" t="s">
        <v>2471</v>
      </c>
      <c r="J2190" t="s">
        <v>2472</v>
      </c>
      <c r="K2190" t="s">
        <v>530</v>
      </c>
      <c r="N2190">
        <v>0</v>
      </c>
      <c r="O2190">
        <v>0</v>
      </c>
      <c r="P2190" t="str">
        <f t="shared" si="34"/>
        <v>N</v>
      </c>
      <c r="Q2190" t="s">
        <v>7920</v>
      </c>
    </row>
    <row r="2191" spans="1:17" x14ac:dyDescent="0.25">
      <c r="A2191" t="s">
        <v>2640</v>
      </c>
      <c r="B2191" t="s">
        <v>2444</v>
      </c>
      <c r="C2191">
        <v>2027</v>
      </c>
      <c r="D2191" t="s">
        <v>628</v>
      </c>
      <c r="E2191" t="s">
        <v>836</v>
      </c>
      <c r="F2191" s="32">
        <v>46430</v>
      </c>
      <c r="G2191" t="s">
        <v>514</v>
      </c>
      <c r="H2191">
        <v>47128213</v>
      </c>
      <c r="I2191" t="s">
        <v>2456</v>
      </c>
      <c r="J2191" t="s">
        <v>2457</v>
      </c>
      <c r="K2191" t="s">
        <v>530</v>
      </c>
      <c r="N2191">
        <v>0</v>
      </c>
      <c r="O2191">
        <v>0</v>
      </c>
      <c r="P2191" t="str">
        <f t="shared" si="34"/>
        <v>N</v>
      </c>
      <c r="Q2191" t="s">
        <v>7921</v>
      </c>
    </row>
    <row r="2192" spans="1:17" x14ac:dyDescent="0.25">
      <c r="A2192" t="s">
        <v>2641</v>
      </c>
      <c r="B2192" t="s">
        <v>2444</v>
      </c>
      <c r="C2192">
        <v>2027</v>
      </c>
      <c r="D2192" t="s">
        <v>628</v>
      </c>
      <c r="E2192" t="s">
        <v>836</v>
      </c>
      <c r="F2192" s="32">
        <v>46430</v>
      </c>
      <c r="G2192" t="s">
        <v>514</v>
      </c>
      <c r="H2192">
        <v>47128667</v>
      </c>
      <c r="I2192" t="s">
        <v>2450</v>
      </c>
      <c r="J2192" t="s">
        <v>2451</v>
      </c>
      <c r="K2192" t="s">
        <v>530</v>
      </c>
      <c r="N2192">
        <v>0</v>
      </c>
      <c r="O2192">
        <v>0</v>
      </c>
      <c r="P2192" t="str">
        <f t="shared" si="34"/>
        <v>N</v>
      </c>
      <c r="Q2192" t="s">
        <v>7922</v>
      </c>
    </row>
    <row r="2193" spans="1:17" x14ac:dyDescent="0.25">
      <c r="A2193" t="s">
        <v>2642</v>
      </c>
      <c r="B2193" t="s">
        <v>2444</v>
      </c>
      <c r="C2193">
        <v>2027</v>
      </c>
      <c r="D2193" t="s">
        <v>628</v>
      </c>
      <c r="E2193" t="s">
        <v>836</v>
      </c>
      <c r="F2193" s="32">
        <v>46430</v>
      </c>
      <c r="G2193" t="s">
        <v>514</v>
      </c>
      <c r="H2193">
        <v>47128179</v>
      </c>
      <c r="I2193" t="s">
        <v>2477</v>
      </c>
      <c r="J2193" t="s">
        <v>2478</v>
      </c>
      <c r="K2193" t="s">
        <v>530</v>
      </c>
      <c r="N2193">
        <v>0</v>
      </c>
      <c r="O2193">
        <v>0</v>
      </c>
      <c r="P2193" t="str">
        <f t="shared" si="34"/>
        <v>N</v>
      </c>
      <c r="Q2193" t="s">
        <v>7923</v>
      </c>
    </row>
    <row r="2194" spans="1:17" x14ac:dyDescent="0.25">
      <c r="A2194" t="s">
        <v>2643</v>
      </c>
      <c r="B2194" t="s">
        <v>2444</v>
      </c>
      <c r="C2194">
        <v>2027</v>
      </c>
      <c r="D2194" t="s">
        <v>628</v>
      </c>
      <c r="E2194" t="s">
        <v>836</v>
      </c>
      <c r="F2194" s="32">
        <v>46430</v>
      </c>
      <c r="G2194" t="s">
        <v>514</v>
      </c>
      <c r="H2194">
        <v>47128655</v>
      </c>
      <c r="I2194" t="s">
        <v>2474</v>
      </c>
      <c r="J2194" t="s">
        <v>2475</v>
      </c>
      <c r="K2194" t="s">
        <v>530</v>
      </c>
      <c r="N2194">
        <v>0</v>
      </c>
      <c r="O2194">
        <v>0</v>
      </c>
      <c r="P2194" t="str">
        <f t="shared" si="34"/>
        <v>N</v>
      </c>
      <c r="Q2194" t="s">
        <v>7924</v>
      </c>
    </row>
    <row r="2195" spans="1:17" x14ac:dyDescent="0.25">
      <c r="A2195" t="s">
        <v>2644</v>
      </c>
      <c r="B2195" t="s">
        <v>2444</v>
      </c>
      <c r="C2195">
        <v>2027</v>
      </c>
      <c r="D2195" t="s">
        <v>628</v>
      </c>
      <c r="E2195" t="s">
        <v>836</v>
      </c>
      <c r="F2195" s="32">
        <v>46430</v>
      </c>
      <c r="G2195" t="s">
        <v>514</v>
      </c>
      <c r="H2195">
        <v>47129222</v>
      </c>
      <c r="I2195" t="s">
        <v>2459</v>
      </c>
      <c r="J2195" t="s">
        <v>2460</v>
      </c>
      <c r="K2195" t="s">
        <v>530</v>
      </c>
      <c r="N2195">
        <v>0</v>
      </c>
      <c r="O2195">
        <v>0</v>
      </c>
      <c r="P2195" t="str">
        <f t="shared" si="34"/>
        <v>N</v>
      </c>
      <c r="Q2195" t="s">
        <v>7925</v>
      </c>
    </row>
    <row r="2196" spans="1:17" x14ac:dyDescent="0.25">
      <c r="A2196" t="s">
        <v>2645</v>
      </c>
      <c r="B2196" t="s">
        <v>2444</v>
      </c>
      <c r="C2196">
        <v>2027</v>
      </c>
      <c r="D2196" t="s">
        <v>628</v>
      </c>
      <c r="E2196" t="s">
        <v>836</v>
      </c>
      <c r="F2196" s="32">
        <v>46430</v>
      </c>
      <c r="G2196" t="s">
        <v>514</v>
      </c>
      <c r="H2196">
        <v>47132096</v>
      </c>
      <c r="I2196" t="s">
        <v>2468</v>
      </c>
      <c r="J2196" t="s">
        <v>2469</v>
      </c>
      <c r="K2196" t="s">
        <v>530</v>
      </c>
      <c r="N2196">
        <v>0</v>
      </c>
      <c r="O2196">
        <v>0</v>
      </c>
      <c r="P2196" t="str">
        <f t="shared" si="34"/>
        <v>N</v>
      </c>
      <c r="Q2196" t="s">
        <v>7926</v>
      </c>
    </row>
    <row r="2197" spans="1:17" x14ac:dyDescent="0.25">
      <c r="A2197" t="s">
        <v>2646</v>
      </c>
      <c r="B2197" t="s">
        <v>2444</v>
      </c>
      <c r="C2197">
        <v>2027</v>
      </c>
      <c r="D2197" t="s">
        <v>628</v>
      </c>
      <c r="E2197" t="s">
        <v>836</v>
      </c>
      <c r="F2197" s="32">
        <v>46430</v>
      </c>
      <c r="G2197" t="s">
        <v>514</v>
      </c>
      <c r="H2197">
        <v>47128561</v>
      </c>
      <c r="I2197" t="s">
        <v>2462</v>
      </c>
      <c r="J2197" t="s">
        <v>2463</v>
      </c>
      <c r="K2197" t="s">
        <v>530</v>
      </c>
      <c r="N2197">
        <v>0</v>
      </c>
      <c r="O2197">
        <v>0</v>
      </c>
      <c r="P2197" t="str">
        <f t="shared" si="34"/>
        <v>N</v>
      </c>
      <c r="Q2197" t="s">
        <v>7927</v>
      </c>
    </row>
    <row r="2198" spans="1:17" x14ac:dyDescent="0.25">
      <c r="A2198" t="s">
        <v>2647</v>
      </c>
      <c r="B2198" t="s">
        <v>2444</v>
      </c>
      <c r="C2198">
        <v>2027</v>
      </c>
      <c r="D2198" t="s">
        <v>628</v>
      </c>
      <c r="E2198" t="s">
        <v>836</v>
      </c>
      <c r="F2198" s="32">
        <v>46430</v>
      </c>
      <c r="G2198" t="s">
        <v>514</v>
      </c>
      <c r="H2198">
        <v>47129274</v>
      </c>
      <c r="I2198" t="s">
        <v>2486</v>
      </c>
      <c r="J2198" t="s">
        <v>2487</v>
      </c>
      <c r="K2198" t="s">
        <v>530</v>
      </c>
      <c r="N2198">
        <v>0</v>
      </c>
      <c r="O2198">
        <v>0</v>
      </c>
      <c r="P2198" t="str">
        <f t="shared" si="34"/>
        <v>N</v>
      </c>
      <c r="Q2198" t="s">
        <v>7928</v>
      </c>
    </row>
    <row r="2199" spans="1:17" x14ac:dyDescent="0.25">
      <c r="A2199" t="s">
        <v>2648</v>
      </c>
      <c r="B2199" t="s">
        <v>2444</v>
      </c>
      <c r="C2199">
        <v>2027</v>
      </c>
      <c r="D2199" t="s">
        <v>628</v>
      </c>
      <c r="E2199" t="s">
        <v>836</v>
      </c>
      <c r="F2199" s="32">
        <v>46430</v>
      </c>
      <c r="G2199" t="s">
        <v>514</v>
      </c>
      <c r="H2199">
        <v>47129262</v>
      </c>
      <c r="I2199" t="s">
        <v>2453</v>
      </c>
      <c r="J2199" t="s">
        <v>2454</v>
      </c>
      <c r="K2199" t="s">
        <v>530</v>
      </c>
      <c r="N2199">
        <v>0</v>
      </c>
      <c r="O2199">
        <v>0</v>
      </c>
      <c r="P2199" t="str">
        <f t="shared" si="34"/>
        <v>N</v>
      </c>
      <c r="Q2199" t="s">
        <v>7929</v>
      </c>
    </row>
    <row r="2200" spans="1:17" x14ac:dyDescent="0.25">
      <c r="A2200" t="s">
        <v>2649</v>
      </c>
      <c r="B2200" t="s">
        <v>2444</v>
      </c>
      <c r="C2200">
        <v>2027</v>
      </c>
      <c r="D2200" t="s">
        <v>628</v>
      </c>
      <c r="E2200" t="s">
        <v>836</v>
      </c>
      <c r="F2200" s="32">
        <v>46430</v>
      </c>
      <c r="G2200" t="s">
        <v>514</v>
      </c>
      <c r="H2200">
        <v>47129558</v>
      </c>
      <c r="I2200" t="s">
        <v>2480</v>
      </c>
      <c r="J2200" t="s">
        <v>2481</v>
      </c>
      <c r="K2200" t="s">
        <v>530</v>
      </c>
      <c r="N2200">
        <v>0</v>
      </c>
      <c r="O2200">
        <v>0</v>
      </c>
      <c r="P2200" t="str">
        <f t="shared" si="34"/>
        <v>N</v>
      </c>
      <c r="Q2200" t="s">
        <v>7930</v>
      </c>
    </row>
    <row r="2201" spans="1:17" x14ac:dyDescent="0.25">
      <c r="A2201" t="s">
        <v>2650</v>
      </c>
      <c r="B2201" t="s">
        <v>2444</v>
      </c>
      <c r="C2201">
        <v>2027</v>
      </c>
      <c r="D2201" t="s">
        <v>628</v>
      </c>
      <c r="E2201" t="s">
        <v>836</v>
      </c>
      <c r="F2201" s="32">
        <v>46430</v>
      </c>
      <c r="G2201" t="s">
        <v>514</v>
      </c>
      <c r="H2201">
        <v>47129727</v>
      </c>
      <c r="I2201" t="s">
        <v>2465</v>
      </c>
      <c r="J2201" t="s">
        <v>2466</v>
      </c>
      <c r="K2201" t="s">
        <v>530</v>
      </c>
      <c r="N2201">
        <v>0</v>
      </c>
      <c r="O2201">
        <v>0</v>
      </c>
      <c r="P2201" t="str">
        <f t="shared" si="34"/>
        <v>N</v>
      </c>
      <c r="Q2201" t="s">
        <v>7931</v>
      </c>
    </row>
    <row r="2202" spans="1:17" x14ac:dyDescent="0.25">
      <c r="A2202" t="s">
        <v>2651</v>
      </c>
      <c r="B2202" t="s">
        <v>2444</v>
      </c>
      <c r="C2202">
        <v>2027</v>
      </c>
      <c r="D2202" t="s">
        <v>628</v>
      </c>
      <c r="E2202" t="s">
        <v>836</v>
      </c>
      <c r="F2202" s="32">
        <v>46430</v>
      </c>
      <c r="G2202" t="s">
        <v>514</v>
      </c>
      <c r="H2202">
        <v>47129273</v>
      </c>
      <c r="I2202" t="s">
        <v>2483</v>
      </c>
      <c r="J2202" t="s">
        <v>2484</v>
      </c>
      <c r="K2202" t="s">
        <v>530</v>
      </c>
      <c r="N2202">
        <v>0</v>
      </c>
      <c r="O2202">
        <v>0</v>
      </c>
      <c r="P2202" t="str">
        <f t="shared" si="34"/>
        <v>N</v>
      </c>
      <c r="Q2202" t="s">
        <v>7932</v>
      </c>
    </row>
    <row r="2203" spans="1:17" x14ac:dyDescent="0.25">
      <c r="A2203" t="s">
        <v>2652</v>
      </c>
      <c r="B2203" t="s">
        <v>2444</v>
      </c>
      <c r="C2203">
        <v>2027</v>
      </c>
      <c r="D2203" t="s">
        <v>628</v>
      </c>
      <c r="E2203" t="s">
        <v>836</v>
      </c>
      <c r="F2203" s="32">
        <v>46430</v>
      </c>
      <c r="G2203" t="s">
        <v>514</v>
      </c>
      <c r="H2203">
        <v>47128587</v>
      </c>
      <c r="I2203" t="s">
        <v>2489</v>
      </c>
      <c r="J2203" t="s">
        <v>2490</v>
      </c>
      <c r="K2203" t="s">
        <v>530</v>
      </c>
      <c r="N2203">
        <v>0</v>
      </c>
      <c r="O2203">
        <v>0</v>
      </c>
      <c r="P2203" t="str">
        <f t="shared" si="34"/>
        <v>N</v>
      </c>
      <c r="Q2203" t="s">
        <v>7933</v>
      </c>
    </row>
    <row r="2204" spans="1:17" x14ac:dyDescent="0.25">
      <c r="A2204" t="s">
        <v>2653</v>
      </c>
      <c r="B2204" t="s">
        <v>2444</v>
      </c>
      <c r="C2204">
        <v>2027</v>
      </c>
      <c r="D2204" t="s">
        <v>628</v>
      </c>
      <c r="E2204" t="s">
        <v>836</v>
      </c>
      <c r="F2204" s="32">
        <v>46430</v>
      </c>
      <c r="G2204" t="s">
        <v>514</v>
      </c>
      <c r="H2204">
        <v>47128247</v>
      </c>
      <c r="I2204" t="s">
        <v>2492</v>
      </c>
      <c r="J2204" t="s">
        <v>2493</v>
      </c>
      <c r="K2204" t="s">
        <v>530</v>
      </c>
      <c r="N2204">
        <v>0</v>
      </c>
      <c r="O2204">
        <v>0</v>
      </c>
      <c r="P2204" t="str">
        <f t="shared" si="34"/>
        <v>N</v>
      </c>
      <c r="Q2204" t="s">
        <v>7934</v>
      </c>
    </row>
    <row r="2205" spans="1:17" x14ac:dyDescent="0.25">
      <c r="A2205" t="s">
        <v>2944</v>
      </c>
      <c r="B2205" t="s">
        <v>2783</v>
      </c>
      <c r="C2205">
        <v>2027</v>
      </c>
      <c r="D2205" t="s">
        <v>628</v>
      </c>
      <c r="E2205" t="s">
        <v>836</v>
      </c>
      <c r="F2205" s="32">
        <v>46430</v>
      </c>
      <c r="G2205" t="s">
        <v>514</v>
      </c>
      <c r="H2205">
        <v>47128006</v>
      </c>
      <c r="I2205" t="s">
        <v>2447</v>
      </c>
      <c r="J2205" t="s">
        <v>2448</v>
      </c>
      <c r="K2205" t="s">
        <v>530</v>
      </c>
      <c r="N2205">
        <v>0</v>
      </c>
      <c r="O2205">
        <v>0</v>
      </c>
      <c r="P2205" t="str">
        <f t="shared" si="34"/>
        <v>N</v>
      </c>
      <c r="Q2205" t="s">
        <v>7935</v>
      </c>
    </row>
    <row r="2206" spans="1:17" x14ac:dyDescent="0.25">
      <c r="A2206" t="s">
        <v>2945</v>
      </c>
      <c r="B2206" t="s">
        <v>2783</v>
      </c>
      <c r="C2206">
        <v>2027</v>
      </c>
      <c r="D2206" t="s">
        <v>628</v>
      </c>
      <c r="E2206" t="s">
        <v>836</v>
      </c>
      <c r="F2206" s="32">
        <v>46430</v>
      </c>
      <c r="G2206" t="s">
        <v>514</v>
      </c>
      <c r="H2206">
        <v>47128300</v>
      </c>
      <c r="I2206" t="s">
        <v>2471</v>
      </c>
      <c r="J2206" t="s">
        <v>2472</v>
      </c>
      <c r="K2206" t="s">
        <v>530</v>
      </c>
      <c r="N2206">
        <v>0</v>
      </c>
      <c r="O2206">
        <v>0</v>
      </c>
      <c r="P2206" t="str">
        <f t="shared" si="34"/>
        <v>N</v>
      </c>
      <c r="Q2206" t="s">
        <v>7936</v>
      </c>
    </row>
    <row r="2207" spans="1:17" x14ac:dyDescent="0.25">
      <c r="A2207" t="s">
        <v>2946</v>
      </c>
      <c r="B2207" t="s">
        <v>2783</v>
      </c>
      <c r="C2207">
        <v>2027</v>
      </c>
      <c r="D2207" t="s">
        <v>628</v>
      </c>
      <c r="E2207" t="s">
        <v>836</v>
      </c>
      <c r="F2207" s="32">
        <v>46430</v>
      </c>
      <c r="G2207" t="s">
        <v>514</v>
      </c>
      <c r="H2207">
        <v>47128213</v>
      </c>
      <c r="I2207" t="s">
        <v>2456</v>
      </c>
      <c r="J2207" t="s">
        <v>2457</v>
      </c>
      <c r="K2207" t="s">
        <v>530</v>
      </c>
      <c r="N2207">
        <v>0</v>
      </c>
      <c r="O2207">
        <v>0</v>
      </c>
      <c r="P2207" t="str">
        <f t="shared" si="34"/>
        <v>N</v>
      </c>
      <c r="Q2207" t="s">
        <v>7937</v>
      </c>
    </row>
    <row r="2208" spans="1:17" x14ac:dyDescent="0.25">
      <c r="A2208" t="s">
        <v>2947</v>
      </c>
      <c r="B2208" t="s">
        <v>2783</v>
      </c>
      <c r="C2208">
        <v>2027</v>
      </c>
      <c r="D2208" t="s">
        <v>628</v>
      </c>
      <c r="E2208" t="s">
        <v>836</v>
      </c>
      <c r="F2208" s="32">
        <v>46430</v>
      </c>
      <c r="G2208" t="s">
        <v>514</v>
      </c>
      <c r="H2208">
        <v>47128667</v>
      </c>
      <c r="I2208" t="s">
        <v>2450</v>
      </c>
      <c r="J2208" t="s">
        <v>2451</v>
      </c>
      <c r="K2208" t="s">
        <v>530</v>
      </c>
      <c r="N2208">
        <v>0</v>
      </c>
      <c r="O2208">
        <v>0</v>
      </c>
      <c r="P2208" t="str">
        <f t="shared" si="34"/>
        <v>N</v>
      </c>
      <c r="Q2208" t="s">
        <v>7938</v>
      </c>
    </row>
    <row r="2209" spans="1:17" x14ac:dyDescent="0.25">
      <c r="A2209" t="s">
        <v>2948</v>
      </c>
      <c r="B2209" t="s">
        <v>2783</v>
      </c>
      <c r="C2209">
        <v>2027</v>
      </c>
      <c r="D2209" t="s">
        <v>628</v>
      </c>
      <c r="E2209" t="s">
        <v>836</v>
      </c>
      <c r="F2209" s="32">
        <v>46430</v>
      </c>
      <c r="G2209" t="s">
        <v>514</v>
      </c>
      <c r="H2209">
        <v>47128179</v>
      </c>
      <c r="I2209" t="s">
        <v>2477</v>
      </c>
      <c r="J2209" t="s">
        <v>2478</v>
      </c>
      <c r="K2209" t="s">
        <v>530</v>
      </c>
      <c r="N2209">
        <v>0</v>
      </c>
      <c r="O2209">
        <v>0</v>
      </c>
      <c r="P2209" t="str">
        <f t="shared" si="34"/>
        <v>N</v>
      </c>
      <c r="Q2209" t="s">
        <v>7939</v>
      </c>
    </row>
    <row r="2210" spans="1:17" x14ac:dyDescent="0.25">
      <c r="A2210" t="s">
        <v>2949</v>
      </c>
      <c r="B2210" t="s">
        <v>2783</v>
      </c>
      <c r="C2210">
        <v>2027</v>
      </c>
      <c r="D2210" t="s">
        <v>628</v>
      </c>
      <c r="E2210" t="s">
        <v>836</v>
      </c>
      <c r="F2210" s="32">
        <v>46430</v>
      </c>
      <c r="G2210" t="s">
        <v>514</v>
      </c>
      <c r="H2210">
        <v>47128655</v>
      </c>
      <c r="I2210" t="s">
        <v>2474</v>
      </c>
      <c r="J2210" t="s">
        <v>2475</v>
      </c>
      <c r="K2210" t="s">
        <v>530</v>
      </c>
      <c r="N2210">
        <v>0</v>
      </c>
      <c r="O2210">
        <v>0</v>
      </c>
      <c r="P2210" t="str">
        <f t="shared" si="34"/>
        <v>N</v>
      </c>
      <c r="Q2210" t="s">
        <v>7940</v>
      </c>
    </row>
    <row r="2211" spans="1:17" x14ac:dyDescent="0.25">
      <c r="A2211" t="s">
        <v>2950</v>
      </c>
      <c r="B2211" t="s">
        <v>2783</v>
      </c>
      <c r="C2211">
        <v>2027</v>
      </c>
      <c r="D2211" t="s">
        <v>628</v>
      </c>
      <c r="E2211" t="s">
        <v>836</v>
      </c>
      <c r="F2211" s="32">
        <v>46430</v>
      </c>
      <c r="G2211" t="s">
        <v>514</v>
      </c>
      <c r="H2211">
        <v>47132096</v>
      </c>
      <c r="I2211" t="s">
        <v>2468</v>
      </c>
      <c r="J2211" t="s">
        <v>2469</v>
      </c>
      <c r="K2211" t="s">
        <v>530</v>
      </c>
      <c r="N2211">
        <v>0</v>
      </c>
      <c r="O2211">
        <v>0</v>
      </c>
      <c r="P2211" t="str">
        <f t="shared" si="34"/>
        <v>N</v>
      </c>
      <c r="Q2211" t="s">
        <v>7941</v>
      </c>
    </row>
    <row r="2212" spans="1:17" x14ac:dyDescent="0.25">
      <c r="A2212" t="s">
        <v>2951</v>
      </c>
      <c r="B2212" t="s">
        <v>2783</v>
      </c>
      <c r="C2212">
        <v>2027</v>
      </c>
      <c r="D2212" t="s">
        <v>628</v>
      </c>
      <c r="E2212" t="s">
        <v>836</v>
      </c>
      <c r="F2212" s="32">
        <v>46430</v>
      </c>
      <c r="G2212" t="s">
        <v>514</v>
      </c>
      <c r="H2212">
        <v>47129222</v>
      </c>
      <c r="I2212" t="s">
        <v>2459</v>
      </c>
      <c r="J2212" t="s">
        <v>2460</v>
      </c>
      <c r="K2212" t="s">
        <v>530</v>
      </c>
      <c r="N2212">
        <v>0</v>
      </c>
      <c r="O2212">
        <v>0</v>
      </c>
      <c r="P2212" t="str">
        <f t="shared" si="34"/>
        <v>N</v>
      </c>
      <c r="Q2212" t="s">
        <v>7942</v>
      </c>
    </row>
    <row r="2213" spans="1:17" x14ac:dyDescent="0.25">
      <c r="A2213" t="s">
        <v>2952</v>
      </c>
      <c r="B2213" t="s">
        <v>2783</v>
      </c>
      <c r="C2213">
        <v>2027</v>
      </c>
      <c r="D2213" t="s">
        <v>628</v>
      </c>
      <c r="E2213" t="s">
        <v>836</v>
      </c>
      <c r="F2213" s="32">
        <v>46430</v>
      </c>
      <c r="G2213" t="s">
        <v>514</v>
      </c>
      <c r="H2213">
        <v>47128561</v>
      </c>
      <c r="I2213" t="s">
        <v>2462</v>
      </c>
      <c r="J2213" t="s">
        <v>2463</v>
      </c>
      <c r="K2213" t="s">
        <v>530</v>
      </c>
      <c r="N2213">
        <v>0</v>
      </c>
      <c r="O2213">
        <v>0</v>
      </c>
      <c r="P2213" t="str">
        <f t="shared" si="34"/>
        <v>N</v>
      </c>
      <c r="Q2213" t="s">
        <v>7943</v>
      </c>
    </row>
    <row r="2214" spans="1:17" x14ac:dyDescent="0.25">
      <c r="A2214" t="s">
        <v>2953</v>
      </c>
      <c r="B2214" t="s">
        <v>2783</v>
      </c>
      <c r="C2214">
        <v>2027</v>
      </c>
      <c r="D2214" t="s">
        <v>628</v>
      </c>
      <c r="E2214" t="s">
        <v>836</v>
      </c>
      <c r="F2214" s="32">
        <v>46430</v>
      </c>
      <c r="G2214" t="s">
        <v>514</v>
      </c>
      <c r="H2214">
        <v>47129274</v>
      </c>
      <c r="I2214" t="s">
        <v>2486</v>
      </c>
      <c r="J2214" t="s">
        <v>2487</v>
      </c>
      <c r="K2214" t="s">
        <v>530</v>
      </c>
      <c r="N2214">
        <v>0</v>
      </c>
      <c r="O2214">
        <v>0</v>
      </c>
      <c r="P2214" t="str">
        <f t="shared" si="34"/>
        <v>N</v>
      </c>
      <c r="Q2214" t="s">
        <v>7944</v>
      </c>
    </row>
    <row r="2215" spans="1:17" x14ac:dyDescent="0.25">
      <c r="A2215" t="s">
        <v>2954</v>
      </c>
      <c r="B2215" t="s">
        <v>2783</v>
      </c>
      <c r="C2215">
        <v>2027</v>
      </c>
      <c r="D2215" t="s">
        <v>628</v>
      </c>
      <c r="E2215" t="s">
        <v>836</v>
      </c>
      <c r="F2215" s="32">
        <v>46430</v>
      </c>
      <c r="G2215" t="s">
        <v>514</v>
      </c>
      <c r="H2215">
        <v>47129262</v>
      </c>
      <c r="I2215" t="s">
        <v>2453</v>
      </c>
      <c r="J2215" t="s">
        <v>2454</v>
      </c>
      <c r="K2215" t="s">
        <v>530</v>
      </c>
      <c r="N2215">
        <v>0</v>
      </c>
      <c r="O2215">
        <v>0</v>
      </c>
      <c r="P2215" t="str">
        <f t="shared" si="34"/>
        <v>N</v>
      </c>
      <c r="Q2215" t="s">
        <v>7945</v>
      </c>
    </row>
    <row r="2216" spans="1:17" x14ac:dyDescent="0.25">
      <c r="A2216" t="s">
        <v>2955</v>
      </c>
      <c r="B2216" t="s">
        <v>2783</v>
      </c>
      <c r="C2216">
        <v>2027</v>
      </c>
      <c r="D2216" t="s">
        <v>628</v>
      </c>
      <c r="E2216" t="s">
        <v>836</v>
      </c>
      <c r="F2216" s="32">
        <v>46430</v>
      </c>
      <c r="G2216" t="s">
        <v>514</v>
      </c>
      <c r="H2216">
        <v>47129558</v>
      </c>
      <c r="I2216" t="s">
        <v>2480</v>
      </c>
      <c r="J2216" t="s">
        <v>2481</v>
      </c>
      <c r="K2216" t="s">
        <v>530</v>
      </c>
      <c r="N2216">
        <v>0</v>
      </c>
      <c r="O2216">
        <v>0</v>
      </c>
      <c r="P2216" t="str">
        <f t="shared" si="34"/>
        <v>N</v>
      </c>
      <c r="Q2216" t="s">
        <v>7946</v>
      </c>
    </row>
    <row r="2217" spans="1:17" x14ac:dyDescent="0.25">
      <c r="A2217" t="s">
        <v>2956</v>
      </c>
      <c r="B2217" t="s">
        <v>2783</v>
      </c>
      <c r="C2217">
        <v>2027</v>
      </c>
      <c r="D2217" t="s">
        <v>628</v>
      </c>
      <c r="E2217" t="s">
        <v>836</v>
      </c>
      <c r="F2217" s="32">
        <v>46430</v>
      </c>
      <c r="G2217" t="s">
        <v>514</v>
      </c>
      <c r="H2217">
        <v>47129727</v>
      </c>
      <c r="I2217" t="s">
        <v>2465</v>
      </c>
      <c r="J2217" t="s">
        <v>2466</v>
      </c>
      <c r="K2217" t="s">
        <v>530</v>
      </c>
      <c r="N2217">
        <v>0</v>
      </c>
      <c r="O2217">
        <v>0</v>
      </c>
      <c r="P2217" t="str">
        <f t="shared" si="34"/>
        <v>N</v>
      </c>
      <c r="Q2217" t="s">
        <v>7947</v>
      </c>
    </row>
    <row r="2218" spans="1:17" x14ac:dyDescent="0.25">
      <c r="A2218" t="s">
        <v>2957</v>
      </c>
      <c r="B2218" t="s">
        <v>2783</v>
      </c>
      <c r="C2218">
        <v>2027</v>
      </c>
      <c r="D2218" t="s">
        <v>628</v>
      </c>
      <c r="E2218" t="s">
        <v>836</v>
      </c>
      <c r="F2218" s="32">
        <v>46430</v>
      </c>
      <c r="G2218" t="s">
        <v>514</v>
      </c>
      <c r="H2218">
        <v>47129273</v>
      </c>
      <c r="I2218" t="s">
        <v>2483</v>
      </c>
      <c r="J2218" t="s">
        <v>2484</v>
      </c>
      <c r="K2218" t="s">
        <v>530</v>
      </c>
      <c r="N2218">
        <v>0</v>
      </c>
      <c r="O2218">
        <v>0</v>
      </c>
      <c r="P2218" t="str">
        <f t="shared" si="34"/>
        <v>N</v>
      </c>
      <c r="Q2218" t="s">
        <v>7948</v>
      </c>
    </row>
    <row r="2219" spans="1:17" x14ac:dyDescent="0.25">
      <c r="A2219" t="s">
        <v>2958</v>
      </c>
      <c r="B2219" t="s">
        <v>2783</v>
      </c>
      <c r="C2219">
        <v>2027</v>
      </c>
      <c r="D2219" t="s">
        <v>628</v>
      </c>
      <c r="E2219" t="s">
        <v>836</v>
      </c>
      <c r="F2219" s="32">
        <v>46430</v>
      </c>
      <c r="G2219" t="s">
        <v>514</v>
      </c>
      <c r="H2219">
        <v>47128587</v>
      </c>
      <c r="I2219" t="s">
        <v>2489</v>
      </c>
      <c r="J2219" t="s">
        <v>2490</v>
      </c>
      <c r="K2219" t="s">
        <v>530</v>
      </c>
      <c r="N2219">
        <v>0</v>
      </c>
      <c r="O2219">
        <v>0</v>
      </c>
      <c r="P2219" t="str">
        <f t="shared" si="34"/>
        <v>N</v>
      </c>
      <c r="Q2219" t="s">
        <v>7949</v>
      </c>
    </row>
    <row r="2220" spans="1:17" x14ac:dyDescent="0.25">
      <c r="A2220" t="s">
        <v>2959</v>
      </c>
      <c r="B2220" t="s">
        <v>2783</v>
      </c>
      <c r="C2220">
        <v>2027</v>
      </c>
      <c r="D2220" t="s">
        <v>628</v>
      </c>
      <c r="E2220" t="s">
        <v>836</v>
      </c>
      <c r="F2220" s="32">
        <v>46430</v>
      </c>
      <c r="G2220" t="s">
        <v>514</v>
      </c>
      <c r="H2220">
        <v>47128247</v>
      </c>
      <c r="I2220" t="s">
        <v>2492</v>
      </c>
      <c r="J2220" t="s">
        <v>2493</v>
      </c>
      <c r="K2220" t="s">
        <v>530</v>
      </c>
      <c r="N2220">
        <v>0</v>
      </c>
      <c r="O2220">
        <v>0</v>
      </c>
      <c r="P2220" t="str">
        <f t="shared" si="34"/>
        <v>N</v>
      </c>
      <c r="Q2220" t="s">
        <v>7950</v>
      </c>
    </row>
    <row r="2221" spans="1:17" x14ac:dyDescent="0.25">
      <c r="A2221" t="s">
        <v>3413</v>
      </c>
      <c r="B2221" t="s">
        <v>1080</v>
      </c>
      <c r="C2221">
        <v>2027</v>
      </c>
      <c r="D2221" t="s">
        <v>628</v>
      </c>
      <c r="E2221" t="s">
        <v>836</v>
      </c>
      <c r="F2221" s="32">
        <v>46430</v>
      </c>
      <c r="G2221" t="s">
        <v>514</v>
      </c>
      <c r="H2221">
        <v>47128787</v>
      </c>
      <c r="I2221" t="s">
        <v>1453</v>
      </c>
      <c r="J2221" t="s">
        <v>1452</v>
      </c>
      <c r="K2221" t="s">
        <v>530</v>
      </c>
      <c r="N2221">
        <v>0</v>
      </c>
      <c r="O2221">
        <v>0</v>
      </c>
      <c r="P2221" t="str">
        <f t="shared" si="34"/>
        <v>N</v>
      </c>
      <c r="Q2221" t="s">
        <v>7951</v>
      </c>
    </row>
    <row r="2222" spans="1:17" x14ac:dyDescent="0.25">
      <c r="A2222" t="s">
        <v>3414</v>
      </c>
      <c r="B2222" t="s">
        <v>1080</v>
      </c>
      <c r="C2222">
        <v>2027</v>
      </c>
      <c r="D2222" t="s">
        <v>628</v>
      </c>
      <c r="E2222" t="s">
        <v>836</v>
      </c>
      <c r="F2222" s="32">
        <v>46430</v>
      </c>
      <c r="G2222" t="s">
        <v>514</v>
      </c>
      <c r="H2222">
        <v>47146464</v>
      </c>
      <c r="I2222" t="s">
        <v>1438</v>
      </c>
      <c r="J2222" t="s">
        <v>1437</v>
      </c>
      <c r="K2222" t="s">
        <v>530</v>
      </c>
      <c r="N2222">
        <v>0</v>
      </c>
      <c r="O2222">
        <v>0</v>
      </c>
      <c r="P2222" t="str">
        <f t="shared" si="34"/>
        <v>N</v>
      </c>
      <c r="Q2222" t="s">
        <v>7952</v>
      </c>
    </row>
    <row r="2223" spans="1:17" x14ac:dyDescent="0.25">
      <c r="A2223" t="s">
        <v>3415</v>
      </c>
      <c r="B2223" t="s">
        <v>1080</v>
      </c>
      <c r="C2223">
        <v>2027</v>
      </c>
      <c r="D2223" t="s">
        <v>628</v>
      </c>
      <c r="E2223" t="s">
        <v>836</v>
      </c>
      <c r="F2223" s="32">
        <v>46430</v>
      </c>
      <c r="G2223" t="s">
        <v>514</v>
      </c>
      <c r="H2223">
        <v>47146463</v>
      </c>
      <c r="I2223" t="s">
        <v>1441</v>
      </c>
      <c r="J2223" t="s">
        <v>1440</v>
      </c>
      <c r="K2223" t="s">
        <v>530</v>
      </c>
      <c r="N2223">
        <v>0</v>
      </c>
      <c r="O2223">
        <v>0</v>
      </c>
      <c r="P2223" t="str">
        <f t="shared" si="34"/>
        <v>N</v>
      </c>
      <c r="Q2223" t="s">
        <v>7953</v>
      </c>
    </row>
    <row r="2224" spans="1:17" x14ac:dyDescent="0.25">
      <c r="A2224" t="s">
        <v>3416</v>
      </c>
      <c r="B2224" t="s">
        <v>1080</v>
      </c>
      <c r="C2224">
        <v>2027</v>
      </c>
      <c r="D2224" t="s">
        <v>628</v>
      </c>
      <c r="E2224" t="s">
        <v>836</v>
      </c>
      <c r="F2224" s="32">
        <v>46430</v>
      </c>
      <c r="G2224" t="s">
        <v>514</v>
      </c>
      <c r="H2224">
        <v>47128729</v>
      </c>
      <c r="I2224" t="s">
        <v>1149</v>
      </c>
      <c r="J2224" t="s">
        <v>1148</v>
      </c>
      <c r="K2224" t="s">
        <v>530</v>
      </c>
      <c r="N2224">
        <v>0</v>
      </c>
      <c r="O2224">
        <v>0</v>
      </c>
      <c r="P2224" t="str">
        <f t="shared" si="34"/>
        <v>N</v>
      </c>
      <c r="Q2224" t="s">
        <v>7954</v>
      </c>
    </row>
    <row r="2225" spans="1:17" x14ac:dyDescent="0.25">
      <c r="A2225" t="s">
        <v>3417</v>
      </c>
      <c r="B2225" t="s">
        <v>1080</v>
      </c>
      <c r="C2225">
        <v>2027</v>
      </c>
      <c r="D2225" t="s">
        <v>628</v>
      </c>
      <c r="E2225" t="s">
        <v>836</v>
      </c>
      <c r="F2225" s="32">
        <v>46430</v>
      </c>
      <c r="G2225" t="s">
        <v>514</v>
      </c>
      <c r="H2225">
        <v>47128413</v>
      </c>
      <c r="I2225" t="s">
        <v>1397</v>
      </c>
      <c r="J2225" t="s">
        <v>1396</v>
      </c>
      <c r="K2225" t="s">
        <v>530</v>
      </c>
      <c r="N2225">
        <v>0</v>
      </c>
      <c r="O2225">
        <v>0</v>
      </c>
      <c r="P2225" t="str">
        <f t="shared" si="34"/>
        <v>N</v>
      </c>
      <c r="Q2225" t="s">
        <v>7955</v>
      </c>
    </row>
    <row r="2226" spans="1:17" x14ac:dyDescent="0.25">
      <c r="A2226" t="s">
        <v>3418</v>
      </c>
      <c r="B2226" t="s">
        <v>1080</v>
      </c>
      <c r="C2226">
        <v>2027</v>
      </c>
      <c r="D2226" t="s">
        <v>628</v>
      </c>
      <c r="E2226" t="s">
        <v>836</v>
      </c>
      <c r="F2226" s="32">
        <v>46430</v>
      </c>
      <c r="G2226" t="s">
        <v>514</v>
      </c>
      <c r="H2226">
        <v>47128783</v>
      </c>
      <c r="I2226" t="s">
        <v>1280</v>
      </c>
      <c r="J2226" t="s">
        <v>1279</v>
      </c>
      <c r="K2226" t="s">
        <v>530</v>
      </c>
      <c r="N2226">
        <v>0</v>
      </c>
      <c r="O2226">
        <v>0</v>
      </c>
      <c r="P2226" t="str">
        <f t="shared" si="34"/>
        <v>N</v>
      </c>
      <c r="Q2226" t="s">
        <v>7956</v>
      </c>
    </row>
    <row r="2227" spans="1:17" x14ac:dyDescent="0.25">
      <c r="A2227" t="s">
        <v>3419</v>
      </c>
      <c r="B2227" t="s">
        <v>1080</v>
      </c>
      <c r="C2227">
        <v>2027</v>
      </c>
      <c r="D2227" t="s">
        <v>628</v>
      </c>
      <c r="E2227" t="s">
        <v>836</v>
      </c>
      <c r="F2227" s="32">
        <v>46430</v>
      </c>
      <c r="G2227" t="s">
        <v>514</v>
      </c>
      <c r="H2227">
        <v>47128944</v>
      </c>
      <c r="I2227" t="s">
        <v>1137</v>
      </c>
      <c r="J2227" t="s">
        <v>1136</v>
      </c>
      <c r="K2227" t="s">
        <v>530</v>
      </c>
      <c r="N2227">
        <v>0</v>
      </c>
      <c r="O2227">
        <v>0</v>
      </c>
      <c r="P2227" t="str">
        <f t="shared" si="34"/>
        <v>N</v>
      </c>
      <c r="Q2227" t="s">
        <v>7957</v>
      </c>
    </row>
    <row r="2228" spans="1:17" x14ac:dyDescent="0.25">
      <c r="A2228" t="s">
        <v>3420</v>
      </c>
      <c r="B2228" t="s">
        <v>1080</v>
      </c>
      <c r="C2228">
        <v>2027</v>
      </c>
      <c r="D2228" t="s">
        <v>628</v>
      </c>
      <c r="E2228" t="s">
        <v>836</v>
      </c>
      <c r="F2228" s="32">
        <v>46430</v>
      </c>
      <c r="G2228" t="s">
        <v>514</v>
      </c>
      <c r="H2228">
        <v>47129547</v>
      </c>
      <c r="I2228" t="s">
        <v>1128</v>
      </c>
      <c r="J2228" t="s">
        <v>1352</v>
      </c>
      <c r="K2228" t="s">
        <v>530</v>
      </c>
      <c r="N2228">
        <v>0</v>
      </c>
      <c r="O2228">
        <v>0</v>
      </c>
      <c r="P2228" t="str">
        <f t="shared" si="34"/>
        <v>N</v>
      </c>
      <c r="Q2228" t="s">
        <v>7958</v>
      </c>
    </row>
    <row r="2229" spans="1:17" x14ac:dyDescent="0.25">
      <c r="A2229" t="s">
        <v>3421</v>
      </c>
      <c r="B2229" t="s">
        <v>1080</v>
      </c>
      <c r="C2229">
        <v>2027</v>
      </c>
      <c r="D2229" t="s">
        <v>628</v>
      </c>
      <c r="E2229" t="s">
        <v>836</v>
      </c>
      <c r="F2229" s="32">
        <v>46430</v>
      </c>
      <c r="G2229" t="s">
        <v>514</v>
      </c>
      <c r="H2229">
        <v>47128518</v>
      </c>
      <c r="I2229" t="s">
        <v>1232</v>
      </c>
      <c r="J2229" t="s">
        <v>1493</v>
      </c>
      <c r="K2229" t="s">
        <v>530</v>
      </c>
      <c r="N2229">
        <v>0</v>
      </c>
      <c r="O2229">
        <v>0</v>
      </c>
      <c r="P2229" t="str">
        <f t="shared" si="34"/>
        <v>N</v>
      </c>
      <c r="Q2229" t="s">
        <v>7959</v>
      </c>
    </row>
    <row r="2230" spans="1:17" x14ac:dyDescent="0.25">
      <c r="A2230" t="s">
        <v>3422</v>
      </c>
      <c r="B2230" t="s">
        <v>1080</v>
      </c>
      <c r="C2230">
        <v>2027</v>
      </c>
      <c r="D2230" t="s">
        <v>628</v>
      </c>
      <c r="E2230" t="s">
        <v>836</v>
      </c>
      <c r="F2230" s="32">
        <v>46430</v>
      </c>
      <c r="G2230" t="s">
        <v>514</v>
      </c>
      <c r="H2230">
        <v>47128977</v>
      </c>
      <c r="I2230" t="s">
        <v>1449</v>
      </c>
      <c r="J2230" t="s">
        <v>1448</v>
      </c>
      <c r="K2230" t="s">
        <v>530</v>
      </c>
      <c r="N2230">
        <v>0</v>
      </c>
      <c r="O2230">
        <v>0</v>
      </c>
      <c r="P2230" t="str">
        <f t="shared" si="34"/>
        <v>N</v>
      </c>
      <c r="Q2230" t="s">
        <v>7960</v>
      </c>
    </row>
    <row r="2231" spans="1:17" x14ac:dyDescent="0.25">
      <c r="A2231" t="s">
        <v>3423</v>
      </c>
      <c r="B2231" t="s">
        <v>1080</v>
      </c>
      <c r="C2231">
        <v>2027</v>
      </c>
      <c r="D2231" t="s">
        <v>628</v>
      </c>
      <c r="E2231" t="s">
        <v>836</v>
      </c>
      <c r="F2231" s="32">
        <v>46430</v>
      </c>
      <c r="G2231" t="s">
        <v>514</v>
      </c>
      <c r="H2231">
        <v>47128168</v>
      </c>
      <c r="I2231" t="s">
        <v>1100</v>
      </c>
      <c r="J2231" t="s">
        <v>1099</v>
      </c>
      <c r="K2231" t="s">
        <v>530</v>
      </c>
      <c r="N2231">
        <v>0</v>
      </c>
      <c r="O2231">
        <v>0</v>
      </c>
      <c r="P2231" t="str">
        <f t="shared" si="34"/>
        <v>N</v>
      </c>
      <c r="Q2231" t="s">
        <v>7961</v>
      </c>
    </row>
    <row r="2232" spans="1:17" x14ac:dyDescent="0.25">
      <c r="A2232" t="s">
        <v>3424</v>
      </c>
      <c r="B2232" t="s">
        <v>1080</v>
      </c>
      <c r="C2232">
        <v>2027</v>
      </c>
      <c r="D2232" t="s">
        <v>628</v>
      </c>
      <c r="E2232" t="s">
        <v>836</v>
      </c>
      <c r="F2232" s="32">
        <v>46430</v>
      </c>
      <c r="G2232" t="s">
        <v>514</v>
      </c>
      <c r="H2232">
        <v>47128687</v>
      </c>
      <c r="I2232" t="s">
        <v>1153</v>
      </c>
      <c r="J2232" t="s">
        <v>1152</v>
      </c>
      <c r="K2232" t="s">
        <v>530</v>
      </c>
      <c r="N2232">
        <v>0</v>
      </c>
      <c r="O2232">
        <v>0</v>
      </c>
      <c r="P2232" t="str">
        <f t="shared" si="34"/>
        <v>N</v>
      </c>
      <c r="Q2232" t="s">
        <v>7962</v>
      </c>
    </row>
    <row r="2233" spans="1:17" x14ac:dyDescent="0.25">
      <c r="A2233" t="s">
        <v>3425</v>
      </c>
      <c r="B2233" t="s">
        <v>1080</v>
      </c>
      <c r="C2233">
        <v>2027</v>
      </c>
      <c r="D2233" t="s">
        <v>628</v>
      </c>
      <c r="E2233" t="s">
        <v>836</v>
      </c>
      <c r="F2233" s="32">
        <v>46430</v>
      </c>
      <c r="G2233" t="s">
        <v>514</v>
      </c>
      <c r="H2233">
        <v>47128585</v>
      </c>
      <c r="I2233" t="s">
        <v>1141</v>
      </c>
      <c r="J2233" t="s">
        <v>1140</v>
      </c>
      <c r="K2233" t="s">
        <v>530</v>
      </c>
      <c r="N2233">
        <v>0</v>
      </c>
      <c r="O2233">
        <v>0</v>
      </c>
      <c r="P2233" t="str">
        <f t="shared" si="34"/>
        <v>N</v>
      </c>
      <c r="Q2233" t="s">
        <v>7963</v>
      </c>
    </row>
    <row r="2234" spans="1:17" x14ac:dyDescent="0.25">
      <c r="A2234" t="s">
        <v>3426</v>
      </c>
      <c r="B2234" t="s">
        <v>1080</v>
      </c>
      <c r="C2234">
        <v>2027</v>
      </c>
      <c r="D2234" t="s">
        <v>628</v>
      </c>
      <c r="E2234" t="s">
        <v>836</v>
      </c>
      <c r="F2234" s="32">
        <v>46430</v>
      </c>
      <c r="G2234" t="s">
        <v>514</v>
      </c>
      <c r="H2234">
        <v>47128906</v>
      </c>
      <c r="I2234" t="s">
        <v>1349</v>
      </c>
      <c r="J2234" t="s">
        <v>1348</v>
      </c>
      <c r="K2234" t="s">
        <v>530</v>
      </c>
      <c r="N2234">
        <v>0</v>
      </c>
      <c r="O2234">
        <v>0</v>
      </c>
      <c r="P2234" t="str">
        <f t="shared" si="34"/>
        <v>N</v>
      </c>
      <c r="Q2234" t="s">
        <v>7964</v>
      </c>
    </row>
    <row r="2235" spans="1:17" x14ac:dyDescent="0.25">
      <c r="A2235" t="s">
        <v>3427</v>
      </c>
      <c r="B2235" t="s">
        <v>1080</v>
      </c>
      <c r="C2235">
        <v>2027</v>
      </c>
      <c r="D2235" t="s">
        <v>628</v>
      </c>
      <c r="E2235" t="s">
        <v>836</v>
      </c>
      <c r="F2235" s="32">
        <v>46430</v>
      </c>
      <c r="G2235" t="s">
        <v>514</v>
      </c>
      <c r="H2235">
        <v>47128585</v>
      </c>
      <c r="I2235" t="s">
        <v>1141</v>
      </c>
      <c r="J2235" t="s">
        <v>1408</v>
      </c>
      <c r="K2235" t="s">
        <v>530</v>
      </c>
      <c r="N2235">
        <v>0</v>
      </c>
      <c r="O2235">
        <v>0</v>
      </c>
      <c r="P2235" t="str">
        <f t="shared" si="34"/>
        <v>N</v>
      </c>
      <c r="Q2235" t="s">
        <v>7965</v>
      </c>
    </row>
    <row r="2236" spans="1:17" x14ac:dyDescent="0.25">
      <c r="A2236" t="s">
        <v>3428</v>
      </c>
      <c r="B2236" t="s">
        <v>1080</v>
      </c>
      <c r="C2236">
        <v>2027</v>
      </c>
      <c r="D2236" t="s">
        <v>628</v>
      </c>
      <c r="E2236" t="s">
        <v>836</v>
      </c>
      <c r="F2236" s="32">
        <v>46430</v>
      </c>
      <c r="G2236" t="s">
        <v>514</v>
      </c>
      <c r="H2236">
        <v>47128518</v>
      </c>
      <c r="I2236" t="s">
        <v>1232</v>
      </c>
      <c r="J2236" t="s">
        <v>1231</v>
      </c>
      <c r="K2236" t="s">
        <v>530</v>
      </c>
      <c r="N2236">
        <v>0</v>
      </c>
      <c r="O2236">
        <v>0</v>
      </c>
      <c r="P2236" t="str">
        <f t="shared" si="34"/>
        <v>N</v>
      </c>
      <c r="Q2236" t="s">
        <v>7966</v>
      </c>
    </row>
    <row r="2237" spans="1:17" x14ac:dyDescent="0.25">
      <c r="A2237" t="s">
        <v>3429</v>
      </c>
      <c r="B2237" t="s">
        <v>1080</v>
      </c>
      <c r="C2237">
        <v>2027</v>
      </c>
      <c r="D2237" t="s">
        <v>628</v>
      </c>
      <c r="E2237" t="s">
        <v>836</v>
      </c>
      <c r="F2237" s="32">
        <v>46430</v>
      </c>
      <c r="G2237" t="s">
        <v>514</v>
      </c>
      <c r="H2237">
        <v>47128680</v>
      </c>
      <c r="I2237" t="s">
        <v>1284</v>
      </c>
      <c r="J2237" t="s">
        <v>1283</v>
      </c>
      <c r="K2237" t="s">
        <v>530</v>
      </c>
      <c r="N2237">
        <v>0</v>
      </c>
      <c r="O2237">
        <v>0</v>
      </c>
      <c r="P2237" t="str">
        <f t="shared" si="34"/>
        <v>N</v>
      </c>
      <c r="Q2237" t="s">
        <v>7967</v>
      </c>
    </row>
    <row r="2238" spans="1:17" x14ac:dyDescent="0.25">
      <c r="A2238" t="s">
        <v>3430</v>
      </c>
      <c r="B2238" t="s">
        <v>1080</v>
      </c>
      <c r="C2238">
        <v>2027</v>
      </c>
      <c r="D2238" t="s">
        <v>628</v>
      </c>
      <c r="E2238" t="s">
        <v>836</v>
      </c>
      <c r="F2238" s="32">
        <v>46430</v>
      </c>
      <c r="G2238" t="s">
        <v>514</v>
      </c>
      <c r="H2238">
        <v>47128024</v>
      </c>
      <c r="I2238" t="s">
        <v>1108</v>
      </c>
      <c r="J2238" t="s">
        <v>1107</v>
      </c>
      <c r="K2238" t="s">
        <v>530</v>
      </c>
      <c r="N2238">
        <v>0</v>
      </c>
      <c r="O2238">
        <v>0</v>
      </c>
      <c r="P2238" t="str">
        <f t="shared" si="34"/>
        <v>N</v>
      </c>
      <c r="Q2238" t="s">
        <v>7968</v>
      </c>
    </row>
    <row r="2239" spans="1:17" x14ac:dyDescent="0.25">
      <c r="A2239" t="s">
        <v>3431</v>
      </c>
      <c r="B2239" t="s">
        <v>1080</v>
      </c>
      <c r="C2239">
        <v>2027</v>
      </c>
      <c r="D2239" t="s">
        <v>628</v>
      </c>
      <c r="E2239" t="s">
        <v>836</v>
      </c>
      <c r="F2239" s="32">
        <v>46430</v>
      </c>
      <c r="G2239" t="s">
        <v>514</v>
      </c>
      <c r="H2239">
        <v>47128944</v>
      </c>
      <c r="I2239" t="s">
        <v>1137</v>
      </c>
      <c r="J2239" t="s">
        <v>1513</v>
      </c>
      <c r="K2239" t="s">
        <v>530</v>
      </c>
      <c r="N2239">
        <v>0</v>
      </c>
      <c r="O2239">
        <v>0</v>
      </c>
      <c r="P2239" t="str">
        <f t="shared" si="34"/>
        <v>N</v>
      </c>
      <c r="Q2239" t="s">
        <v>7969</v>
      </c>
    </row>
    <row r="2240" spans="1:17" x14ac:dyDescent="0.25">
      <c r="A2240" t="s">
        <v>3432</v>
      </c>
      <c r="B2240" t="s">
        <v>1080</v>
      </c>
      <c r="C2240">
        <v>2027</v>
      </c>
      <c r="D2240" t="s">
        <v>628</v>
      </c>
      <c r="E2240" t="s">
        <v>836</v>
      </c>
      <c r="F2240" s="32">
        <v>46430</v>
      </c>
      <c r="G2240" t="s">
        <v>514</v>
      </c>
      <c r="H2240">
        <v>47147546</v>
      </c>
      <c r="I2240" t="s">
        <v>1077</v>
      </c>
      <c r="J2240" t="s">
        <v>1076</v>
      </c>
      <c r="K2240" t="s">
        <v>530</v>
      </c>
      <c r="N2240">
        <v>0</v>
      </c>
      <c r="O2240">
        <v>0</v>
      </c>
      <c r="P2240" t="str">
        <f t="shared" si="34"/>
        <v>N</v>
      </c>
      <c r="Q2240" t="s">
        <v>7970</v>
      </c>
    </row>
    <row r="2241" spans="1:17" x14ac:dyDescent="0.25">
      <c r="A2241" t="s">
        <v>3433</v>
      </c>
      <c r="B2241" t="s">
        <v>1080</v>
      </c>
      <c r="C2241">
        <v>2027</v>
      </c>
      <c r="D2241" t="s">
        <v>628</v>
      </c>
      <c r="E2241" t="s">
        <v>836</v>
      </c>
      <c r="F2241" s="32">
        <v>46430</v>
      </c>
      <c r="G2241" t="s">
        <v>514</v>
      </c>
      <c r="H2241">
        <v>47128346</v>
      </c>
      <c r="I2241" t="s">
        <v>1157</v>
      </c>
      <c r="J2241" t="s">
        <v>1156</v>
      </c>
      <c r="K2241" t="s">
        <v>530</v>
      </c>
      <c r="N2241">
        <v>0</v>
      </c>
      <c r="O2241">
        <v>0</v>
      </c>
      <c r="P2241" t="str">
        <f t="shared" si="34"/>
        <v>N</v>
      </c>
      <c r="Q2241" t="s">
        <v>7971</v>
      </c>
    </row>
    <row r="2242" spans="1:17" x14ac:dyDescent="0.25">
      <c r="A2242" t="s">
        <v>3434</v>
      </c>
      <c r="B2242" t="s">
        <v>1080</v>
      </c>
      <c r="C2242">
        <v>2027</v>
      </c>
      <c r="D2242" t="s">
        <v>628</v>
      </c>
      <c r="E2242" t="s">
        <v>836</v>
      </c>
      <c r="F2242" s="32">
        <v>46430</v>
      </c>
      <c r="G2242" t="s">
        <v>514</v>
      </c>
      <c r="H2242">
        <v>47128800</v>
      </c>
      <c r="I2242" t="s">
        <v>1145</v>
      </c>
      <c r="J2242" t="s">
        <v>1144</v>
      </c>
      <c r="K2242" t="s">
        <v>530</v>
      </c>
      <c r="N2242">
        <v>0</v>
      </c>
      <c r="O2242">
        <v>0</v>
      </c>
      <c r="P2242" t="str">
        <f t="shared" si="34"/>
        <v>N</v>
      </c>
      <c r="Q2242" t="s">
        <v>7972</v>
      </c>
    </row>
    <row r="2243" spans="1:17" x14ac:dyDescent="0.25">
      <c r="A2243" t="s">
        <v>3435</v>
      </c>
      <c r="B2243" t="s">
        <v>1080</v>
      </c>
      <c r="C2243">
        <v>2027</v>
      </c>
      <c r="D2243" t="s">
        <v>628</v>
      </c>
      <c r="E2243" t="s">
        <v>836</v>
      </c>
      <c r="F2243" s="32">
        <v>46430</v>
      </c>
      <c r="G2243" t="s">
        <v>514</v>
      </c>
      <c r="H2243">
        <v>47128109</v>
      </c>
      <c r="I2243" t="s">
        <v>1336</v>
      </c>
      <c r="J2243" t="s">
        <v>1335</v>
      </c>
      <c r="K2243" t="s">
        <v>530</v>
      </c>
      <c r="N2243">
        <v>0</v>
      </c>
      <c r="O2243">
        <v>0</v>
      </c>
      <c r="P2243" t="str">
        <f t="shared" ref="P2243:P2306" si="35">IF(N2243=O2243,"N","Y")</f>
        <v>N</v>
      </c>
      <c r="Q2243" t="s">
        <v>7973</v>
      </c>
    </row>
    <row r="2244" spans="1:17" x14ac:dyDescent="0.25">
      <c r="A2244" t="s">
        <v>3436</v>
      </c>
      <c r="B2244" t="s">
        <v>1080</v>
      </c>
      <c r="C2244">
        <v>2027</v>
      </c>
      <c r="D2244" t="s">
        <v>628</v>
      </c>
      <c r="E2244" t="s">
        <v>836</v>
      </c>
      <c r="F2244" s="32">
        <v>46430</v>
      </c>
      <c r="G2244" t="s">
        <v>514</v>
      </c>
      <c r="H2244">
        <v>47128430</v>
      </c>
      <c r="I2244" t="s">
        <v>1401</v>
      </c>
      <c r="J2244" t="s">
        <v>1400</v>
      </c>
      <c r="K2244" t="s">
        <v>530</v>
      </c>
      <c r="N2244">
        <v>0</v>
      </c>
      <c r="O2244">
        <v>0</v>
      </c>
      <c r="P2244" t="str">
        <f t="shared" si="35"/>
        <v>N</v>
      </c>
      <c r="Q2244" t="s">
        <v>7974</v>
      </c>
    </row>
    <row r="2245" spans="1:17" x14ac:dyDescent="0.25">
      <c r="A2245" t="s">
        <v>3437</v>
      </c>
      <c r="B2245" t="s">
        <v>1080</v>
      </c>
      <c r="C2245">
        <v>2027</v>
      </c>
      <c r="D2245" t="s">
        <v>628</v>
      </c>
      <c r="E2245" t="s">
        <v>836</v>
      </c>
      <c r="F2245" s="32">
        <v>46430</v>
      </c>
      <c r="G2245" t="s">
        <v>514</v>
      </c>
      <c r="H2245">
        <v>47128522</v>
      </c>
      <c r="I2245" t="s">
        <v>1092</v>
      </c>
      <c r="J2245" t="s">
        <v>1091</v>
      </c>
      <c r="K2245" t="s">
        <v>530</v>
      </c>
      <c r="N2245">
        <v>0</v>
      </c>
      <c r="O2245">
        <v>0</v>
      </c>
      <c r="P2245" t="str">
        <f t="shared" si="35"/>
        <v>N</v>
      </c>
      <c r="Q2245" t="s">
        <v>7975</v>
      </c>
    </row>
    <row r="2246" spans="1:17" x14ac:dyDescent="0.25">
      <c r="A2246" t="s">
        <v>3438</v>
      </c>
      <c r="B2246" t="s">
        <v>1080</v>
      </c>
      <c r="C2246">
        <v>2027</v>
      </c>
      <c r="D2246" t="s">
        <v>628</v>
      </c>
      <c r="E2246" t="s">
        <v>836</v>
      </c>
      <c r="F2246" s="32">
        <v>46430</v>
      </c>
      <c r="G2246" t="s">
        <v>514</v>
      </c>
      <c r="H2246">
        <v>47147546</v>
      </c>
      <c r="I2246" t="s">
        <v>1077</v>
      </c>
      <c r="J2246" t="s">
        <v>1381</v>
      </c>
      <c r="K2246" t="s">
        <v>530</v>
      </c>
      <c r="N2246">
        <v>0</v>
      </c>
      <c r="O2246">
        <v>0</v>
      </c>
      <c r="P2246" t="str">
        <f t="shared" si="35"/>
        <v>N</v>
      </c>
      <c r="Q2246" t="s">
        <v>7976</v>
      </c>
    </row>
    <row r="2247" spans="1:17" x14ac:dyDescent="0.25">
      <c r="A2247" t="s">
        <v>3439</v>
      </c>
      <c r="B2247" t="s">
        <v>1080</v>
      </c>
      <c r="C2247">
        <v>2027</v>
      </c>
      <c r="D2247" t="s">
        <v>628</v>
      </c>
      <c r="E2247" t="s">
        <v>836</v>
      </c>
      <c r="F2247" s="32">
        <v>46430</v>
      </c>
      <c r="G2247" t="s">
        <v>514</v>
      </c>
      <c r="H2247">
        <v>47147658</v>
      </c>
      <c r="I2247" t="s">
        <v>1276</v>
      </c>
      <c r="J2247" t="s">
        <v>1275</v>
      </c>
      <c r="K2247" t="s">
        <v>530</v>
      </c>
      <c r="N2247">
        <v>0</v>
      </c>
      <c r="O2247">
        <v>0</v>
      </c>
      <c r="P2247" t="str">
        <f t="shared" si="35"/>
        <v>N</v>
      </c>
      <c r="Q2247" t="s">
        <v>7977</v>
      </c>
    </row>
    <row r="2248" spans="1:17" x14ac:dyDescent="0.25">
      <c r="A2248" t="s">
        <v>3440</v>
      </c>
      <c r="B2248" t="s">
        <v>1080</v>
      </c>
      <c r="C2248">
        <v>2027</v>
      </c>
      <c r="D2248" t="s">
        <v>628</v>
      </c>
      <c r="E2248" t="s">
        <v>836</v>
      </c>
      <c r="F2248" s="32">
        <v>46430</v>
      </c>
      <c r="G2248" t="s">
        <v>514</v>
      </c>
      <c r="H2248">
        <v>47147546</v>
      </c>
      <c r="I2248" t="s">
        <v>1077</v>
      </c>
      <c r="J2248" t="s">
        <v>1171</v>
      </c>
      <c r="K2248" t="s">
        <v>530</v>
      </c>
      <c r="N2248">
        <v>0</v>
      </c>
      <c r="O2248">
        <v>0</v>
      </c>
      <c r="P2248" t="str">
        <f t="shared" si="35"/>
        <v>N</v>
      </c>
      <c r="Q2248" t="s">
        <v>7978</v>
      </c>
    </row>
    <row r="2249" spans="1:17" x14ac:dyDescent="0.25">
      <c r="A2249" t="s">
        <v>3441</v>
      </c>
      <c r="B2249" t="s">
        <v>1080</v>
      </c>
      <c r="C2249">
        <v>2027</v>
      </c>
      <c r="D2249" t="s">
        <v>628</v>
      </c>
      <c r="E2249" t="s">
        <v>836</v>
      </c>
      <c r="F2249" s="32">
        <v>46430</v>
      </c>
      <c r="G2249" t="s">
        <v>514</v>
      </c>
      <c r="H2249">
        <v>47128028</v>
      </c>
      <c r="I2249" t="s">
        <v>1035</v>
      </c>
      <c r="J2249" t="s">
        <v>1034</v>
      </c>
      <c r="K2249" t="s">
        <v>530</v>
      </c>
      <c r="N2249">
        <v>0</v>
      </c>
      <c r="O2249">
        <v>0</v>
      </c>
      <c r="P2249" t="str">
        <f t="shared" si="35"/>
        <v>N</v>
      </c>
      <c r="Q2249" t="s">
        <v>7979</v>
      </c>
    </row>
    <row r="2250" spans="1:17" x14ac:dyDescent="0.25">
      <c r="A2250" t="s">
        <v>3442</v>
      </c>
      <c r="B2250" t="s">
        <v>1080</v>
      </c>
      <c r="C2250">
        <v>2027</v>
      </c>
      <c r="D2250" t="s">
        <v>628</v>
      </c>
      <c r="E2250" t="s">
        <v>836</v>
      </c>
      <c r="F2250" s="32">
        <v>46430</v>
      </c>
      <c r="G2250" t="s">
        <v>514</v>
      </c>
      <c r="H2250">
        <v>47128465</v>
      </c>
      <c r="I2250" t="s">
        <v>1333</v>
      </c>
      <c r="J2250" t="s">
        <v>1332</v>
      </c>
      <c r="K2250" t="s">
        <v>530</v>
      </c>
      <c r="N2250">
        <v>0</v>
      </c>
      <c r="O2250">
        <v>0</v>
      </c>
      <c r="P2250" t="str">
        <f t="shared" si="35"/>
        <v>N</v>
      </c>
      <c r="Q2250" t="s">
        <v>7980</v>
      </c>
    </row>
    <row r="2251" spans="1:17" x14ac:dyDescent="0.25">
      <c r="A2251" t="s">
        <v>3443</v>
      </c>
      <c r="B2251" t="s">
        <v>1080</v>
      </c>
      <c r="C2251">
        <v>2027</v>
      </c>
      <c r="D2251" t="s">
        <v>628</v>
      </c>
      <c r="E2251" t="s">
        <v>836</v>
      </c>
      <c r="F2251" s="32">
        <v>46430</v>
      </c>
      <c r="G2251" t="s">
        <v>514</v>
      </c>
      <c r="H2251">
        <v>47128548</v>
      </c>
      <c r="I2251" t="s">
        <v>958</v>
      </c>
      <c r="J2251" t="s">
        <v>957</v>
      </c>
      <c r="K2251" t="s">
        <v>530</v>
      </c>
      <c r="N2251">
        <v>149</v>
      </c>
      <c r="O2251">
        <v>149</v>
      </c>
      <c r="P2251" t="str">
        <f t="shared" si="35"/>
        <v>N</v>
      </c>
      <c r="Q2251" t="s">
        <v>7981</v>
      </c>
    </row>
    <row r="2252" spans="1:17" x14ac:dyDescent="0.25">
      <c r="A2252" t="s">
        <v>3859</v>
      </c>
      <c r="B2252" t="s">
        <v>912</v>
      </c>
      <c r="C2252">
        <v>2027</v>
      </c>
      <c r="D2252" t="s">
        <v>628</v>
      </c>
      <c r="E2252" t="s">
        <v>836</v>
      </c>
      <c r="F2252" s="32">
        <v>46430</v>
      </c>
      <c r="G2252" t="s">
        <v>514</v>
      </c>
      <c r="H2252">
        <v>47128820</v>
      </c>
      <c r="I2252" t="s">
        <v>2411</v>
      </c>
      <c r="J2252" t="s">
        <v>2412</v>
      </c>
      <c r="K2252" t="s">
        <v>530</v>
      </c>
      <c r="N2252">
        <v>0</v>
      </c>
      <c r="O2252">
        <v>0</v>
      </c>
      <c r="P2252" t="str">
        <f t="shared" si="35"/>
        <v>N</v>
      </c>
      <c r="Q2252" t="s">
        <v>7982</v>
      </c>
    </row>
    <row r="2253" spans="1:17" x14ac:dyDescent="0.25">
      <c r="A2253" t="s">
        <v>3860</v>
      </c>
      <c r="B2253" t="s">
        <v>912</v>
      </c>
      <c r="C2253">
        <v>2027</v>
      </c>
      <c r="D2253" t="s">
        <v>628</v>
      </c>
      <c r="E2253" t="s">
        <v>836</v>
      </c>
      <c r="F2253" s="32">
        <v>46430</v>
      </c>
      <c r="G2253" t="s">
        <v>514</v>
      </c>
      <c r="H2253">
        <v>47128378</v>
      </c>
      <c r="I2253" t="s">
        <v>2392</v>
      </c>
      <c r="J2253" t="s">
        <v>2393</v>
      </c>
      <c r="K2253" t="s">
        <v>530</v>
      </c>
      <c r="N2253">
        <v>0</v>
      </c>
      <c r="O2253">
        <v>0</v>
      </c>
      <c r="P2253" t="str">
        <f t="shared" si="35"/>
        <v>N</v>
      </c>
      <c r="Q2253" t="s">
        <v>7983</v>
      </c>
    </row>
    <row r="2254" spans="1:17" x14ac:dyDescent="0.25">
      <c r="A2254" t="s">
        <v>3861</v>
      </c>
      <c r="B2254" t="s">
        <v>912</v>
      </c>
      <c r="C2254">
        <v>2027</v>
      </c>
      <c r="D2254" t="s">
        <v>628</v>
      </c>
      <c r="E2254" t="s">
        <v>836</v>
      </c>
      <c r="F2254" s="32">
        <v>46430</v>
      </c>
      <c r="G2254" t="s">
        <v>514</v>
      </c>
      <c r="H2254">
        <v>47128020</v>
      </c>
      <c r="I2254" t="s">
        <v>2395</v>
      </c>
      <c r="J2254" t="s">
        <v>2396</v>
      </c>
      <c r="K2254" t="s">
        <v>530</v>
      </c>
      <c r="N2254">
        <v>0</v>
      </c>
      <c r="O2254">
        <v>0</v>
      </c>
      <c r="P2254" t="str">
        <f t="shared" si="35"/>
        <v>N</v>
      </c>
      <c r="Q2254" t="s">
        <v>7984</v>
      </c>
    </row>
    <row r="2255" spans="1:17" x14ac:dyDescent="0.25">
      <c r="A2255" t="s">
        <v>3862</v>
      </c>
      <c r="B2255" t="s">
        <v>912</v>
      </c>
      <c r="C2255">
        <v>2027</v>
      </c>
      <c r="D2255" t="s">
        <v>628</v>
      </c>
      <c r="E2255" t="s">
        <v>836</v>
      </c>
      <c r="F2255" s="32">
        <v>46430</v>
      </c>
      <c r="G2255" t="s">
        <v>514</v>
      </c>
      <c r="H2255">
        <v>47128459</v>
      </c>
      <c r="I2255" t="s">
        <v>2398</v>
      </c>
      <c r="J2255" t="s">
        <v>2399</v>
      </c>
      <c r="K2255" t="s">
        <v>530</v>
      </c>
      <c r="N2255">
        <v>0</v>
      </c>
      <c r="O2255">
        <v>0</v>
      </c>
      <c r="P2255" t="str">
        <f t="shared" si="35"/>
        <v>N</v>
      </c>
      <c r="Q2255" t="s">
        <v>7985</v>
      </c>
    </row>
    <row r="2256" spans="1:17" x14ac:dyDescent="0.25">
      <c r="A2256" t="s">
        <v>3902</v>
      </c>
      <c r="B2256" t="s">
        <v>1043</v>
      </c>
      <c r="C2256">
        <v>2027</v>
      </c>
      <c r="D2256" t="s">
        <v>628</v>
      </c>
      <c r="E2256" t="s">
        <v>836</v>
      </c>
      <c r="F2256" s="32">
        <v>46430</v>
      </c>
      <c r="G2256" t="s">
        <v>514</v>
      </c>
      <c r="H2256">
        <v>47128421</v>
      </c>
      <c r="I2256" t="s">
        <v>1086</v>
      </c>
      <c r="J2256" t="s">
        <v>1085</v>
      </c>
      <c r="K2256" t="s">
        <v>530</v>
      </c>
      <c r="N2256">
        <v>0</v>
      </c>
      <c r="O2256">
        <v>0</v>
      </c>
      <c r="P2256" t="str">
        <f t="shared" si="35"/>
        <v>N</v>
      </c>
      <c r="Q2256" t="s">
        <v>7986</v>
      </c>
    </row>
    <row r="2257" spans="1:17" x14ac:dyDescent="0.25">
      <c r="A2257" t="s">
        <v>3903</v>
      </c>
      <c r="B2257" t="s">
        <v>1043</v>
      </c>
      <c r="C2257">
        <v>2027</v>
      </c>
      <c r="D2257" t="s">
        <v>628</v>
      </c>
      <c r="E2257" t="s">
        <v>836</v>
      </c>
      <c r="F2257" s="32">
        <v>46430</v>
      </c>
      <c r="G2257" t="s">
        <v>514</v>
      </c>
      <c r="H2257">
        <v>47128364</v>
      </c>
      <c r="I2257" t="s">
        <v>1264</v>
      </c>
      <c r="J2257" t="s">
        <v>1263</v>
      </c>
      <c r="K2257" t="s">
        <v>530</v>
      </c>
      <c r="N2257">
        <v>0</v>
      </c>
      <c r="O2257">
        <v>0</v>
      </c>
      <c r="P2257" t="str">
        <f t="shared" si="35"/>
        <v>N</v>
      </c>
      <c r="Q2257" t="s">
        <v>7987</v>
      </c>
    </row>
    <row r="2258" spans="1:17" x14ac:dyDescent="0.25">
      <c r="A2258" t="s">
        <v>3904</v>
      </c>
      <c r="B2258" t="s">
        <v>1043</v>
      </c>
      <c r="C2258">
        <v>2027</v>
      </c>
      <c r="D2258" t="s">
        <v>628</v>
      </c>
      <c r="E2258" t="s">
        <v>836</v>
      </c>
      <c r="F2258" s="32">
        <v>46430</v>
      </c>
      <c r="G2258" t="s">
        <v>514</v>
      </c>
      <c r="H2258">
        <v>47128706</v>
      </c>
      <c r="I2258" t="s">
        <v>1201</v>
      </c>
      <c r="J2258" t="s">
        <v>1200</v>
      </c>
      <c r="K2258" t="s">
        <v>530</v>
      </c>
      <c r="N2258">
        <v>0</v>
      </c>
      <c r="O2258">
        <v>0</v>
      </c>
      <c r="P2258" t="str">
        <f t="shared" si="35"/>
        <v>N</v>
      </c>
      <c r="Q2258" t="s">
        <v>7988</v>
      </c>
    </row>
    <row r="2259" spans="1:17" x14ac:dyDescent="0.25">
      <c r="A2259" t="s">
        <v>4006</v>
      </c>
      <c r="B2259" t="s">
        <v>3939</v>
      </c>
      <c r="C2259">
        <v>2027</v>
      </c>
      <c r="D2259" t="s">
        <v>628</v>
      </c>
      <c r="E2259" t="s">
        <v>836</v>
      </c>
      <c r="F2259" s="32">
        <v>46430</v>
      </c>
      <c r="G2259" t="s">
        <v>514</v>
      </c>
      <c r="H2259">
        <v>47128820</v>
      </c>
      <c r="I2259" t="s">
        <v>2411</v>
      </c>
      <c r="J2259" t="s">
        <v>2412</v>
      </c>
      <c r="K2259" t="s">
        <v>530</v>
      </c>
      <c r="N2259">
        <v>0</v>
      </c>
      <c r="O2259">
        <v>0</v>
      </c>
      <c r="P2259" t="str">
        <f t="shared" si="35"/>
        <v>N</v>
      </c>
      <c r="Q2259" t="s">
        <v>7989</v>
      </c>
    </row>
    <row r="2260" spans="1:17" x14ac:dyDescent="0.25">
      <c r="A2260" t="s">
        <v>4007</v>
      </c>
      <c r="B2260" t="s">
        <v>3939</v>
      </c>
      <c r="C2260">
        <v>2027</v>
      </c>
      <c r="D2260" t="s">
        <v>628</v>
      </c>
      <c r="E2260" t="s">
        <v>836</v>
      </c>
      <c r="F2260" s="32">
        <v>46430</v>
      </c>
      <c r="G2260" t="s">
        <v>514</v>
      </c>
      <c r="H2260">
        <v>47128378</v>
      </c>
      <c r="I2260" t="s">
        <v>2392</v>
      </c>
      <c r="J2260" t="s">
        <v>2393</v>
      </c>
      <c r="K2260" t="s">
        <v>530</v>
      </c>
      <c r="N2260">
        <v>0</v>
      </c>
      <c r="O2260">
        <v>0</v>
      </c>
      <c r="P2260" t="str">
        <f t="shared" si="35"/>
        <v>N</v>
      </c>
      <c r="Q2260" t="s">
        <v>7990</v>
      </c>
    </row>
    <row r="2261" spans="1:17" x14ac:dyDescent="0.25">
      <c r="A2261" t="s">
        <v>4008</v>
      </c>
      <c r="B2261" t="s">
        <v>3939</v>
      </c>
      <c r="C2261">
        <v>2027</v>
      </c>
      <c r="D2261" t="s">
        <v>628</v>
      </c>
      <c r="E2261" t="s">
        <v>836</v>
      </c>
      <c r="F2261" s="32">
        <v>46430</v>
      </c>
      <c r="G2261" t="s">
        <v>514</v>
      </c>
      <c r="H2261">
        <v>47128020</v>
      </c>
      <c r="I2261" t="s">
        <v>2395</v>
      </c>
      <c r="J2261" t="s">
        <v>2396</v>
      </c>
      <c r="K2261" t="s">
        <v>530</v>
      </c>
      <c r="N2261">
        <v>0</v>
      </c>
      <c r="O2261">
        <v>0</v>
      </c>
      <c r="P2261" t="str">
        <f t="shared" si="35"/>
        <v>N</v>
      </c>
      <c r="Q2261" t="s">
        <v>7991</v>
      </c>
    </row>
    <row r="2262" spans="1:17" x14ac:dyDescent="0.25">
      <c r="A2262" t="s">
        <v>4009</v>
      </c>
      <c r="B2262" t="s">
        <v>3939</v>
      </c>
      <c r="C2262">
        <v>2027</v>
      </c>
      <c r="D2262" t="s">
        <v>628</v>
      </c>
      <c r="E2262" t="s">
        <v>836</v>
      </c>
      <c r="F2262" s="32">
        <v>46430</v>
      </c>
      <c r="G2262" t="s">
        <v>514</v>
      </c>
      <c r="H2262">
        <v>47128459</v>
      </c>
      <c r="I2262" t="s">
        <v>2398</v>
      </c>
      <c r="J2262" t="s">
        <v>2399</v>
      </c>
      <c r="K2262" t="s">
        <v>530</v>
      </c>
      <c r="N2262">
        <v>0</v>
      </c>
      <c r="O2262">
        <v>0</v>
      </c>
      <c r="P2262" t="str">
        <f t="shared" si="35"/>
        <v>N</v>
      </c>
      <c r="Q2262" t="s">
        <v>7992</v>
      </c>
    </row>
    <row r="2263" spans="1:17" x14ac:dyDescent="0.25">
      <c r="A2263" t="s">
        <v>4093</v>
      </c>
      <c r="B2263" t="s">
        <v>1489</v>
      </c>
      <c r="C2263">
        <v>2027</v>
      </c>
      <c r="D2263" t="s">
        <v>628</v>
      </c>
      <c r="E2263" t="s">
        <v>836</v>
      </c>
      <c r="F2263" s="32">
        <v>46430</v>
      </c>
      <c r="G2263" t="s">
        <v>514</v>
      </c>
      <c r="H2263">
        <v>47127948</v>
      </c>
      <c r="I2263" t="s">
        <v>1247</v>
      </c>
      <c r="J2263" t="s">
        <v>1246</v>
      </c>
      <c r="K2263" t="s">
        <v>530</v>
      </c>
      <c r="N2263">
        <v>0</v>
      </c>
      <c r="O2263">
        <v>0</v>
      </c>
      <c r="P2263" t="str">
        <f t="shared" si="35"/>
        <v>N</v>
      </c>
      <c r="Q2263" t="s">
        <v>7993</v>
      </c>
    </row>
    <row r="2264" spans="1:17" x14ac:dyDescent="0.25">
      <c r="A2264" t="s">
        <v>4094</v>
      </c>
      <c r="B2264" t="s">
        <v>1489</v>
      </c>
      <c r="C2264">
        <v>2027</v>
      </c>
      <c r="D2264" t="s">
        <v>628</v>
      </c>
      <c r="E2264" t="s">
        <v>836</v>
      </c>
      <c r="F2264" s="32">
        <v>46430</v>
      </c>
      <c r="G2264" t="s">
        <v>514</v>
      </c>
      <c r="H2264">
        <v>47128337</v>
      </c>
      <c r="I2264" t="s">
        <v>1120</v>
      </c>
      <c r="J2264" t="s">
        <v>1119</v>
      </c>
      <c r="K2264" t="s">
        <v>530</v>
      </c>
      <c r="N2264">
        <v>40</v>
      </c>
      <c r="O2264">
        <v>40</v>
      </c>
      <c r="P2264" t="str">
        <f t="shared" si="35"/>
        <v>N</v>
      </c>
      <c r="Q2264" t="s">
        <v>7994</v>
      </c>
    </row>
    <row r="2265" spans="1:17" x14ac:dyDescent="0.25">
      <c r="A2265" t="s">
        <v>4095</v>
      </c>
      <c r="B2265" t="s">
        <v>1489</v>
      </c>
      <c r="C2265">
        <v>2027</v>
      </c>
      <c r="D2265" t="s">
        <v>628</v>
      </c>
      <c r="E2265" t="s">
        <v>836</v>
      </c>
      <c r="F2265" s="32">
        <v>46430</v>
      </c>
      <c r="G2265" t="s">
        <v>514</v>
      </c>
      <c r="H2265">
        <v>47128977</v>
      </c>
      <c r="I2265" t="s">
        <v>1449</v>
      </c>
      <c r="J2265" t="s">
        <v>1448</v>
      </c>
      <c r="K2265" t="s">
        <v>530</v>
      </c>
      <c r="N2265">
        <v>0</v>
      </c>
      <c r="O2265">
        <v>0</v>
      </c>
      <c r="P2265" t="str">
        <f t="shared" si="35"/>
        <v>N</v>
      </c>
      <c r="Q2265" t="s">
        <v>7995</v>
      </c>
    </row>
    <row r="2266" spans="1:17" x14ac:dyDescent="0.25">
      <c r="A2266" t="s">
        <v>4273</v>
      </c>
      <c r="B2266" t="s">
        <v>916</v>
      </c>
      <c r="C2266">
        <v>2027</v>
      </c>
      <c r="D2266" t="s">
        <v>628</v>
      </c>
      <c r="E2266" t="s">
        <v>836</v>
      </c>
      <c r="F2266" s="32">
        <v>46430</v>
      </c>
      <c r="G2266" t="s">
        <v>514</v>
      </c>
      <c r="H2266">
        <v>47128421</v>
      </c>
      <c r="I2266" t="s">
        <v>1086</v>
      </c>
      <c r="J2266" t="s">
        <v>1085</v>
      </c>
      <c r="K2266" t="s">
        <v>530</v>
      </c>
      <c r="N2266">
        <v>0</v>
      </c>
      <c r="O2266">
        <v>0</v>
      </c>
      <c r="P2266" t="str">
        <f t="shared" si="35"/>
        <v>N</v>
      </c>
      <c r="Q2266" t="s">
        <v>7996</v>
      </c>
    </row>
    <row r="2267" spans="1:17" x14ac:dyDescent="0.25">
      <c r="A2267" t="s">
        <v>4274</v>
      </c>
      <c r="B2267" t="s">
        <v>916</v>
      </c>
      <c r="C2267">
        <v>2027</v>
      </c>
      <c r="D2267" t="s">
        <v>628</v>
      </c>
      <c r="E2267" t="s">
        <v>836</v>
      </c>
      <c r="F2267" s="32">
        <v>46430</v>
      </c>
      <c r="G2267" t="s">
        <v>514</v>
      </c>
      <c r="H2267">
        <v>47128706</v>
      </c>
      <c r="I2267" t="s">
        <v>1201</v>
      </c>
      <c r="J2267" t="s">
        <v>1200</v>
      </c>
      <c r="K2267" t="s">
        <v>530</v>
      </c>
      <c r="N2267">
        <v>0</v>
      </c>
      <c r="O2267">
        <v>0</v>
      </c>
      <c r="P2267" t="str">
        <f t="shared" si="35"/>
        <v>N</v>
      </c>
      <c r="Q2267" t="s">
        <v>7997</v>
      </c>
    </row>
    <row r="2268" spans="1:17" x14ac:dyDescent="0.25">
      <c r="A2268" t="s">
        <v>4275</v>
      </c>
      <c r="B2268" t="s">
        <v>916</v>
      </c>
      <c r="C2268">
        <v>2027</v>
      </c>
      <c r="D2268" t="s">
        <v>628</v>
      </c>
      <c r="E2268" t="s">
        <v>836</v>
      </c>
      <c r="F2268" s="32">
        <v>46430</v>
      </c>
      <c r="G2268" t="s">
        <v>514</v>
      </c>
      <c r="H2268">
        <v>47128364</v>
      </c>
      <c r="I2268" t="s">
        <v>1264</v>
      </c>
      <c r="J2268" t="s">
        <v>1263</v>
      </c>
      <c r="K2268" t="s">
        <v>530</v>
      </c>
      <c r="N2268">
        <v>0</v>
      </c>
      <c r="O2268">
        <v>0</v>
      </c>
      <c r="P2268" t="str">
        <f t="shared" si="35"/>
        <v>N</v>
      </c>
      <c r="Q2268" t="s">
        <v>7998</v>
      </c>
    </row>
    <row r="2269" spans="1:17" x14ac:dyDescent="0.25">
      <c r="A2269" t="s">
        <v>4276</v>
      </c>
      <c r="B2269" t="s">
        <v>916</v>
      </c>
      <c r="C2269">
        <v>2027</v>
      </c>
      <c r="D2269" t="s">
        <v>628</v>
      </c>
      <c r="E2269" t="s">
        <v>836</v>
      </c>
      <c r="F2269" s="32">
        <v>46430</v>
      </c>
      <c r="G2269" t="s">
        <v>514</v>
      </c>
      <c r="H2269">
        <v>47128633</v>
      </c>
      <c r="I2269" t="s">
        <v>1164</v>
      </c>
      <c r="J2269" t="s">
        <v>1163</v>
      </c>
      <c r="K2269" t="s">
        <v>530</v>
      </c>
      <c r="N2269">
        <v>0</v>
      </c>
      <c r="O2269">
        <v>0</v>
      </c>
      <c r="P2269" t="str">
        <f t="shared" si="35"/>
        <v>N</v>
      </c>
      <c r="Q2269" t="s">
        <v>7999</v>
      </c>
    </row>
    <row r="2270" spans="1:17" x14ac:dyDescent="0.25">
      <c r="A2270" t="s">
        <v>4277</v>
      </c>
      <c r="B2270" t="s">
        <v>916</v>
      </c>
      <c r="C2270">
        <v>2027</v>
      </c>
      <c r="D2270" t="s">
        <v>628</v>
      </c>
      <c r="E2270" t="s">
        <v>836</v>
      </c>
      <c r="F2270" s="32">
        <v>46430</v>
      </c>
      <c r="G2270" t="s">
        <v>514</v>
      </c>
      <c r="H2270">
        <v>47128046</v>
      </c>
      <c r="I2270" t="s">
        <v>1389</v>
      </c>
      <c r="J2270" t="s">
        <v>1388</v>
      </c>
      <c r="K2270" t="s">
        <v>530</v>
      </c>
      <c r="N2270">
        <v>0</v>
      </c>
      <c r="O2270">
        <v>0</v>
      </c>
      <c r="P2270" t="str">
        <f t="shared" si="35"/>
        <v>N</v>
      </c>
      <c r="Q2270" t="s">
        <v>8000</v>
      </c>
    </row>
    <row r="2271" spans="1:17" x14ac:dyDescent="0.25">
      <c r="A2271" t="s">
        <v>4278</v>
      </c>
      <c r="B2271" t="s">
        <v>916</v>
      </c>
      <c r="C2271">
        <v>2027</v>
      </c>
      <c r="D2271" t="s">
        <v>628</v>
      </c>
      <c r="E2271" t="s">
        <v>836</v>
      </c>
      <c r="F2271" s="32">
        <v>46430</v>
      </c>
      <c r="G2271" t="s">
        <v>514</v>
      </c>
      <c r="H2271">
        <v>47128355</v>
      </c>
      <c r="I2271" t="s">
        <v>964</v>
      </c>
      <c r="J2271" t="s">
        <v>963</v>
      </c>
      <c r="K2271" t="s">
        <v>530</v>
      </c>
      <c r="N2271">
        <v>0</v>
      </c>
      <c r="O2271">
        <v>0</v>
      </c>
      <c r="P2271" t="str">
        <f t="shared" si="35"/>
        <v>N</v>
      </c>
      <c r="Q2271" t="s">
        <v>8001</v>
      </c>
    </row>
    <row r="2272" spans="1:17" x14ac:dyDescent="0.25">
      <c r="A2272" t="s">
        <v>4279</v>
      </c>
      <c r="B2272" t="s">
        <v>916</v>
      </c>
      <c r="C2272">
        <v>2027</v>
      </c>
      <c r="D2272" t="s">
        <v>628</v>
      </c>
      <c r="E2272" t="s">
        <v>836</v>
      </c>
      <c r="F2272" s="32">
        <v>46430</v>
      </c>
      <c r="G2272" t="s">
        <v>514</v>
      </c>
      <c r="H2272">
        <v>47129548</v>
      </c>
      <c r="I2272" t="s">
        <v>1340</v>
      </c>
      <c r="J2272" t="s">
        <v>1339</v>
      </c>
      <c r="K2272" t="s">
        <v>530</v>
      </c>
      <c r="N2272">
        <v>0</v>
      </c>
      <c r="O2272">
        <v>0</v>
      </c>
      <c r="P2272" t="str">
        <f t="shared" si="35"/>
        <v>N</v>
      </c>
      <c r="Q2272" t="s">
        <v>8002</v>
      </c>
    </row>
    <row r="2273" spans="1:17" x14ac:dyDescent="0.25">
      <c r="A2273" t="s">
        <v>4280</v>
      </c>
      <c r="B2273" t="s">
        <v>916</v>
      </c>
      <c r="C2273">
        <v>2027</v>
      </c>
      <c r="D2273" t="s">
        <v>628</v>
      </c>
      <c r="E2273" t="s">
        <v>836</v>
      </c>
      <c r="F2273" s="32">
        <v>46430</v>
      </c>
      <c r="G2273" t="s">
        <v>514</v>
      </c>
      <c r="H2273">
        <v>47128835</v>
      </c>
      <c r="I2273" t="s">
        <v>998</v>
      </c>
      <c r="J2273" t="s">
        <v>997</v>
      </c>
      <c r="K2273" t="s">
        <v>530</v>
      </c>
      <c r="N2273">
        <v>40</v>
      </c>
      <c r="O2273">
        <v>40</v>
      </c>
      <c r="P2273" t="str">
        <f t="shared" si="35"/>
        <v>N</v>
      </c>
      <c r="Q2273" t="s">
        <v>8003</v>
      </c>
    </row>
    <row r="2274" spans="1:17" x14ac:dyDescent="0.25">
      <c r="A2274" t="s">
        <v>4281</v>
      </c>
      <c r="B2274" t="s">
        <v>916</v>
      </c>
      <c r="C2274">
        <v>2027</v>
      </c>
      <c r="D2274" t="s">
        <v>628</v>
      </c>
      <c r="E2274" t="s">
        <v>836</v>
      </c>
      <c r="F2274" s="32">
        <v>46430</v>
      </c>
      <c r="G2274" t="s">
        <v>514</v>
      </c>
      <c r="H2274">
        <v>47128788</v>
      </c>
      <c r="I2274" t="s">
        <v>4188</v>
      </c>
      <c r="J2274" t="s">
        <v>4189</v>
      </c>
      <c r="K2274" t="s">
        <v>530</v>
      </c>
      <c r="N2274">
        <v>0</v>
      </c>
      <c r="O2274">
        <v>0</v>
      </c>
      <c r="P2274" t="str">
        <f t="shared" si="35"/>
        <v>N</v>
      </c>
      <c r="Q2274" t="s">
        <v>8004</v>
      </c>
    </row>
    <row r="2275" spans="1:17" x14ac:dyDescent="0.25">
      <c r="A2275" t="s">
        <v>4282</v>
      </c>
      <c r="B2275" t="s">
        <v>916</v>
      </c>
      <c r="C2275">
        <v>2027</v>
      </c>
      <c r="D2275" t="s">
        <v>628</v>
      </c>
      <c r="E2275" t="s">
        <v>836</v>
      </c>
      <c r="F2275" s="32">
        <v>46430</v>
      </c>
      <c r="G2275" t="s">
        <v>514</v>
      </c>
      <c r="H2275">
        <v>47136348</v>
      </c>
      <c r="I2275" t="s">
        <v>1025</v>
      </c>
      <c r="J2275" t="s">
        <v>1024</v>
      </c>
      <c r="K2275" t="s">
        <v>530</v>
      </c>
      <c r="N2275">
        <v>0</v>
      </c>
      <c r="O2275">
        <v>0</v>
      </c>
      <c r="P2275" t="str">
        <f t="shared" si="35"/>
        <v>N</v>
      </c>
      <c r="Q2275" t="s">
        <v>8005</v>
      </c>
    </row>
    <row r="2276" spans="1:17" x14ac:dyDescent="0.25">
      <c r="A2276" t="s">
        <v>4283</v>
      </c>
      <c r="B2276" t="s">
        <v>916</v>
      </c>
      <c r="C2276">
        <v>2027</v>
      </c>
      <c r="D2276" t="s">
        <v>628</v>
      </c>
      <c r="E2276" t="s">
        <v>836</v>
      </c>
      <c r="F2276" s="32">
        <v>46430</v>
      </c>
      <c r="G2276" t="s">
        <v>514</v>
      </c>
      <c r="H2276">
        <v>47135083</v>
      </c>
      <c r="I2276" t="s">
        <v>4192</v>
      </c>
      <c r="J2276" t="s">
        <v>4193</v>
      </c>
      <c r="K2276" t="s">
        <v>530</v>
      </c>
      <c r="N2276">
        <v>0</v>
      </c>
      <c r="O2276">
        <v>0</v>
      </c>
      <c r="P2276" t="str">
        <f t="shared" si="35"/>
        <v>N</v>
      </c>
      <c r="Q2276" t="s">
        <v>8006</v>
      </c>
    </row>
    <row r="2277" spans="1:17" x14ac:dyDescent="0.25">
      <c r="A2277" t="s">
        <v>4284</v>
      </c>
      <c r="B2277" t="s">
        <v>916</v>
      </c>
      <c r="C2277">
        <v>2027</v>
      </c>
      <c r="D2277" t="s">
        <v>628</v>
      </c>
      <c r="E2277" t="s">
        <v>836</v>
      </c>
      <c r="F2277" s="32">
        <v>46430</v>
      </c>
      <c r="G2277" t="s">
        <v>514</v>
      </c>
      <c r="H2277">
        <v>47128684</v>
      </c>
      <c r="I2277" t="s">
        <v>1005</v>
      </c>
      <c r="J2277" t="s">
        <v>1004</v>
      </c>
      <c r="K2277" t="s">
        <v>530</v>
      </c>
      <c r="N2277">
        <v>0</v>
      </c>
      <c r="O2277">
        <v>0</v>
      </c>
      <c r="P2277" t="str">
        <f t="shared" si="35"/>
        <v>N</v>
      </c>
      <c r="Q2277" t="s">
        <v>8007</v>
      </c>
    </row>
    <row r="2278" spans="1:17" x14ac:dyDescent="0.25">
      <c r="A2278" t="s">
        <v>4285</v>
      </c>
      <c r="B2278" t="s">
        <v>916</v>
      </c>
      <c r="C2278">
        <v>2027</v>
      </c>
      <c r="D2278" t="s">
        <v>628</v>
      </c>
      <c r="E2278" t="s">
        <v>836</v>
      </c>
      <c r="F2278" s="32">
        <v>46430</v>
      </c>
      <c r="G2278" t="s">
        <v>514</v>
      </c>
      <c r="H2278">
        <v>47128469</v>
      </c>
      <c r="I2278" t="s">
        <v>928</v>
      </c>
      <c r="J2278" t="s">
        <v>927</v>
      </c>
      <c r="K2278" t="s">
        <v>530</v>
      </c>
      <c r="N2278">
        <v>0</v>
      </c>
      <c r="O2278">
        <v>0</v>
      </c>
      <c r="P2278" t="str">
        <f t="shared" si="35"/>
        <v>N</v>
      </c>
      <c r="Q2278" t="s">
        <v>8008</v>
      </c>
    </row>
    <row r="2279" spans="1:17" x14ac:dyDescent="0.25">
      <c r="A2279" t="s">
        <v>4286</v>
      </c>
      <c r="B2279" t="s">
        <v>916</v>
      </c>
      <c r="C2279">
        <v>2027</v>
      </c>
      <c r="D2279" t="s">
        <v>628</v>
      </c>
      <c r="E2279" t="s">
        <v>836</v>
      </c>
      <c r="F2279" s="32">
        <v>46430</v>
      </c>
      <c r="G2279" t="s">
        <v>514</v>
      </c>
      <c r="H2279">
        <v>47128359</v>
      </c>
      <c r="I2279" t="s">
        <v>961</v>
      </c>
      <c r="J2279" t="s">
        <v>960</v>
      </c>
      <c r="K2279" t="s">
        <v>530</v>
      </c>
      <c r="N2279">
        <v>0</v>
      </c>
      <c r="O2279">
        <v>0</v>
      </c>
      <c r="P2279" t="str">
        <f t="shared" si="35"/>
        <v>N</v>
      </c>
      <c r="Q2279" t="s">
        <v>8009</v>
      </c>
    </row>
    <row r="2280" spans="1:17" x14ac:dyDescent="0.25">
      <c r="A2280" t="s">
        <v>4287</v>
      </c>
      <c r="B2280" t="s">
        <v>916</v>
      </c>
      <c r="C2280">
        <v>2027</v>
      </c>
      <c r="D2280" t="s">
        <v>628</v>
      </c>
      <c r="E2280" t="s">
        <v>836</v>
      </c>
      <c r="F2280" s="32">
        <v>46430</v>
      </c>
      <c r="G2280" t="s">
        <v>514</v>
      </c>
      <c r="H2280">
        <v>47128202</v>
      </c>
      <c r="I2280" t="s">
        <v>967</v>
      </c>
      <c r="J2280" t="s">
        <v>966</v>
      </c>
      <c r="K2280" t="s">
        <v>530</v>
      </c>
      <c r="N2280">
        <v>0</v>
      </c>
      <c r="O2280">
        <v>0</v>
      </c>
      <c r="P2280" t="str">
        <f t="shared" si="35"/>
        <v>N</v>
      </c>
      <c r="Q2280" t="s">
        <v>8010</v>
      </c>
    </row>
    <row r="2281" spans="1:17" x14ac:dyDescent="0.25">
      <c r="A2281" t="s">
        <v>4288</v>
      </c>
      <c r="B2281" t="s">
        <v>916</v>
      </c>
      <c r="C2281">
        <v>2027</v>
      </c>
      <c r="D2281" t="s">
        <v>628</v>
      </c>
      <c r="E2281" t="s">
        <v>836</v>
      </c>
      <c r="F2281" s="32">
        <v>46430</v>
      </c>
      <c r="G2281" t="s">
        <v>514</v>
      </c>
      <c r="H2281">
        <v>47128154</v>
      </c>
      <c r="I2281" t="s">
        <v>933</v>
      </c>
      <c r="J2281" t="s">
        <v>932</v>
      </c>
      <c r="K2281" t="s">
        <v>530</v>
      </c>
      <c r="N2281">
        <v>0</v>
      </c>
      <c r="O2281">
        <v>0</v>
      </c>
      <c r="P2281" t="str">
        <f t="shared" si="35"/>
        <v>N</v>
      </c>
      <c r="Q2281" t="s">
        <v>8011</v>
      </c>
    </row>
    <row r="2282" spans="1:17" x14ac:dyDescent="0.25">
      <c r="A2282" t="s">
        <v>4289</v>
      </c>
      <c r="B2282" t="s">
        <v>916</v>
      </c>
      <c r="C2282">
        <v>2027</v>
      </c>
      <c r="D2282" t="s">
        <v>628</v>
      </c>
      <c r="E2282" t="s">
        <v>836</v>
      </c>
      <c r="F2282" s="32">
        <v>46430</v>
      </c>
      <c r="G2282" t="s">
        <v>514</v>
      </c>
      <c r="H2282">
        <v>47128108</v>
      </c>
      <c r="I2282" t="s">
        <v>1011</v>
      </c>
      <c r="J2282" t="s">
        <v>1010</v>
      </c>
      <c r="K2282" t="s">
        <v>530</v>
      </c>
      <c r="N2282">
        <v>0</v>
      </c>
      <c r="O2282">
        <v>0</v>
      </c>
      <c r="P2282" t="str">
        <f t="shared" si="35"/>
        <v>N</v>
      </c>
      <c r="Q2282" t="s">
        <v>8012</v>
      </c>
    </row>
    <row r="2283" spans="1:17" x14ac:dyDescent="0.25">
      <c r="A2283" t="s">
        <v>4290</v>
      </c>
      <c r="B2283" t="s">
        <v>916</v>
      </c>
      <c r="C2283">
        <v>2027</v>
      </c>
      <c r="D2283" t="s">
        <v>628</v>
      </c>
      <c r="E2283" t="s">
        <v>836</v>
      </c>
      <c r="F2283" s="32">
        <v>46430</v>
      </c>
      <c r="G2283" t="s">
        <v>514</v>
      </c>
      <c r="H2283">
        <v>47129069</v>
      </c>
      <c r="I2283" t="s">
        <v>1325</v>
      </c>
      <c r="J2283" t="s">
        <v>1324</v>
      </c>
      <c r="K2283" t="s">
        <v>530</v>
      </c>
      <c r="N2283">
        <v>0</v>
      </c>
      <c r="O2283">
        <v>0</v>
      </c>
      <c r="P2283" t="str">
        <f t="shared" si="35"/>
        <v>N</v>
      </c>
      <c r="Q2283" t="s">
        <v>8013</v>
      </c>
    </row>
    <row r="2284" spans="1:17" x14ac:dyDescent="0.25">
      <c r="A2284" t="s">
        <v>4436</v>
      </c>
      <c r="B2284" t="s">
        <v>4428</v>
      </c>
      <c r="C2284">
        <v>2027</v>
      </c>
      <c r="D2284" t="s">
        <v>628</v>
      </c>
      <c r="E2284" t="s">
        <v>836</v>
      </c>
      <c r="F2284" s="32">
        <v>46430</v>
      </c>
      <c r="G2284" t="s">
        <v>514</v>
      </c>
      <c r="H2284">
        <v>47128132</v>
      </c>
      <c r="I2284" t="s">
        <v>4429</v>
      </c>
      <c r="J2284" t="s">
        <v>4430</v>
      </c>
      <c r="K2284" t="s">
        <v>530</v>
      </c>
      <c r="N2284">
        <v>0</v>
      </c>
      <c r="O2284">
        <v>0</v>
      </c>
      <c r="P2284" t="str">
        <f t="shared" si="35"/>
        <v>N</v>
      </c>
      <c r="Q2284" t="s">
        <v>8014</v>
      </c>
    </row>
    <row r="2285" spans="1:17" x14ac:dyDescent="0.25">
      <c r="A2285" t="s">
        <v>4484</v>
      </c>
      <c r="B2285" t="s">
        <v>4445</v>
      </c>
      <c r="C2285">
        <v>2027</v>
      </c>
      <c r="D2285" t="s">
        <v>628</v>
      </c>
      <c r="E2285" t="s">
        <v>836</v>
      </c>
      <c r="F2285" s="32">
        <v>46430</v>
      </c>
      <c r="G2285" t="s">
        <v>514</v>
      </c>
      <c r="H2285">
        <v>47129711</v>
      </c>
      <c r="I2285" t="s">
        <v>4446</v>
      </c>
      <c r="J2285" t="s">
        <v>4447</v>
      </c>
      <c r="K2285" t="s">
        <v>530</v>
      </c>
      <c r="N2285">
        <v>20</v>
      </c>
      <c r="O2285">
        <v>20</v>
      </c>
      <c r="P2285" t="str">
        <f t="shared" si="35"/>
        <v>N</v>
      </c>
      <c r="Q2285" t="s">
        <v>8015</v>
      </c>
    </row>
    <row r="2286" spans="1:17" x14ac:dyDescent="0.25">
      <c r="A2286" t="s">
        <v>4485</v>
      </c>
      <c r="B2286" t="s">
        <v>4445</v>
      </c>
      <c r="C2286">
        <v>2027</v>
      </c>
      <c r="D2286" t="s">
        <v>628</v>
      </c>
      <c r="E2286" t="s">
        <v>836</v>
      </c>
      <c r="F2286" s="32">
        <v>46430</v>
      </c>
      <c r="G2286" t="s">
        <v>514</v>
      </c>
      <c r="H2286">
        <v>47129228</v>
      </c>
      <c r="I2286" t="s">
        <v>4449</v>
      </c>
      <c r="J2286" t="s">
        <v>4450</v>
      </c>
      <c r="K2286" t="s">
        <v>530</v>
      </c>
      <c r="N2286">
        <v>32</v>
      </c>
      <c r="O2286">
        <v>32</v>
      </c>
      <c r="P2286" t="str">
        <f t="shared" si="35"/>
        <v>N</v>
      </c>
      <c r="Q2286" t="s">
        <v>8016</v>
      </c>
    </row>
    <row r="2287" spans="1:17" x14ac:dyDescent="0.25">
      <c r="A2287" t="s">
        <v>4642</v>
      </c>
      <c r="B2287" t="s">
        <v>1044</v>
      </c>
      <c r="C2287">
        <v>2027</v>
      </c>
      <c r="D2287" t="s">
        <v>628</v>
      </c>
      <c r="E2287" t="s">
        <v>836</v>
      </c>
      <c r="F2287" s="32">
        <v>46430</v>
      </c>
      <c r="G2287" t="s">
        <v>514</v>
      </c>
      <c r="H2287">
        <v>47127948</v>
      </c>
      <c r="I2287" t="s">
        <v>1247</v>
      </c>
      <c r="J2287" t="s">
        <v>1246</v>
      </c>
      <c r="K2287" t="s">
        <v>530</v>
      </c>
      <c r="N2287">
        <v>0</v>
      </c>
      <c r="O2287">
        <v>0</v>
      </c>
      <c r="P2287" t="str">
        <f t="shared" si="35"/>
        <v>N</v>
      </c>
      <c r="Q2287" t="s">
        <v>8017</v>
      </c>
    </row>
    <row r="2288" spans="1:17" x14ac:dyDescent="0.25">
      <c r="A2288" t="s">
        <v>4643</v>
      </c>
      <c r="B2288" t="s">
        <v>1044</v>
      </c>
      <c r="C2288">
        <v>2027</v>
      </c>
      <c r="D2288" t="s">
        <v>628</v>
      </c>
      <c r="E2288" t="s">
        <v>836</v>
      </c>
      <c r="F2288" s="32">
        <v>46430</v>
      </c>
      <c r="G2288" t="s">
        <v>514</v>
      </c>
      <c r="H2288">
        <v>47128710</v>
      </c>
      <c r="I2288" t="s">
        <v>1189</v>
      </c>
      <c r="J2288" t="s">
        <v>1188</v>
      </c>
      <c r="K2288" t="s">
        <v>530</v>
      </c>
      <c r="N2288">
        <v>0</v>
      </c>
      <c r="O2288">
        <v>0</v>
      </c>
      <c r="P2288" t="str">
        <f t="shared" si="35"/>
        <v>N</v>
      </c>
      <c r="Q2288" t="s">
        <v>8018</v>
      </c>
    </row>
    <row r="2289" spans="1:17" x14ac:dyDescent="0.25">
      <c r="A2289" t="s">
        <v>4644</v>
      </c>
      <c r="B2289" t="s">
        <v>1044</v>
      </c>
      <c r="C2289">
        <v>2027</v>
      </c>
      <c r="D2289" t="s">
        <v>628</v>
      </c>
      <c r="E2289" t="s">
        <v>836</v>
      </c>
      <c r="F2289" s="32">
        <v>46430</v>
      </c>
      <c r="G2289" t="s">
        <v>514</v>
      </c>
      <c r="H2289">
        <v>47128572</v>
      </c>
      <c r="I2289" t="s">
        <v>1197</v>
      </c>
      <c r="J2289" t="s">
        <v>1196</v>
      </c>
      <c r="K2289" t="s">
        <v>530</v>
      </c>
      <c r="N2289">
        <v>20</v>
      </c>
      <c r="O2289">
        <v>20</v>
      </c>
      <c r="P2289" t="str">
        <f t="shared" si="35"/>
        <v>N</v>
      </c>
      <c r="Q2289" t="s">
        <v>8019</v>
      </c>
    </row>
    <row r="2290" spans="1:17" x14ac:dyDescent="0.25">
      <c r="A2290" t="s">
        <v>4645</v>
      </c>
      <c r="B2290" t="s">
        <v>1044</v>
      </c>
      <c r="C2290">
        <v>2027</v>
      </c>
      <c r="D2290" t="s">
        <v>628</v>
      </c>
      <c r="E2290" t="s">
        <v>836</v>
      </c>
      <c r="F2290" s="32">
        <v>46430</v>
      </c>
      <c r="G2290" t="s">
        <v>514</v>
      </c>
      <c r="H2290">
        <v>47128482</v>
      </c>
      <c r="I2290" t="s">
        <v>1393</v>
      </c>
      <c r="J2290" t="s">
        <v>1392</v>
      </c>
      <c r="K2290" t="s">
        <v>530</v>
      </c>
      <c r="N2290">
        <v>0</v>
      </c>
      <c r="O2290">
        <v>0</v>
      </c>
      <c r="P2290" t="str">
        <f t="shared" si="35"/>
        <v>N</v>
      </c>
      <c r="Q2290" t="s">
        <v>8020</v>
      </c>
    </row>
    <row r="2291" spans="1:17" x14ac:dyDescent="0.25">
      <c r="A2291" t="s">
        <v>4646</v>
      </c>
      <c r="B2291" t="s">
        <v>1044</v>
      </c>
      <c r="C2291">
        <v>2027</v>
      </c>
      <c r="D2291" t="s">
        <v>628</v>
      </c>
      <c r="E2291" t="s">
        <v>836</v>
      </c>
      <c r="F2291" s="32">
        <v>46430</v>
      </c>
      <c r="G2291" t="s">
        <v>514</v>
      </c>
      <c r="H2291">
        <v>47128337</v>
      </c>
      <c r="I2291" t="s">
        <v>1120</v>
      </c>
      <c r="J2291" t="s">
        <v>1119</v>
      </c>
      <c r="K2291" t="s">
        <v>530</v>
      </c>
      <c r="N2291">
        <v>40</v>
      </c>
      <c r="O2291">
        <v>40</v>
      </c>
      <c r="P2291" t="str">
        <f t="shared" si="35"/>
        <v>N</v>
      </c>
      <c r="Q2291" t="s">
        <v>8021</v>
      </c>
    </row>
    <row r="2292" spans="1:17" x14ac:dyDescent="0.25">
      <c r="A2292" t="s">
        <v>4647</v>
      </c>
      <c r="B2292" t="s">
        <v>1044</v>
      </c>
      <c r="C2292">
        <v>2027</v>
      </c>
      <c r="D2292" t="s">
        <v>628</v>
      </c>
      <c r="E2292" t="s">
        <v>836</v>
      </c>
      <c r="F2292" s="32">
        <v>46430</v>
      </c>
      <c r="G2292" t="s">
        <v>514</v>
      </c>
      <c r="H2292">
        <v>47128833</v>
      </c>
      <c r="I2292" t="s">
        <v>1193</v>
      </c>
      <c r="J2292" t="s">
        <v>1192</v>
      </c>
      <c r="K2292" t="s">
        <v>530</v>
      </c>
      <c r="N2292">
        <v>0</v>
      </c>
      <c r="O2292">
        <v>0</v>
      </c>
      <c r="P2292" t="str">
        <f t="shared" si="35"/>
        <v>N</v>
      </c>
      <c r="Q2292" t="s">
        <v>8022</v>
      </c>
    </row>
    <row r="2293" spans="1:17" x14ac:dyDescent="0.25">
      <c r="A2293" t="s">
        <v>4648</v>
      </c>
      <c r="B2293" t="s">
        <v>1044</v>
      </c>
      <c r="C2293">
        <v>2027</v>
      </c>
      <c r="D2293" t="s">
        <v>628</v>
      </c>
      <c r="E2293" t="s">
        <v>836</v>
      </c>
      <c r="F2293" s="32">
        <v>46430</v>
      </c>
      <c r="G2293" t="s">
        <v>514</v>
      </c>
      <c r="H2293">
        <v>47128784</v>
      </c>
      <c r="I2293" t="s">
        <v>1426</v>
      </c>
      <c r="J2293" t="s">
        <v>1425</v>
      </c>
      <c r="K2293" t="s">
        <v>530</v>
      </c>
      <c r="N2293">
        <v>0</v>
      </c>
      <c r="O2293">
        <v>0</v>
      </c>
      <c r="P2293" t="str">
        <f t="shared" si="35"/>
        <v>N</v>
      </c>
      <c r="Q2293" t="s">
        <v>8023</v>
      </c>
    </row>
    <row r="2294" spans="1:17" x14ac:dyDescent="0.25">
      <c r="A2294" t="s">
        <v>4649</v>
      </c>
      <c r="B2294" t="s">
        <v>1044</v>
      </c>
      <c r="C2294">
        <v>2027</v>
      </c>
      <c r="D2294" t="s">
        <v>628</v>
      </c>
      <c r="E2294" t="s">
        <v>836</v>
      </c>
      <c r="F2294" s="32">
        <v>46430</v>
      </c>
      <c r="G2294" t="s">
        <v>514</v>
      </c>
      <c r="H2294">
        <v>47129473</v>
      </c>
      <c r="I2294" t="s">
        <v>1430</v>
      </c>
      <c r="J2294" t="s">
        <v>1429</v>
      </c>
      <c r="K2294" t="s">
        <v>530</v>
      </c>
      <c r="N2294">
        <v>0</v>
      </c>
      <c r="O2294">
        <v>0</v>
      </c>
      <c r="P2294" t="str">
        <f t="shared" si="35"/>
        <v>N</v>
      </c>
      <c r="Q2294" t="s">
        <v>8024</v>
      </c>
    </row>
    <row r="2295" spans="1:17" x14ac:dyDescent="0.25">
      <c r="A2295" t="s">
        <v>4650</v>
      </c>
      <c r="B2295" t="s">
        <v>1044</v>
      </c>
      <c r="C2295">
        <v>2027</v>
      </c>
      <c r="D2295" t="s">
        <v>628</v>
      </c>
      <c r="E2295" t="s">
        <v>836</v>
      </c>
      <c r="F2295" s="32">
        <v>46430</v>
      </c>
      <c r="G2295" t="s">
        <v>514</v>
      </c>
      <c r="H2295">
        <v>47128429</v>
      </c>
      <c r="I2295" t="s">
        <v>1371</v>
      </c>
      <c r="J2295" t="s">
        <v>1370</v>
      </c>
      <c r="K2295" t="s">
        <v>530</v>
      </c>
      <c r="N2295">
        <v>0</v>
      </c>
      <c r="O2295">
        <v>0</v>
      </c>
      <c r="P2295" t="str">
        <f t="shared" si="35"/>
        <v>N</v>
      </c>
      <c r="Q2295" t="s">
        <v>8025</v>
      </c>
    </row>
    <row r="2296" spans="1:17" x14ac:dyDescent="0.25">
      <c r="A2296" t="s">
        <v>4651</v>
      </c>
      <c r="B2296" t="s">
        <v>1044</v>
      </c>
      <c r="C2296">
        <v>2027</v>
      </c>
      <c r="D2296" t="s">
        <v>628</v>
      </c>
      <c r="E2296" t="s">
        <v>836</v>
      </c>
      <c r="F2296" s="32">
        <v>46430</v>
      </c>
      <c r="G2296" t="s">
        <v>514</v>
      </c>
      <c r="H2296">
        <v>47128181</v>
      </c>
      <c r="I2296" t="s">
        <v>1301</v>
      </c>
      <c r="J2296" t="s">
        <v>1300</v>
      </c>
      <c r="K2296" t="s">
        <v>530</v>
      </c>
      <c r="N2296">
        <v>0</v>
      </c>
      <c r="O2296">
        <v>0</v>
      </c>
      <c r="P2296" t="str">
        <f t="shared" si="35"/>
        <v>N</v>
      </c>
      <c r="Q2296" t="s">
        <v>8026</v>
      </c>
    </row>
    <row r="2297" spans="1:17" x14ac:dyDescent="0.25">
      <c r="A2297" t="s">
        <v>5002</v>
      </c>
      <c r="B2297" t="s">
        <v>1090</v>
      </c>
      <c r="C2297">
        <v>2027</v>
      </c>
      <c r="D2297" t="s">
        <v>628</v>
      </c>
      <c r="E2297" t="s">
        <v>836</v>
      </c>
      <c r="F2297" s="32">
        <v>46430</v>
      </c>
      <c r="G2297" t="s">
        <v>514</v>
      </c>
      <c r="H2297">
        <v>47128317</v>
      </c>
      <c r="I2297" t="s">
        <v>985</v>
      </c>
      <c r="J2297" t="s">
        <v>984</v>
      </c>
      <c r="K2297" t="s">
        <v>530</v>
      </c>
      <c r="N2297">
        <v>0</v>
      </c>
      <c r="O2297">
        <v>0</v>
      </c>
      <c r="P2297" t="str">
        <f t="shared" si="35"/>
        <v>N</v>
      </c>
      <c r="Q2297" t="s">
        <v>8027</v>
      </c>
    </row>
    <row r="2298" spans="1:17" x14ac:dyDescent="0.25">
      <c r="A2298" t="s">
        <v>5003</v>
      </c>
      <c r="B2298" t="s">
        <v>1090</v>
      </c>
      <c r="C2298">
        <v>2027</v>
      </c>
      <c r="D2298" t="s">
        <v>628</v>
      </c>
      <c r="E2298" t="s">
        <v>836</v>
      </c>
      <c r="F2298" s="32">
        <v>46430</v>
      </c>
      <c r="G2298" t="s">
        <v>514</v>
      </c>
      <c r="H2298">
        <v>47128137</v>
      </c>
      <c r="I2298" t="s">
        <v>1008</v>
      </c>
      <c r="J2298" t="s">
        <v>1007</v>
      </c>
      <c r="K2298" t="s">
        <v>530</v>
      </c>
      <c r="N2298">
        <v>57</v>
      </c>
      <c r="O2298">
        <v>57</v>
      </c>
      <c r="P2298" t="str">
        <f t="shared" si="35"/>
        <v>N</v>
      </c>
      <c r="Q2298" t="s">
        <v>8028</v>
      </c>
    </row>
    <row r="2299" spans="1:17" x14ac:dyDescent="0.25">
      <c r="A2299" t="s">
        <v>5004</v>
      </c>
      <c r="B2299" t="s">
        <v>1090</v>
      </c>
      <c r="C2299">
        <v>2027</v>
      </c>
      <c r="D2299" t="s">
        <v>628</v>
      </c>
      <c r="E2299" t="s">
        <v>836</v>
      </c>
      <c r="F2299" s="32">
        <v>46430</v>
      </c>
      <c r="G2299" t="s">
        <v>514</v>
      </c>
      <c r="H2299">
        <v>47128085</v>
      </c>
      <c r="I2299" t="s">
        <v>942</v>
      </c>
      <c r="J2299" t="s">
        <v>941</v>
      </c>
      <c r="K2299" t="s">
        <v>530</v>
      </c>
      <c r="N2299">
        <v>25</v>
      </c>
      <c r="O2299">
        <v>25</v>
      </c>
      <c r="P2299" t="str">
        <f t="shared" si="35"/>
        <v>N</v>
      </c>
      <c r="Q2299" t="s">
        <v>8029</v>
      </c>
    </row>
    <row r="2300" spans="1:17" x14ac:dyDescent="0.25">
      <c r="A2300" t="s">
        <v>5005</v>
      </c>
      <c r="B2300" t="s">
        <v>1090</v>
      </c>
      <c r="C2300">
        <v>2027</v>
      </c>
      <c r="D2300" t="s">
        <v>628</v>
      </c>
      <c r="E2300" t="s">
        <v>836</v>
      </c>
      <c r="F2300" s="32">
        <v>46430</v>
      </c>
      <c r="G2300" t="s">
        <v>514</v>
      </c>
      <c r="H2300">
        <v>47128139</v>
      </c>
      <c r="I2300" t="s">
        <v>988</v>
      </c>
      <c r="J2300" t="s">
        <v>987</v>
      </c>
      <c r="K2300" t="s">
        <v>530</v>
      </c>
      <c r="N2300">
        <v>0</v>
      </c>
      <c r="O2300">
        <v>0</v>
      </c>
      <c r="P2300" t="str">
        <f t="shared" si="35"/>
        <v>N</v>
      </c>
      <c r="Q2300" t="s">
        <v>8030</v>
      </c>
    </row>
    <row r="2301" spans="1:17" x14ac:dyDescent="0.25">
      <c r="A2301" t="s">
        <v>5006</v>
      </c>
      <c r="B2301" t="s">
        <v>1090</v>
      </c>
      <c r="C2301">
        <v>2027</v>
      </c>
      <c r="D2301" t="s">
        <v>628</v>
      </c>
      <c r="E2301" t="s">
        <v>836</v>
      </c>
      <c r="F2301" s="32">
        <v>46430</v>
      </c>
      <c r="G2301" t="s">
        <v>514</v>
      </c>
      <c r="H2301">
        <v>47128939</v>
      </c>
      <c r="I2301" t="s">
        <v>1224</v>
      </c>
      <c r="J2301" t="s">
        <v>1223</v>
      </c>
      <c r="K2301" t="s">
        <v>530</v>
      </c>
      <c r="N2301">
        <v>0</v>
      </c>
      <c r="O2301">
        <v>0</v>
      </c>
      <c r="P2301" t="str">
        <f t="shared" si="35"/>
        <v>N</v>
      </c>
      <c r="Q2301" t="s">
        <v>8031</v>
      </c>
    </row>
    <row r="2302" spans="1:17" x14ac:dyDescent="0.25">
      <c r="A2302" t="s">
        <v>5007</v>
      </c>
      <c r="B2302" t="s">
        <v>1090</v>
      </c>
      <c r="C2302">
        <v>2027</v>
      </c>
      <c r="D2302" t="s">
        <v>628</v>
      </c>
      <c r="E2302" t="s">
        <v>836</v>
      </c>
      <c r="F2302" s="32">
        <v>46430</v>
      </c>
      <c r="G2302" t="s">
        <v>514</v>
      </c>
      <c r="H2302">
        <v>47128449</v>
      </c>
      <c r="I2302" t="s">
        <v>1364</v>
      </c>
      <c r="J2302" t="s">
        <v>1363</v>
      </c>
      <c r="K2302" t="s">
        <v>530</v>
      </c>
      <c r="N2302">
        <v>0</v>
      </c>
      <c r="O2302">
        <v>0</v>
      </c>
      <c r="P2302" t="str">
        <f t="shared" si="35"/>
        <v>N</v>
      </c>
      <c r="Q2302" t="s">
        <v>8032</v>
      </c>
    </row>
    <row r="2303" spans="1:17" x14ac:dyDescent="0.25">
      <c r="A2303" t="s">
        <v>5008</v>
      </c>
      <c r="B2303" t="s">
        <v>1090</v>
      </c>
      <c r="C2303">
        <v>2027</v>
      </c>
      <c r="D2303" t="s">
        <v>628</v>
      </c>
      <c r="E2303" t="s">
        <v>836</v>
      </c>
      <c r="F2303" s="32">
        <v>46430</v>
      </c>
      <c r="G2303" t="s">
        <v>514</v>
      </c>
      <c r="H2303">
        <v>47128902</v>
      </c>
      <c r="I2303" t="s">
        <v>1243</v>
      </c>
      <c r="J2303" t="s">
        <v>1242</v>
      </c>
      <c r="K2303" t="s">
        <v>530</v>
      </c>
      <c r="N2303">
        <v>0</v>
      </c>
      <c r="O2303">
        <v>0</v>
      </c>
      <c r="P2303" t="str">
        <f t="shared" si="35"/>
        <v>N</v>
      </c>
      <c r="Q2303" t="s">
        <v>8033</v>
      </c>
    </row>
    <row r="2304" spans="1:17" x14ac:dyDescent="0.25">
      <c r="A2304" t="s">
        <v>5009</v>
      </c>
      <c r="B2304" t="s">
        <v>1090</v>
      </c>
      <c r="C2304">
        <v>2027</v>
      </c>
      <c r="D2304" t="s">
        <v>628</v>
      </c>
      <c r="E2304" t="s">
        <v>836</v>
      </c>
      <c r="F2304" s="32">
        <v>46430</v>
      </c>
      <c r="G2304" t="s">
        <v>514</v>
      </c>
      <c r="H2304">
        <v>47128417</v>
      </c>
      <c r="I2304" t="s">
        <v>1069</v>
      </c>
      <c r="J2304" t="s">
        <v>1068</v>
      </c>
      <c r="K2304" t="s">
        <v>530</v>
      </c>
      <c r="N2304">
        <v>0</v>
      </c>
      <c r="O2304">
        <v>0</v>
      </c>
      <c r="P2304" t="str">
        <f t="shared" si="35"/>
        <v>N</v>
      </c>
      <c r="Q2304" t="s">
        <v>8034</v>
      </c>
    </row>
    <row r="2305" spans="1:17" x14ac:dyDescent="0.25">
      <c r="A2305" t="s">
        <v>5010</v>
      </c>
      <c r="B2305" t="s">
        <v>1090</v>
      </c>
      <c r="C2305">
        <v>2027</v>
      </c>
      <c r="D2305" t="s">
        <v>628</v>
      </c>
      <c r="E2305" t="s">
        <v>836</v>
      </c>
      <c r="F2305" s="32">
        <v>46430</v>
      </c>
      <c r="G2305" t="s">
        <v>514</v>
      </c>
      <c r="H2305">
        <v>47129017</v>
      </c>
      <c r="I2305" t="s">
        <v>1073</v>
      </c>
      <c r="J2305" t="s">
        <v>1072</v>
      </c>
      <c r="K2305" t="s">
        <v>530</v>
      </c>
      <c r="N2305">
        <v>0</v>
      </c>
      <c r="O2305">
        <v>0</v>
      </c>
      <c r="P2305" t="str">
        <f t="shared" si="35"/>
        <v>N</v>
      </c>
      <c r="Q2305" t="s">
        <v>8035</v>
      </c>
    </row>
    <row r="2306" spans="1:17" x14ac:dyDescent="0.25">
      <c r="A2306" t="s">
        <v>5011</v>
      </c>
      <c r="B2306" t="s">
        <v>1090</v>
      </c>
      <c r="C2306">
        <v>2027</v>
      </c>
      <c r="D2306" t="s">
        <v>628</v>
      </c>
      <c r="E2306" t="s">
        <v>836</v>
      </c>
      <c r="F2306" s="32">
        <v>46430</v>
      </c>
      <c r="G2306" t="s">
        <v>514</v>
      </c>
      <c r="H2306">
        <v>47128936</v>
      </c>
      <c r="I2306" t="s">
        <v>1173</v>
      </c>
      <c r="J2306" t="s">
        <v>1172</v>
      </c>
      <c r="K2306" t="s">
        <v>530</v>
      </c>
      <c r="N2306">
        <v>0</v>
      </c>
      <c r="O2306">
        <v>0</v>
      </c>
      <c r="P2306" t="str">
        <f t="shared" si="35"/>
        <v>N</v>
      </c>
      <c r="Q2306" t="s">
        <v>8036</v>
      </c>
    </row>
    <row r="2307" spans="1:17" x14ac:dyDescent="0.25">
      <c r="A2307" t="s">
        <v>5012</v>
      </c>
      <c r="B2307" t="s">
        <v>1090</v>
      </c>
      <c r="C2307">
        <v>2027</v>
      </c>
      <c r="D2307" t="s">
        <v>628</v>
      </c>
      <c r="E2307" t="s">
        <v>836</v>
      </c>
      <c r="F2307" s="32">
        <v>46430</v>
      </c>
      <c r="G2307" t="s">
        <v>514</v>
      </c>
      <c r="H2307">
        <v>47129715</v>
      </c>
      <c r="I2307" t="s">
        <v>1272</v>
      </c>
      <c r="J2307" t="s">
        <v>1271</v>
      </c>
      <c r="K2307" t="s">
        <v>530</v>
      </c>
      <c r="N2307">
        <v>0</v>
      </c>
      <c r="O2307">
        <v>0</v>
      </c>
      <c r="P2307" t="str">
        <f t="shared" ref="P2307:P2370" si="36">IF(N2307=O2307,"N","Y")</f>
        <v>N</v>
      </c>
      <c r="Q2307" t="s">
        <v>8037</v>
      </c>
    </row>
    <row r="2308" spans="1:17" x14ac:dyDescent="0.25">
      <c r="A2308" t="s">
        <v>5013</v>
      </c>
      <c r="B2308" t="s">
        <v>1090</v>
      </c>
      <c r="C2308">
        <v>2027</v>
      </c>
      <c r="D2308" t="s">
        <v>628</v>
      </c>
      <c r="E2308" t="s">
        <v>836</v>
      </c>
      <c r="F2308" s="32">
        <v>46430</v>
      </c>
      <c r="G2308" t="s">
        <v>514</v>
      </c>
      <c r="H2308">
        <v>47129702</v>
      </c>
      <c r="I2308" t="s">
        <v>1309</v>
      </c>
      <c r="J2308" t="s">
        <v>1308</v>
      </c>
      <c r="K2308" t="s">
        <v>530</v>
      </c>
      <c r="N2308">
        <v>0</v>
      </c>
      <c r="O2308">
        <v>0</v>
      </c>
      <c r="P2308" t="str">
        <f t="shared" si="36"/>
        <v>N</v>
      </c>
      <c r="Q2308" t="s">
        <v>8038</v>
      </c>
    </row>
    <row r="2309" spans="1:17" x14ac:dyDescent="0.25">
      <c r="A2309" t="s">
        <v>5014</v>
      </c>
      <c r="B2309" t="s">
        <v>1090</v>
      </c>
      <c r="C2309">
        <v>2027</v>
      </c>
      <c r="D2309" t="s">
        <v>628</v>
      </c>
      <c r="E2309" t="s">
        <v>836</v>
      </c>
      <c r="F2309" s="32">
        <v>46430</v>
      </c>
      <c r="G2309" t="s">
        <v>514</v>
      </c>
      <c r="H2309">
        <v>47128777</v>
      </c>
      <c r="I2309" t="s">
        <v>1329</v>
      </c>
      <c r="J2309" t="s">
        <v>1328</v>
      </c>
      <c r="K2309" t="s">
        <v>530</v>
      </c>
      <c r="N2309">
        <v>50</v>
      </c>
      <c r="O2309">
        <v>50</v>
      </c>
      <c r="P2309" t="str">
        <f t="shared" si="36"/>
        <v>N</v>
      </c>
      <c r="Q2309" t="s">
        <v>8039</v>
      </c>
    </row>
    <row r="2310" spans="1:17" x14ac:dyDescent="0.25">
      <c r="A2310" t="s">
        <v>5015</v>
      </c>
      <c r="B2310" t="s">
        <v>1090</v>
      </c>
      <c r="C2310">
        <v>2027</v>
      </c>
      <c r="D2310" t="s">
        <v>628</v>
      </c>
      <c r="E2310" t="s">
        <v>836</v>
      </c>
      <c r="F2310" s="32">
        <v>46430</v>
      </c>
      <c r="G2310" t="s">
        <v>514</v>
      </c>
      <c r="H2310">
        <v>47148880</v>
      </c>
      <c r="I2310" t="s">
        <v>1305</v>
      </c>
      <c r="J2310" t="s">
        <v>1304</v>
      </c>
      <c r="K2310" t="s">
        <v>530</v>
      </c>
      <c r="N2310">
        <v>0</v>
      </c>
      <c r="O2310">
        <v>0</v>
      </c>
      <c r="P2310" t="str">
        <f t="shared" si="36"/>
        <v>N</v>
      </c>
      <c r="Q2310" t="s">
        <v>8040</v>
      </c>
    </row>
    <row r="2311" spans="1:17" x14ac:dyDescent="0.25">
      <c r="A2311" t="s">
        <v>5016</v>
      </c>
      <c r="B2311" t="s">
        <v>1090</v>
      </c>
      <c r="C2311">
        <v>2027</v>
      </c>
      <c r="D2311" t="s">
        <v>628</v>
      </c>
      <c r="E2311" t="s">
        <v>836</v>
      </c>
      <c r="F2311" s="32">
        <v>46430</v>
      </c>
      <c r="G2311" t="s">
        <v>514</v>
      </c>
      <c r="H2311">
        <v>47128467</v>
      </c>
      <c r="I2311" t="s">
        <v>1292</v>
      </c>
      <c r="J2311" t="s">
        <v>1291</v>
      </c>
      <c r="K2311" t="s">
        <v>530</v>
      </c>
      <c r="N2311">
        <v>34</v>
      </c>
      <c r="O2311">
        <v>34</v>
      </c>
      <c r="P2311" t="str">
        <f t="shared" si="36"/>
        <v>N</v>
      </c>
      <c r="Q2311" t="s">
        <v>8041</v>
      </c>
    </row>
    <row r="2312" spans="1:17" x14ac:dyDescent="0.25">
      <c r="A2312" t="s">
        <v>5017</v>
      </c>
      <c r="B2312" t="s">
        <v>1090</v>
      </c>
      <c r="C2312">
        <v>2027</v>
      </c>
      <c r="D2312" t="s">
        <v>628</v>
      </c>
      <c r="E2312" t="s">
        <v>836</v>
      </c>
      <c r="F2312" s="32">
        <v>46430</v>
      </c>
      <c r="G2312" t="s">
        <v>514</v>
      </c>
      <c r="H2312">
        <v>47128643</v>
      </c>
      <c r="I2312" t="s">
        <v>1367</v>
      </c>
      <c r="J2312" t="s">
        <v>1366</v>
      </c>
      <c r="K2312" t="s">
        <v>530</v>
      </c>
      <c r="N2312">
        <v>0</v>
      </c>
      <c r="O2312">
        <v>0</v>
      </c>
      <c r="P2312" t="str">
        <f t="shared" si="36"/>
        <v>N</v>
      </c>
      <c r="Q2312" t="s">
        <v>8042</v>
      </c>
    </row>
    <row r="2313" spans="1:17" x14ac:dyDescent="0.25">
      <c r="A2313" t="s">
        <v>5018</v>
      </c>
      <c r="B2313" t="s">
        <v>1090</v>
      </c>
      <c r="C2313">
        <v>2027</v>
      </c>
      <c r="D2313" t="s">
        <v>628</v>
      </c>
      <c r="E2313" t="s">
        <v>836</v>
      </c>
      <c r="F2313" s="32">
        <v>46430</v>
      </c>
      <c r="G2313" t="s">
        <v>514</v>
      </c>
      <c r="H2313">
        <v>47151576</v>
      </c>
      <c r="I2313" t="s">
        <v>1506</v>
      </c>
      <c r="J2313" t="s">
        <v>1505</v>
      </c>
      <c r="K2313" t="s">
        <v>530</v>
      </c>
      <c r="N2313">
        <v>0</v>
      </c>
      <c r="O2313">
        <v>0</v>
      </c>
      <c r="P2313" t="str">
        <f t="shared" si="36"/>
        <v>N</v>
      </c>
      <c r="Q2313" t="s">
        <v>8043</v>
      </c>
    </row>
    <row r="2314" spans="1:17" x14ac:dyDescent="0.25">
      <c r="A2314" t="s">
        <v>5019</v>
      </c>
      <c r="B2314" t="s">
        <v>1090</v>
      </c>
      <c r="C2314">
        <v>2027</v>
      </c>
      <c r="D2314" t="s">
        <v>628</v>
      </c>
      <c r="E2314" t="s">
        <v>836</v>
      </c>
      <c r="F2314" s="32">
        <v>46430</v>
      </c>
      <c r="G2314" t="s">
        <v>514</v>
      </c>
      <c r="H2314">
        <v>47129459</v>
      </c>
      <c r="I2314" t="s">
        <v>1321</v>
      </c>
      <c r="J2314" t="s">
        <v>1320</v>
      </c>
      <c r="K2314" t="s">
        <v>530</v>
      </c>
      <c r="N2314">
        <v>18</v>
      </c>
      <c r="O2314">
        <v>18</v>
      </c>
      <c r="P2314" t="str">
        <f t="shared" si="36"/>
        <v>N</v>
      </c>
      <c r="Q2314" t="s">
        <v>8044</v>
      </c>
    </row>
    <row r="2315" spans="1:17" x14ac:dyDescent="0.25">
      <c r="A2315" t="s">
        <v>5020</v>
      </c>
      <c r="B2315" t="s">
        <v>1090</v>
      </c>
      <c r="C2315">
        <v>2027</v>
      </c>
      <c r="D2315" t="s">
        <v>628</v>
      </c>
      <c r="E2315" t="s">
        <v>836</v>
      </c>
      <c r="F2315" s="32">
        <v>46430</v>
      </c>
      <c r="G2315" t="s">
        <v>514</v>
      </c>
      <c r="H2315">
        <v>47129130</v>
      </c>
      <c r="I2315" t="s">
        <v>1434</v>
      </c>
      <c r="J2315" t="s">
        <v>1433</v>
      </c>
      <c r="K2315" t="s">
        <v>530</v>
      </c>
      <c r="N2315">
        <v>0</v>
      </c>
      <c r="O2315">
        <v>0</v>
      </c>
      <c r="P2315" t="str">
        <f t="shared" si="36"/>
        <v>N</v>
      </c>
      <c r="Q2315" t="s">
        <v>8045</v>
      </c>
    </row>
    <row r="2316" spans="1:17" x14ac:dyDescent="0.25">
      <c r="A2316" t="s">
        <v>5021</v>
      </c>
      <c r="B2316" t="s">
        <v>1090</v>
      </c>
      <c r="C2316">
        <v>2027</v>
      </c>
      <c r="D2316" t="s">
        <v>628</v>
      </c>
      <c r="E2316" t="s">
        <v>836</v>
      </c>
      <c r="F2316" s="32">
        <v>46430</v>
      </c>
      <c r="G2316" t="s">
        <v>514</v>
      </c>
      <c r="H2316">
        <v>47129692</v>
      </c>
      <c r="I2316" t="s">
        <v>1475</v>
      </c>
      <c r="J2316" t="s">
        <v>1474</v>
      </c>
      <c r="K2316" t="s">
        <v>530</v>
      </c>
      <c r="N2316">
        <v>0</v>
      </c>
      <c r="O2316">
        <v>0</v>
      </c>
      <c r="P2316" t="str">
        <f t="shared" si="36"/>
        <v>N</v>
      </c>
      <c r="Q2316" t="s">
        <v>8046</v>
      </c>
    </row>
    <row r="2317" spans="1:17" x14ac:dyDescent="0.25">
      <c r="A2317" t="s">
        <v>5022</v>
      </c>
      <c r="B2317" t="s">
        <v>1090</v>
      </c>
      <c r="C2317">
        <v>2027</v>
      </c>
      <c r="D2317" t="s">
        <v>628</v>
      </c>
      <c r="E2317" t="s">
        <v>836</v>
      </c>
      <c r="F2317" s="32">
        <v>46430</v>
      </c>
      <c r="G2317" t="s">
        <v>514</v>
      </c>
      <c r="H2317">
        <v>47153262</v>
      </c>
      <c r="I2317" t="s">
        <v>1502</v>
      </c>
      <c r="J2317" t="s">
        <v>1501</v>
      </c>
      <c r="K2317" t="s">
        <v>530</v>
      </c>
      <c r="N2317">
        <v>0</v>
      </c>
      <c r="O2317">
        <v>0</v>
      </c>
      <c r="P2317" t="str">
        <f t="shared" si="36"/>
        <v>N</v>
      </c>
      <c r="Q2317" t="s">
        <v>8047</v>
      </c>
    </row>
    <row r="2318" spans="1:17" x14ac:dyDescent="0.25">
      <c r="A2318" t="s">
        <v>5023</v>
      </c>
      <c r="B2318" t="s">
        <v>1090</v>
      </c>
      <c r="C2318">
        <v>2027</v>
      </c>
      <c r="D2318" t="s">
        <v>628</v>
      </c>
      <c r="E2318" t="s">
        <v>836</v>
      </c>
      <c r="F2318" s="32">
        <v>46430</v>
      </c>
      <c r="G2318" t="s">
        <v>514</v>
      </c>
      <c r="H2318">
        <v>47146895</v>
      </c>
      <c r="I2318" t="s">
        <v>1375</v>
      </c>
      <c r="J2318" t="s">
        <v>1374</v>
      </c>
      <c r="K2318" t="s">
        <v>530</v>
      </c>
      <c r="N2318">
        <v>0</v>
      </c>
      <c r="O2318">
        <v>0</v>
      </c>
      <c r="P2318" t="str">
        <f t="shared" si="36"/>
        <v>N</v>
      </c>
      <c r="Q2318" t="s">
        <v>8048</v>
      </c>
    </row>
    <row r="2319" spans="1:17" x14ac:dyDescent="0.25">
      <c r="A2319" t="s">
        <v>5024</v>
      </c>
      <c r="B2319" t="s">
        <v>1090</v>
      </c>
      <c r="C2319">
        <v>2027</v>
      </c>
      <c r="D2319" t="s">
        <v>628</v>
      </c>
      <c r="E2319" t="s">
        <v>836</v>
      </c>
      <c r="F2319" s="32">
        <v>46430</v>
      </c>
      <c r="G2319" t="s">
        <v>514</v>
      </c>
      <c r="H2319">
        <v>47128115</v>
      </c>
      <c r="I2319" t="s">
        <v>1260</v>
      </c>
      <c r="J2319" t="s">
        <v>1499</v>
      </c>
      <c r="K2319" t="s">
        <v>530</v>
      </c>
      <c r="N2319">
        <v>0</v>
      </c>
      <c r="O2319">
        <v>0</v>
      </c>
      <c r="P2319" t="str">
        <f t="shared" si="36"/>
        <v>N</v>
      </c>
      <c r="Q2319" t="s">
        <v>8049</v>
      </c>
    </row>
    <row r="2320" spans="1:17" x14ac:dyDescent="0.25">
      <c r="A2320" t="s">
        <v>5025</v>
      </c>
      <c r="B2320" t="s">
        <v>1090</v>
      </c>
      <c r="C2320">
        <v>2027</v>
      </c>
      <c r="D2320" t="s">
        <v>628</v>
      </c>
      <c r="E2320" t="s">
        <v>836</v>
      </c>
      <c r="F2320" s="32">
        <v>46430</v>
      </c>
      <c r="G2320" t="s">
        <v>514</v>
      </c>
      <c r="H2320">
        <v>47129679</v>
      </c>
      <c r="I2320" t="s">
        <v>1422</v>
      </c>
      <c r="J2320" t="s">
        <v>1421</v>
      </c>
      <c r="K2320" t="s">
        <v>530</v>
      </c>
      <c r="N2320">
        <v>0</v>
      </c>
      <c r="O2320">
        <v>0</v>
      </c>
      <c r="P2320" t="str">
        <f t="shared" si="36"/>
        <v>N</v>
      </c>
      <c r="Q2320" t="s">
        <v>8050</v>
      </c>
    </row>
    <row r="2321" spans="1:17" x14ac:dyDescent="0.25">
      <c r="A2321" t="s">
        <v>5026</v>
      </c>
      <c r="B2321" t="s">
        <v>1090</v>
      </c>
      <c r="C2321">
        <v>2027</v>
      </c>
      <c r="D2321" t="s">
        <v>628</v>
      </c>
      <c r="E2321" t="s">
        <v>836</v>
      </c>
      <c r="F2321" s="32">
        <v>46430</v>
      </c>
      <c r="G2321" t="s">
        <v>514</v>
      </c>
      <c r="H2321">
        <v>47129432</v>
      </c>
      <c r="I2321" t="s">
        <v>1468</v>
      </c>
      <c r="J2321" t="s">
        <v>1467</v>
      </c>
      <c r="K2321" t="s">
        <v>530</v>
      </c>
      <c r="N2321">
        <v>0</v>
      </c>
      <c r="O2321">
        <v>0</v>
      </c>
      <c r="P2321" t="str">
        <f t="shared" si="36"/>
        <v>N</v>
      </c>
      <c r="Q2321" t="s">
        <v>8051</v>
      </c>
    </row>
    <row r="2322" spans="1:17" x14ac:dyDescent="0.25">
      <c r="A2322" t="s">
        <v>5027</v>
      </c>
      <c r="B2322" t="s">
        <v>1090</v>
      </c>
      <c r="C2322">
        <v>2027</v>
      </c>
      <c r="D2322" t="s">
        <v>628</v>
      </c>
      <c r="E2322" t="s">
        <v>836</v>
      </c>
      <c r="F2322" s="32">
        <v>46430</v>
      </c>
      <c r="G2322" t="s">
        <v>514</v>
      </c>
      <c r="H2322">
        <v>47129050</v>
      </c>
      <c r="I2322" t="s">
        <v>1482</v>
      </c>
      <c r="J2322" t="s">
        <v>1481</v>
      </c>
      <c r="K2322" t="s">
        <v>530</v>
      </c>
      <c r="N2322">
        <v>0</v>
      </c>
      <c r="O2322">
        <v>0</v>
      </c>
      <c r="P2322" t="str">
        <f t="shared" si="36"/>
        <v>N</v>
      </c>
      <c r="Q2322" t="s">
        <v>8052</v>
      </c>
    </row>
    <row r="2323" spans="1:17" x14ac:dyDescent="0.25">
      <c r="A2323" t="s">
        <v>5028</v>
      </c>
      <c r="B2323" t="s">
        <v>1090</v>
      </c>
      <c r="C2323">
        <v>2027</v>
      </c>
      <c r="D2323" t="s">
        <v>628</v>
      </c>
      <c r="E2323" t="s">
        <v>836</v>
      </c>
      <c r="F2323" s="32">
        <v>46430</v>
      </c>
      <c r="G2323" t="s">
        <v>514</v>
      </c>
      <c r="H2323">
        <v>47148279</v>
      </c>
      <c r="I2323" t="s">
        <v>1236</v>
      </c>
      <c r="J2323" t="s">
        <v>1235</v>
      </c>
      <c r="K2323" t="s">
        <v>530</v>
      </c>
      <c r="N2323">
        <v>0</v>
      </c>
      <c r="O2323">
        <v>0</v>
      </c>
      <c r="P2323" t="str">
        <f t="shared" si="36"/>
        <v>N</v>
      </c>
      <c r="Q2323" t="s">
        <v>8053</v>
      </c>
    </row>
    <row r="2324" spans="1:17" x14ac:dyDescent="0.25">
      <c r="A2324" t="s">
        <v>5311</v>
      </c>
      <c r="B2324" t="s">
        <v>1089</v>
      </c>
      <c r="C2324">
        <v>2027</v>
      </c>
      <c r="D2324" t="s">
        <v>628</v>
      </c>
      <c r="E2324" t="s">
        <v>836</v>
      </c>
      <c r="F2324" s="32">
        <v>46430</v>
      </c>
      <c r="G2324" t="s">
        <v>514</v>
      </c>
      <c r="H2324">
        <v>47128421</v>
      </c>
      <c r="I2324" t="s">
        <v>1086</v>
      </c>
      <c r="J2324" t="s">
        <v>1085</v>
      </c>
      <c r="K2324" t="s">
        <v>530</v>
      </c>
      <c r="N2324">
        <v>0</v>
      </c>
      <c r="O2324">
        <v>0</v>
      </c>
      <c r="P2324" t="str">
        <f t="shared" si="36"/>
        <v>N</v>
      </c>
      <c r="Q2324" t="s">
        <v>8054</v>
      </c>
    </row>
    <row r="2325" spans="1:17" x14ac:dyDescent="0.25">
      <c r="A2325" t="s">
        <v>5312</v>
      </c>
      <c r="B2325" t="s">
        <v>1089</v>
      </c>
      <c r="C2325">
        <v>2027</v>
      </c>
      <c r="D2325" t="s">
        <v>628</v>
      </c>
      <c r="E2325" t="s">
        <v>836</v>
      </c>
      <c r="F2325" s="32">
        <v>46430</v>
      </c>
      <c r="G2325" t="s">
        <v>514</v>
      </c>
      <c r="H2325">
        <v>47128706</v>
      </c>
      <c r="I2325" t="s">
        <v>1201</v>
      </c>
      <c r="J2325" t="s">
        <v>1200</v>
      </c>
      <c r="K2325" t="s">
        <v>530</v>
      </c>
      <c r="N2325">
        <v>0</v>
      </c>
      <c r="O2325">
        <v>0</v>
      </c>
      <c r="P2325" t="str">
        <f t="shared" si="36"/>
        <v>N</v>
      </c>
      <c r="Q2325" t="s">
        <v>8055</v>
      </c>
    </row>
    <row r="2326" spans="1:17" x14ac:dyDescent="0.25">
      <c r="A2326" t="s">
        <v>5313</v>
      </c>
      <c r="B2326" t="s">
        <v>1089</v>
      </c>
      <c r="C2326">
        <v>2027</v>
      </c>
      <c r="D2326" t="s">
        <v>628</v>
      </c>
      <c r="E2326" t="s">
        <v>836</v>
      </c>
      <c r="F2326" s="32">
        <v>46430</v>
      </c>
      <c r="G2326" t="s">
        <v>514</v>
      </c>
      <c r="H2326">
        <v>47128364</v>
      </c>
      <c r="I2326" t="s">
        <v>1264</v>
      </c>
      <c r="J2326" t="s">
        <v>1263</v>
      </c>
      <c r="K2326" t="s">
        <v>530</v>
      </c>
      <c r="N2326">
        <v>0</v>
      </c>
      <c r="O2326">
        <v>0</v>
      </c>
      <c r="P2326" t="str">
        <f t="shared" si="36"/>
        <v>N</v>
      </c>
      <c r="Q2326" t="s">
        <v>8056</v>
      </c>
    </row>
    <row r="2327" spans="1:17" x14ac:dyDescent="0.25">
      <c r="A2327" t="s">
        <v>5314</v>
      </c>
      <c r="B2327" t="s">
        <v>1089</v>
      </c>
      <c r="C2327">
        <v>2027</v>
      </c>
      <c r="D2327" t="s">
        <v>628</v>
      </c>
      <c r="E2327" t="s">
        <v>836</v>
      </c>
      <c r="F2327" s="32">
        <v>46430</v>
      </c>
      <c r="G2327" t="s">
        <v>514</v>
      </c>
      <c r="H2327">
        <v>47128633</v>
      </c>
      <c r="I2327" t="s">
        <v>1164</v>
      </c>
      <c r="J2327" t="s">
        <v>1163</v>
      </c>
      <c r="K2327" t="s">
        <v>530</v>
      </c>
      <c r="N2327">
        <v>0</v>
      </c>
      <c r="O2327">
        <v>0</v>
      </c>
      <c r="P2327" t="str">
        <f t="shared" si="36"/>
        <v>N</v>
      </c>
      <c r="Q2327" t="s">
        <v>8057</v>
      </c>
    </row>
    <row r="2328" spans="1:17" x14ac:dyDescent="0.25">
      <c r="A2328" t="s">
        <v>5315</v>
      </c>
      <c r="B2328" t="s">
        <v>1089</v>
      </c>
      <c r="C2328">
        <v>2027</v>
      </c>
      <c r="D2328" t="s">
        <v>628</v>
      </c>
      <c r="E2328" t="s">
        <v>836</v>
      </c>
      <c r="F2328" s="32">
        <v>46430</v>
      </c>
      <c r="G2328" t="s">
        <v>514</v>
      </c>
      <c r="H2328">
        <v>47128046</v>
      </c>
      <c r="I2328" t="s">
        <v>1389</v>
      </c>
      <c r="J2328" t="s">
        <v>1388</v>
      </c>
      <c r="K2328" t="s">
        <v>530</v>
      </c>
      <c r="N2328">
        <v>0</v>
      </c>
      <c r="O2328">
        <v>0</v>
      </c>
      <c r="P2328" t="str">
        <f t="shared" si="36"/>
        <v>N</v>
      </c>
      <c r="Q2328" t="s">
        <v>8058</v>
      </c>
    </row>
    <row r="2329" spans="1:17" x14ac:dyDescent="0.25">
      <c r="A2329" t="s">
        <v>5316</v>
      </c>
      <c r="B2329" t="s">
        <v>1089</v>
      </c>
      <c r="C2329">
        <v>2027</v>
      </c>
      <c r="D2329" t="s">
        <v>628</v>
      </c>
      <c r="E2329" t="s">
        <v>836</v>
      </c>
      <c r="F2329" s="32">
        <v>46430</v>
      </c>
      <c r="G2329" t="s">
        <v>514</v>
      </c>
      <c r="H2329">
        <v>47129548</v>
      </c>
      <c r="I2329" t="s">
        <v>1340</v>
      </c>
      <c r="J2329" t="s">
        <v>1339</v>
      </c>
      <c r="K2329" t="s">
        <v>530</v>
      </c>
      <c r="N2329">
        <v>0</v>
      </c>
      <c r="O2329">
        <v>0</v>
      </c>
      <c r="P2329" t="str">
        <f t="shared" si="36"/>
        <v>N</v>
      </c>
      <c r="Q2329" t="s">
        <v>8059</v>
      </c>
    </row>
    <row r="2330" spans="1:17" x14ac:dyDescent="0.25">
      <c r="A2330" t="s">
        <v>5317</v>
      </c>
      <c r="B2330" t="s">
        <v>1089</v>
      </c>
      <c r="C2330">
        <v>2027</v>
      </c>
      <c r="D2330" t="s">
        <v>628</v>
      </c>
      <c r="E2330" t="s">
        <v>836</v>
      </c>
      <c r="F2330" s="32">
        <v>46430</v>
      </c>
      <c r="G2330" t="s">
        <v>514</v>
      </c>
      <c r="H2330">
        <v>47128835</v>
      </c>
      <c r="I2330" t="s">
        <v>998</v>
      </c>
      <c r="J2330" t="s">
        <v>997</v>
      </c>
      <c r="K2330" t="s">
        <v>530</v>
      </c>
      <c r="N2330">
        <v>40</v>
      </c>
      <c r="O2330">
        <v>40</v>
      </c>
      <c r="P2330" t="str">
        <f t="shared" si="36"/>
        <v>N</v>
      </c>
      <c r="Q2330" t="s">
        <v>8060</v>
      </c>
    </row>
    <row r="2331" spans="1:17" x14ac:dyDescent="0.25">
      <c r="A2331" t="s">
        <v>5318</v>
      </c>
      <c r="B2331" t="s">
        <v>1089</v>
      </c>
      <c r="C2331">
        <v>2027</v>
      </c>
      <c r="D2331" t="s">
        <v>628</v>
      </c>
      <c r="E2331" t="s">
        <v>836</v>
      </c>
      <c r="F2331" s="32">
        <v>46430</v>
      </c>
      <c r="G2331" t="s">
        <v>514</v>
      </c>
      <c r="H2331">
        <v>47128788</v>
      </c>
      <c r="I2331" t="s">
        <v>4188</v>
      </c>
      <c r="J2331" t="s">
        <v>4189</v>
      </c>
      <c r="K2331" t="s">
        <v>530</v>
      </c>
      <c r="N2331">
        <v>0</v>
      </c>
      <c r="O2331">
        <v>0</v>
      </c>
      <c r="P2331" t="str">
        <f t="shared" si="36"/>
        <v>N</v>
      </c>
      <c r="Q2331" t="s">
        <v>8061</v>
      </c>
    </row>
    <row r="2332" spans="1:17" x14ac:dyDescent="0.25">
      <c r="A2332" t="s">
        <v>5319</v>
      </c>
      <c r="B2332" t="s">
        <v>1089</v>
      </c>
      <c r="C2332">
        <v>2027</v>
      </c>
      <c r="D2332" t="s">
        <v>628</v>
      </c>
      <c r="E2332" t="s">
        <v>836</v>
      </c>
      <c r="F2332" s="32">
        <v>46430</v>
      </c>
      <c r="G2332" t="s">
        <v>514</v>
      </c>
      <c r="H2332">
        <v>47136348</v>
      </c>
      <c r="I2332" t="s">
        <v>1025</v>
      </c>
      <c r="J2332" t="s">
        <v>1024</v>
      </c>
      <c r="K2332" t="s">
        <v>530</v>
      </c>
      <c r="N2332">
        <v>0</v>
      </c>
      <c r="O2332">
        <v>0</v>
      </c>
      <c r="P2332" t="str">
        <f t="shared" si="36"/>
        <v>N</v>
      </c>
      <c r="Q2332" t="s">
        <v>8062</v>
      </c>
    </row>
    <row r="2333" spans="1:17" x14ac:dyDescent="0.25">
      <c r="A2333" t="s">
        <v>5320</v>
      </c>
      <c r="B2333" t="s">
        <v>1089</v>
      </c>
      <c r="C2333">
        <v>2027</v>
      </c>
      <c r="D2333" t="s">
        <v>628</v>
      </c>
      <c r="E2333" t="s">
        <v>836</v>
      </c>
      <c r="F2333" s="32">
        <v>46430</v>
      </c>
      <c r="G2333" t="s">
        <v>514</v>
      </c>
      <c r="H2333">
        <v>47135083</v>
      </c>
      <c r="I2333" t="s">
        <v>4192</v>
      </c>
      <c r="J2333" t="s">
        <v>4193</v>
      </c>
      <c r="K2333" t="s">
        <v>530</v>
      </c>
      <c r="N2333">
        <v>0</v>
      </c>
      <c r="O2333">
        <v>0</v>
      </c>
      <c r="P2333" t="str">
        <f t="shared" si="36"/>
        <v>N</v>
      </c>
      <c r="Q2333" t="s">
        <v>8063</v>
      </c>
    </row>
    <row r="2334" spans="1:17" x14ac:dyDescent="0.25">
      <c r="A2334" t="s">
        <v>5321</v>
      </c>
      <c r="B2334" t="s">
        <v>1089</v>
      </c>
      <c r="C2334">
        <v>2027</v>
      </c>
      <c r="D2334" t="s">
        <v>628</v>
      </c>
      <c r="E2334" t="s">
        <v>836</v>
      </c>
      <c r="F2334" s="32">
        <v>46430</v>
      </c>
      <c r="G2334" t="s">
        <v>514</v>
      </c>
      <c r="H2334">
        <v>47128515</v>
      </c>
      <c r="I2334" t="s">
        <v>1185</v>
      </c>
      <c r="J2334" t="s">
        <v>1184</v>
      </c>
      <c r="K2334" t="s">
        <v>530</v>
      </c>
      <c r="N2334">
        <v>0</v>
      </c>
      <c r="O2334">
        <v>0</v>
      </c>
      <c r="P2334" t="str">
        <f t="shared" si="36"/>
        <v>N</v>
      </c>
      <c r="Q2334" t="s">
        <v>8064</v>
      </c>
    </row>
    <row r="2335" spans="1:17" x14ac:dyDescent="0.25">
      <c r="A2335" t="s">
        <v>5322</v>
      </c>
      <c r="B2335" t="s">
        <v>1089</v>
      </c>
      <c r="C2335">
        <v>2027</v>
      </c>
      <c r="D2335" t="s">
        <v>628</v>
      </c>
      <c r="E2335" t="s">
        <v>836</v>
      </c>
      <c r="F2335" s="32">
        <v>46430</v>
      </c>
      <c r="G2335" t="s">
        <v>514</v>
      </c>
      <c r="H2335">
        <v>47128472</v>
      </c>
      <c r="I2335" t="s">
        <v>995</v>
      </c>
      <c r="J2335" t="s">
        <v>994</v>
      </c>
      <c r="K2335" t="s">
        <v>530</v>
      </c>
      <c r="N2335">
        <v>0</v>
      </c>
      <c r="O2335">
        <v>0</v>
      </c>
      <c r="P2335" t="str">
        <f t="shared" si="36"/>
        <v>N</v>
      </c>
      <c r="Q2335" t="s">
        <v>8065</v>
      </c>
    </row>
    <row r="2336" spans="1:17" x14ac:dyDescent="0.25">
      <c r="A2336" t="s">
        <v>5323</v>
      </c>
      <c r="B2336" t="s">
        <v>1089</v>
      </c>
      <c r="C2336">
        <v>2027</v>
      </c>
      <c r="D2336" t="s">
        <v>628</v>
      </c>
      <c r="E2336" t="s">
        <v>836</v>
      </c>
      <c r="F2336" s="32">
        <v>46430</v>
      </c>
      <c r="G2336" t="s">
        <v>514</v>
      </c>
      <c r="H2336">
        <v>47128202</v>
      </c>
      <c r="I2336" t="s">
        <v>967</v>
      </c>
      <c r="J2336" t="s">
        <v>966</v>
      </c>
      <c r="K2336" t="s">
        <v>530</v>
      </c>
      <c r="N2336">
        <v>0</v>
      </c>
      <c r="O2336">
        <v>0</v>
      </c>
      <c r="P2336" t="str">
        <f t="shared" si="36"/>
        <v>N</v>
      </c>
      <c r="Q2336" t="s">
        <v>8066</v>
      </c>
    </row>
    <row r="2337" spans="1:17" x14ac:dyDescent="0.25">
      <c r="A2337" t="s">
        <v>5324</v>
      </c>
      <c r="B2337" t="s">
        <v>1089</v>
      </c>
      <c r="C2337">
        <v>2027</v>
      </c>
      <c r="D2337" t="s">
        <v>628</v>
      </c>
      <c r="E2337" t="s">
        <v>836</v>
      </c>
      <c r="F2337" s="32">
        <v>46430</v>
      </c>
      <c r="G2337" t="s">
        <v>514</v>
      </c>
      <c r="H2337">
        <v>47128132</v>
      </c>
      <c r="I2337" t="s">
        <v>4429</v>
      </c>
      <c r="J2337" t="s">
        <v>4430</v>
      </c>
      <c r="K2337" t="s">
        <v>530</v>
      </c>
      <c r="N2337">
        <v>0</v>
      </c>
      <c r="O2337">
        <v>0</v>
      </c>
      <c r="P2337" t="str">
        <f t="shared" si="36"/>
        <v>N</v>
      </c>
      <c r="Q2337" t="s">
        <v>8067</v>
      </c>
    </row>
    <row r="2338" spans="1:17" x14ac:dyDescent="0.25">
      <c r="A2338" t="s">
        <v>5325</v>
      </c>
      <c r="B2338" t="s">
        <v>1089</v>
      </c>
      <c r="C2338">
        <v>2027</v>
      </c>
      <c r="D2338" t="s">
        <v>628</v>
      </c>
      <c r="E2338" t="s">
        <v>836</v>
      </c>
      <c r="F2338" s="32">
        <v>46430</v>
      </c>
      <c r="G2338" t="s">
        <v>514</v>
      </c>
      <c r="H2338">
        <v>47127971</v>
      </c>
      <c r="I2338" t="s">
        <v>991</v>
      </c>
      <c r="J2338" t="s">
        <v>990</v>
      </c>
      <c r="K2338" t="s">
        <v>530</v>
      </c>
      <c r="N2338">
        <v>0</v>
      </c>
      <c r="O2338">
        <v>0</v>
      </c>
      <c r="P2338" t="str">
        <f t="shared" si="36"/>
        <v>N</v>
      </c>
      <c r="Q2338" t="s">
        <v>8068</v>
      </c>
    </row>
    <row r="2339" spans="1:17" x14ac:dyDescent="0.25">
      <c r="A2339" t="s">
        <v>5575</v>
      </c>
      <c r="B2339" t="s">
        <v>5437</v>
      </c>
      <c r="C2339">
        <v>2027</v>
      </c>
      <c r="D2339" t="s">
        <v>628</v>
      </c>
      <c r="E2339" t="s">
        <v>836</v>
      </c>
      <c r="F2339" s="32">
        <v>46430</v>
      </c>
      <c r="G2339" t="s">
        <v>514</v>
      </c>
      <c r="H2339">
        <v>47127948</v>
      </c>
      <c r="I2339" t="s">
        <v>1247</v>
      </c>
      <c r="J2339" t="s">
        <v>1246</v>
      </c>
      <c r="K2339" t="s">
        <v>530</v>
      </c>
      <c r="N2339">
        <v>0</v>
      </c>
      <c r="O2339">
        <v>0</v>
      </c>
      <c r="P2339" t="str">
        <f t="shared" si="36"/>
        <v>N</v>
      </c>
      <c r="Q2339" t="s">
        <v>8069</v>
      </c>
    </row>
    <row r="2340" spans="1:17" x14ac:dyDescent="0.25">
      <c r="A2340" t="s">
        <v>5576</v>
      </c>
      <c r="B2340" t="s">
        <v>5437</v>
      </c>
      <c r="C2340">
        <v>2027</v>
      </c>
      <c r="D2340" t="s">
        <v>628</v>
      </c>
      <c r="E2340" t="s">
        <v>836</v>
      </c>
      <c r="F2340" s="32">
        <v>46430</v>
      </c>
      <c r="G2340" t="s">
        <v>514</v>
      </c>
      <c r="H2340">
        <v>47128710</v>
      </c>
      <c r="I2340" t="s">
        <v>1189</v>
      </c>
      <c r="J2340" t="s">
        <v>1188</v>
      </c>
      <c r="K2340" t="s">
        <v>530</v>
      </c>
      <c r="N2340">
        <v>0</v>
      </c>
      <c r="O2340">
        <v>0</v>
      </c>
      <c r="P2340" t="str">
        <f t="shared" si="36"/>
        <v>N</v>
      </c>
      <c r="Q2340" t="s">
        <v>8070</v>
      </c>
    </row>
    <row r="2341" spans="1:17" x14ac:dyDescent="0.25">
      <c r="A2341" t="s">
        <v>5577</v>
      </c>
      <c r="B2341" t="s">
        <v>5437</v>
      </c>
      <c r="C2341">
        <v>2027</v>
      </c>
      <c r="D2341" t="s">
        <v>628</v>
      </c>
      <c r="E2341" t="s">
        <v>836</v>
      </c>
      <c r="F2341" s="32">
        <v>46430</v>
      </c>
      <c r="G2341" t="s">
        <v>514</v>
      </c>
      <c r="H2341">
        <v>47128572</v>
      </c>
      <c r="I2341" t="s">
        <v>1197</v>
      </c>
      <c r="J2341" t="s">
        <v>1196</v>
      </c>
      <c r="K2341" t="s">
        <v>530</v>
      </c>
      <c r="N2341">
        <v>40</v>
      </c>
      <c r="O2341">
        <v>40</v>
      </c>
      <c r="P2341" t="str">
        <f t="shared" si="36"/>
        <v>N</v>
      </c>
      <c r="Q2341" t="s">
        <v>8071</v>
      </c>
    </row>
    <row r="2342" spans="1:17" x14ac:dyDescent="0.25">
      <c r="A2342" t="s">
        <v>5578</v>
      </c>
      <c r="B2342" t="s">
        <v>5437</v>
      </c>
      <c r="C2342">
        <v>2027</v>
      </c>
      <c r="D2342" t="s">
        <v>628</v>
      </c>
      <c r="E2342" t="s">
        <v>836</v>
      </c>
      <c r="F2342" s="32">
        <v>46430</v>
      </c>
      <c r="G2342" t="s">
        <v>514</v>
      </c>
      <c r="H2342">
        <v>47128482</v>
      </c>
      <c r="I2342" t="s">
        <v>1393</v>
      </c>
      <c r="J2342" t="s">
        <v>1392</v>
      </c>
      <c r="K2342" t="s">
        <v>530</v>
      </c>
      <c r="N2342">
        <v>0</v>
      </c>
      <c r="O2342">
        <v>0</v>
      </c>
      <c r="P2342" t="str">
        <f t="shared" si="36"/>
        <v>N</v>
      </c>
      <c r="Q2342" t="s">
        <v>8072</v>
      </c>
    </row>
    <row r="2343" spans="1:17" x14ac:dyDescent="0.25">
      <c r="A2343" t="s">
        <v>5579</v>
      </c>
      <c r="B2343" t="s">
        <v>5437</v>
      </c>
      <c r="C2343">
        <v>2027</v>
      </c>
      <c r="D2343" t="s">
        <v>628</v>
      </c>
      <c r="E2343" t="s">
        <v>836</v>
      </c>
      <c r="F2343" s="32">
        <v>46430</v>
      </c>
      <c r="G2343" t="s">
        <v>514</v>
      </c>
      <c r="H2343">
        <v>47128337</v>
      </c>
      <c r="I2343" t="s">
        <v>1120</v>
      </c>
      <c r="J2343" t="s">
        <v>1119</v>
      </c>
      <c r="K2343" t="s">
        <v>530</v>
      </c>
      <c r="N2343">
        <v>40</v>
      </c>
      <c r="O2343">
        <v>40</v>
      </c>
      <c r="P2343" t="str">
        <f t="shared" si="36"/>
        <v>N</v>
      </c>
      <c r="Q2343" t="s">
        <v>8073</v>
      </c>
    </row>
    <row r="2344" spans="1:17" x14ac:dyDescent="0.25">
      <c r="A2344" t="s">
        <v>5580</v>
      </c>
      <c r="B2344" t="s">
        <v>5437</v>
      </c>
      <c r="C2344">
        <v>2027</v>
      </c>
      <c r="D2344" t="s">
        <v>628</v>
      </c>
      <c r="E2344" t="s">
        <v>836</v>
      </c>
      <c r="F2344" s="32">
        <v>46430</v>
      </c>
      <c r="G2344" t="s">
        <v>514</v>
      </c>
      <c r="H2344">
        <v>47128833</v>
      </c>
      <c r="I2344" t="s">
        <v>1193</v>
      </c>
      <c r="J2344" t="s">
        <v>1192</v>
      </c>
      <c r="K2344" t="s">
        <v>530</v>
      </c>
      <c r="N2344">
        <v>0</v>
      </c>
      <c r="O2344">
        <v>0</v>
      </c>
      <c r="P2344" t="str">
        <f t="shared" si="36"/>
        <v>N</v>
      </c>
      <c r="Q2344" t="s">
        <v>8074</v>
      </c>
    </row>
    <row r="2345" spans="1:17" x14ac:dyDescent="0.25">
      <c r="A2345" t="s">
        <v>5581</v>
      </c>
      <c r="B2345" t="s">
        <v>5437</v>
      </c>
      <c r="C2345">
        <v>2027</v>
      </c>
      <c r="D2345" t="s">
        <v>628</v>
      </c>
      <c r="E2345" t="s">
        <v>836</v>
      </c>
      <c r="F2345" s="32">
        <v>46430</v>
      </c>
      <c r="G2345" t="s">
        <v>514</v>
      </c>
      <c r="H2345">
        <v>47128784</v>
      </c>
      <c r="I2345" t="s">
        <v>1426</v>
      </c>
      <c r="J2345" t="s">
        <v>1425</v>
      </c>
      <c r="K2345" t="s">
        <v>530</v>
      </c>
      <c r="N2345">
        <v>0</v>
      </c>
      <c r="O2345">
        <v>0</v>
      </c>
      <c r="P2345" t="str">
        <f t="shared" si="36"/>
        <v>N</v>
      </c>
      <c r="Q2345" t="s">
        <v>8075</v>
      </c>
    </row>
    <row r="2346" spans="1:17" x14ac:dyDescent="0.25">
      <c r="A2346" t="s">
        <v>5582</v>
      </c>
      <c r="B2346" t="s">
        <v>5437</v>
      </c>
      <c r="C2346">
        <v>2027</v>
      </c>
      <c r="D2346" t="s">
        <v>628</v>
      </c>
      <c r="E2346" t="s">
        <v>836</v>
      </c>
      <c r="F2346" s="32">
        <v>46430</v>
      </c>
      <c r="G2346" t="s">
        <v>514</v>
      </c>
      <c r="H2346">
        <v>47129473</v>
      </c>
      <c r="I2346" t="s">
        <v>1430</v>
      </c>
      <c r="J2346" t="s">
        <v>1429</v>
      </c>
      <c r="K2346" t="s">
        <v>530</v>
      </c>
      <c r="N2346">
        <v>0</v>
      </c>
      <c r="O2346">
        <v>0</v>
      </c>
      <c r="P2346" t="str">
        <f t="shared" si="36"/>
        <v>N</v>
      </c>
      <c r="Q2346" t="s">
        <v>8076</v>
      </c>
    </row>
    <row r="2347" spans="1:17" x14ac:dyDescent="0.25">
      <c r="A2347" t="s">
        <v>5583</v>
      </c>
      <c r="B2347" t="s">
        <v>5437</v>
      </c>
      <c r="C2347">
        <v>2027</v>
      </c>
      <c r="D2347" t="s">
        <v>628</v>
      </c>
      <c r="E2347" t="s">
        <v>836</v>
      </c>
      <c r="F2347" s="32">
        <v>46430</v>
      </c>
      <c r="G2347" t="s">
        <v>514</v>
      </c>
      <c r="H2347">
        <v>47128429</v>
      </c>
      <c r="I2347" t="s">
        <v>1371</v>
      </c>
      <c r="J2347" t="s">
        <v>1370</v>
      </c>
      <c r="K2347" t="s">
        <v>530</v>
      </c>
      <c r="N2347">
        <v>0</v>
      </c>
      <c r="O2347">
        <v>0</v>
      </c>
      <c r="P2347" t="str">
        <f t="shared" si="36"/>
        <v>N</v>
      </c>
      <c r="Q2347" t="s">
        <v>8077</v>
      </c>
    </row>
    <row r="2348" spans="1:17" x14ac:dyDescent="0.25">
      <c r="A2348" t="s">
        <v>5584</v>
      </c>
      <c r="B2348" t="s">
        <v>5437</v>
      </c>
      <c r="C2348">
        <v>2027</v>
      </c>
      <c r="D2348" t="s">
        <v>628</v>
      </c>
      <c r="E2348" t="s">
        <v>836</v>
      </c>
      <c r="F2348" s="32">
        <v>46430</v>
      </c>
      <c r="G2348" t="s">
        <v>514</v>
      </c>
      <c r="H2348">
        <v>47128181</v>
      </c>
      <c r="I2348" t="s">
        <v>1301</v>
      </c>
      <c r="J2348" t="s">
        <v>1300</v>
      </c>
      <c r="K2348" t="s">
        <v>530</v>
      </c>
      <c r="N2348">
        <v>0</v>
      </c>
      <c r="O2348">
        <v>0</v>
      </c>
      <c r="P2348" t="str">
        <f t="shared" si="36"/>
        <v>N</v>
      </c>
      <c r="Q2348" t="s">
        <v>8078</v>
      </c>
    </row>
    <row r="2349" spans="1:17" x14ac:dyDescent="0.25">
      <c r="A2349" t="s">
        <v>1620</v>
      </c>
      <c r="B2349" t="s">
        <v>1520</v>
      </c>
      <c r="C2349">
        <v>2027</v>
      </c>
      <c r="D2349" t="s">
        <v>631</v>
      </c>
      <c r="E2349" t="s">
        <v>837</v>
      </c>
      <c r="F2349" s="32">
        <v>46437</v>
      </c>
      <c r="G2349" t="s">
        <v>514</v>
      </c>
      <c r="H2349">
        <v>47128207</v>
      </c>
      <c r="I2349" t="s">
        <v>1522</v>
      </c>
      <c r="J2349" t="s">
        <v>1523</v>
      </c>
      <c r="K2349" t="s">
        <v>530</v>
      </c>
      <c r="N2349">
        <v>0</v>
      </c>
      <c r="O2349">
        <v>0</v>
      </c>
      <c r="P2349" t="str">
        <f t="shared" si="36"/>
        <v>N</v>
      </c>
      <c r="Q2349" t="s">
        <v>8079</v>
      </c>
    </row>
    <row r="2350" spans="1:17" x14ac:dyDescent="0.25">
      <c r="A2350" t="s">
        <v>1621</v>
      </c>
      <c r="B2350" t="s">
        <v>1520</v>
      </c>
      <c r="C2350">
        <v>2027</v>
      </c>
      <c r="D2350" t="s">
        <v>631</v>
      </c>
      <c r="E2350" t="s">
        <v>837</v>
      </c>
      <c r="F2350" s="32">
        <v>46437</v>
      </c>
      <c r="G2350" t="s">
        <v>514</v>
      </c>
      <c r="H2350">
        <v>47128581</v>
      </c>
      <c r="I2350" t="s">
        <v>1525</v>
      </c>
      <c r="J2350" t="s">
        <v>1526</v>
      </c>
      <c r="K2350" t="s">
        <v>530</v>
      </c>
      <c r="N2350">
        <v>60</v>
      </c>
      <c r="O2350">
        <v>60</v>
      </c>
      <c r="P2350" t="str">
        <f t="shared" si="36"/>
        <v>N</v>
      </c>
      <c r="Q2350" t="s">
        <v>8080</v>
      </c>
    </row>
    <row r="2351" spans="1:17" x14ac:dyDescent="0.25">
      <c r="A2351" t="s">
        <v>1622</v>
      </c>
      <c r="B2351" t="s">
        <v>1520</v>
      </c>
      <c r="C2351">
        <v>2027</v>
      </c>
      <c r="D2351" t="s">
        <v>631</v>
      </c>
      <c r="E2351" t="s">
        <v>837</v>
      </c>
      <c r="F2351" s="32">
        <v>46437</v>
      </c>
      <c r="G2351" t="s">
        <v>514</v>
      </c>
      <c r="H2351">
        <v>47127959</v>
      </c>
      <c r="I2351" t="s">
        <v>1528</v>
      </c>
      <c r="J2351" t="s">
        <v>1529</v>
      </c>
      <c r="K2351" t="s">
        <v>530</v>
      </c>
      <c r="N2351">
        <v>0</v>
      </c>
      <c r="O2351">
        <v>0</v>
      </c>
      <c r="P2351" t="str">
        <f t="shared" si="36"/>
        <v>N</v>
      </c>
      <c r="Q2351" t="s">
        <v>8081</v>
      </c>
    </row>
    <row r="2352" spans="1:17" x14ac:dyDescent="0.25">
      <c r="A2352" t="s">
        <v>1623</v>
      </c>
      <c r="B2352" t="s">
        <v>1520</v>
      </c>
      <c r="C2352">
        <v>2027</v>
      </c>
      <c r="D2352" t="s">
        <v>631</v>
      </c>
      <c r="E2352" t="s">
        <v>837</v>
      </c>
      <c r="F2352" s="32">
        <v>46437</v>
      </c>
      <c r="G2352" t="s">
        <v>514</v>
      </c>
      <c r="H2352">
        <v>47128204</v>
      </c>
      <c r="I2352" t="s">
        <v>1531</v>
      </c>
      <c r="J2352" t="s">
        <v>1532</v>
      </c>
      <c r="K2352" t="s">
        <v>530</v>
      </c>
      <c r="N2352">
        <v>0</v>
      </c>
      <c r="O2352">
        <v>0</v>
      </c>
      <c r="P2352" t="str">
        <f t="shared" si="36"/>
        <v>N</v>
      </c>
      <c r="Q2352" t="s">
        <v>8082</v>
      </c>
    </row>
    <row r="2353" spans="1:17" x14ac:dyDescent="0.25">
      <c r="A2353" t="s">
        <v>1624</v>
      </c>
      <c r="B2353" t="s">
        <v>1520</v>
      </c>
      <c r="C2353">
        <v>2027</v>
      </c>
      <c r="D2353" t="s">
        <v>631</v>
      </c>
      <c r="E2353" t="s">
        <v>837</v>
      </c>
      <c r="F2353" s="32">
        <v>46437</v>
      </c>
      <c r="G2353" t="s">
        <v>514</v>
      </c>
      <c r="H2353">
        <v>47128207</v>
      </c>
      <c r="I2353" t="s">
        <v>1522</v>
      </c>
      <c r="J2353" t="s">
        <v>1534</v>
      </c>
      <c r="K2353" t="s">
        <v>530</v>
      </c>
      <c r="N2353">
        <v>0</v>
      </c>
      <c r="O2353">
        <v>0</v>
      </c>
      <c r="P2353" t="str">
        <f t="shared" si="36"/>
        <v>N</v>
      </c>
      <c r="Q2353" t="s">
        <v>8083</v>
      </c>
    </row>
    <row r="2354" spans="1:17" x14ac:dyDescent="0.25">
      <c r="A2354" t="s">
        <v>1625</v>
      </c>
      <c r="B2354" t="s">
        <v>1520</v>
      </c>
      <c r="C2354">
        <v>2027</v>
      </c>
      <c r="D2354" t="s">
        <v>631</v>
      </c>
      <c r="E2354" t="s">
        <v>837</v>
      </c>
      <c r="F2354" s="32">
        <v>46437</v>
      </c>
      <c r="G2354" t="s">
        <v>563</v>
      </c>
      <c r="H2354">
        <v>10000015</v>
      </c>
      <c r="I2354" t="s">
        <v>562</v>
      </c>
      <c r="K2354" t="s">
        <v>530</v>
      </c>
      <c r="N2354">
        <v>0</v>
      </c>
      <c r="O2354">
        <v>0</v>
      </c>
      <c r="P2354" t="str">
        <f t="shared" si="36"/>
        <v>N</v>
      </c>
      <c r="Q2354" t="s">
        <v>8084</v>
      </c>
    </row>
    <row r="2355" spans="1:17" x14ac:dyDescent="0.25">
      <c r="A2355" t="s">
        <v>1626</v>
      </c>
      <c r="B2355" t="s">
        <v>1520</v>
      </c>
      <c r="C2355">
        <v>2027</v>
      </c>
      <c r="D2355" t="s">
        <v>631</v>
      </c>
      <c r="E2355" t="s">
        <v>837</v>
      </c>
      <c r="F2355" s="32">
        <v>46437</v>
      </c>
      <c r="G2355" t="s">
        <v>514</v>
      </c>
      <c r="H2355">
        <v>47127959</v>
      </c>
      <c r="I2355" t="s">
        <v>1528</v>
      </c>
      <c r="J2355" t="s">
        <v>1537</v>
      </c>
      <c r="K2355" t="s">
        <v>530</v>
      </c>
      <c r="N2355">
        <v>0</v>
      </c>
      <c r="O2355">
        <v>0</v>
      </c>
      <c r="P2355" t="str">
        <f t="shared" si="36"/>
        <v>N</v>
      </c>
      <c r="Q2355" t="s">
        <v>8085</v>
      </c>
    </row>
    <row r="2356" spans="1:17" x14ac:dyDescent="0.25">
      <c r="A2356" t="s">
        <v>1627</v>
      </c>
      <c r="B2356" t="s">
        <v>1520</v>
      </c>
      <c r="C2356">
        <v>2027</v>
      </c>
      <c r="D2356" t="s">
        <v>631</v>
      </c>
      <c r="E2356" t="s">
        <v>837</v>
      </c>
      <c r="F2356" s="32">
        <v>46437</v>
      </c>
      <c r="G2356" t="s">
        <v>514</v>
      </c>
      <c r="H2356">
        <v>47128581</v>
      </c>
      <c r="I2356" t="s">
        <v>1525</v>
      </c>
      <c r="J2356" t="s">
        <v>1539</v>
      </c>
      <c r="K2356" t="s">
        <v>530</v>
      </c>
      <c r="N2356">
        <v>0</v>
      </c>
      <c r="O2356">
        <v>0</v>
      </c>
      <c r="P2356" t="str">
        <f t="shared" si="36"/>
        <v>N</v>
      </c>
      <c r="Q2356" t="s">
        <v>8086</v>
      </c>
    </row>
    <row r="2357" spans="1:17" x14ac:dyDescent="0.25">
      <c r="A2357" t="s">
        <v>2016</v>
      </c>
      <c r="B2357" t="s">
        <v>1135</v>
      </c>
      <c r="C2357">
        <v>2027</v>
      </c>
      <c r="D2357" t="s">
        <v>631</v>
      </c>
      <c r="E2357" t="s">
        <v>837</v>
      </c>
      <c r="F2357" s="32">
        <v>46437</v>
      </c>
      <c r="G2357" t="s">
        <v>514</v>
      </c>
      <c r="H2357">
        <v>47146464</v>
      </c>
      <c r="I2357" t="s">
        <v>1438</v>
      </c>
      <c r="J2357" t="s">
        <v>1437</v>
      </c>
      <c r="K2357" t="s">
        <v>530</v>
      </c>
      <c r="N2357">
        <v>0</v>
      </c>
      <c r="O2357">
        <v>0</v>
      </c>
      <c r="P2357" t="str">
        <f t="shared" si="36"/>
        <v>N</v>
      </c>
      <c r="Q2357" t="s">
        <v>8087</v>
      </c>
    </row>
    <row r="2358" spans="1:17" x14ac:dyDescent="0.25">
      <c r="A2358" t="s">
        <v>2017</v>
      </c>
      <c r="B2358" t="s">
        <v>1135</v>
      </c>
      <c r="C2358">
        <v>2027</v>
      </c>
      <c r="D2358" t="s">
        <v>631</v>
      </c>
      <c r="E2358" t="s">
        <v>837</v>
      </c>
      <c r="F2358" s="32">
        <v>46437</v>
      </c>
      <c r="G2358" t="s">
        <v>514</v>
      </c>
      <c r="H2358">
        <v>47146463</v>
      </c>
      <c r="I2358" t="s">
        <v>1441</v>
      </c>
      <c r="J2358" t="s">
        <v>1440</v>
      </c>
      <c r="K2358" t="s">
        <v>530</v>
      </c>
      <c r="N2358">
        <v>0</v>
      </c>
      <c r="O2358">
        <v>0</v>
      </c>
      <c r="P2358" t="str">
        <f t="shared" si="36"/>
        <v>N</v>
      </c>
      <c r="Q2358" t="s">
        <v>8088</v>
      </c>
    </row>
    <row r="2359" spans="1:17" x14ac:dyDescent="0.25">
      <c r="A2359" t="s">
        <v>2018</v>
      </c>
      <c r="B2359" t="s">
        <v>1135</v>
      </c>
      <c r="C2359">
        <v>2027</v>
      </c>
      <c r="D2359" t="s">
        <v>631</v>
      </c>
      <c r="E2359" t="s">
        <v>837</v>
      </c>
      <c r="F2359" s="32">
        <v>46437</v>
      </c>
      <c r="G2359" t="s">
        <v>514</v>
      </c>
      <c r="H2359">
        <v>47128729</v>
      </c>
      <c r="I2359" t="s">
        <v>1149</v>
      </c>
      <c r="J2359" t="s">
        <v>1148</v>
      </c>
      <c r="K2359" t="s">
        <v>530</v>
      </c>
      <c r="N2359">
        <v>0</v>
      </c>
      <c r="O2359">
        <v>0</v>
      </c>
      <c r="P2359" t="str">
        <f t="shared" si="36"/>
        <v>N</v>
      </c>
      <c r="Q2359" t="s">
        <v>8089</v>
      </c>
    </row>
    <row r="2360" spans="1:17" x14ac:dyDescent="0.25">
      <c r="A2360" t="s">
        <v>2019</v>
      </c>
      <c r="B2360" t="s">
        <v>1135</v>
      </c>
      <c r="C2360">
        <v>2027</v>
      </c>
      <c r="D2360" t="s">
        <v>631</v>
      </c>
      <c r="E2360" t="s">
        <v>837</v>
      </c>
      <c r="F2360" s="32">
        <v>46437</v>
      </c>
      <c r="G2360" t="s">
        <v>514</v>
      </c>
      <c r="H2360">
        <v>47128413</v>
      </c>
      <c r="I2360" t="s">
        <v>1397</v>
      </c>
      <c r="J2360" t="s">
        <v>1396</v>
      </c>
      <c r="K2360" t="s">
        <v>530</v>
      </c>
      <c r="N2360">
        <v>0</v>
      </c>
      <c r="O2360">
        <v>0</v>
      </c>
      <c r="P2360" t="str">
        <f t="shared" si="36"/>
        <v>N</v>
      </c>
      <c r="Q2360" t="s">
        <v>8090</v>
      </c>
    </row>
    <row r="2361" spans="1:17" x14ac:dyDescent="0.25">
      <c r="A2361" t="s">
        <v>2020</v>
      </c>
      <c r="B2361" t="s">
        <v>1135</v>
      </c>
      <c r="C2361">
        <v>2027</v>
      </c>
      <c r="D2361" t="s">
        <v>631</v>
      </c>
      <c r="E2361" t="s">
        <v>837</v>
      </c>
      <c r="F2361" s="32">
        <v>46437</v>
      </c>
      <c r="G2361" t="s">
        <v>514</v>
      </c>
      <c r="H2361">
        <v>47128783</v>
      </c>
      <c r="I2361" t="s">
        <v>1280</v>
      </c>
      <c r="J2361" t="s">
        <v>1279</v>
      </c>
      <c r="K2361" t="s">
        <v>530</v>
      </c>
      <c r="N2361">
        <v>0</v>
      </c>
      <c r="O2361">
        <v>0</v>
      </c>
      <c r="P2361" t="str">
        <f t="shared" si="36"/>
        <v>N</v>
      </c>
      <c r="Q2361" t="s">
        <v>8091</v>
      </c>
    </row>
    <row r="2362" spans="1:17" x14ac:dyDescent="0.25">
      <c r="A2362" t="s">
        <v>2021</v>
      </c>
      <c r="B2362" t="s">
        <v>1135</v>
      </c>
      <c r="C2362">
        <v>2027</v>
      </c>
      <c r="D2362" t="s">
        <v>631</v>
      </c>
      <c r="E2362" t="s">
        <v>837</v>
      </c>
      <c r="F2362" s="32">
        <v>46437</v>
      </c>
      <c r="G2362" t="s">
        <v>514</v>
      </c>
      <c r="H2362">
        <v>47128944</v>
      </c>
      <c r="I2362" t="s">
        <v>1137</v>
      </c>
      <c r="J2362" t="s">
        <v>1136</v>
      </c>
      <c r="K2362" t="s">
        <v>530</v>
      </c>
      <c r="N2362">
        <v>0</v>
      </c>
      <c r="O2362">
        <v>0</v>
      </c>
      <c r="P2362" t="str">
        <f t="shared" si="36"/>
        <v>N</v>
      </c>
      <c r="Q2362" t="s">
        <v>8092</v>
      </c>
    </row>
    <row r="2363" spans="1:17" x14ac:dyDescent="0.25">
      <c r="A2363" t="s">
        <v>2022</v>
      </c>
      <c r="B2363" t="s">
        <v>1135</v>
      </c>
      <c r="C2363">
        <v>2027</v>
      </c>
      <c r="D2363" t="s">
        <v>631</v>
      </c>
      <c r="E2363" t="s">
        <v>837</v>
      </c>
      <c r="F2363" s="32">
        <v>46437</v>
      </c>
      <c r="G2363" t="s">
        <v>514</v>
      </c>
      <c r="H2363">
        <v>47129547</v>
      </c>
      <c r="I2363" t="s">
        <v>1128</v>
      </c>
      <c r="J2363" t="s">
        <v>1352</v>
      </c>
      <c r="K2363" t="s">
        <v>530</v>
      </c>
      <c r="N2363">
        <v>0</v>
      </c>
      <c r="O2363">
        <v>0</v>
      </c>
      <c r="P2363" t="str">
        <f t="shared" si="36"/>
        <v>N</v>
      </c>
      <c r="Q2363" t="s">
        <v>8093</v>
      </c>
    </row>
    <row r="2364" spans="1:17" x14ac:dyDescent="0.25">
      <c r="A2364" t="s">
        <v>2023</v>
      </c>
      <c r="B2364" t="s">
        <v>1135</v>
      </c>
      <c r="C2364">
        <v>2027</v>
      </c>
      <c r="D2364" t="s">
        <v>631</v>
      </c>
      <c r="E2364" t="s">
        <v>837</v>
      </c>
      <c r="F2364" s="32">
        <v>46437</v>
      </c>
      <c r="G2364" t="s">
        <v>514</v>
      </c>
      <c r="H2364">
        <v>47128518</v>
      </c>
      <c r="I2364" t="s">
        <v>1232</v>
      </c>
      <c r="J2364" t="s">
        <v>1493</v>
      </c>
      <c r="K2364" t="s">
        <v>530</v>
      </c>
      <c r="N2364">
        <v>94</v>
      </c>
      <c r="O2364">
        <v>94</v>
      </c>
      <c r="P2364" t="str">
        <f t="shared" si="36"/>
        <v>N</v>
      </c>
      <c r="Q2364" t="s">
        <v>8094</v>
      </c>
    </row>
    <row r="2365" spans="1:17" x14ac:dyDescent="0.25">
      <c r="A2365" t="s">
        <v>2024</v>
      </c>
      <c r="B2365" t="s">
        <v>1135</v>
      </c>
      <c r="C2365">
        <v>2027</v>
      </c>
      <c r="D2365" t="s">
        <v>631</v>
      </c>
      <c r="E2365" t="s">
        <v>837</v>
      </c>
      <c r="F2365" s="32">
        <v>46437</v>
      </c>
      <c r="G2365" t="s">
        <v>514</v>
      </c>
      <c r="H2365">
        <v>47128168</v>
      </c>
      <c r="I2365" t="s">
        <v>1100</v>
      </c>
      <c r="J2365" t="s">
        <v>1099</v>
      </c>
      <c r="K2365" t="s">
        <v>530</v>
      </c>
      <c r="N2365">
        <v>0</v>
      </c>
      <c r="O2365">
        <v>0</v>
      </c>
      <c r="P2365" t="str">
        <f t="shared" si="36"/>
        <v>N</v>
      </c>
      <c r="Q2365" t="s">
        <v>8095</v>
      </c>
    </row>
    <row r="2366" spans="1:17" x14ac:dyDescent="0.25">
      <c r="A2366" t="s">
        <v>2025</v>
      </c>
      <c r="B2366" t="s">
        <v>1135</v>
      </c>
      <c r="C2366">
        <v>2027</v>
      </c>
      <c r="D2366" t="s">
        <v>631</v>
      </c>
      <c r="E2366" t="s">
        <v>837</v>
      </c>
      <c r="F2366" s="32">
        <v>46437</v>
      </c>
      <c r="G2366" t="s">
        <v>514</v>
      </c>
      <c r="H2366">
        <v>47128687</v>
      </c>
      <c r="I2366" t="s">
        <v>1153</v>
      </c>
      <c r="J2366" t="s">
        <v>1152</v>
      </c>
      <c r="K2366" t="s">
        <v>530</v>
      </c>
      <c r="N2366">
        <v>0</v>
      </c>
      <c r="O2366">
        <v>0</v>
      </c>
      <c r="P2366" t="str">
        <f t="shared" si="36"/>
        <v>N</v>
      </c>
      <c r="Q2366" t="s">
        <v>8096</v>
      </c>
    </row>
    <row r="2367" spans="1:17" x14ac:dyDescent="0.25">
      <c r="A2367" t="s">
        <v>2026</v>
      </c>
      <c r="B2367" t="s">
        <v>1135</v>
      </c>
      <c r="C2367">
        <v>2027</v>
      </c>
      <c r="D2367" t="s">
        <v>631</v>
      </c>
      <c r="E2367" t="s">
        <v>837</v>
      </c>
      <c r="F2367" s="32">
        <v>46437</v>
      </c>
      <c r="G2367" t="s">
        <v>514</v>
      </c>
      <c r="H2367">
        <v>47128585</v>
      </c>
      <c r="I2367" t="s">
        <v>1141</v>
      </c>
      <c r="J2367" t="s">
        <v>1140</v>
      </c>
      <c r="K2367" t="s">
        <v>530</v>
      </c>
      <c r="N2367">
        <v>0</v>
      </c>
      <c r="O2367">
        <v>0</v>
      </c>
      <c r="P2367" t="str">
        <f t="shared" si="36"/>
        <v>N</v>
      </c>
      <c r="Q2367" t="s">
        <v>8097</v>
      </c>
    </row>
    <row r="2368" spans="1:17" x14ac:dyDescent="0.25">
      <c r="A2368" t="s">
        <v>2027</v>
      </c>
      <c r="B2368" t="s">
        <v>1135</v>
      </c>
      <c r="C2368">
        <v>2027</v>
      </c>
      <c r="D2368" t="s">
        <v>631</v>
      </c>
      <c r="E2368" t="s">
        <v>837</v>
      </c>
      <c r="F2368" s="32">
        <v>46437</v>
      </c>
      <c r="G2368" t="s">
        <v>514</v>
      </c>
      <c r="H2368">
        <v>47128906</v>
      </c>
      <c r="I2368" t="s">
        <v>1349</v>
      </c>
      <c r="J2368" t="s">
        <v>1348</v>
      </c>
      <c r="K2368" t="s">
        <v>530</v>
      </c>
      <c r="N2368">
        <v>0</v>
      </c>
      <c r="O2368">
        <v>0</v>
      </c>
      <c r="P2368" t="str">
        <f t="shared" si="36"/>
        <v>N</v>
      </c>
      <c r="Q2368" t="s">
        <v>8098</v>
      </c>
    </row>
    <row r="2369" spans="1:17" x14ac:dyDescent="0.25">
      <c r="A2369" t="s">
        <v>2028</v>
      </c>
      <c r="B2369" t="s">
        <v>1135</v>
      </c>
      <c r="C2369">
        <v>2027</v>
      </c>
      <c r="D2369" t="s">
        <v>631</v>
      </c>
      <c r="E2369" t="s">
        <v>837</v>
      </c>
      <c r="F2369" s="32">
        <v>46437</v>
      </c>
      <c r="G2369" t="s">
        <v>514</v>
      </c>
      <c r="H2369">
        <v>47128585</v>
      </c>
      <c r="I2369" t="s">
        <v>1141</v>
      </c>
      <c r="J2369" t="s">
        <v>1408</v>
      </c>
      <c r="K2369" t="s">
        <v>530</v>
      </c>
      <c r="N2369">
        <v>0</v>
      </c>
      <c r="O2369">
        <v>0</v>
      </c>
      <c r="P2369" t="str">
        <f t="shared" si="36"/>
        <v>N</v>
      </c>
      <c r="Q2369" t="s">
        <v>8099</v>
      </c>
    </row>
    <row r="2370" spans="1:17" x14ac:dyDescent="0.25">
      <c r="A2370" t="s">
        <v>2029</v>
      </c>
      <c r="B2370" t="s">
        <v>1135</v>
      </c>
      <c r="C2370">
        <v>2027</v>
      </c>
      <c r="D2370" t="s">
        <v>631</v>
      </c>
      <c r="E2370" t="s">
        <v>837</v>
      </c>
      <c r="F2370" s="32">
        <v>46437</v>
      </c>
      <c r="G2370" t="s">
        <v>514</v>
      </c>
      <c r="H2370">
        <v>47128518</v>
      </c>
      <c r="I2370" t="s">
        <v>1232</v>
      </c>
      <c r="J2370" t="s">
        <v>1231</v>
      </c>
      <c r="K2370" t="s">
        <v>530</v>
      </c>
      <c r="N2370">
        <v>0</v>
      </c>
      <c r="O2370">
        <v>0</v>
      </c>
      <c r="P2370" t="str">
        <f t="shared" si="36"/>
        <v>N</v>
      </c>
      <c r="Q2370" t="s">
        <v>8100</v>
      </c>
    </row>
    <row r="2371" spans="1:17" x14ac:dyDescent="0.25">
      <c r="A2371" t="s">
        <v>2030</v>
      </c>
      <c r="B2371" t="s">
        <v>1135</v>
      </c>
      <c r="C2371">
        <v>2027</v>
      </c>
      <c r="D2371" t="s">
        <v>631</v>
      </c>
      <c r="E2371" t="s">
        <v>837</v>
      </c>
      <c r="F2371" s="32">
        <v>46437</v>
      </c>
      <c r="G2371" t="s">
        <v>514</v>
      </c>
      <c r="H2371">
        <v>47128680</v>
      </c>
      <c r="I2371" t="s">
        <v>1284</v>
      </c>
      <c r="J2371" t="s">
        <v>1283</v>
      </c>
      <c r="K2371" t="s">
        <v>530</v>
      </c>
      <c r="N2371">
        <v>0</v>
      </c>
      <c r="O2371">
        <v>0</v>
      </c>
      <c r="P2371" t="str">
        <f t="shared" ref="P2371:P2434" si="37">IF(N2371=O2371,"N","Y")</f>
        <v>N</v>
      </c>
      <c r="Q2371" t="s">
        <v>8101</v>
      </c>
    </row>
    <row r="2372" spans="1:17" x14ac:dyDescent="0.25">
      <c r="A2372" t="s">
        <v>2031</v>
      </c>
      <c r="B2372" t="s">
        <v>1135</v>
      </c>
      <c r="C2372">
        <v>2027</v>
      </c>
      <c r="D2372" t="s">
        <v>631</v>
      </c>
      <c r="E2372" t="s">
        <v>837</v>
      </c>
      <c r="F2372" s="32">
        <v>46437</v>
      </c>
      <c r="G2372" t="s">
        <v>514</v>
      </c>
      <c r="H2372">
        <v>47128024</v>
      </c>
      <c r="I2372" t="s">
        <v>1108</v>
      </c>
      <c r="J2372" t="s">
        <v>1107</v>
      </c>
      <c r="K2372" t="s">
        <v>530</v>
      </c>
      <c r="N2372">
        <v>0</v>
      </c>
      <c r="O2372">
        <v>0</v>
      </c>
      <c r="P2372" t="str">
        <f t="shared" si="37"/>
        <v>N</v>
      </c>
      <c r="Q2372" t="s">
        <v>8102</v>
      </c>
    </row>
    <row r="2373" spans="1:17" x14ac:dyDescent="0.25">
      <c r="A2373" t="s">
        <v>2032</v>
      </c>
      <c r="B2373" t="s">
        <v>1135</v>
      </c>
      <c r="C2373">
        <v>2027</v>
      </c>
      <c r="D2373" t="s">
        <v>631</v>
      </c>
      <c r="E2373" t="s">
        <v>837</v>
      </c>
      <c r="F2373" s="32">
        <v>46437</v>
      </c>
      <c r="G2373" t="s">
        <v>514</v>
      </c>
      <c r="H2373">
        <v>47128944</v>
      </c>
      <c r="I2373" t="s">
        <v>1137</v>
      </c>
      <c r="J2373" t="s">
        <v>1513</v>
      </c>
      <c r="K2373" t="s">
        <v>530</v>
      </c>
      <c r="N2373">
        <v>0</v>
      </c>
      <c r="O2373">
        <v>0</v>
      </c>
      <c r="P2373" t="str">
        <f t="shared" si="37"/>
        <v>N</v>
      </c>
      <c r="Q2373" t="s">
        <v>8103</v>
      </c>
    </row>
    <row r="2374" spans="1:17" x14ac:dyDescent="0.25">
      <c r="A2374" t="s">
        <v>2033</v>
      </c>
      <c r="B2374" t="s">
        <v>1135</v>
      </c>
      <c r="C2374">
        <v>2027</v>
      </c>
      <c r="D2374" t="s">
        <v>631</v>
      </c>
      <c r="E2374" t="s">
        <v>837</v>
      </c>
      <c r="F2374" s="32">
        <v>46437</v>
      </c>
      <c r="G2374" t="s">
        <v>514</v>
      </c>
      <c r="H2374">
        <v>47147546</v>
      </c>
      <c r="I2374" t="s">
        <v>1077</v>
      </c>
      <c r="J2374" t="s">
        <v>1076</v>
      </c>
      <c r="K2374" t="s">
        <v>530</v>
      </c>
      <c r="N2374">
        <v>0</v>
      </c>
      <c r="O2374">
        <v>0</v>
      </c>
      <c r="P2374" t="str">
        <f t="shared" si="37"/>
        <v>N</v>
      </c>
      <c r="Q2374" t="s">
        <v>8104</v>
      </c>
    </row>
    <row r="2375" spans="1:17" x14ac:dyDescent="0.25">
      <c r="A2375" t="s">
        <v>2034</v>
      </c>
      <c r="B2375" t="s">
        <v>1135</v>
      </c>
      <c r="C2375">
        <v>2027</v>
      </c>
      <c r="D2375" t="s">
        <v>631</v>
      </c>
      <c r="E2375" t="s">
        <v>837</v>
      </c>
      <c r="F2375" s="32">
        <v>46437</v>
      </c>
      <c r="G2375" t="s">
        <v>514</v>
      </c>
      <c r="H2375">
        <v>47128346</v>
      </c>
      <c r="I2375" t="s">
        <v>1157</v>
      </c>
      <c r="J2375" t="s">
        <v>1156</v>
      </c>
      <c r="K2375" t="s">
        <v>530</v>
      </c>
      <c r="N2375">
        <v>0</v>
      </c>
      <c r="O2375">
        <v>0</v>
      </c>
      <c r="P2375" t="str">
        <f t="shared" si="37"/>
        <v>N</v>
      </c>
      <c r="Q2375" t="s">
        <v>8105</v>
      </c>
    </row>
    <row r="2376" spans="1:17" x14ac:dyDescent="0.25">
      <c r="A2376" t="s">
        <v>2035</v>
      </c>
      <c r="B2376" t="s">
        <v>1135</v>
      </c>
      <c r="C2376">
        <v>2027</v>
      </c>
      <c r="D2376" t="s">
        <v>631</v>
      </c>
      <c r="E2376" t="s">
        <v>837</v>
      </c>
      <c r="F2376" s="32">
        <v>46437</v>
      </c>
      <c r="G2376" t="s">
        <v>514</v>
      </c>
      <c r="H2376">
        <v>47128800</v>
      </c>
      <c r="I2376" t="s">
        <v>1145</v>
      </c>
      <c r="J2376" t="s">
        <v>1144</v>
      </c>
      <c r="K2376" t="s">
        <v>530</v>
      </c>
      <c r="N2376">
        <v>0</v>
      </c>
      <c r="O2376">
        <v>0</v>
      </c>
      <c r="P2376" t="str">
        <f t="shared" si="37"/>
        <v>N</v>
      </c>
      <c r="Q2376" t="s">
        <v>8106</v>
      </c>
    </row>
    <row r="2377" spans="1:17" x14ac:dyDescent="0.25">
      <c r="A2377" t="s">
        <v>2036</v>
      </c>
      <c r="B2377" t="s">
        <v>1135</v>
      </c>
      <c r="C2377">
        <v>2027</v>
      </c>
      <c r="D2377" t="s">
        <v>631</v>
      </c>
      <c r="E2377" t="s">
        <v>837</v>
      </c>
      <c r="F2377" s="32">
        <v>46437</v>
      </c>
      <c r="G2377" t="s">
        <v>514</v>
      </c>
      <c r="H2377">
        <v>47128109</v>
      </c>
      <c r="I2377" t="s">
        <v>1336</v>
      </c>
      <c r="J2377" t="s">
        <v>1335</v>
      </c>
      <c r="K2377" t="s">
        <v>530</v>
      </c>
      <c r="N2377">
        <v>0</v>
      </c>
      <c r="O2377">
        <v>0</v>
      </c>
      <c r="P2377" t="str">
        <f t="shared" si="37"/>
        <v>N</v>
      </c>
      <c r="Q2377" t="s">
        <v>8107</v>
      </c>
    </row>
    <row r="2378" spans="1:17" x14ac:dyDescent="0.25">
      <c r="A2378" t="s">
        <v>2037</v>
      </c>
      <c r="B2378" t="s">
        <v>1135</v>
      </c>
      <c r="C2378">
        <v>2027</v>
      </c>
      <c r="D2378" t="s">
        <v>631</v>
      </c>
      <c r="E2378" t="s">
        <v>837</v>
      </c>
      <c r="F2378" s="32">
        <v>46437</v>
      </c>
      <c r="G2378" t="s">
        <v>514</v>
      </c>
      <c r="H2378">
        <v>47128430</v>
      </c>
      <c r="I2378" t="s">
        <v>1401</v>
      </c>
      <c r="J2378" t="s">
        <v>1400</v>
      </c>
      <c r="K2378" t="s">
        <v>530</v>
      </c>
      <c r="N2378">
        <v>0</v>
      </c>
      <c r="O2378">
        <v>0</v>
      </c>
      <c r="P2378" t="str">
        <f t="shared" si="37"/>
        <v>N</v>
      </c>
      <c r="Q2378" t="s">
        <v>8108</v>
      </c>
    </row>
    <row r="2379" spans="1:17" x14ac:dyDescent="0.25">
      <c r="A2379" t="s">
        <v>2038</v>
      </c>
      <c r="B2379" t="s">
        <v>1135</v>
      </c>
      <c r="C2379">
        <v>2027</v>
      </c>
      <c r="D2379" t="s">
        <v>631</v>
      </c>
      <c r="E2379" t="s">
        <v>837</v>
      </c>
      <c r="F2379" s="32">
        <v>46437</v>
      </c>
      <c r="G2379" t="s">
        <v>514</v>
      </c>
      <c r="H2379">
        <v>47128522</v>
      </c>
      <c r="I2379" t="s">
        <v>1092</v>
      </c>
      <c r="J2379" t="s">
        <v>1091</v>
      </c>
      <c r="K2379" t="s">
        <v>530</v>
      </c>
      <c r="N2379">
        <v>0</v>
      </c>
      <c r="O2379">
        <v>0</v>
      </c>
      <c r="P2379" t="str">
        <f t="shared" si="37"/>
        <v>N</v>
      </c>
      <c r="Q2379" t="s">
        <v>8109</v>
      </c>
    </row>
    <row r="2380" spans="1:17" x14ac:dyDescent="0.25">
      <c r="A2380" t="s">
        <v>2039</v>
      </c>
      <c r="B2380" t="s">
        <v>1135</v>
      </c>
      <c r="C2380">
        <v>2027</v>
      </c>
      <c r="D2380" t="s">
        <v>631</v>
      </c>
      <c r="E2380" t="s">
        <v>837</v>
      </c>
      <c r="F2380" s="32">
        <v>46437</v>
      </c>
      <c r="G2380" t="s">
        <v>514</v>
      </c>
      <c r="H2380">
        <v>47147546</v>
      </c>
      <c r="I2380" t="s">
        <v>1077</v>
      </c>
      <c r="J2380" t="s">
        <v>1381</v>
      </c>
      <c r="K2380" t="s">
        <v>530</v>
      </c>
      <c r="N2380">
        <v>0</v>
      </c>
      <c r="O2380">
        <v>0</v>
      </c>
      <c r="P2380" t="str">
        <f t="shared" si="37"/>
        <v>N</v>
      </c>
      <c r="Q2380" t="s">
        <v>8110</v>
      </c>
    </row>
    <row r="2381" spans="1:17" x14ac:dyDescent="0.25">
      <c r="A2381" t="s">
        <v>2040</v>
      </c>
      <c r="B2381" t="s">
        <v>1135</v>
      </c>
      <c r="C2381">
        <v>2027</v>
      </c>
      <c r="D2381" t="s">
        <v>631</v>
      </c>
      <c r="E2381" t="s">
        <v>837</v>
      </c>
      <c r="F2381" s="32">
        <v>46437</v>
      </c>
      <c r="G2381" t="s">
        <v>514</v>
      </c>
      <c r="H2381">
        <v>47147658</v>
      </c>
      <c r="I2381" t="s">
        <v>1276</v>
      </c>
      <c r="J2381" t="s">
        <v>1275</v>
      </c>
      <c r="K2381" t="s">
        <v>530</v>
      </c>
      <c r="N2381">
        <v>0</v>
      </c>
      <c r="O2381">
        <v>0</v>
      </c>
      <c r="P2381" t="str">
        <f t="shared" si="37"/>
        <v>N</v>
      </c>
      <c r="Q2381" t="s">
        <v>8111</v>
      </c>
    </row>
    <row r="2382" spans="1:17" x14ac:dyDescent="0.25">
      <c r="A2382" t="s">
        <v>2041</v>
      </c>
      <c r="B2382" t="s">
        <v>1135</v>
      </c>
      <c r="C2382">
        <v>2027</v>
      </c>
      <c r="D2382" t="s">
        <v>631</v>
      </c>
      <c r="E2382" t="s">
        <v>837</v>
      </c>
      <c r="F2382" s="32">
        <v>46437</v>
      </c>
      <c r="G2382" t="s">
        <v>514</v>
      </c>
      <c r="H2382">
        <v>47147546</v>
      </c>
      <c r="I2382" t="s">
        <v>1077</v>
      </c>
      <c r="J2382" t="s">
        <v>1171</v>
      </c>
      <c r="K2382" t="s">
        <v>530</v>
      </c>
      <c r="N2382">
        <v>0</v>
      </c>
      <c r="O2382">
        <v>0</v>
      </c>
      <c r="P2382" t="str">
        <f t="shared" si="37"/>
        <v>N</v>
      </c>
      <c r="Q2382" t="s">
        <v>8112</v>
      </c>
    </row>
    <row r="2383" spans="1:17" x14ac:dyDescent="0.25">
      <c r="A2383" t="s">
        <v>2042</v>
      </c>
      <c r="B2383" t="s">
        <v>1135</v>
      </c>
      <c r="C2383">
        <v>2027</v>
      </c>
      <c r="D2383" t="s">
        <v>631</v>
      </c>
      <c r="E2383" t="s">
        <v>837</v>
      </c>
      <c r="F2383" s="32">
        <v>46437</v>
      </c>
      <c r="G2383" t="s">
        <v>514</v>
      </c>
      <c r="H2383">
        <v>47128028</v>
      </c>
      <c r="I2383" t="s">
        <v>1035</v>
      </c>
      <c r="J2383" t="s">
        <v>1034</v>
      </c>
      <c r="K2383" t="s">
        <v>530</v>
      </c>
      <c r="N2383">
        <v>0</v>
      </c>
      <c r="O2383">
        <v>0</v>
      </c>
      <c r="P2383" t="str">
        <f t="shared" si="37"/>
        <v>N</v>
      </c>
      <c r="Q2383" t="s">
        <v>8113</v>
      </c>
    </row>
    <row r="2384" spans="1:17" x14ac:dyDescent="0.25">
      <c r="A2384" t="s">
        <v>2043</v>
      </c>
      <c r="B2384" t="s">
        <v>1135</v>
      </c>
      <c r="C2384">
        <v>2027</v>
      </c>
      <c r="D2384" t="s">
        <v>631</v>
      </c>
      <c r="E2384" t="s">
        <v>837</v>
      </c>
      <c r="F2384" s="32">
        <v>46437</v>
      </c>
      <c r="G2384" t="s">
        <v>514</v>
      </c>
      <c r="H2384">
        <v>47128465</v>
      </c>
      <c r="I2384" t="s">
        <v>1333</v>
      </c>
      <c r="J2384" t="s">
        <v>1332</v>
      </c>
      <c r="K2384" t="s">
        <v>530</v>
      </c>
      <c r="N2384">
        <v>0</v>
      </c>
      <c r="O2384">
        <v>0</v>
      </c>
      <c r="P2384" t="str">
        <f t="shared" si="37"/>
        <v>N</v>
      </c>
      <c r="Q2384" t="s">
        <v>8114</v>
      </c>
    </row>
    <row r="2385" spans="1:17" x14ac:dyDescent="0.25">
      <c r="A2385" t="s">
        <v>2044</v>
      </c>
      <c r="B2385" t="s">
        <v>1135</v>
      </c>
      <c r="C2385">
        <v>2027</v>
      </c>
      <c r="D2385" t="s">
        <v>631</v>
      </c>
      <c r="E2385" t="s">
        <v>837</v>
      </c>
      <c r="F2385" s="32">
        <v>46437</v>
      </c>
      <c r="G2385" t="s">
        <v>514</v>
      </c>
      <c r="H2385">
        <v>47128548</v>
      </c>
      <c r="I2385" t="s">
        <v>958</v>
      </c>
      <c r="J2385" t="s">
        <v>957</v>
      </c>
      <c r="K2385" t="s">
        <v>530</v>
      </c>
      <c r="N2385">
        <v>0</v>
      </c>
      <c r="O2385">
        <v>0</v>
      </c>
      <c r="P2385" t="str">
        <f t="shared" si="37"/>
        <v>N</v>
      </c>
      <c r="Q2385" t="s">
        <v>8115</v>
      </c>
    </row>
    <row r="2386" spans="1:17" x14ac:dyDescent="0.25">
      <c r="A2386" t="s">
        <v>2435</v>
      </c>
      <c r="B2386" t="s">
        <v>2344</v>
      </c>
      <c r="C2386">
        <v>2027</v>
      </c>
      <c r="D2386" t="s">
        <v>631</v>
      </c>
      <c r="E2386" t="s">
        <v>837</v>
      </c>
      <c r="F2386" s="32">
        <v>46437</v>
      </c>
      <c r="G2386" t="s">
        <v>514</v>
      </c>
      <c r="H2386">
        <v>47128820</v>
      </c>
      <c r="I2386" t="s">
        <v>2411</v>
      </c>
      <c r="J2386" t="s">
        <v>2412</v>
      </c>
      <c r="K2386" t="s">
        <v>530</v>
      </c>
      <c r="N2386">
        <v>0</v>
      </c>
      <c r="O2386">
        <v>0</v>
      </c>
      <c r="P2386" t="str">
        <f t="shared" si="37"/>
        <v>N</v>
      </c>
      <c r="Q2386" t="s">
        <v>8116</v>
      </c>
    </row>
    <row r="2387" spans="1:17" x14ac:dyDescent="0.25">
      <c r="A2387" t="s">
        <v>2436</v>
      </c>
      <c r="B2387" t="s">
        <v>2344</v>
      </c>
      <c r="C2387">
        <v>2027</v>
      </c>
      <c r="D2387" t="s">
        <v>631</v>
      </c>
      <c r="E2387" t="s">
        <v>837</v>
      </c>
      <c r="F2387" s="32">
        <v>46437</v>
      </c>
      <c r="G2387" t="s">
        <v>514</v>
      </c>
      <c r="H2387">
        <v>47128378</v>
      </c>
      <c r="I2387" t="s">
        <v>2392</v>
      </c>
      <c r="J2387" t="s">
        <v>2393</v>
      </c>
      <c r="K2387" t="s">
        <v>530</v>
      </c>
      <c r="N2387">
        <v>0</v>
      </c>
      <c r="O2387">
        <v>0</v>
      </c>
      <c r="P2387" t="str">
        <f t="shared" si="37"/>
        <v>N</v>
      </c>
      <c r="Q2387" t="s">
        <v>8117</v>
      </c>
    </row>
    <row r="2388" spans="1:17" x14ac:dyDescent="0.25">
      <c r="A2388" t="s">
        <v>2437</v>
      </c>
      <c r="B2388" t="s">
        <v>2344</v>
      </c>
      <c r="C2388">
        <v>2027</v>
      </c>
      <c r="D2388" t="s">
        <v>631</v>
      </c>
      <c r="E2388" t="s">
        <v>837</v>
      </c>
      <c r="F2388" s="32">
        <v>46437</v>
      </c>
      <c r="G2388" t="s">
        <v>514</v>
      </c>
      <c r="H2388">
        <v>47128020</v>
      </c>
      <c r="I2388" t="s">
        <v>2395</v>
      </c>
      <c r="J2388" t="s">
        <v>2396</v>
      </c>
      <c r="K2388" t="s">
        <v>530</v>
      </c>
      <c r="N2388">
        <v>0</v>
      </c>
      <c r="O2388">
        <v>0</v>
      </c>
      <c r="P2388" t="str">
        <f t="shared" si="37"/>
        <v>N</v>
      </c>
      <c r="Q2388" t="s">
        <v>8118</v>
      </c>
    </row>
    <row r="2389" spans="1:17" x14ac:dyDescent="0.25">
      <c r="A2389" t="s">
        <v>2438</v>
      </c>
      <c r="B2389" t="s">
        <v>2344</v>
      </c>
      <c r="C2389">
        <v>2027</v>
      </c>
      <c r="D2389" t="s">
        <v>631</v>
      </c>
      <c r="E2389" t="s">
        <v>837</v>
      </c>
      <c r="F2389" s="32">
        <v>46437</v>
      </c>
      <c r="G2389" t="s">
        <v>514</v>
      </c>
      <c r="H2389">
        <v>47128459</v>
      </c>
      <c r="I2389" t="s">
        <v>2398</v>
      </c>
      <c r="J2389" t="s">
        <v>2399</v>
      </c>
      <c r="K2389" t="s">
        <v>530</v>
      </c>
      <c r="N2389">
        <v>0</v>
      </c>
      <c r="O2389">
        <v>0</v>
      </c>
      <c r="P2389" t="str">
        <f t="shared" si="37"/>
        <v>N</v>
      </c>
      <c r="Q2389" t="s">
        <v>8119</v>
      </c>
    </row>
    <row r="2390" spans="1:17" x14ac:dyDescent="0.25">
      <c r="A2390" t="s">
        <v>2654</v>
      </c>
      <c r="B2390" t="s">
        <v>2444</v>
      </c>
      <c r="C2390">
        <v>2027</v>
      </c>
      <c r="D2390" t="s">
        <v>631</v>
      </c>
      <c r="E2390" t="s">
        <v>837</v>
      </c>
      <c r="F2390" s="32">
        <v>46437</v>
      </c>
      <c r="G2390" t="s">
        <v>514</v>
      </c>
      <c r="H2390">
        <v>47128006</v>
      </c>
      <c r="I2390" t="s">
        <v>2447</v>
      </c>
      <c r="J2390" t="s">
        <v>2448</v>
      </c>
      <c r="K2390" t="s">
        <v>530</v>
      </c>
      <c r="N2390">
        <v>0</v>
      </c>
      <c r="O2390">
        <v>0</v>
      </c>
      <c r="P2390" t="str">
        <f t="shared" si="37"/>
        <v>N</v>
      </c>
      <c r="Q2390" t="s">
        <v>8120</v>
      </c>
    </row>
    <row r="2391" spans="1:17" x14ac:dyDescent="0.25">
      <c r="A2391" t="s">
        <v>2655</v>
      </c>
      <c r="B2391" t="s">
        <v>2444</v>
      </c>
      <c r="C2391">
        <v>2027</v>
      </c>
      <c r="D2391" t="s">
        <v>631</v>
      </c>
      <c r="E2391" t="s">
        <v>837</v>
      </c>
      <c r="F2391" s="32">
        <v>46437</v>
      </c>
      <c r="G2391" t="s">
        <v>514</v>
      </c>
      <c r="H2391">
        <v>47128300</v>
      </c>
      <c r="I2391" t="s">
        <v>2471</v>
      </c>
      <c r="J2391" t="s">
        <v>2472</v>
      </c>
      <c r="K2391" t="s">
        <v>530</v>
      </c>
      <c r="N2391">
        <v>0</v>
      </c>
      <c r="O2391">
        <v>0</v>
      </c>
      <c r="P2391" t="str">
        <f t="shared" si="37"/>
        <v>N</v>
      </c>
      <c r="Q2391" t="s">
        <v>8121</v>
      </c>
    </row>
    <row r="2392" spans="1:17" x14ac:dyDescent="0.25">
      <c r="A2392" t="s">
        <v>2656</v>
      </c>
      <c r="B2392" t="s">
        <v>2444</v>
      </c>
      <c r="C2392">
        <v>2027</v>
      </c>
      <c r="D2392" t="s">
        <v>631</v>
      </c>
      <c r="E2392" t="s">
        <v>837</v>
      </c>
      <c r="F2392" s="32">
        <v>46437</v>
      </c>
      <c r="G2392" t="s">
        <v>514</v>
      </c>
      <c r="H2392">
        <v>47128213</v>
      </c>
      <c r="I2392" t="s">
        <v>2456</v>
      </c>
      <c r="J2392" t="s">
        <v>2457</v>
      </c>
      <c r="K2392" t="s">
        <v>530</v>
      </c>
      <c r="N2392">
        <v>0</v>
      </c>
      <c r="O2392">
        <v>0</v>
      </c>
      <c r="P2392" t="str">
        <f t="shared" si="37"/>
        <v>N</v>
      </c>
      <c r="Q2392" t="s">
        <v>8122</v>
      </c>
    </row>
    <row r="2393" spans="1:17" x14ac:dyDescent="0.25">
      <c r="A2393" t="s">
        <v>2657</v>
      </c>
      <c r="B2393" t="s">
        <v>2444</v>
      </c>
      <c r="C2393">
        <v>2027</v>
      </c>
      <c r="D2393" t="s">
        <v>631</v>
      </c>
      <c r="E2393" t="s">
        <v>837</v>
      </c>
      <c r="F2393" s="32">
        <v>46437</v>
      </c>
      <c r="G2393" t="s">
        <v>514</v>
      </c>
      <c r="H2393">
        <v>47128667</v>
      </c>
      <c r="I2393" t="s">
        <v>2450</v>
      </c>
      <c r="J2393" t="s">
        <v>2451</v>
      </c>
      <c r="K2393" t="s">
        <v>530</v>
      </c>
      <c r="N2393">
        <v>0</v>
      </c>
      <c r="O2393">
        <v>0</v>
      </c>
      <c r="P2393" t="str">
        <f t="shared" si="37"/>
        <v>N</v>
      </c>
      <c r="Q2393" t="s">
        <v>8123</v>
      </c>
    </row>
    <row r="2394" spans="1:17" x14ac:dyDescent="0.25">
      <c r="A2394" t="s">
        <v>2658</v>
      </c>
      <c r="B2394" t="s">
        <v>2444</v>
      </c>
      <c r="C2394">
        <v>2027</v>
      </c>
      <c r="D2394" t="s">
        <v>631</v>
      </c>
      <c r="E2394" t="s">
        <v>837</v>
      </c>
      <c r="F2394" s="32">
        <v>46437</v>
      </c>
      <c r="G2394" t="s">
        <v>514</v>
      </c>
      <c r="H2394">
        <v>47128179</v>
      </c>
      <c r="I2394" t="s">
        <v>2477</v>
      </c>
      <c r="J2394" t="s">
        <v>2478</v>
      </c>
      <c r="K2394" t="s">
        <v>530</v>
      </c>
      <c r="N2394">
        <v>0</v>
      </c>
      <c r="O2394">
        <v>0</v>
      </c>
      <c r="P2394" t="str">
        <f t="shared" si="37"/>
        <v>N</v>
      </c>
      <c r="Q2394" t="s">
        <v>8124</v>
      </c>
    </row>
    <row r="2395" spans="1:17" x14ac:dyDescent="0.25">
      <c r="A2395" t="s">
        <v>2659</v>
      </c>
      <c r="B2395" t="s">
        <v>2444</v>
      </c>
      <c r="C2395">
        <v>2027</v>
      </c>
      <c r="D2395" t="s">
        <v>631</v>
      </c>
      <c r="E2395" t="s">
        <v>837</v>
      </c>
      <c r="F2395" s="32">
        <v>46437</v>
      </c>
      <c r="G2395" t="s">
        <v>514</v>
      </c>
      <c r="H2395">
        <v>47128655</v>
      </c>
      <c r="I2395" t="s">
        <v>2474</v>
      </c>
      <c r="J2395" t="s">
        <v>2475</v>
      </c>
      <c r="K2395" t="s">
        <v>530</v>
      </c>
      <c r="N2395">
        <v>0</v>
      </c>
      <c r="O2395">
        <v>0</v>
      </c>
      <c r="P2395" t="str">
        <f t="shared" si="37"/>
        <v>N</v>
      </c>
      <c r="Q2395" t="s">
        <v>8125</v>
      </c>
    </row>
    <row r="2396" spans="1:17" x14ac:dyDescent="0.25">
      <c r="A2396" t="s">
        <v>2660</v>
      </c>
      <c r="B2396" t="s">
        <v>2444</v>
      </c>
      <c r="C2396">
        <v>2027</v>
      </c>
      <c r="D2396" t="s">
        <v>631</v>
      </c>
      <c r="E2396" t="s">
        <v>837</v>
      </c>
      <c r="F2396" s="32">
        <v>46437</v>
      </c>
      <c r="G2396" t="s">
        <v>514</v>
      </c>
      <c r="H2396">
        <v>47129222</v>
      </c>
      <c r="I2396" t="s">
        <v>2459</v>
      </c>
      <c r="J2396" t="s">
        <v>2460</v>
      </c>
      <c r="K2396" t="s">
        <v>530</v>
      </c>
      <c r="N2396">
        <v>0</v>
      </c>
      <c r="O2396">
        <v>0</v>
      </c>
      <c r="P2396" t="str">
        <f t="shared" si="37"/>
        <v>N</v>
      </c>
      <c r="Q2396" t="s">
        <v>8126</v>
      </c>
    </row>
    <row r="2397" spans="1:17" x14ac:dyDescent="0.25">
      <c r="A2397" t="s">
        <v>2661</v>
      </c>
      <c r="B2397" t="s">
        <v>2444</v>
      </c>
      <c r="C2397">
        <v>2027</v>
      </c>
      <c r="D2397" t="s">
        <v>631</v>
      </c>
      <c r="E2397" t="s">
        <v>837</v>
      </c>
      <c r="F2397" s="32">
        <v>46437</v>
      </c>
      <c r="G2397" t="s">
        <v>514</v>
      </c>
      <c r="H2397">
        <v>47132096</v>
      </c>
      <c r="I2397" t="s">
        <v>2468</v>
      </c>
      <c r="J2397" t="s">
        <v>2469</v>
      </c>
      <c r="K2397" t="s">
        <v>530</v>
      </c>
      <c r="N2397">
        <v>0</v>
      </c>
      <c r="O2397">
        <v>0</v>
      </c>
      <c r="P2397" t="str">
        <f t="shared" si="37"/>
        <v>N</v>
      </c>
      <c r="Q2397" t="s">
        <v>8127</v>
      </c>
    </row>
    <row r="2398" spans="1:17" x14ac:dyDescent="0.25">
      <c r="A2398" t="s">
        <v>2662</v>
      </c>
      <c r="B2398" t="s">
        <v>2444</v>
      </c>
      <c r="C2398">
        <v>2027</v>
      </c>
      <c r="D2398" t="s">
        <v>631</v>
      </c>
      <c r="E2398" t="s">
        <v>837</v>
      </c>
      <c r="F2398" s="32">
        <v>46437</v>
      </c>
      <c r="G2398" t="s">
        <v>514</v>
      </c>
      <c r="H2398">
        <v>47128561</v>
      </c>
      <c r="I2398" t="s">
        <v>2462</v>
      </c>
      <c r="J2398" t="s">
        <v>2463</v>
      </c>
      <c r="K2398" t="s">
        <v>530</v>
      </c>
      <c r="N2398">
        <v>0</v>
      </c>
      <c r="O2398">
        <v>0</v>
      </c>
      <c r="P2398" t="str">
        <f t="shared" si="37"/>
        <v>N</v>
      </c>
      <c r="Q2398" t="s">
        <v>8128</v>
      </c>
    </row>
    <row r="2399" spans="1:17" x14ac:dyDescent="0.25">
      <c r="A2399" t="s">
        <v>2663</v>
      </c>
      <c r="B2399" t="s">
        <v>2444</v>
      </c>
      <c r="C2399">
        <v>2027</v>
      </c>
      <c r="D2399" t="s">
        <v>631</v>
      </c>
      <c r="E2399" t="s">
        <v>837</v>
      </c>
      <c r="F2399" s="32">
        <v>46437</v>
      </c>
      <c r="G2399" t="s">
        <v>514</v>
      </c>
      <c r="H2399">
        <v>47129274</v>
      </c>
      <c r="I2399" t="s">
        <v>2486</v>
      </c>
      <c r="J2399" t="s">
        <v>2487</v>
      </c>
      <c r="K2399" t="s">
        <v>530</v>
      </c>
      <c r="N2399">
        <v>0</v>
      </c>
      <c r="O2399">
        <v>0</v>
      </c>
      <c r="P2399" t="str">
        <f t="shared" si="37"/>
        <v>N</v>
      </c>
      <c r="Q2399" t="s">
        <v>8129</v>
      </c>
    </row>
    <row r="2400" spans="1:17" x14ac:dyDescent="0.25">
      <c r="A2400" t="s">
        <v>2664</v>
      </c>
      <c r="B2400" t="s">
        <v>2444</v>
      </c>
      <c r="C2400">
        <v>2027</v>
      </c>
      <c r="D2400" t="s">
        <v>631</v>
      </c>
      <c r="E2400" t="s">
        <v>837</v>
      </c>
      <c r="F2400" s="32">
        <v>46437</v>
      </c>
      <c r="G2400" t="s">
        <v>514</v>
      </c>
      <c r="H2400">
        <v>47129262</v>
      </c>
      <c r="I2400" t="s">
        <v>2453</v>
      </c>
      <c r="J2400" t="s">
        <v>2454</v>
      </c>
      <c r="K2400" t="s">
        <v>530</v>
      </c>
      <c r="N2400">
        <v>0</v>
      </c>
      <c r="O2400">
        <v>0</v>
      </c>
      <c r="P2400" t="str">
        <f t="shared" si="37"/>
        <v>N</v>
      </c>
      <c r="Q2400" t="s">
        <v>8130</v>
      </c>
    </row>
    <row r="2401" spans="1:17" x14ac:dyDescent="0.25">
      <c r="A2401" t="s">
        <v>2665</v>
      </c>
      <c r="B2401" t="s">
        <v>2444</v>
      </c>
      <c r="C2401">
        <v>2027</v>
      </c>
      <c r="D2401" t="s">
        <v>631</v>
      </c>
      <c r="E2401" t="s">
        <v>837</v>
      </c>
      <c r="F2401" s="32">
        <v>46437</v>
      </c>
      <c r="G2401" t="s">
        <v>514</v>
      </c>
      <c r="H2401">
        <v>47129558</v>
      </c>
      <c r="I2401" t="s">
        <v>2480</v>
      </c>
      <c r="J2401" t="s">
        <v>2481</v>
      </c>
      <c r="K2401" t="s">
        <v>530</v>
      </c>
      <c r="N2401">
        <v>60</v>
      </c>
      <c r="O2401">
        <v>60</v>
      </c>
      <c r="P2401" t="str">
        <f t="shared" si="37"/>
        <v>N</v>
      </c>
      <c r="Q2401" t="s">
        <v>8131</v>
      </c>
    </row>
    <row r="2402" spans="1:17" x14ac:dyDescent="0.25">
      <c r="A2402" t="s">
        <v>2666</v>
      </c>
      <c r="B2402" t="s">
        <v>2444</v>
      </c>
      <c r="C2402">
        <v>2027</v>
      </c>
      <c r="D2402" t="s">
        <v>631</v>
      </c>
      <c r="E2402" t="s">
        <v>837</v>
      </c>
      <c r="F2402" s="32">
        <v>46437</v>
      </c>
      <c r="G2402" t="s">
        <v>514</v>
      </c>
      <c r="H2402">
        <v>47129727</v>
      </c>
      <c r="I2402" t="s">
        <v>2465</v>
      </c>
      <c r="J2402" t="s">
        <v>2466</v>
      </c>
      <c r="K2402" t="s">
        <v>530</v>
      </c>
      <c r="N2402">
        <v>0</v>
      </c>
      <c r="O2402">
        <v>0</v>
      </c>
      <c r="P2402" t="str">
        <f t="shared" si="37"/>
        <v>N</v>
      </c>
      <c r="Q2402" t="s">
        <v>8132</v>
      </c>
    </row>
    <row r="2403" spans="1:17" x14ac:dyDescent="0.25">
      <c r="A2403" t="s">
        <v>2667</v>
      </c>
      <c r="B2403" t="s">
        <v>2444</v>
      </c>
      <c r="C2403">
        <v>2027</v>
      </c>
      <c r="D2403" t="s">
        <v>631</v>
      </c>
      <c r="E2403" t="s">
        <v>837</v>
      </c>
      <c r="F2403" s="32">
        <v>46437</v>
      </c>
      <c r="G2403" t="s">
        <v>514</v>
      </c>
      <c r="H2403">
        <v>47129273</v>
      </c>
      <c r="I2403" t="s">
        <v>2483</v>
      </c>
      <c r="J2403" t="s">
        <v>2484</v>
      </c>
      <c r="K2403" t="s">
        <v>530</v>
      </c>
      <c r="N2403">
        <v>0</v>
      </c>
      <c r="O2403">
        <v>0</v>
      </c>
      <c r="P2403" t="str">
        <f t="shared" si="37"/>
        <v>N</v>
      </c>
      <c r="Q2403" t="s">
        <v>8133</v>
      </c>
    </row>
    <row r="2404" spans="1:17" x14ac:dyDescent="0.25">
      <c r="A2404" t="s">
        <v>2668</v>
      </c>
      <c r="B2404" t="s">
        <v>2444</v>
      </c>
      <c r="C2404">
        <v>2027</v>
      </c>
      <c r="D2404" t="s">
        <v>631</v>
      </c>
      <c r="E2404" t="s">
        <v>837</v>
      </c>
      <c r="F2404" s="32">
        <v>46437</v>
      </c>
      <c r="G2404" t="s">
        <v>514</v>
      </c>
      <c r="H2404">
        <v>47128247</v>
      </c>
      <c r="I2404" t="s">
        <v>2492</v>
      </c>
      <c r="J2404" t="s">
        <v>2493</v>
      </c>
      <c r="K2404" t="s">
        <v>530</v>
      </c>
      <c r="N2404">
        <v>0</v>
      </c>
      <c r="O2404">
        <v>0</v>
      </c>
      <c r="P2404" t="str">
        <f t="shared" si="37"/>
        <v>N</v>
      </c>
      <c r="Q2404" t="s">
        <v>8134</v>
      </c>
    </row>
    <row r="2405" spans="1:17" x14ac:dyDescent="0.25">
      <c r="A2405" t="s">
        <v>2669</v>
      </c>
      <c r="B2405" t="s">
        <v>2444</v>
      </c>
      <c r="C2405">
        <v>2027</v>
      </c>
      <c r="D2405" t="s">
        <v>631</v>
      </c>
      <c r="E2405" t="s">
        <v>837</v>
      </c>
      <c r="F2405" s="32">
        <v>46437</v>
      </c>
      <c r="G2405" t="s">
        <v>514</v>
      </c>
      <c r="H2405">
        <v>47128587</v>
      </c>
      <c r="I2405" t="s">
        <v>2489</v>
      </c>
      <c r="J2405" t="s">
        <v>2490</v>
      </c>
      <c r="K2405" t="s">
        <v>530</v>
      </c>
      <c r="N2405">
        <v>0</v>
      </c>
      <c r="O2405">
        <v>0</v>
      </c>
      <c r="P2405" t="str">
        <f t="shared" si="37"/>
        <v>N</v>
      </c>
      <c r="Q2405" t="s">
        <v>8135</v>
      </c>
    </row>
    <row r="2406" spans="1:17" x14ac:dyDescent="0.25">
      <c r="A2406" t="s">
        <v>2960</v>
      </c>
      <c r="B2406" t="s">
        <v>2783</v>
      </c>
      <c r="C2406">
        <v>2027</v>
      </c>
      <c r="D2406" t="s">
        <v>631</v>
      </c>
      <c r="E2406" t="s">
        <v>837</v>
      </c>
      <c r="F2406" s="32">
        <v>46437</v>
      </c>
      <c r="G2406" t="s">
        <v>514</v>
      </c>
      <c r="H2406">
        <v>47128006</v>
      </c>
      <c r="I2406" t="s">
        <v>2447</v>
      </c>
      <c r="J2406" t="s">
        <v>2448</v>
      </c>
      <c r="K2406" t="s">
        <v>530</v>
      </c>
      <c r="N2406">
        <v>0</v>
      </c>
      <c r="O2406">
        <v>0</v>
      </c>
      <c r="P2406" t="str">
        <f t="shared" si="37"/>
        <v>N</v>
      </c>
      <c r="Q2406" t="s">
        <v>8136</v>
      </c>
    </row>
    <row r="2407" spans="1:17" x14ac:dyDescent="0.25">
      <c r="A2407" t="s">
        <v>2961</v>
      </c>
      <c r="B2407" t="s">
        <v>2783</v>
      </c>
      <c r="C2407">
        <v>2027</v>
      </c>
      <c r="D2407" t="s">
        <v>631</v>
      </c>
      <c r="E2407" t="s">
        <v>837</v>
      </c>
      <c r="F2407" s="32">
        <v>46437</v>
      </c>
      <c r="G2407" t="s">
        <v>514</v>
      </c>
      <c r="H2407">
        <v>47128300</v>
      </c>
      <c r="I2407" t="s">
        <v>2471</v>
      </c>
      <c r="J2407" t="s">
        <v>2472</v>
      </c>
      <c r="K2407" t="s">
        <v>530</v>
      </c>
      <c r="N2407">
        <v>0</v>
      </c>
      <c r="O2407">
        <v>0</v>
      </c>
      <c r="P2407" t="str">
        <f t="shared" si="37"/>
        <v>N</v>
      </c>
      <c r="Q2407" t="s">
        <v>8137</v>
      </c>
    </row>
    <row r="2408" spans="1:17" x14ac:dyDescent="0.25">
      <c r="A2408" t="s">
        <v>2962</v>
      </c>
      <c r="B2408" t="s">
        <v>2783</v>
      </c>
      <c r="C2408">
        <v>2027</v>
      </c>
      <c r="D2408" t="s">
        <v>631</v>
      </c>
      <c r="E2408" t="s">
        <v>837</v>
      </c>
      <c r="F2408" s="32">
        <v>46437</v>
      </c>
      <c r="G2408" t="s">
        <v>514</v>
      </c>
      <c r="H2408">
        <v>47128213</v>
      </c>
      <c r="I2408" t="s">
        <v>2456</v>
      </c>
      <c r="J2408" t="s">
        <v>2457</v>
      </c>
      <c r="K2408" t="s">
        <v>530</v>
      </c>
      <c r="N2408">
        <v>0</v>
      </c>
      <c r="O2408">
        <v>0</v>
      </c>
      <c r="P2408" t="str">
        <f t="shared" si="37"/>
        <v>N</v>
      </c>
      <c r="Q2408" t="s">
        <v>8138</v>
      </c>
    </row>
    <row r="2409" spans="1:17" x14ac:dyDescent="0.25">
      <c r="A2409" t="s">
        <v>2963</v>
      </c>
      <c r="B2409" t="s">
        <v>2783</v>
      </c>
      <c r="C2409">
        <v>2027</v>
      </c>
      <c r="D2409" t="s">
        <v>631</v>
      </c>
      <c r="E2409" t="s">
        <v>837</v>
      </c>
      <c r="F2409" s="32">
        <v>46437</v>
      </c>
      <c r="G2409" t="s">
        <v>514</v>
      </c>
      <c r="H2409">
        <v>47128667</v>
      </c>
      <c r="I2409" t="s">
        <v>2450</v>
      </c>
      <c r="J2409" t="s">
        <v>2451</v>
      </c>
      <c r="K2409" t="s">
        <v>530</v>
      </c>
      <c r="N2409">
        <v>0</v>
      </c>
      <c r="O2409">
        <v>0</v>
      </c>
      <c r="P2409" t="str">
        <f t="shared" si="37"/>
        <v>N</v>
      </c>
      <c r="Q2409" t="s">
        <v>8139</v>
      </c>
    </row>
    <row r="2410" spans="1:17" x14ac:dyDescent="0.25">
      <c r="A2410" t="s">
        <v>2964</v>
      </c>
      <c r="B2410" t="s">
        <v>2783</v>
      </c>
      <c r="C2410">
        <v>2027</v>
      </c>
      <c r="D2410" t="s">
        <v>631</v>
      </c>
      <c r="E2410" t="s">
        <v>837</v>
      </c>
      <c r="F2410" s="32">
        <v>46437</v>
      </c>
      <c r="G2410" t="s">
        <v>514</v>
      </c>
      <c r="H2410">
        <v>47128179</v>
      </c>
      <c r="I2410" t="s">
        <v>2477</v>
      </c>
      <c r="J2410" t="s">
        <v>2478</v>
      </c>
      <c r="K2410" t="s">
        <v>530</v>
      </c>
      <c r="N2410">
        <v>0</v>
      </c>
      <c r="O2410">
        <v>0</v>
      </c>
      <c r="P2410" t="str">
        <f t="shared" si="37"/>
        <v>N</v>
      </c>
      <c r="Q2410" t="s">
        <v>8140</v>
      </c>
    </row>
    <row r="2411" spans="1:17" x14ac:dyDescent="0.25">
      <c r="A2411" t="s">
        <v>2965</v>
      </c>
      <c r="B2411" t="s">
        <v>2783</v>
      </c>
      <c r="C2411">
        <v>2027</v>
      </c>
      <c r="D2411" t="s">
        <v>631</v>
      </c>
      <c r="E2411" t="s">
        <v>837</v>
      </c>
      <c r="F2411" s="32">
        <v>46437</v>
      </c>
      <c r="G2411" t="s">
        <v>514</v>
      </c>
      <c r="H2411">
        <v>47128655</v>
      </c>
      <c r="I2411" t="s">
        <v>2474</v>
      </c>
      <c r="J2411" t="s">
        <v>2475</v>
      </c>
      <c r="K2411" t="s">
        <v>530</v>
      </c>
      <c r="N2411">
        <v>0</v>
      </c>
      <c r="O2411">
        <v>0</v>
      </c>
      <c r="P2411" t="str">
        <f t="shared" si="37"/>
        <v>N</v>
      </c>
      <c r="Q2411" t="s">
        <v>8141</v>
      </c>
    </row>
    <row r="2412" spans="1:17" x14ac:dyDescent="0.25">
      <c r="A2412" t="s">
        <v>2966</v>
      </c>
      <c r="B2412" t="s">
        <v>2783</v>
      </c>
      <c r="C2412">
        <v>2027</v>
      </c>
      <c r="D2412" t="s">
        <v>631</v>
      </c>
      <c r="E2412" t="s">
        <v>837</v>
      </c>
      <c r="F2412" s="32">
        <v>46437</v>
      </c>
      <c r="G2412" t="s">
        <v>514</v>
      </c>
      <c r="H2412">
        <v>47132096</v>
      </c>
      <c r="I2412" t="s">
        <v>2468</v>
      </c>
      <c r="J2412" t="s">
        <v>2469</v>
      </c>
      <c r="K2412" t="s">
        <v>530</v>
      </c>
      <c r="N2412">
        <v>0</v>
      </c>
      <c r="O2412">
        <v>0</v>
      </c>
      <c r="P2412" t="str">
        <f t="shared" si="37"/>
        <v>N</v>
      </c>
      <c r="Q2412" t="s">
        <v>8142</v>
      </c>
    </row>
    <row r="2413" spans="1:17" x14ac:dyDescent="0.25">
      <c r="A2413" t="s">
        <v>2967</v>
      </c>
      <c r="B2413" t="s">
        <v>2783</v>
      </c>
      <c r="C2413">
        <v>2027</v>
      </c>
      <c r="D2413" t="s">
        <v>631</v>
      </c>
      <c r="E2413" t="s">
        <v>837</v>
      </c>
      <c r="F2413" s="32">
        <v>46437</v>
      </c>
      <c r="G2413" t="s">
        <v>514</v>
      </c>
      <c r="H2413">
        <v>47129222</v>
      </c>
      <c r="I2413" t="s">
        <v>2459</v>
      </c>
      <c r="J2413" t="s">
        <v>2460</v>
      </c>
      <c r="K2413" t="s">
        <v>530</v>
      </c>
      <c r="N2413">
        <v>0</v>
      </c>
      <c r="O2413">
        <v>0</v>
      </c>
      <c r="P2413" t="str">
        <f t="shared" si="37"/>
        <v>N</v>
      </c>
      <c r="Q2413" t="s">
        <v>8143</v>
      </c>
    </row>
    <row r="2414" spans="1:17" x14ac:dyDescent="0.25">
      <c r="A2414" t="s">
        <v>2968</v>
      </c>
      <c r="B2414" t="s">
        <v>2783</v>
      </c>
      <c r="C2414">
        <v>2027</v>
      </c>
      <c r="D2414" t="s">
        <v>631</v>
      </c>
      <c r="E2414" t="s">
        <v>837</v>
      </c>
      <c r="F2414" s="32">
        <v>46437</v>
      </c>
      <c r="G2414" t="s">
        <v>514</v>
      </c>
      <c r="H2414">
        <v>47128561</v>
      </c>
      <c r="I2414" t="s">
        <v>2462</v>
      </c>
      <c r="J2414" t="s">
        <v>2463</v>
      </c>
      <c r="K2414" t="s">
        <v>530</v>
      </c>
      <c r="N2414">
        <v>0</v>
      </c>
      <c r="O2414">
        <v>0</v>
      </c>
      <c r="P2414" t="str">
        <f t="shared" si="37"/>
        <v>N</v>
      </c>
      <c r="Q2414" t="s">
        <v>8144</v>
      </c>
    </row>
    <row r="2415" spans="1:17" x14ac:dyDescent="0.25">
      <c r="A2415" t="s">
        <v>2969</v>
      </c>
      <c r="B2415" t="s">
        <v>2783</v>
      </c>
      <c r="C2415">
        <v>2027</v>
      </c>
      <c r="D2415" t="s">
        <v>631</v>
      </c>
      <c r="E2415" t="s">
        <v>837</v>
      </c>
      <c r="F2415" s="32">
        <v>46437</v>
      </c>
      <c r="G2415" t="s">
        <v>514</v>
      </c>
      <c r="H2415">
        <v>47129274</v>
      </c>
      <c r="I2415" t="s">
        <v>2486</v>
      </c>
      <c r="J2415" t="s">
        <v>2487</v>
      </c>
      <c r="K2415" t="s">
        <v>530</v>
      </c>
      <c r="N2415">
        <v>0</v>
      </c>
      <c r="O2415">
        <v>0</v>
      </c>
      <c r="P2415" t="str">
        <f t="shared" si="37"/>
        <v>N</v>
      </c>
      <c r="Q2415" t="s">
        <v>8145</v>
      </c>
    </row>
    <row r="2416" spans="1:17" x14ac:dyDescent="0.25">
      <c r="A2416" t="s">
        <v>2970</v>
      </c>
      <c r="B2416" t="s">
        <v>2783</v>
      </c>
      <c r="C2416">
        <v>2027</v>
      </c>
      <c r="D2416" t="s">
        <v>631</v>
      </c>
      <c r="E2416" t="s">
        <v>837</v>
      </c>
      <c r="F2416" s="32">
        <v>46437</v>
      </c>
      <c r="G2416" t="s">
        <v>514</v>
      </c>
      <c r="H2416">
        <v>47129262</v>
      </c>
      <c r="I2416" t="s">
        <v>2453</v>
      </c>
      <c r="J2416" t="s">
        <v>2454</v>
      </c>
      <c r="K2416" t="s">
        <v>530</v>
      </c>
      <c r="N2416">
        <v>0</v>
      </c>
      <c r="O2416">
        <v>0</v>
      </c>
      <c r="P2416" t="str">
        <f t="shared" si="37"/>
        <v>N</v>
      </c>
      <c r="Q2416" t="s">
        <v>8146</v>
      </c>
    </row>
    <row r="2417" spans="1:17" x14ac:dyDescent="0.25">
      <c r="A2417" t="s">
        <v>2971</v>
      </c>
      <c r="B2417" t="s">
        <v>2783</v>
      </c>
      <c r="C2417">
        <v>2027</v>
      </c>
      <c r="D2417" t="s">
        <v>631</v>
      </c>
      <c r="E2417" t="s">
        <v>837</v>
      </c>
      <c r="F2417" s="32">
        <v>46437</v>
      </c>
      <c r="G2417" t="s">
        <v>514</v>
      </c>
      <c r="H2417">
        <v>47129558</v>
      </c>
      <c r="I2417" t="s">
        <v>2480</v>
      </c>
      <c r="J2417" t="s">
        <v>2481</v>
      </c>
      <c r="K2417" t="s">
        <v>530</v>
      </c>
      <c r="N2417">
        <v>60</v>
      </c>
      <c r="O2417">
        <v>60</v>
      </c>
      <c r="P2417" t="str">
        <f t="shared" si="37"/>
        <v>N</v>
      </c>
      <c r="Q2417" t="s">
        <v>8147</v>
      </c>
    </row>
    <row r="2418" spans="1:17" x14ac:dyDescent="0.25">
      <c r="A2418" t="s">
        <v>2972</v>
      </c>
      <c r="B2418" t="s">
        <v>2783</v>
      </c>
      <c r="C2418">
        <v>2027</v>
      </c>
      <c r="D2418" t="s">
        <v>631</v>
      </c>
      <c r="E2418" t="s">
        <v>837</v>
      </c>
      <c r="F2418" s="32">
        <v>46437</v>
      </c>
      <c r="G2418" t="s">
        <v>514</v>
      </c>
      <c r="H2418">
        <v>47129727</v>
      </c>
      <c r="I2418" t="s">
        <v>2465</v>
      </c>
      <c r="J2418" t="s">
        <v>2466</v>
      </c>
      <c r="K2418" t="s">
        <v>530</v>
      </c>
      <c r="N2418">
        <v>0</v>
      </c>
      <c r="O2418">
        <v>0</v>
      </c>
      <c r="P2418" t="str">
        <f t="shared" si="37"/>
        <v>N</v>
      </c>
      <c r="Q2418" t="s">
        <v>8148</v>
      </c>
    </row>
    <row r="2419" spans="1:17" x14ac:dyDescent="0.25">
      <c r="A2419" t="s">
        <v>2973</v>
      </c>
      <c r="B2419" t="s">
        <v>2783</v>
      </c>
      <c r="C2419">
        <v>2027</v>
      </c>
      <c r="D2419" t="s">
        <v>631</v>
      </c>
      <c r="E2419" t="s">
        <v>837</v>
      </c>
      <c r="F2419" s="32">
        <v>46437</v>
      </c>
      <c r="G2419" t="s">
        <v>514</v>
      </c>
      <c r="H2419">
        <v>47129273</v>
      </c>
      <c r="I2419" t="s">
        <v>2483</v>
      </c>
      <c r="J2419" t="s">
        <v>2484</v>
      </c>
      <c r="K2419" t="s">
        <v>530</v>
      </c>
      <c r="N2419">
        <v>0</v>
      </c>
      <c r="O2419">
        <v>0</v>
      </c>
      <c r="P2419" t="str">
        <f t="shared" si="37"/>
        <v>N</v>
      </c>
      <c r="Q2419" t="s">
        <v>8149</v>
      </c>
    </row>
    <row r="2420" spans="1:17" x14ac:dyDescent="0.25">
      <c r="A2420" t="s">
        <v>2974</v>
      </c>
      <c r="B2420" t="s">
        <v>2783</v>
      </c>
      <c r="C2420">
        <v>2027</v>
      </c>
      <c r="D2420" t="s">
        <v>631</v>
      </c>
      <c r="E2420" t="s">
        <v>837</v>
      </c>
      <c r="F2420" s="32">
        <v>46437</v>
      </c>
      <c r="G2420" t="s">
        <v>514</v>
      </c>
      <c r="H2420">
        <v>47128247</v>
      </c>
      <c r="I2420" t="s">
        <v>2492</v>
      </c>
      <c r="J2420" t="s">
        <v>2493</v>
      </c>
      <c r="K2420" t="s">
        <v>530</v>
      </c>
      <c r="N2420">
        <v>0</v>
      </c>
      <c r="O2420">
        <v>0</v>
      </c>
      <c r="P2420" t="str">
        <f t="shared" si="37"/>
        <v>N</v>
      </c>
      <c r="Q2420" t="s">
        <v>8150</v>
      </c>
    </row>
    <row r="2421" spans="1:17" x14ac:dyDescent="0.25">
      <c r="A2421" t="s">
        <v>2975</v>
      </c>
      <c r="B2421" t="s">
        <v>2783</v>
      </c>
      <c r="C2421">
        <v>2027</v>
      </c>
      <c r="D2421" t="s">
        <v>631</v>
      </c>
      <c r="E2421" t="s">
        <v>837</v>
      </c>
      <c r="F2421" s="32">
        <v>46437</v>
      </c>
      <c r="G2421" t="s">
        <v>514</v>
      </c>
      <c r="H2421">
        <v>47128587</v>
      </c>
      <c r="I2421" t="s">
        <v>2489</v>
      </c>
      <c r="J2421" t="s">
        <v>2490</v>
      </c>
      <c r="K2421" t="s">
        <v>530</v>
      </c>
      <c r="N2421">
        <v>0</v>
      </c>
      <c r="O2421">
        <v>0</v>
      </c>
      <c r="P2421" t="str">
        <f t="shared" si="37"/>
        <v>N</v>
      </c>
      <c r="Q2421" t="s">
        <v>8151</v>
      </c>
    </row>
    <row r="2422" spans="1:17" x14ac:dyDescent="0.25">
      <c r="A2422" t="s">
        <v>3444</v>
      </c>
      <c r="B2422" t="s">
        <v>1080</v>
      </c>
      <c r="C2422">
        <v>2027</v>
      </c>
      <c r="D2422" t="s">
        <v>631</v>
      </c>
      <c r="E2422" t="s">
        <v>837</v>
      </c>
      <c r="F2422" s="32">
        <v>46437</v>
      </c>
      <c r="G2422" t="s">
        <v>514</v>
      </c>
      <c r="H2422">
        <v>47128787</v>
      </c>
      <c r="I2422" t="s">
        <v>1453</v>
      </c>
      <c r="J2422" t="s">
        <v>1452</v>
      </c>
      <c r="K2422" t="s">
        <v>530</v>
      </c>
      <c r="N2422">
        <v>0</v>
      </c>
      <c r="O2422">
        <v>0</v>
      </c>
      <c r="P2422" t="str">
        <f t="shared" si="37"/>
        <v>N</v>
      </c>
      <c r="Q2422" t="s">
        <v>8152</v>
      </c>
    </row>
    <row r="2423" spans="1:17" x14ac:dyDescent="0.25">
      <c r="A2423" t="s">
        <v>3445</v>
      </c>
      <c r="B2423" t="s">
        <v>1080</v>
      </c>
      <c r="C2423">
        <v>2027</v>
      </c>
      <c r="D2423" t="s">
        <v>631</v>
      </c>
      <c r="E2423" t="s">
        <v>837</v>
      </c>
      <c r="F2423" s="32">
        <v>46437</v>
      </c>
      <c r="G2423" t="s">
        <v>514</v>
      </c>
      <c r="H2423">
        <v>47146464</v>
      </c>
      <c r="I2423" t="s">
        <v>1438</v>
      </c>
      <c r="J2423" t="s">
        <v>1437</v>
      </c>
      <c r="K2423" t="s">
        <v>530</v>
      </c>
      <c r="N2423">
        <v>0</v>
      </c>
      <c r="O2423">
        <v>0</v>
      </c>
      <c r="P2423" t="str">
        <f t="shared" si="37"/>
        <v>N</v>
      </c>
      <c r="Q2423" t="s">
        <v>8153</v>
      </c>
    </row>
    <row r="2424" spans="1:17" x14ac:dyDescent="0.25">
      <c r="A2424" t="s">
        <v>3446</v>
      </c>
      <c r="B2424" t="s">
        <v>1080</v>
      </c>
      <c r="C2424">
        <v>2027</v>
      </c>
      <c r="D2424" t="s">
        <v>631</v>
      </c>
      <c r="E2424" t="s">
        <v>837</v>
      </c>
      <c r="F2424" s="32">
        <v>46437</v>
      </c>
      <c r="G2424" t="s">
        <v>514</v>
      </c>
      <c r="H2424">
        <v>47146463</v>
      </c>
      <c r="I2424" t="s">
        <v>1441</v>
      </c>
      <c r="J2424" t="s">
        <v>1440</v>
      </c>
      <c r="K2424" t="s">
        <v>530</v>
      </c>
      <c r="N2424">
        <v>83</v>
      </c>
      <c r="O2424">
        <v>83</v>
      </c>
      <c r="P2424" t="str">
        <f t="shared" si="37"/>
        <v>N</v>
      </c>
      <c r="Q2424" t="s">
        <v>8154</v>
      </c>
    </row>
    <row r="2425" spans="1:17" x14ac:dyDescent="0.25">
      <c r="A2425" t="s">
        <v>3447</v>
      </c>
      <c r="B2425" t="s">
        <v>1080</v>
      </c>
      <c r="C2425">
        <v>2027</v>
      </c>
      <c r="D2425" t="s">
        <v>631</v>
      </c>
      <c r="E2425" t="s">
        <v>837</v>
      </c>
      <c r="F2425" s="32">
        <v>46437</v>
      </c>
      <c r="G2425" t="s">
        <v>514</v>
      </c>
      <c r="H2425">
        <v>47128729</v>
      </c>
      <c r="I2425" t="s">
        <v>1149</v>
      </c>
      <c r="J2425" t="s">
        <v>1148</v>
      </c>
      <c r="K2425" t="s">
        <v>530</v>
      </c>
      <c r="N2425">
        <v>0</v>
      </c>
      <c r="O2425">
        <v>0</v>
      </c>
      <c r="P2425" t="str">
        <f t="shared" si="37"/>
        <v>N</v>
      </c>
      <c r="Q2425" t="s">
        <v>8155</v>
      </c>
    </row>
    <row r="2426" spans="1:17" x14ac:dyDescent="0.25">
      <c r="A2426" t="s">
        <v>3448</v>
      </c>
      <c r="B2426" t="s">
        <v>1080</v>
      </c>
      <c r="C2426">
        <v>2027</v>
      </c>
      <c r="D2426" t="s">
        <v>631</v>
      </c>
      <c r="E2426" t="s">
        <v>837</v>
      </c>
      <c r="F2426" s="32">
        <v>46437</v>
      </c>
      <c r="G2426" t="s">
        <v>514</v>
      </c>
      <c r="H2426">
        <v>47128413</v>
      </c>
      <c r="I2426" t="s">
        <v>1397</v>
      </c>
      <c r="J2426" t="s">
        <v>1396</v>
      </c>
      <c r="K2426" t="s">
        <v>530</v>
      </c>
      <c r="N2426">
        <v>0</v>
      </c>
      <c r="O2426">
        <v>0</v>
      </c>
      <c r="P2426" t="str">
        <f t="shared" si="37"/>
        <v>N</v>
      </c>
      <c r="Q2426" t="s">
        <v>8156</v>
      </c>
    </row>
    <row r="2427" spans="1:17" x14ac:dyDescent="0.25">
      <c r="A2427" t="s">
        <v>3449</v>
      </c>
      <c r="B2427" t="s">
        <v>1080</v>
      </c>
      <c r="C2427">
        <v>2027</v>
      </c>
      <c r="D2427" t="s">
        <v>631</v>
      </c>
      <c r="E2427" t="s">
        <v>837</v>
      </c>
      <c r="F2427" s="32">
        <v>46437</v>
      </c>
      <c r="G2427" t="s">
        <v>514</v>
      </c>
      <c r="H2427">
        <v>47128783</v>
      </c>
      <c r="I2427" t="s">
        <v>1280</v>
      </c>
      <c r="J2427" t="s">
        <v>1279</v>
      </c>
      <c r="K2427" t="s">
        <v>530</v>
      </c>
      <c r="N2427">
        <v>0</v>
      </c>
      <c r="O2427">
        <v>0</v>
      </c>
      <c r="P2427" t="str">
        <f t="shared" si="37"/>
        <v>N</v>
      </c>
      <c r="Q2427" t="s">
        <v>8157</v>
      </c>
    </row>
    <row r="2428" spans="1:17" x14ac:dyDescent="0.25">
      <c r="A2428" t="s">
        <v>3450</v>
      </c>
      <c r="B2428" t="s">
        <v>1080</v>
      </c>
      <c r="C2428">
        <v>2027</v>
      </c>
      <c r="D2428" t="s">
        <v>631</v>
      </c>
      <c r="E2428" t="s">
        <v>837</v>
      </c>
      <c r="F2428" s="32">
        <v>46437</v>
      </c>
      <c r="G2428" t="s">
        <v>514</v>
      </c>
      <c r="H2428">
        <v>47128944</v>
      </c>
      <c r="I2428" t="s">
        <v>1137</v>
      </c>
      <c r="J2428" t="s">
        <v>1136</v>
      </c>
      <c r="K2428" t="s">
        <v>530</v>
      </c>
      <c r="N2428">
        <v>0</v>
      </c>
      <c r="O2428">
        <v>0</v>
      </c>
      <c r="P2428" t="str">
        <f t="shared" si="37"/>
        <v>N</v>
      </c>
      <c r="Q2428" t="s">
        <v>8158</v>
      </c>
    </row>
    <row r="2429" spans="1:17" x14ac:dyDescent="0.25">
      <c r="A2429" t="s">
        <v>3451</v>
      </c>
      <c r="B2429" t="s">
        <v>1080</v>
      </c>
      <c r="C2429">
        <v>2027</v>
      </c>
      <c r="D2429" t="s">
        <v>631</v>
      </c>
      <c r="E2429" t="s">
        <v>837</v>
      </c>
      <c r="F2429" s="32">
        <v>46437</v>
      </c>
      <c r="G2429" t="s">
        <v>514</v>
      </c>
      <c r="H2429">
        <v>47129547</v>
      </c>
      <c r="I2429" t="s">
        <v>1128</v>
      </c>
      <c r="J2429" t="s">
        <v>1352</v>
      </c>
      <c r="K2429" t="s">
        <v>530</v>
      </c>
      <c r="N2429">
        <v>0</v>
      </c>
      <c r="O2429">
        <v>0</v>
      </c>
      <c r="P2429" t="str">
        <f t="shared" si="37"/>
        <v>N</v>
      </c>
      <c r="Q2429" t="s">
        <v>8159</v>
      </c>
    </row>
    <row r="2430" spans="1:17" x14ac:dyDescent="0.25">
      <c r="A2430" t="s">
        <v>3452</v>
      </c>
      <c r="B2430" t="s">
        <v>1080</v>
      </c>
      <c r="C2430">
        <v>2027</v>
      </c>
      <c r="D2430" t="s">
        <v>631</v>
      </c>
      <c r="E2430" t="s">
        <v>837</v>
      </c>
      <c r="F2430" s="32">
        <v>46437</v>
      </c>
      <c r="G2430" t="s">
        <v>514</v>
      </c>
      <c r="H2430">
        <v>47128518</v>
      </c>
      <c r="I2430" t="s">
        <v>1232</v>
      </c>
      <c r="J2430" t="s">
        <v>1493</v>
      </c>
      <c r="K2430" t="s">
        <v>530</v>
      </c>
      <c r="N2430">
        <v>0</v>
      </c>
      <c r="O2430">
        <v>0</v>
      </c>
      <c r="P2430" t="str">
        <f t="shared" si="37"/>
        <v>N</v>
      </c>
      <c r="Q2430" t="s">
        <v>8160</v>
      </c>
    </row>
    <row r="2431" spans="1:17" x14ac:dyDescent="0.25">
      <c r="A2431" t="s">
        <v>3453</v>
      </c>
      <c r="B2431" t="s">
        <v>1080</v>
      </c>
      <c r="C2431">
        <v>2027</v>
      </c>
      <c r="D2431" t="s">
        <v>631</v>
      </c>
      <c r="E2431" t="s">
        <v>837</v>
      </c>
      <c r="F2431" s="32">
        <v>46437</v>
      </c>
      <c r="G2431" t="s">
        <v>514</v>
      </c>
      <c r="H2431">
        <v>47128977</v>
      </c>
      <c r="I2431" t="s">
        <v>1449</v>
      </c>
      <c r="J2431" t="s">
        <v>1448</v>
      </c>
      <c r="K2431" t="s">
        <v>530</v>
      </c>
      <c r="N2431">
        <v>0</v>
      </c>
      <c r="O2431">
        <v>0</v>
      </c>
      <c r="P2431" t="str">
        <f t="shared" si="37"/>
        <v>N</v>
      </c>
      <c r="Q2431" t="s">
        <v>8161</v>
      </c>
    </row>
    <row r="2432" spans="1:17" x14ac:dyDescent="0.25">
      <c r="A2432" t="s">
        <v>3454</v>
      </c>
      <c r="B2432" t="s">
        <v>1080</v>
      </c>
      <c r="C2432">
        <v>2027</v>
      </c>
      <c r="D2432" t="s">
        <v>631</v>
      </c>
      <c r="E2432" t="s">
        <v>837</v>
      </c>
      <c r="F2432" s="32">
        <v>46437</v>
      </c>
      <c r="G2432" t="s">
        <v>514</v>
      </c>
      <c r="H2432">
        <v>47128168</v>
      </c>
      <c r="I2432" t="s">
        <v>1100</v>
      </c>
      <c r="J2432" t="s">
        <v>1099</v>
      </c>
      <c r="K2432" t="s">
        <v>530</v>
      </c>
      <c r="N2432">
        <v>0</v>
      </c>
      <c r="O2432">
        <v>0</v>
      </c>
      <c r="P2432" t="str">
        <f t="shared" si="37"/>
        <v>N</v>
      </c>
      <c r="Q2432" t="s">
        <v>8162</v>
      </c>
    </row>
    <row r="2433" spans="1:17" x14ac:dyDescent="0.25">
      <c r="A2433" t="s">
        <v>3455</v>
      </c>
      <c r="B2433" t="s">
        <v>1080</v>
      </c>
      <c r="C2433">
        <v>2027</v>
      </c>
      <c r="D2433" t="s">
        <v>631</v>
      </c>
      <c r="E2433" t="s">
        <v>837</v>
      </c>
      <c r="F2433" s="32">
        <v>46437</v>
      </c>
      <c r="G2433" t="s">
        <v>514</v>
      </c>
      <c r="H2433">
        <v>47128687</v>
      </c>
      <c r="I2433" t="s">
        <v>1153</v>
      </c>
      <c r="J2433" t="s">
        <v>1152</v>
      </c>
      <c r="K2433" t="s">
        <v>530</v>
      </c>
      <c r="N2433">
        <v>0</v>
      </c>
      <c r="O2433">
        <v>0</v>
      </c>
      <c r="P2433" t="str">
        <f t="shared" si="37"/>
        <v>N</v>
      </c>
      <c r="Q2433" t="s">
        <v>8163</v>
      </c>
    </row>
    <row r="2434" spans="1:17" x14ac:dyDescent="0.25">
      <c r="A2434" t="s">
        <v>3456</v>
      </c>
      <c r="B2434" t="s">
        <v>1080</v>
      </c>
      <c r="C2434">
        <v>2027</v>
      </c>
      <c r="D2434" t="s">
        <v>631</v>
      </c>
      <c r="E2434" t="s">
        <v>837</v>
      </c>
      <c r="F2434" s="32">
        <v>46437</v>
      </c>
      <c r="G2434" t="s">
        <v>514</v>
      </c>
      <c r="H2434">
        <v>47128585</v>
      </c>
      <c r="I2434" t="s">
        <v>1141</v>
      </c>
      <c r="J2434" t="s">
        <v>1140</v>
      </c>
      <c r="K2434" t="s">
        <v>530</v>
      </c>
      <c r="N2434">
        <v>0</v>
      </c>
      <c r="O2434">
        <v>0</v>
      </c>
      <c r="P2434" t="str">
        <f t="shared" si="37"/>
        <v>N</v>
      </c>
      <c r="Q2434" t="s">
        <v>8164</v>
      </c>
    </row>
    <row r="2435" spans="1:17" x14ac:dyDescent="0.25">
      <c r="A2435" t="s">
        <v>3457</v>
      </c>
      <c r="B2435" t="s">
        <v>1080</v>
      </c>
      <c r="C2435">
        <v>2027</v>
      </c>
      <c r="D2435" t="s">
        <v>631</v>
      </c>
      <c r="E2435" t="s">
        <v>837</v>
      </c>
      <c r="F2435" s="32">
        <v>46437</v>
      </c>
      <c r="G2435" t="s">
        <v>514</v>
      </c>
      <c r="H2435">
        <v>47128906</v>
      </c>
      <c r="I2435" t="s">
        <v>1349</v>
      </c>
      <c r="J2435" t="s">
        <v>1348</v>
      </c>
      <c r="K2435" t="s">
        <v>530</v>
      </c>
      <c r="N2435">
        <v>0</v>
      </c>
      <c r="O2435">
        <v>0</v>
      </c>
      <c r="P2435" t="str">
        <f t="shared" ref="P2435:P2498" si="38">IF(N2435=O2435,"N","Y")</f>
        <v>N</v>
      </c>
      <c r="Q2435" t="s">
        <v>8165</v>
      </c>
    </row>
    <row r="2436" spans="1:17" x14ac:dyDescent="0.25">
      <c r="A2436" t="s">
        <v>3458</v>
      </c>
      <c r="B2436" t="s">
        <v>1080</v>
      </c>
      <c r="C2436">
        <v>2027</v>
      </c>
      <c r="D2436" t="s">
        <v>631</v>
      </c>
      <c r="E2436" t="s">
        <v>837</v>
      </c>
      <c r="F2436" s="32">
        <v>46437</v>
      </c>
      <c r="G2436" t="s">
        <v>514</v>
      </c>
      <c r="H2436">
        <v>47128585</v>
      </c>
      <c r="I2436" t="s">
        <v>1141</v>
      </c>
      <c r="J2436" t="s">
        <v>1408</v>
      </c>
      <c r="K2436" t="s">
        <v>530</v>
      </c>
      <c r="N2436">
        <v>0</v>
      </c>
      <c r="O2436">
        <v>0</v>
      </c>
      <c r="P2436" t="str">
        <f t="shared" si="38"/>
        <v>N</v>
      </c>
      <c r="Q2436" t="s">
        <v>8166</v>
      </c>
    </row>
    <row r="2437" spans="1:17" x14ac:dyDescent="0.25">
      <c r="A2437" t="s">
        <v>3459</v>
      </c>
      <c r="B2437" t="s">
        <v>1080</v>
      </c>
      <c r="C2437">
        <v>2027</v>
      </c>
      <c r="D2437" t="s">
        <v>631</v>
      </c>
      <c r="E2437" t="s">
        <v>837</v>
      </c>
      <c r="F2437" s="32">
        <v>46437</v>
      </c>
      <c r="G2437" t="s">
        <v>514</v>
      </c>
      <c r="H2437">
        <v>47128518</v>
      </c>
      <c r="I2437" t="s">
        <v>1232</v>
      </c>
      <c r="J2437" t="s">
        <v>1231</v>
      </c>
      <c r="K2437" t="s">
        <v>530</v>
      </c>
      <c r="N2437">
        <v>0</v>
      </c>
      <c r="O2437">
        <v>0</v>
      </c>
      <c r="P2437" t="str">
        <f t="shared" si="38"/>
        <v>N</v>
      </c>
      <c r="Q2437" t="s">
        <v>8167</v>
      </c>
    </row>
    <row r="2438" spans="1:17" x14ac:dyDescent="0.25">
      <c r="A2438" t="s">
        <v>3460</v>
      </c>
      <c r="B2438" t="s">
        <v>1080</v>
      </c>
      <c r="C2438">
        <v>2027</v>
      </c>
      <c r="D2438" t="s">
        <v>631</v>
      </c>
      <c r="E2438" t="s">
        <v>837</v>
      </c>
      <c r="F2438" s="32">
        <v>46437</v>
      </c>
      <c r="G2438" t="s">
        <v>514</v>
      </c>
      <c r="H2438">
        <v>47128680</v>
      </c>
      <c r="I2438" t="s">
        <v>1284</v>
      </c>
      <c r="J2438" t="s">
        <v>1283</v>
      </c>
      <c r="K2438" t="s">
        <v>530</v>
      </c>
      <c r="N2438">
        <v>0</v>
      </c>
      <c r="O2438">
        <v>0</v>
      </c>
      <c r="P2438" t="str">
        <f t="shared" si="38"/>
        <v>N</v>
      </c>
      <c r="Q2438" t="s">
        <v>8168</v>
      </c>
    </row>
    <row r="2439" spans="1:17" x14ac:dyDescent="0.25">
      <c r="A2439" t="s">
        <v>3461</v>
      </c>
      <c r="B2439" t="s">
        <v>1080</v>
      </c>
      <c r="C2439">
        <v>2027</v>
      </c>
      <c r="D2439" t="s">
        <v>631</v>
      </c>
      <c r="E2439" t="s">
        <v>837</v>
      </c>
      <c r="F2439" s="32">
        <v>46437</v>
      </c>
      <c r="G2439" t="s">
        <v>514</v>
      </c>
      <c r="H2439">
        <v>47128024</v>
      </c>
      <c r="I2439" t="s">
        <v>1108</v>
      </c>
      <c r="J2439" t="s">
        <v>1107</v>
      </c>
      <c r="K2439" t="s">
        <v>530</v>
      </c>
      <c r="N2439">
        <v>0</v>
      </c>
      <c r="O2439">
        <v>0</v>
      </c>
      <c r="P2439" t="str">
        <f t="shared" si="38"/>
        <v>N</v>
      </c>
      <c r="Q2439" t="s">
        <v>8169</v>
      </c>
    </row>
    <row r="2440" spans="1:17" x14ac:dyDescent="0.25">
      <c r="A2440" t="s">
        <v>3462</v>
      </c>
      <c r="B2440" t="s">
        <v>1080</v>
      </c>
      <c r="C2440">
        <v>2027</v>
      </c>
      <c r="D2440" t="s">
        <v>631</v>
      </c>
      <c r="E2440" t="s">
        <v>837</v>
      </c>
      <c r="F2440" s="32">
        <v>46437</v>
      </c>
      <c r="G2440" t="s">
        <v>514</v>
      </c>
      <c r="H2440">
        <v>47128944</v>
      </c>
      <c r="I2440" t="s">
        <v>1137</v>
      </c>
      <c r="J2440" t="s">
        <v>1513</v>
      </c>
      <c r="K2440" t="s">
        <v>530</v>
      </c>
      <c r="N2440">
        <v>0</v>
      </c>
      <c r="O2440">
        <v>0</v>
      </c>
      <c r="P2440" t="str">
        <f t="shared" si="38"/>
        <v>N</v>
      </c>
      <c r="Q2440" t="s">
        <v>8170</v>
      </c>
    </row>
    <row r="2441" spans="1:17" x14ac:dyDescent="0.25">
      <c r="A2441" t="s">
        <v>3463</v>
      </c>
      <c r="B2441" t="s">
        <v>1080</v>
      </c>
      <c r="C2441">
        <v>2027</v>
      </c>
      <c r="D2441" t="s">
        <v>631</v>
      </c>
      <c r="E2441" t="s">
        <v>837</v>
      </c>
      <c r="F2441" s="32">
        <v>46437</v>
      </c>
      <c r="G2441" t="s">
        <v>514</v>
      </c>
      <c r="H2441">
        <v>47147546</v>
      </c>
      <c r="I2441" t="s">
        <v>1077</v>
      </c>
      <c r="J2441" t="s">
        <v>1076</v>
      </c>
      <c r="K2441" t="s">
        <v>530</v>
      </c>
      <c r="N2441">
        <v>0</v>
      </c>
      <c r="O2441">
        <v>0</v>
      </c>
      <c r="P2441" t="str">
        <f t="shared" si="38"/>
        <v>N</v>
      </c>
      <c r="Q2441" t="s">
        <v>8171</v>
      </c>
    </row>
    <row r="2442" spans="1:17" x14ac:dyDescent="0.25">
      <c r="A2442" t="s">
        <v>3464</v>
      </c>
      <c r="B2442" t="s">
        <v>1080</v>
      </c>
      <c r="C2442">
        <v>2027</v>
      </c>
      <c r="D2442" t="s">
        <v>631</v>
      </c>
      <c r="E2442" t="s">
        <v>837</v>
      </c>
      <c r="F2442" s="32">
        <v>46437</v>
      </c>
      <c r="G2442" t="s">
        <v>514</v>
      </c>
      <c r="H2442">
        <v>47128346</v>
      </c>
      <c r="I2442" t="s">
        <v>1157</v>
      </c>
      <c r="J2442" t="s">
        <v>1156</v>
      </c>
      <c r="K2442" t="s">
        <v>530</v>
      </c>
      <c r="N2442">
        <v>0</v>
      </c>
      <c r="O2442">
        <v>0</v>
      </c>
      <c r="P2442" t="str">
        <f t="shared" si="38"/>
        <v>N</v>
      </c>
      <c r="Q2442" t="s">
        <v>8172</v>
      </c>
    </row>
    <row r="2443" spans="1:17" x14ac:dyDescent="0.25">
      <c r="A2443" t="s">
        <v>3465</v>
      </c>
      <c r="B2443" t="s">
        <v>1080</v>
      </c>
      <c r="C2443">
        <v>2027</v>
      </c>
      <c r="D2443" t="s">
        <v>631</v>
      </c>
      <c r="E2443" t="s">
        <v>837</v>
      </c>
      <c r="F2443" s="32">
        <v>46437</v>
      </c>
      <c r="G2443" t="s">
        <v>514</v>
      </c>
      <c r="H2443">
        <v>47128800</v>
      </c>
      <c r="I2443" t="s">
        <v>1145</v>
      </c>
      <c r="J2443" t="s">
        <v>1144</v>
      </c>
      <c r="K2443" t="s">
        <v>530</v>
      </c>
      <c r="N2443">
        <v>0</v>
      </c>
      <c r="O2443">
        <v>0</v>
      </c>
      <c r="P2443" t="str">
        <f t="shared" si="38"/>
        <v>N</v>
      </c>
      <c r="Q2443" t="s">
        <v>8173</v>
      </c>
    </row>
    <row r="2444" spans="1:17" x14ac:dyDescent="0.25">
      <c r="A2444" t="s">
        <v>3466</v>
      </c>
      <c r="B2444" t="s">
        <v>1080</v>
      </c>
      <c r="C2444">
        <v>2027</v>
      </c>
      <c r="D2444" t="s">
        <v>631</v>
      </c>
      <c r="E2444" t="s">
        <v>837</v>
      </c>
      <c r="F2444" s="32">
        <v>46437</v>
      </c>
      <c r="G2444" t="s">
        <v>514</v>
      </c>
      <c r="H2444">
        <v>47128109</v>
      </c>
      <c r="I2444" t="s">
        <v>1336</v>
      </c>
      <c r="J2444" t="s">
        <v>1335</v>
      </c>
      <c r="K2444" t="s">
        <v>530</v>
      </c>
      <c r="N2444">
        <v>0</v>
      </c>
      <c r="O2444">
        <v>0</v>
      </c>
      <c r="P2444" t="str">
        <f t="shared" si="38"/>
        <v>N</v>
      </c>
      <c r="Q2444" t="s">
        <v>8174</v>
      </c>
    </row>
    <row r="2445" spans="1:17" x14ac:dyDescent="0.25">
      <c r="A2445" t="s">
        <v>3467</v>
      </c>
      <c r="B2445" t="s">
        <v>1080</v>
      </c>
      <c r="C2445">
        <v>2027</v>
      </c>
      <c r="D2445" t="s">
        <v>631</v>
      </c>
      <c r="E2445" t="s">
        <v>837</v>
      </c>
      <c r="F2445" s="32">
        <v>46437</v>
      </c>
      <c r="G2445" t="s">
        <v>514</v>
      </c>
      <c r="H2445">
        <v>47128430</v>
      </c>
      <c r="I2445" t="s">
        <v>1401</v>
      </c>
      <c r="J2445" t="s">
        <v>1400</v>
      </c>
      <c r="K2445" t="s">
        <v>530</v>
      </c>
      <c r="N2445">
        <v>0</v>
      </c>
      <c r="O2445">
        <v>0</v>
      </c>
      <c r="P2445" t="str">
        <f t="shared" si="38"/>
        <v>N</v>
      </c>
      <c r="Q2445" t="s">
        <v>8175</v>
      </c>
    </row>
    <row r="2446" spans="1:17" x14ac:dyDescent="0.25">
      <c r="A2446" t="s">
        <v>3468</v>
      </c>
      <c r="B2446" t="s">
        <v>1080</v>
      </c>
      <c r="C2446">
        <v>2027</v>
      </c>
      <c r="D2446" t="s">
        <v>631</v>
      </c>
      <c r="E2446" t="s">
        <v>837</v>
      </c>
      <c r="F2446" s="32">
        <v>46437</v>
      </c>
      <c r="G2446" t="s">
        <v>514</v>
      </c>
      <c r="H2446">
        <v>47128522</v>
      </c>
      <c r="I2446" t="s">
        <v>1092</v>
      </c>
      <c r="J2446" t="s">
        <v>1091</v>
      </c>
      <c r="K2446" t="s">
        <v>530</v>
      </c>
      <c r="N2446">
        <v>0</v>
      </c>
      <c r="O2446">
        <v>0</v>
      </c>
      <c r="P2446" t="str">
        <f t="shared" si="38"/>
        <v>N</v>
      </c>
      <c r="Q2446" t="s">
        <v>8176</v>
      </c>
    </row>
    <row r="2447" spans="1:17" x14ac:dyDescent="0.25">
      <c r="A2447" t="s">
        <v>3469</v>
      </c>
      <c r="B2447" t="s">
        <v>1080</v>
      </c>
      <c r="C2447">
        <v>2027</v>
      </c>
      <c r="D2447" t="s">
        <v>631</v>
      </c>
      <c r="E2447" t="s">
        <v>837</v>
      </c>
      <c r="F2447" s="32">
        <v>46437</v>
      </c>
      <c r="G2447" t="s">
        <v>514</v>
      </c>
      <c r="H2447">
        <v>47147546</v>
      </c>
      <c r="I2447" t="s">
        <v>1077</v>
      </c>
      <c r="J2447" t="s">
        <v>1381</v>
      </c>
      <c r="K2447" t="s">
        <v>530</v>
      </c>
      <c r="N2447">
        <v>0</v>
      </c>
      <c r="O2447">
        <v>0</v>
      </c>
      <c r="P2447" t="str">
        <f t="shared" si="38"/>
        <v>N</v>
      </c>
      <c r="Q2447" t="s">
        <v>8177</v>
      </c>
    </row>
    <row r="2448" spans="1:17" x14ac:dyDescent="0.25">
      <c r="A2448" t="s">
        <v>3470</v>
      </c>
      <c r="B2448" t="s">
        <v>1080</v>
      </c>
      <c r="C2448">
        <v>2027</v>
      </c>
      <c r="D2448" t="s">
        <v>631</v>
      </c>
      <c r="E2448" t="s">
        <v>837</v>
      </c>
      <c r="F2448" s="32">
        <v>46437</v>
      </c>
      <c r="G2448" t="s">
        <v>514</v>
      </c>
      <c r="H2448">
        <v>47147658</v>
      </c>
      <c r="I2448" t="s">
        <v>1276</v>
      </c>
      <c r="J2448" t="s">
        <v>1275</v>
      </c>
      <c r="K2448" t="s">
        <v>530</v>
      </c>
      <c r="N2448">
        <v>0</v>
      </c>
      <c r="O2448">
        <v>0</v>
      </c>
      <c r="P2448" t="str">
        <f t="shared" si="38"/>
        <v>N</v>
      </c>
      <c r="Q2448" t="s">
        <v>8178</v>
      </c>
    </row>
    <row r="2449" spans="1:17" x14ac:dyDescent="0.25">
      <c r="A2449" t="s">
        <v>3471</v>
      </c>
      <c r="B2449" t="s">
        <v>1080</v>
      </c>
      <c r="C2449">
        <v>2027</v>
      </c>
      <c r="D2449" t="s">
        <v>631</v>
      </c>
      <c r="E2449" t="s">
        <v>837</v>
      </c>
      <c r="F2449" s="32">
        <v>46437</v>
      </c>
      <c r="G2449" t="s">
        <v>514</v>
      </c>
      <c r="H2449">
        <v>47147546</v>
      </c>
      <c r="I2449" t="s">
        <v>1077</v>
      </c>
      <c r="J2449" t="s">
        <v>1171</v>
      </c>
      <c r="K2449" t="s">
        <v>530</v>
      </c>
      <c r="N2449">
        <v>0</v>
      </c>
      <c r="O2449">
        <v>0</v>
      </c>
      <c r="P2449" t="str">
        <f t="shared" si="38"/>
        <v>N</v>
      </c>
      <c r="Q2449" t="s">
        <v>8179</v>
      </c>
    </row>
    <row r="2450" spans="1:17" x14ac:dyDescent="0.25">
      <c r="A2450" t="s">
        <v>3472</v>
      </c>
      <c r="B2450" t="s">
        <v>1080</v>
      </c>
      <c r="C2450">
        <v>2027</v>
      </c>
      <c r="D2450" t="s">
        <v>631</v>
      </c>
      <c r="E2450" t="s">
        <v>837</v>
      </c>
      <c r="F2450" s="32">
        <v>46437</v>
      </c>
      <c r="G2450" t="s">
        <v>514</v>
      </c>
      <c r="H2450">
        <v>47128028</v>
      </c>
      <c r="I2450" t="s">
        <v>1035</v>
      </c>
      <c r="J2450" t="s">
        <v>1034</v>
      </c>
      <c r="K2450" t="s">
        <v>530</v>
      </c>
      <c r="N2450">
        <v>0</v>
      </c>
      <c r="O2450">
        <v>0</v>
      </c>
      <c r="P2450" t="str">
        <f t="shared" si="38"/>
        <v>N</v>
      </c>
      <c r="Q2450" t="s">
        <v>8180</v>
      </c>
    </row>
    <row r="2451" spans="1:17" x14ac:dyDescent="0.25">
      <c r="A2451" t="s">
        <v>3473</v>
      </c>
      <c r="B2451" t="s">
        <v>1080</v>
      </c>
      <c r="C2451">
        <v>2027</v>
      </c>
      <c r="D2451" t="s">
        <v>631</v>
      </c>
      <c r="E2451" t="s">
        <v>837</v>
      </c>
      <c r="F2451" s="32">
        <v>46437</v>
      </c>
      <c r="G2451" t="s">
        <v>514</v>
      </c>
      <c r="H2451">
        <v>47128465</v>
      </c>
      <c r="I2451" t="s">
        <v>1333</v>
      </c>
      <c r="J2451" t="s">
        <v>1332</v>
      </c>
      <c r="K2451" t="s">
        <v>530</v>
      </c>
      <c r="N2451">
        <v>0</v>
      </c>
      <c r="O2451">
        <v>0</v>
      </c>
      <c r="P2451" t="str">
        <f t="shared" si="38"/>
        <v>N</v>
      </c>
      <c r="Q2451" t="s">
        <v>8181</v>
      </c>
    </row>
    <row r="2452" spans="1:17" x14ac:dyDescent="0.25">
      <c r="A2452" t="s">
        <v>3474</v>
      </c>
      <c r="B2452" t="s">
        <v>1080</v>
      </c>
      <c r="C2452">
        <v>2027</v>
      </c>
      <c r="D2452" t="s">
        <v>631</v>
      </c>
      <c r="E2452" t="s">
        <v>837</v>
      </c>
      <c r="F2452" s="32">
        <v>46437</v>
      </c>
      <c r="G2452" t="s">
        <v>514</v>
      </c>
      <c r="H2452">
        <v>47128548</v>
      </c>
      <c r="I2452" t="s">
        <v>958</v>
      </c>
      <c r="J2452" t="s">
        <v>957</v>
      </c>
      <c r="K2452" t="s">
        <v>530</v>
      </c>
      <c r="N2452">
        <v>0</v>
      </c>
      <c r="O2452">
        <v>0</v>
      </c>
      <c r="P2452" t="str">
        <f t="shared" si="38"/>
        <v>N</v>
      </c>
      <c r="Q2452" t="s">
        <v>8182</v>
      </c>
    </row>
    <row r="2453" spans="1:17" x14ac:dyDescent="0.25">
      <c r="A2453" t="s">
        <v>3863</v>
      </c>
      <c r="B2453" t="s">
        <v>912</v>
      </c>
      <c r="C2453">
        <v>2027</v>
      </c>
      <c r="D2453" t="s">
        <v>631</v>
      </c>
      <c r="E2453" t="s">
        <v>837</v>
      </c>
      <c r="F2453" s="32">
        <v>46437</v>
      </c>
      <c r="G2453" t="s">
        <v>514</v>
      </c>
      <c r="H2453">
        <v>47128820</v>
      </c>
      <c r="I2453" t="s">
        <v>2411</v>
      </c>
      <c r="J2453" t="s">
        <v>2412</v>
      </c>
      <c r="K2453" t="s">
        <v>530</v>
      </c>
      <c r="N2453">
        <v>0</v>
      </c>
      <c r="O2453">
        <v>0</v>
      </c>
      <c r="P2453" t="str">
        <f t="shared" si="38"/>
        <v>N</v>
      </c>
      <c r="Q2453" t="s">
        <v>8183</v>
      </c>
    </row>
    <row r="2454" spans="1:17" x14ac:dyDescent="0.25">
      <c r="A2454" t="s">
        <v>3864</v>
      </c>
      <c r="B2454" t="s">
        <v>912</v>
      </c>
      <c r="C2454">
        <v>2027</v>
      </c>
      <c r="D2454" t="s">
        <v>631</v>
      </c>
      <c r="E2454" t="s">
        <v>837</v>
      </c>
      <c r="F2454" s="32">
        <v>46437</v>
      </c>
      <c r="G2454" t="s">
        <v>514</v>
      </c>
      <c r="H2454">
        <v>47128378</v>
      </c>
      <c r="I2454" t="s">
        <v>2392</v>
      </c>
      <c r="J2454" t="s">
        <v>2393</v>
      </c>
      <c r="K2454" t="s">
        <v>530</v>
      </c>
      <c r="N2454">
        <v>0</v>
      </c>
      <c r="O2454">
        <v>0</v>
      </c>
      <c r="P2454" t="str">
        <f t="shared" si="38"/>
        <v>N</v>
      </c>
      <c r="Q2454" t="s">
        <v>8184</v>
      </c>
    </row>
    <row r="2455" spans="1:17" x14ac:dyDescent="0.25">
      <c r="A2455" t="s">
        <v>3865</v>
      </c>
      <c r="B2455" t="s">
        <v>912</v>
      </c>
      <c r="C2455">
        <v>2027</v>
      </c>
      <c r="D2455" t="s">
        <v>631</v>
      </c>
      <c r="E2455" t="s">
        <v>837</v>
      </c>
      <c r="F2455" s="32">
        <v>46437</v>
      </c>
      <c r="G2455" t="s">
        <v>514</v>
      </c>
      <c r="H2455">
        <v>47128020</v>
      </c>
      <c r="I2455" t="s">
        <v>2395</v>
      </c>
      <c r="J2455" t="s">
        <v>2396</v>
      </c>
      <c r="K2455" t="s">
        <v>530</v>
      </c>
      <c r="N2455">
        <v>0</v>
      </c>
      <c r="O2455">
        <v>0</v>
      </c>
      <c r="P2455" t="str">
        <f t="shared" si="38"/>
        <v>N</v>
      </c>
      <c r="Q2455" t="s">
        <v>8185</v>
      </c>
    </row>
    <row r="2456" spans="1:17" x14ac:dyDescent="0.25">
      <c r="A2456" t="s">
        <v>3866</v>
      </c>
      <c r="B2456" t="s">
        <v>912</v>
      </c>
      <c r="C2456">
        <v>2027</v>
      </c>
      <c r="D2456" t="s">
        <v>631</v>
      </c>
      <c r="E2456" t="s">
        <v>837</v>
      </c>
      <c r="F2456" s="32">
        <v>46437</v>
      </c>
      <c r="G2456" t="s">
        <v>514</v>
      </c>
      <c r="H2456">
        <v>47128459</v>
      </c>
      <c r="I2456" t="s">
        <v>2398</v>
      </c>
      <c r="J2456" t="s">
        <v>2399</v>
      </c>
      <c r="K2456" t="s">
        <v>530</v>
      </c>
      <c r="N2456">
        <v>0</v>
      </c>
      <c r="O2456">
        <v>0</v>
      </c>
      <c r="P2456" t="str">
        <f t="shared" si="38"/>
        <v>N</v>
      </c>
      <c r="Q2456" t="s">
        <v>8186</v>
      </c>
    </row>
    <row r="2457" spans="1:17" x14ac:dyDescent="0.25">
      <c r="A2457" t="s">
        <v>3905</v>
      </c>
      <c r="B2457" t="s">
        <v>1043</v>
      </c>
      <c r="C2457">
        <v>2027</v>
      </c>
      <c r="D2457" t="s">
        <v>631</v>
      </c>
      <c r="E2457" t="s">
        <v>837</v>
      </c>
      <c r="F2457" s="32">
        <v>46437</v>
      </c>
      <c r="G2457" t="s">
        <v>514</v>
      </c>
      <c r="H2457">
        <v>47128421</v>
      </c>
      <c r="I2457" t="s">
        <v>1086</v>
      </c>
      <c r="J2457" t="s">
        <v>1085</v>
      </c>
      <c r="K2457" t="s">
        <v>530</v>
      </c>
      <c r="N2457">
        <v>0</v>
      </c>
      <c r="O2457">
        <v>0</v>
      </c>
      <c r="P2457" t="str">
        <f t="shared" si="38"/>
        <v>N</v>
      </c>
      <c r="Q2457" t="s">
        <v>8187</v>
      </c>
    </row>
    <row r="2458" spans="1:17" x14ac:dyDescent="0.25">
      <c r="A2458" t="s">
        <v>3906</v>
      </c>
      <c r="B2458" t="s">
        <v>1043</v>
      </c>
      <c r="C2458">
        <v>2027</v>
      </c>
      <c r="D2458" t="s">
        <v>631</v>
      </c>
      <c r="E2458" t="s">
        <v>837</v>
      </c>
      <c r="F2458" s="32">
        <v>46437</v>
      </c>
      <c r="G2458" t="s">
        <v>514</v>
      </c>
      <c r="H2458">
        <v>47128364</v>
      </c>
      <c r="I2458" t="s">
        <v>1264</v>
      </c>
      <c r="J2458" t="s">
        <v>1263</v>
      </c>
      <c r="K2458" t="s">
        <v>530</v>
      </c>
      <c r="N2458">
        <v>20</v>
      </c>
      <c r="O2458">
        <v>20</v>
      </c>
      <c r="P2458" t="str">
        <f t="shared" si="38"/>
        <v>N</v>
      </c>
      <c r="Q2458" t="s">
        <v>8188</v>
      </c>
    </row>
    <row r="2459" spans="1:17" x14ac:dyDescent="0.25">
      <c r="A2459" t="s">
        <v>3907</v>
      </c>
      <c r="B2459" t="s">
        <v>1043</v>
      </c>
      <c r="C2459">
        <v>2027</v>
      </c>
      <c r="D2459" t="s">
        <v>631</v>
      </c>
      <c r="E2459" t="s">
        <v>837</v>
      </c>
      <c r="F2459" s="32">
        <v>46437</v>
      </c>
      <c r="G2459" t="s">
        <v>514</v>
      </c>
      <c r="H2459">
        <v>47128706</v>
      </c>
      <c r="I2459" t="s">
        <v>1201</v>
      </c>
      <c r="J2459" t="s">
        <v>1200</v>
      </c>
      <c r="K2459" t="s">
        <v>530</v>
      </c>
      <c r="N2459">
        <v>0</v>
      </c>
      <c r="O2459">
        <v>0</v>
      </c>
      <c r="P2459" t="str">
        <f t="shared" si="38"/>
        <v>N</v>
      </c>
      <c r="Q2459" t="s">
        <v>8189</v>
      </c>
    </row>
    <row r="2460" spans="1:17" x14ac:dyDescent="0.25">
      <c r="A2460" t="s">
        <v>4010</v>
      </c>
      <c r="B2460" t="s">
        <v>3939</v>
      </c>
      <c r="C2460">
        <v>2027</v>
      </c>
      <c r="D2460" t="s">
        <v>631</v>
      </c>
      <c r="E2460" t="s">
        <v>837</v>
      </c>
      <c r="F2460" s="32">
        <v>46437</v>
      </c>
      <c r="G2460" t="s">
        <v>514</v>
      </c>
      <c r="H2460">
        <v>47128820</v>
      </c>
      <c r="I2460" t="s">
        <v>2411</v>
      </c>
      <c r="J2460" t="s">
        <v>2412</v>
      </c>
      <c r="K2460" t="s">
        <v>530</v>
      </c>
      <c r="N2460">
        <v>0</v>
      </c>
      <c r="O2460">
        <v>0</v>
      </c>
      <c r="P2460" t="str">
        <f t="shared" si="38"/>
        <v>N</v>
      </c>
      <c r="Q2460" t="s">
        <v>8190</v>
      </c>
    </row>
    <row r="2461" spans="1:17" x14ac:dyDescent="0.25">
      <c r="A2461" t="s">
        <v>4011</v>
      </c>
      <c r="B2461" t="s">
        <v>3939</v>
      </c>
      <c r="C2461">
        <v>2027</v>
      </c>
      <c r="D2461" t="s">
        <v>631</v>
      </c>
      <c r="E2461" t="s">
        <v>837</v>
      </c>
      <c r="F2461" s="32">
        <v>46437</v>
      </c>
      <c r="G2461" t="s">
        <v>514</v>
      </c>
      <c r="H2461">
        <v>47128378</v>
      </c>
      <c r="I2461" t="s">
        <v>2392</v>
      </c>
      <c r="J2461" t="s">
        <v>2393</v>
      </c>
      <c r="K2461" t="s">
        <v>530</v>
      </c>
      <c r="N2461">
        <v>0</v>
      </c>
      <c r="O2461">
        <v>0</v>
      </c>
      <c r="P2461" t="str">
        <f t="shared" si="38"/>
        <v>N</v>
      </c>
      <c r="Q2461" t="s">
        <v>8191</v>
      </c>
    </row>
    <row r="2462" spans="1:17" x14ac:dyDescent="0.25">
      <c r="A2462" t="s">
        <v>4012</v>
      </c>
      <c r="B2462" t="s">
        <v>3939</v>
      </c>
      <c r="C2462">
        <v>2027</v>
      </c>
      <c r="D2462" t="s">
        <v>631</v>
      </c>
      <c r="E2462" t="s">
        <v>837</v>
      </c>
      <c r="F2462" s="32">
        <v>46437</v>
      </c>
      <c r="G2462" t="s">
        <v>514</v>
      </c>
      <c r="H2462">
        <v>47128020</v>
      </c>
      <c r="I2462" t="s">
        <v>2395</v>
      </c>
      <c r="J2462" t="s">
        <v>2396</v>
      </c>
      <c r="K2462" t="s">
        <v>530</v>
      </c>
      <c r="N2462">
        <v>0</v>
      </c>
      <c r="O2462">
        <v>0</v>
      </c>
      <c r="P2462" t="str">
        <f t="shared" si="38"/>
        <v>N</v>
      </c>
      <c r="Q2462" t="s">
        <v>8192</v>
      </c>
    </row>
    <row r="2463" spans="1:17" x14ac:dyDescent="0.25">
      <c r="A2463" t="s">
        <v>4013</v>
      </c>
      <c r="B2463" t="s">
        <v>3939</v>
      </c>
      <c r="C2463">
        <v>2027</v>
      </c>
      <c r="D2463" t="s">
        <v>631</v>
      </c>
      <c r="E2463" t="s">
        <v>837</v>
      </c>
      <c r="F2463" s="32">
        <v>46437</v>
      </c>
      <c r="G2463" t="s">
        <v>514</v>
      </c>
      <c r="H2463">
        <v>47128459</v>
      </c>
      <c r="I2463" t="s">
        <v>2398</v>
      </c>
      <c r="J2463" t="s">
        <v>2399</v>
      </c>
      <c r="K2463" t="s">
        <v>530</v>
      </c>
      <c r="N2463">
        <v>0</v>
      </c>
      <c r="O2463">
        <v>0</v>
      </c>
      <c r="P2463" t="str">
        <f t="shared" si="38"/>
        <v>N</v>
      </c>
      <c r="Q2463" t="s">
        <v>8193</v>
      </c>
    </row>
    <row r="2464" spans="1:17" x14ac:dyDescent="0.25">
      <c r="A2464" t="s">
        <v>4096</v>
      </c>
      <c r="B2464" t="s">
        <v>1489</v>
      </c>
      <c r="C2464">
        <v>2027</v>
      </c>
      <c r="D2464" t="s">
        <v>631</v>
      </c>
      <c r="E2464" t="s">
        <v>837</v>
      </c>
      <c r="F2464" s="32">
        <v>46437</v>
      </c>
      <c r="G2464" t="s">
        <v>514</v>
      </c>
      <c r="H2464">
        <v>47127948</v>
      </c>
      <c r="I2464" t="s">
        <v>1247</v>
      </c>
      <c r="J2464" t="s">
        <v>1246</v>
      </c>
      <c r="K2464" t="s">
        <v>530</v>
      </c>
      <c r="N2464">
        <v>60</v>
      </c>
      <c r="O2464">
        <v>60</v>
      </c>
      <c r="P2464" t="str">
        <f t="shared" si="38"/>
        <v>N</v>
      </c>
      <c r="Q2464" t="s">
        <v>8194</v>
      </c>
    </row>
    <row r="2465" spans="1:17" x14ac:dyDescent="0.25">
      <c r="A2465" t="s">
        <v>4097</v>
      </c>
      <c r="B2465" t="s">
        <v>1489</v>
      </c>
      <c r="C2465">
        <v>2027</v>
      </c>
      <c r="D2465" t="s">
        <v>631</v>
      </c>
      <c r="E2465" t="s">
        <v>837</v>
      </c>
      <c r="F2465" s="32">
        <v>46437</v>
      </c>
      <c r="G2465" t="s">
        <v>514</v>
      </c>
      <c r="H2465">
        <v>47128337</v>
      </c>
      <c r="I2465" t="s">
        <v>1120</v>
      </c>
      <c r="J2465" t="s">
        <v>1119</v>
      </c>
      <c r="K2465" t="s">
        <v>530</v>
      </c>
      <c r="N2465">
        <v>0</v>
      </c>
      <c r="O2465">
        <v>0</v>
      </c>
      <c r="P2465" t="str">
        <f t="shared" si="38"/>
        <v>N</v>
      </c>
      <c r="Q2465" t="s">
        <v>8195</v>
      </c>
    </row>
    <row r="2466" spans="1:17" x14ac:dyDescent="0.25">
      <c r="A2466" t="s">
        <v>4098</v>
      </c>
      <c r="B2466" t="s">
        <v>1489</v>
      </c>
      <c r="C2466">
        <v>2027</v>
      </c>
      <c r="D2466" t="s">
        <v>631</v>
      </c>
      <c r="E2466" t="s">
        <v>837</v>
      </c>
      <c r="F2466" s="32">
        <v>46437</v>
      </c>
      <c r="G2466" t="s">
        <v>514</v>
      </c>
      <c r="H2466">
        <v>47128977</v>
      </c>
      <c r="I2466" t="s">
        <v>1449</v>
      </c>
      <c r="J2466" t="s">
        <v>1448</v>
      </c>
      <c r="K2466" t="s">
        <v>530</v>
      </c>
      <c r="N2466">
        <v>0</v>
      </c>
      <c r="O2466">
        <v>0</v>
      </c>
      <c r="P2466" t="str">
        <f t="shared" si="38"/>
        <v>N</v>
      </c>
      <c r="Q2466" t="s">
        <v>8196</v>
      </c>
    </row>
    <row r="2467" spans="1:17" x14ac:dyDescent="0.25">
      <c r="A2467" t="s">
        <v>4291</v>
      </c>
      <c r="B2467" t="s">
        <v>916</v>
      </c>
      <c r="C2467">
        <v>2027</v>
      </c>
      <c r="D2467" t="s">
        <v>631</v>
      </c>
      <c r="E2467" t="s">
        <v>837</v>
      </c>
      <c r="F2467" s="32">
        <v>46437</v>
      </c>
      <c r="G2467" t="s">
        <v>514</v>
      </c>
      <c r="H2467">
        <v>47128421</v>
      </c>
      <c r="I2467" t="s">
        <v>1086</v>
      </c>
      <c r="J2467" t="s">
        <v>1085</v>
      </c>
      <c r="K2467" t="s">
        <v>530</v>
      </c>
      <c r="N2467">
        <v>0</v>
      </c>
      <c r="O2467">
        <v>0</v>
      </c>
      <c r="P2467" t="str">
        <f t="shared" si="38"/>
        <v>N</v>
      </c>
      <c r="Q2467" t="s">
        <v>8197</v>
      </c>
    </row>
    <row r="2468" spans="1:17" x14ac:dyDescent="0.25">
      <c r="A2468" t="s">
        <v>4292</v>
      </c>
      <c r="B2468" t="s">
        <v>916</v>
      </c>
      <c r="C2468">
        <v>2027</v>
      </c>
      <c r="D2468" t="s">
        <v>631</v>
      </c>
      <c r="E2468" t="s">
        <v>837</v>
      </c>
      <c r="F2468" s="32">
        <v>46437</v>
      </c>
      <c r="G2468" t="s">
        <v>514</v>
      </c>
      <c r="H2468">
        <v>47128706</v>
      </c>
      <c r="I2468" t="s">
        <v>1201</v>
      </c>
      <c r="J2468" t="s">
        <v>1200</v>
      </c>
      <c r="K2468" t="s">
        <v>530</v>
      </c>
      <c r="N2468">
        <v>0</v>
      </c>
      <c r="O2468">
        <v>0</v>
      </c>
      <c r="P2468" t="str">
        <f t="shared" si="38"/>
        <v>N</v>
      </c>
      <c r="Q2468" t="s">
        <v>8198</v>
      </c>
    </row>
    <row r="2469" spans="1:17" x14ac:dyDescent="0.25">
      <c r="A2469" t="s">
        <v>4293</v>
      </c>
      <c r="B2469" t="s">
        <v>916</v>
      </c>
      <c r="C2469">
        <v>2027</v>
      </c>
      <c r="D2469" t="s">
        <v>631</v>
      </c>
      <c r="E2469" t="s">
        <v>837</v>
      </c>
      <c r="F2469" s="32">
        <v>46437</v>
      </c>
      <c r="G2469" t="s">
        <v>514</v>
      </c>
      <c r="H2469">
        <v>47128364</v>
      </c>
      <c r="I2469" t="s">
        <v>1264</v>
      </c>
      <c r="J2469" t="s">
        <v>1263</v>
      </c>
      <c r="K2469" t="s">
        <v>530</v>
      </c>
      <c r="N2469">
        <v>70</v>
      </c>
      <c r="O2469">
        <v>70</v>
      </c>
      <c r="P2469" t="str">
        <f t="shared" si="38"/>
        <v>N</v>
      </c>
      <c r="Q2469" t="s">
        <v>8199</v>
      </c>
    </row>
    <row r="2470" spans="1:17" x14ac:dyDescent="0.25">
      <c r="A2470" t="s">
        <v>4294</v>
      </c>
      <c r="B2470" t="s">
        <v>916</v>
      </c>
      <c r="C2470">
        <v>2027</v>
      </c>
      <c r="D2470" t="s">
        <v>631</v>
      </c>
      <c r="E2470" t="s">
        <v>837</v>
      </c>
      <c r="F2470" s="32">
        <v>46437</v>
      </c>
      <c r="G2470" t="s">
        <v>514</v>
      </c>
      <c r="H2470">
        <v>47128633</v>
      </c>
      <c r="I2470" t="s">
        <v>1164</v>
      </c>
      <c r="J2470" t="s">
        <v>1163</v>
      </c>
      <c r="K2470" t="s">
        <v>530</v>
      </c>
      <c r="N2470">
        <v>0</v>
      </c>
      <c r="O2470">
        <v>0</v>
      </c>
      <c r="P2470" t="str">
        <f t="shared" si="38"/>
        <v>N</v>
      </c>
      <c r="Q2470" t="s">
        <v>8200</v>
      </c>
    </row>
    <row r="2471" spans="1:17" x14ac:dyDescent="0.25">
      <c r="A2471" t="s">
        <v>4295</v>
      </c>
      <c r="B2471" t="s">
        <v>916</v>
      </c>
      <c r="C2471">
        <v>2027</v>
      </c>
      <c r="D2471" t="s">
        <v>631</v>
      </c>
      <c r="E2471" t="s">
        <v>837</v>
      </c>
      <c r="F2471" s="32">
        <v>46437</v>
      </c>
      <c r="G2471" t="s">
        <v>514</v>
      </c>
      <c r="H2471">
        <v>47128046</v>
      </c>
      <c r="I2471" t="s">
        <v>1389</v>
      </c>
      <c r="J2471" t="s">
        <v>1388</v>
      </c>
      <c r="K2471" t="s">
        <v>530</v>
      </c>
      <c r="N2471">
        <v>0</v>
      </c>
      <c r="O2471">
        <v>0</v>
      </c>
      <c r="P2471" t="str">
        <f t="shared" si="38"/>
        <v>N</v>
      </c>
      <c r="Q2471" t="s">
        <v>8201</v>
      </c>
    </row>
    <row r="2472" spans="1:17" x14ac:dyDescent="0.25">
      <c r="A2472" t="s">
        <v>4296</v>
      </c>
      <c r="B2472" t="s">
        <v>916</v>
      </c>
      <c r="C2472">
        <v>2027</v>
      </c>
      <c r="D2472" t="s">
        <v>631</v>
      </c>
      <c r="E2472" t="s">
        <v>837</v>
      </c>
      <c r="F2472" s="32">
        <v>46437</v>
      </c>
      <c r="G2472" t="s">
        <v>514</v>
      </c>
      <c r="H2472">
        <v>47128355</v>
      </c>
      <c r="I2472" t="s">
        <v>964</v>
      </c>
      <c r="J2472" t="s">
        <v>963</v>
      </c>
      <c r="K2472" t="s">
        <v>530</v>
      </c>
      <c r="N2472">
        <v>0</v>
      </c>
      <c r="O2472">
        <v>0</v>
      </c>
      <c r="P2472" t="str">
        <f t="shared" si="38"/>
        <v>N</v>
      </c>
      <c r="Q2472" t="s">
        <v>8202</v>
      </c>
    </row>
    <row r="2473" spans="1:17" x14ac:dyDescent="0.25">
      <c r="A2473" t="s">
        <v>4297</v>
      </c>
      <c r="B2473" t="s">
        <v>916</v>
      </c>
      <c r="C2473">
        <v>2027</v>
      </c>
      <c r="D2473" t="s">
        <v>631</v>
      </c>
      <c r="E2473" t="s">
        <v>837</v>
      </c>
      <c r="F2473" s="32">
        <v>46437</v>
      </c>
      <c r="G2473" t="s">
        <v>514</v>
      </c>
      <c r="H2473">
        <v>47129548</v>
      </c>
      <c r="I2473" t="s">
        <v>1340</v>
      </c>
      <c r="J2473" t="s">
        <v>1339</v>
      </c>
      <c r="K2473" t="s">
        <v>530</v>
      </c>
      <c r="N2473">
        <v>0</v>
      </c>
      <c r="O2473">
        <v>0</v>
      </c>
      <c r="P2473" t="str">
        <f t="shared" si="38"/>
        <v>N</v>
      </c>
      <c r="Q2473" t="s">
        <v>8203</v>
      </c>
    </row>
    <row r="2474" spans="1:17" x14ac:dyDescent="0.25">
      <c r="A2474" t="s">
        <v>4298</v>
      </c>
      <c r="B2474" t="s">
        <v>916</v>
      </c>
      <c r="C2474">
        <v>2027</v>
      </c>
      <c r="D2474" t="s">
        <v>631</v>
      </c>
      <c r="E2474" t="s">
        <v>837</v>
      </c>
      <c r="F2474" s="32">
        <v>46437</v>
      </c>
      <c r="G2474" t="s">
        <v>514</v>
      </c>
      <c r="H2474">
        <v>47128835</v>
      </c>
      <c r="I2474" t="s">
        <v>998</v>
      </c>
      <c r="J2474" t="s">
        <v>997</v>
      </c>
      <c r="K2474" t="s">
        <v>530</v>
      </c>
      <c r="N2474">
        <v>26</v>
      </c>
      <c r="O2474">
        <v>26</v>
      </c>
      <c r="P2474" t="str">
        <f t="shared" si="38"/>
        <v>N</v>
      </c>
      <c r="Q2474" t="s">
        <v>8204</v>
      </c>
    </row>
    <row r="2475" spans="1:17" x14ac:dyDescent="0.25">
      <c r="A2475" t="s">
        <v>4299</v>
      </c>
      <c r="B2475" t="s">
        <v>916</v>
      </c>
      <c r="C2475">
        <v>2027</v>
      </c>
      <c r="D2475" t="s">
        <v>631</v>
      </c>
      <c r="E2475" t="s">
        <v>837</v>
      </c>
      <c r="F2475" s="32">
        <v>46437</v>
      </c>
      <c r="G2475" t="s">
        <v>514</v>
      </c>
      <c r="H2475">
        <v>47128788</v>
      </c>
      <c r="I2475" t="s">
        <v>4188</v>
      </c>
      <c r="J2475" t="s">
        <v>4189</v>
      </c>
      <c r="K2475" t="s">
        <v>530</v>
      </c>
      <c r="N2475">
        <v>0</v>
      </c>
      <c r="O2475">
        <v>0</v>
      </c>
      <c r="P2475" t="str">
        <f t="shared" si="38"/>
        <v>N</v>
      </c>
      <c r="Q2475" t="s">
        <v>8205</v>
      </c>
    </row>
    <row r="2476" spans="1:17" x14ac:dyDescent="0.25">
      <c r="A2476" t="s">
        <v>4300</v>
      </c>
      <c r="B2476" t="s">
        <v>916</v>
      </c>
      <c r="C2476">
        <v>2027</v>
      </c>
      <c r="D2476" t="s">
        <v>631</v>
      </c>
      <c r="E2476" t="s">
        <v>837</v>
      </c>
      <c r="F2476" s="32">
        <v>46437</v>
      </c>
      <c r="G2476" t="s">
        <v>514</v>
      </c>
      <c r="H2476">
        <v>47136348</v>
      </c>
      <c r="I2476" t="s">
        <v>1025</v>
      </c>
      <c r="J2476" t="s">
        <v>1024</v>
      </c>
      <c r="K2476" t="s">
        <v>530</v>
      </c>
      <c r="N2476">
        <v>0</v>
      </c>
      <c r="O2476">
        <v>0</v>
      </c>
      <c r="P2476" t="str">
        <f t="shared" si="38"/>
        <v>N</v>
      </c>
      <c r="Q2476" t="s">
        <v>8206</v>
      </c>
    </row>
    <row r="2477" spans="1:17" x14ac:dyDescent="0.25">
      <c r="A2477" t="s">
        <v>4301</v>
      </c>
      <c r="B2477" t="s">
        <v>916</v>
      </c>
      <c r="C2477">
        <v>2027</v>
      </c>
      <c r="D2477" t="s">
        <v>631</v>
      </c>
      <c r="E2477" t="s">
        <v>837</v>
      </c>
      <c r="F2477" s="32">
        <v>46437</v>
      </c>
      <c r="G2477" t="s">
        <v>514</v>
      </c>
      <c r="H2477">
        <v>47135083</v>
      </c>
      <c r="I2477" t="s">
        <v>4192</v>
      </c>
      <c r="J2477" t="s">
        <v>4193</v>
      </c>
      <c r="K2477" t="s">
        <v>530</v>
      </c>
      <c r="N2477">
        <v>0</v>
      </c>
      <c r="O2477">
        <v>0</v>
      </c>
      <c r="P2477" t="str">
        <f t="shared" si="38"/>
        <v>N</v>
      </c>
      <c r="Q2477" t="s">
        <v>8207</v>
      </c>
    </row>
    <row r="2478" spans="1:17" x14ac:dyDescent="0.25">
      <c r="A2478" t="s">
        <v>4302</v>
      </c>
      <c r="B2478" t="s">
        <v>916</v>
      </c>
      <c r="C2478">
        <v>2027</v>
      </c>
      <c r="D2478" t="s">
        <v>631</v>
      </c>
      <c r="E2478" t="s">
        <v>837</v>
      </c>
      <c r="F2478" s="32">
        <v>46437</v>
      </c>
      <c r="G2478" t="s">
        <v>514</v>
      </c>
      <c r="H2478">
        <v>47128684</v>
      </c>
      <c r="I2478" t="s">
        <v>1005</v>
      </c>
      <c r="J2478" t="s">
        <v>1004</v>
      </c>
      <c r="K2478" t="s">
        <v>530</v>
      </c>
      <c r="N2478">
        <v>0</v>
      </c>
      <c r="O2478">
        <v>0</v>
      </c>
      <c r="P2478" t="str">
        <f t="shared" si="38"/>
        <v>N</v>
      </c>
      <c r="Q2478" t="s">
        <v>8208</v>
      </c>
    </row>
    <row r="2479" spans="1:17" x14ac:dyDescent="0.25">
      <c r="A2479" t="s">
        <v>4303</v>
      </c>
      <c r="B2479" t="s">
        <v>916</v>
      </c>
      <c r="C2479">
        <v>2027</v>
      </c>
      <c r="D2479" t="s">
        <v>631</v>
      </c>
      <c r="E2479" t="s">
        <v>837</v>
      </c>
      <c r="F2479" s="32">
        <v>46437</v>
      </c>
      <c r="G2479" t="s">
        <v>514</v>
      </c>
      <c r="H2479">
        <v>47128469</v>
      </c>
      <c r="I2479" t="s">
        <v>928</v>
      </c>
      <c r="J2479" t="s">
        <v>927</v>
      </c>
      <c r="K2479" t="s">
        <v>530</v>
      </c>
      <c r="N2479">
        <v>0</v>
      </c>
      <c r="O2479">
        <v>0</v>
      </c>
      <c r="P2479" t="str">
        <f t="shared" si="38"/>
        <v>N</v>
      </c>
      <c r="Q2479" t="s">
        <v>8209</v>
      </c>
    </row>
    <row r="2480" spans="1:17" x14ac:dyDescent="0.25">
      <c r="A2480" t="s">
        <v>4304</v>
      </c>
      <c r="B2480" t="s">
        <v>916</v>
      </c>
      <c r="C2480">
        <v>2027</v>
      </c>
      <c r="D2480" t="s">
        <v>631</v>
      </c>
      <c r="E2480" t="s">
        <v>837</v>
      </c>
      <c r="F2480" s="32">
        <v>46437</v>
      </c>
      <c r="G2480" t="s">
        <v>514</v>
      </c>
      <c r="H2480">
        <v>47128359</v>
      </c>
      <c r="I2480" t="s">
        <v>961</v>
      </c>
      <c r="J2480" t="s">
        <v>960</v>
      </c>
      <c r="K2480" t="s">
        <v>530</v>
      </c>
      <c r="N2480">
        <v>0</v>
      </c>
      <c r="O2480">
        <v>0</v>
      </c>
      <c r="P2480" t="str">
        <f t="shared" si="38"/>
        <v>N</v>
      </c>
      <c r="Q2480" t="s">
        <v>8210</v>
      </c>
    </row>
    <row r="2481" spans="1:17" x14ac:dyDescent="0.25">
      <c r="A2481" t="s">
        <v>4305</v>
      </c>
      <c r="B2481" t="s">
        <v>916</v>
      </c>
      <c r="C2481">
        <v>2027</v>
      </c>
      <c r="D2481" t="s">
        <v>631</v>
      </c>
      <c r="E2481" t="s">
        <v>837</v>
      </c>
      <c r="F2481" s="32">
        <v>46437</v>
      </c>
      <c r="G2481" t="s">
        <v>514</v>
      </c>
      <c r="H2481">
        <v>47128202</v>
      </c>
      <c r="I2481" t="s">
        <v>967</v>
      </c>
      <c r="J2481" t="s">
        <v>966</v>
      </c>
      <c r="K2481" t="s">
        <v>530</v>
      </c>
      <c r="N2481">
        <v>40</v>
      </c>
      <c r="O2481">
        <v>40</v>
      </c>
      <c r="P2481" t="str">
        <f t="shared" si="38"/>
        <v>N</v>
      </c>
      <c r="Q2481" t="s">
        <v>8211</v>
      </c>
    </row>
    <row r="2482" spans="1:17" x14ac:dyDescent="0.25">
      <c r="A2482" t="s">
        <v>4306</v>
      </c>
      <c r="B2482" t="s">
        <v>916</v>
      </c>
      <c r="C2482">
        <v>2027</v>
      </c>
      <c r="D2482" t="s">
        <v>631</v>
      </c>
      <c r="E2482" t="s">
        <v>837</v>
      </c>
      <c r="F2482" s="32">
        <v>46437</v>
      </c>
      <c r="G2482" t="s">
        <v>514</v>
      </c>
      <c r="H2482">
        <v>47128154</v>
      </c>
      <c r="I2482" t="s">
        <v>933</v>
      </c>
      <c r="J2482" t="s">
        <v>932</v>
      </c>
      <c r="K2482" t="s">
        <v>530</v>
      </c>
      <c r="N2482">
        <v>18</v>
      </c>
      <c r="O2482">
        <v>18</v>
      </c>
      <c r="P2482" t="str">
        <f t="shared" si="38"/>
        <v>N</v>
      </c>
      <c r="Q2482" t="s">
        <v>8212</v>
      </c>
    </row>
    <row r="2483" spans="1:17" x14ac:dyDescent="0.25">
      <c r="A2483" t="s">
        <v>4307</v>
      </c>
      <c r="B2483" t="s">
        <v>916</v>
      </c>
      <c r="C2483">
        <v>2027</v>
      </c>
      <c r="D2483" t="s">
        <v>631</v>
      </c>
      <c r="E2483" t="s">
        <v>837</v>
      </c>
      <c r="F2483" s="32">
        <v>46437</v>
      </c>
      <c r="G2483" t="s">
        <v>514</v>
      </c>
      <c r="H2483">
        <v>47128108</v>
      </c>
      <c r="I2483" t="s">
        <v>1011</v>
      </c>
      <c r="J2483" t="s">
        <v>1010</v>
      </c>
      <c r="K2483" t="s">
        <v>530</v>
      </c>
      <c r="N2483">
        <v>40</v>
      </c>
      <c r="O2483">
        <v>40</v>
      </c>
      <c r="P2483" t="str">
        <f t="shared" si="38"/>
        <v>N</v>
      </c>
      <c r="Q2483" t="s">
        <v>8213</v>
      </c>
    </row>
    <row r="2484" spans="1:17" x14ac:dyDescent="0.25">
      <c r="A2484" t="s">
        <v>4308</v>
      </c>
      <c r="B2484" t="s">
        <v>916</v>
      </c>
      <c r="C2484">
        <v>2027</v>
      </c>
      <c r="D2484" t="s">
        <v>631</v>
      </c>
      <c r="E2484" t="s">
        <v>837</v>
      </c>
      <c r="F2484" s="32">
        <v>46437</v>
      </c>
      <c r="G2484" t="s">
        <v>514</v>
      </c>
      <c r="H2484">
        <v>47129069</v>
      </c>
      <c r="I2484" t="s">
        <v>1325</v>
      </c>
      <c r="J2484" t="s">
        <v>1324</v>
      </c>
      <c r="K2484" t="s">
        <v>530</v>
      </c>
      <c r="N2484">
        <v>0</v>
      </c>
      <c r="O2484">
        <v>0</v>
      </c>
      <c r="P2484" t="str">
        <f t="shared" si="38"/>
        <v>N</v>
      </c>
      <c r="Q2484" t="s">
        <v>8214</v>
      </c>
    </row>
    <row r="2485" spans="1:17" x14ac:dyDescent="0.25">
      <c r="A2485" t="s">
        <v>4437</v>
      </c>
      <c r="B2485" t="s">
        <v>4428</v>
      </c>
      <c r="C2485">
        <v>2027</v>
      </c>
      <c r="D2485" t="s">
        <v>631</v>
      </c>
      <c r="E2485" t="s">
        <v>837</v>
      </c>
      <c r="F2485" s="32">
        <v>46437</v>
      </c>
      <c r="G2485" t="s">
        <v>514</v>
      </c>
      <c r="H2485">
        <v>47128132</v>
      </c>
      <c r="I2485" t="s">
        <v>4429</v>
      </c>
      <c r="J2485" t="s">
        <v>4430</v>
      </c>
      <c r="K2485" t="s">
        <v>530</v>
      </c>
      <c r="N2485">
        <v>0</v>
      </c>
      <c r="O2485">
        <v>0</v>
      </c>
      <c r="P2485" t="str">
        <f t="shared" si="38"/>
        <v>N</v>
      </c>
      <c r="Q2485" t="s">
        <v>8215</v>
      </c>
    </row>
    <row r="2486" spans="1:17" x14ac:dyDescent="0.25">
      <c r="A2486" t="s">
        <v>4486</v>
      </c>
      <c r="B2486" t="s">
        <v>4445</v>
      </c>
      <c r="C2486">
        <v>2027</v>
      </c>
      <c r="D2486" t="s">
        <v>631</v>
      </c>
      <c r="E2486" t="s">
        <v>837</v>
      </c>
      <c r="F2486" s="32">
        <v>46437</v>
      </c>
      <c r="G2486" t="s">
        <v>514</v>
      </c>
      <c r="H2486">
        <v>47129711</v>
      </c>
      <c r="I2486" t="s">
        <v>4446</v>
      </c>
      <c r="J2486" t="s">
        <v>4447</v>
      </c>
      <c r="K2486" t="s">
        <v>530</v>
      </c>
      <c r="N2486">
        <v>20</v>
      </c>
      <c r="O2486">
        <v>20</v>
      </c>
      <c r="P2486" t="str">
        <f t="shared" si="38"/>
        <v>N</v>
      </c>
      <c r="Q2486" t="s">
        <v>8216</v>
      </c>
    </row>
    <row r="2487" spans="1:17" x14ac:dyDescent="0.25">
      <c r="A2487" t="s">
        <v>4487</v>
      </c>
      <c r="B2487" t="s">
        <v>4445</v>
      </c>
      <c r="C2487">
        <v>2027</v>
      </c>
      <c r="D2487" t="s">
        <v>631</v>
      </c>
      <c r="E2487" t="s">
        <v>837</v>
      </c>
      <c r="F2487" s="32">
        <v>46437</v>
      </c>
      <c r="G2487" t="s">
        <v>514</v>
      </c>
      <c r="H2487">
        <v>47129228</v>
      </c>
      <c r="I2487" t="s">
        <v>4449</v>
      </c>
      <c r="J2487" t="s">
        <v>4450</v>
      </c>
      <c r="K2487" t="s">
        <v>530</v>
      </c>
      <c r="N2487">
        <v>32</v>
      </c>
      <c r="O2487">
        <v>32</v>
      </c>
      <c r="P2487" t="str">
        <f t="shared" si="38"/>
        <v>N</v>
      </c>
      <c r="Q2487" t="s">
        <v>8217</v>
      </c>
    </row>
    <row r="2488" spans="1:17" x14ac:dyDescent="0.25">
      <c r="A2488" t="s">
        <v>4652</v>
      </c>
      <c r="B2488" t="s">
        <v>1044</v>
      </c>
      <c r="C2488">
        <v>2027</v>
      </c>
      <c r="D2488" t="s">
        <v>631</v>
      </c>
      <c r="E2488" t="s">
        <v>837</v>
      </c>
      <c r="F2488" s="32">
        <v>46437</v>
      </c>
      <c r="G2488" t="s">
        <v>514</v>
      </c>
      <c r="H2488">
        <v>47127948</v>
      </c>
      <c r="I2488" t="s">
        <v>1247</v>
      </c>
      <c r="J2488" t="s">
        <v>1246</v>
      </c>
      <c r="K2488" t="s">
        <v>530</v>
      </c>
      <c r="N2488">
        <v>60</v>
      </c>
      <c r="O2488">
        <v>60</v>
      </c>
      <c r="P2488" t="str">
        <f t="shared" si="38"/>
        <v>N</v>
      </c>
      <c r="Q2488" t="s">
        <v>8218</v>
      </c>
    </row>
    <row r="2489" spans="1:17" x14ac:dyDescent="0.25">
      <c r="A2489" t="s">
        <v>4653</v>
      </c>
      <c r="B2489" t="s">
        <v>1044</v>
      </c>
      <c r="C2489">
        <v>2027</v>
      </c>
      <c r="D2489" t="s">
        <v>631</v>
      </c>
      <c r="E2489" t="s">
        <v>837</v>
      </c>
      <c r="F2489" s="32">
        <v>46437</v>
      </c>
      <c r="G2489" t="s">
        <v>514</v>
      </c>
      <c r="H2489">
        <v>47128710</v>
      </c>
      <c r="I2489" t="s">
        <v>1189</v>
      </c>
      <c r="J2489" t="s">
        <v>1188</v>
      </c>
      <c r="K2489" t="s">
        <v>530</v>
      </c>
      <c r="N2489">
        <v>0</v>
      </c>
      <c r="O2489">
        <v>0</v>
      </c>
      <c r="P2489" t="str">
        <f t="shared" si="38"/>
        <v>N</v>
      </c>
      <c r="Q2489" t="s">
        <v>8219</v>
      </c>
    </row>
    <row r="2490" spans="1:17" x14ac:dyDescent="0.25">
      <c r="A2490" t="s">
        <v>4654</v>
      </c>
      <c r="B2490" t="s">
        <v>1044</v>
      </c>
      <c r="C2490">
        <v>2027</v>
      </c>
      <c r="D2490" t="s">
        <v>631</v>
      </c>
      <c r="E2490" t="s">
        <v>837</v>
      </c>
      <c r="F2490" s="32">
        <v>46437</v>
      </c>
      <c r="G2490" t="s">
        <v>514</v>
      </c>
      <c r="H2490">
        <v>47128572</v>
      </c>
      <c r="I2490" t="s">
        <v>1197</v>
      </c>
      <c r="J2490" t="s">
        <v>1196</v>
      </c>
      <c r="K2490" t="s">
        <v>530</v>
      </c>
      <c r="N2490">
        <v>0</v>
      </c>
      <c r="O2490">
        <v>0</v>
      </c>
      <c r="P2490" t="str">
        <f t="shared" si="38"/>
        <v>N</v>
      </c>
      <c r="Q2490" t="s">
        <v>8220</v>
      </c>
    </row>
    <row r="2491" spans="1:17" x14ac:dyDescent="0.25">
      <c r="A2491" t="s">
        <v>4655</v>
      </c>
      <c r="B2491" t="s">
        <v>1044</v>
      </c>
      <c r="C2491">
        <v>2027</v>
      </c>
      <c r="D2491" t="s">
        <v>631</v>
      </c>
      <c r="E2491" t="s">
        <v>837</v>
      </c>
      <c r="F2491" s="32">
        <v>46437</v>
      </c>
      <c r="G2491" t="s">
        <v>514</v>
      </c>
      <c r="H2491">
        <v>47128482</v>
      </c>
      <c r="I2491" t="s">
        <v>1393</v>
      </c>
      <c r="J2491" t="s">
        <v>1392</v>
      </c>
      <c r="K2491" t="s">
        <v>530</v>
      </c>
      <c r="N2491">
        <v>0</v>
      </c>
      <c r="O2491">
        <v>0</v>
      </c>
      <c r="P2491" t="str">
        <f t="shared" si="38"/>
        <v>N</v>
      </c>
      <c r="Q2491" t="s">
        <v>8221</v>
      </c>
    </row>
    <row r="2492" spans="1:17" x14ac:dyDescent="0.25">
      <c r="A2492" t="s">
        <v>4656</v>
      </c>
      <c r="B2492" t="s">
        <v>1044</v>
      </c>
      <c r="C2492">
        <v>2027</v>
      </c>
      <c r="D2492" t="s">
        <v>631</v>
      </c>
      <c r="E2492" t="s">
        <v>837</v>
      </c>
      <c r="F2492" s="32">
        <v>46437</v>
      </c>
      <c r="G2492" t="s">
        <v>514</v>
      </c>
      <c r="H2492">
        <v>47128337</v>
      </c>
      <c r="I2492" t="s">
        <v>1120</v>
      </c>
      <c r="J2492" t="s">
        <v>1119</v>
      </c>
      <c r="K2492" t="s">
        <v>530</v>
      </c>
      <c r="N2492">
        <v>0</v>
      </c>
      <c r="O2492">
        <v>0</v>
      </c>
      <c r="P2492" t="str">
        <f t="shared" si="38"/>
        <v>N</v>
      </c>
      <c r="Q2492" t="s">
        <v>8222</v>
      </c>
    </row>
    <row r="2493" spans="1:17" x14ac:dyDescent="0.25">
      <c r="A2493" t="s">
        <v>4657</v>
      </c>
      <c r="B2493" t="s">
        <v>1044</v>
      </c>
      <c r="C2493">
        <v>2027</v>
      </c>
      <c r="D2493" t="s">
        <v>631</v>
      </c>
      <c r="E2493" t="s">
        <v>837</v>
      </c>
      <c r="F2493" s="32">
        <v>46437</v>
      </c>
      <c r="G2493" t="s">
        <v>514</v>
      </c>
      <c r="H2493">
        <v>47128833</v>
      </c>
      <c r="I2493" t="s">
        <v>1193</v>
      </c>
      <c r="J2493" t="s">
        <v>1192</v>
      </c>
      <c r="K2493" t="s">
        <v>530</v>
      </c>
      <c r="N2493">
        <v>0</v>
      </c>
      <c r="O2493">
        <v>0</v>
      </c>
      <c r="P2493" t="str">
        <f t="shared" si="38"/>
        <v>N</v>
      </c>
      <c r="Q2493" t="s">
        <v>8223</v>
      </c>
    </row>
    <row r="2494" spans="1:17" x14ac:dyDescent="0.25">
      <c r="A2494" t="s">
        <v>4658</v>
      </c>
      <c r="B2494" t="s">
        <v>1044</v>
      </c>
      <c r="C2494">
        <v>2027</v>
      </c>
      <c r="D2494" t="s">
        <v>631</v>
      </c>
      <c r="E2494" t="s">
        <v>837</v>
      </c>
      <c r="F2494" s="32">
        <v>46437</v>
      </c>
      <c r="G2494" t="s">
        <v>514</v>
      </c>
      <c r="H2494">
        <v>47128784</v>
      </c>
      <c r="I2494" t="s">
        <v>1426</v>
      </c>
      <c r="J2494" t="s">
        <v>1425</v>
      </c>
      <c r="K2494" t="s">
        <v>530</v>
      </c>
      <c r="N2494">
        <v>0</v>
      </c>
      <c r="O2494">
        <v>0</v>
      </c>
      <c r="P2494" t="str">
        <f t="shared" si="38"/>
        <v>N</v>
      </c>
      <c r="Q2494" t="s">
        <v>8224</v>
      </c>
    </row>
    <row r="2495" spans="1:17" x14ac:dyDescent="0.25">
      <c r="A2495" t="s">
        <v>4659</v>
      </c>
      <c r="B2495" t="s">
        <v>1044</v>
      </c>
      <c r="C2495">
        <v>2027</v>
      </c>
      <c r="D2495" t="s">
        <v>631</v>
      </c>
      <c r="E2495" t="s">
        <v>837</v>
      </c>
      <c r="F2495" s="32">
        <v>46437</v>
      </c>
      <c r="G2495" t="s">
        <v>514</v>
      </c>
      <c r="H2495">
        <v>47129473</v>
      </c>
      <c r="I2495" t="s">
        <v>1430</v>
      </c>
      <c r="J2495" t="s">
        <v>1429</v>
      </c>
      <c r="K2495" t="s">
        <v>530</v>
      </c>
      <c r="N2495">
        <v>20</v>
      </c>
      <c r="O2495">
        <v>20</v>
      </c>
      <c r="P2495" t="str">
        <f t="shared" si="38"/>
        <v>N</v>
      </c>
      <c r="Q2495" t="s">
        <v>8225</v>
      </c>
    </row>
    <row r="2496" spans="1:17" x14ac:dyDescent="0.25">
      <c r="A2496" t="s">
        <v>4660</v>
      </c>
      <c r="B2496" t="s">
        <v>1044</v>
      </c>
      <c r="C2496">
        <v>2027</v>
      </c>
      <c r="D2496" t="s">
        <v>631</v>
      </c>
      <c r="E2496" t="s">
        <v>837</v>
      </c>
      <c r="F2496" s="32">
        <v>46437</v>
      </c>
      <c r="G2496" t="s">
        <v>514</v>
      </c>
      <c r="H2496">
        <v>47128429</v>
      </c>
      <c r="I2496" t="s">
        <v>1371</v>
      </c>
      <c r="J2496" t="s">
        <v>1370</v>
      </c>
      <c r="K2496" t="s">
        <v>530</v>
      </c>
      <c r="N2496">
        <v>0</v>
      </c>
      <c r="O2496">
        <v>0</v>
      </c>
      <c r="P2496" t="str">
        <f t="shared" si="38"/>
        <v>N</v>
      </c>
      <c r="Q2496" t="s">
        <v>8226</v>
      </c>
    </row>
    <row r="2497" spans="1:17" x14ac:dyDescent="0.25">
      <c r="A2497" t="s">
        <v>4661</v>
      </c>
      <c r="B2497" t="s">
        <v>1044</v>
      </c>
      <c r="C2497">
        <v>2027</v>
      </c>
      <c r="D2497" t="s">
        <v>631</v>
      </c>
      <c r="E2497" t="s">
        <v>837</v>
      </c>
      <c r="F2497" s="32">
        <v>46437</v>
      </c>
      <c r="G2497" t="s">
        <v>514</v>
      </c>
      <c r="H2497">
        <v>47128181</v>
      </c>
      <c r="I2497" t="s">
        <v>1301</v>
      </c>
      <c r="J2497" t="s">
        <v>1300</v>
      </c>
      <c r="K2497" t="s">
        <v>530</v>
      </c>
      <c r="N2497">
        <v>0</v>
      </c>
      <c r="O2497">
        <v>0</v>
      </c>
      <c r="P2497" t="str">
        <f t="shared" si="38"/>
        <v>N</v>
      </c>
      <c r="Q2497" t="s">
        <v>8227</v>
      </c>
    </row>
    <row r="2498" spans="1:17" x14ac:dyDescent="0.25">
      <c r="A2498" t="s">
        <v>5029</v>
      </c>
      <c r="B2498" t="s">
        <v>1090</v>
      </c>
      <c r="C2498">
        <v>2027</v>
      </c>
      <c r="D2498" t="s">
        <v>631</v>
      </c>
      <c r="E2498" t="s">
        <v>837</v>
      </c>
      <c r="F2498" s="32">
        <v>46437</v>
      </c>
      <c r="G2498" t="s">
        <v>514</v>
      </c>
      <c r="H2498">
        <v>47128317</v>
      </c>
      <c r="I2498" t="s">
        <v>985</v>
      </c>
      <c r="J2498" t="s">
        <v>984</v>
      </c>
      <c r="K2498" t="s">
        <v>530</v>
      </c>
      <c r="N2498">
        <v>0</v>
      </c>
      <c r="O2498">
        <v>0</v>
      </c>
      <c r="P2498" t="str">
        <f t="shared" si="38"/>
        <v>N</v>
      </c>
      <c r="Q2498" t="s">
        <v>8228</v>
      </c>
    </row>
    <row r="2499" spans="1:17" x14ac:dyDescent="0.25">
      <c r="A2499" t="s">
        <v>5030</v>
      </c>
      <c r="B2499" t="s">
        <v>1090</v>
      </c>
      <c r="C2499">
        <v>2027</v>
      </c>
      <c r="D2499" t="s">
        <v>631</v>
      </c>
      <c r="E2499" t="s">
        <v>837</v>
      </c>
      <c r="F2499" s="32">
        <v>46437</v>
      </c>
      <c r="G2499" t="s">
        <v>514</v>
      </c>
      <c r="H2499">
        <v>47128137</v>
      </c>
      <c r="I2499" t="s">
        <v>1008</v>
      </c>
      <c r="J2499" t="s">
        <v>1007</v>
      </c>
      <c r="K2499" t="s">
        <v>530</v>
      </c>
      <c r="N2499">
        <v>0</v>
      </c>
      <c r="O2499">
        <v>0</v>
      </c>
      <c r="P2499" t="str">
        <f t="shared" ref="P2499:P2562" si="39">IF(N2499=O2499,"N","Y")</f>
        <v>N</v>
      </c>
      <c r="Q2499" t="s">
        <v>8229</v>
      </c>
    </row>
    <row r="2500" spans="1:17" x14ac:dyDescent="0.25">
      <c r="A2500" t="s">
        <v>5031</v>
      </c>
      <c r="B2500" t="s">
        <v>1090</v>
      </c>
      <c r="C2500">
        <v>2027</v>
      </c>
      <c r="D2500" t="s">
        <v>631</v>
      </c>
      <c r="E2500" t="s">
        <v>837</v>
      </c>
      <c r="F2500" s="32">
        <v>46437</v>
      </c>
      <c r="G2500" t="s">
        <v>514</v>
      </c>
      <c r="H2500">
        <v>47128085</v>
      </c>
      <c r="I2500" t="s">
        <v>942</v>
      </c>
      <c r="J2500" t="s">
        <v>941</v>
      </c>
      <c r="K2500" t="s">
        <v>530</v>
      </c>
      <c r="N2500">
        <v>0</v>
      </c>
      <c r="O2500">
        <v>0</v>
      </c>
      <c r="P2500" t="str">
        <f t="shared" si="39"/>
        <v>N</v>
      </c>
      <c r="Q2500" t="s">
        <v>8230</v>
      </c>
    </row>
    <row r="2501" spans="1:17" x14ac:dyDescent="0.25">
      <c r="A2501" t="s">
        <v>5032</v>
      </c>
      <c r="B2501" t="s">
        <v>1090</v>
      </c>
      <c r="C2501">
        <v>2027</v>
      </c>
      <c r="D2501" t="s">
        <v>631</v>
      </c>
      <c r="E2501" t="s">
        <v>837</v>
      </c>
      <c r="F2501" s="32">
        <v>46437</v>
      </c>
      <c r="G2501" t="s">
        <v>514</v>
      </c>
      <c r="H2501">
        <v>47128139</v>
      </c>
      <c r="I2501" t="s">
        <v>988</v>
      </c>
      <c r="J2501" t="s">
        <v>987</v>
      </c>
      <c r="K2501" t="s">
        <v>530</v>
      </c>
      <c r="N2501">
        <v>0</v>
      </c>
      <c r="O2501">
        <v>0</v>
      </c>
      <c r="P2501" t="str">
        <f t="shared" si="39"/>
        <v>N</v>
      </c>
      <c r="Q2501" t="s">
        <v>8231</v>
      </c>
    </row>
    <row r="2502" spans="1:17" x14ac:dyDescent="0.25">
      <c r="A2502" t="s">
        <v>5033</v>
      </c>
      <c r="B2502" t="s">
        <v>1090</v>
      </c>
      <c r="C2502">
        <v>2027</v>
      </c>
      <c r="D2502" t="s">
        <v>631</v>
      </c>
      <c r="E2502" t="s">
        <v>837</v>
      </c>
      <c r="F2502" s="32">
        <v>46437</v>
      </c>
      <c r="G2502" t="s">
        <v>514</v>
      </c>
      <c r="H2502">
        <v>47128939</v>
      </c>
      <c r="I2502" t="s">
        <v>1224</v>
      </c>
      <c r="J2502" t="s">
        <v>1223</v>
      </c>
      <c r="K2502" t="s">
        <v>530</v>
      </c>
      <c r="N2502">
        <v>0</v>
      </c>
      <c r="O2502">
        <v>0</v>
      </c>
      <c r="P2502" t="str">
        <f t="shared" si="39"/>
        <v>N</v>
      </c>
      <c r="Q2502" t="s">
        <v>8232</v>
      </c>
    </row>
    <row r="2503" spans="1:17" x14ac:dyDescent="0.25">
      <c r="A2503" t="s">
        <v>5034</v>
      </c>
      <c r="B2503" t="s">
        <v>1090</v>
      </c>
      <c r="C2503">
        <v>2027</v>
      </c>
      <c r="D2503" t="s">
        <v>631</v>
      </c>
      <c r="E2503" t="s">
        <v>837</v>
      </c>
      <c r="F2503" s="32">
        <v>46437</v>
      </c>
      <c r="G2503" t="s">
        <v>514</v>
      </c>
      <c r="H2503">
        <v>47128449</v>
      </c>
      <c r="I2503" t="s">
        <v>1364</v>
      </c>
      <c r="J2503" t="s">
        <v>1363</v>
      </c>
      <c r="K2503" t="s">
        <v>530</v>
      </c>
      <c r="N2503">
        <v>0</v>
      </c>
      <c r="O2503">
        <v>0</v>
      </c>
      <c r="P2503" t="str">
        <f t="shared" si="39"/>
        <v>N</v>
      </c>
      <c r="Q2503" t="s">
        <v>8233</v>
      </c>
    </row>
    <row r="2504" spans="1:17" x14ac:dyDescent="0.25">
      <c r="A2504" t="s">
        <v>5035</v>
      </c>
      <c r="B2504" t="s">
        <v>1090</v>
      </c>
      <c r="C2504">
        <v>2027</v>
      </c>
      <c r="D2504" t="s">
        <v>631</v>
      </c>
      <c r="E2504" t="s">
        <v>837</v>
      </c>
      <c r="F2504" s="32">
        <v>46437</v>
      </c>
      <c r="G2504" t="s">
        <v>514</v>
      </c>
      <c r="H2504">
        <v>47128902</v>
      </c>
      <c r="I2504" t="s">
        <v>1243</v>
      </c>
      <c r="J2504" t="s">
        <v>1242</v>
      </c>
      <c r="K2504" t="s">
        <v>530</v>
      </c>
      <c r="N2504">
        <v>0</v>
      </c>
      <c r="O2504">
        <v>0</v>
      </c>
      <c r="P2504" t="str">
        <f t="shared" si="39"/>
        <v>N</v>
      </c>
      <c r="Q2504" t="s">
        <v>8234</v>
      </c>
    </row>
    <row r="2505" spans="1:17" x14ac:dyDescent="0.25">
      <c r="A2505" t="s">
        <v>5036</v>
      </c>
      <c r="B2505" t="s">
        <v>1090</v>
      </c>
      <c r="C2505">
        <v>2027</v>
      </c>
      <c r="D2505" t="s">
        <v>631</v>
      </c>
      <c r="E2505" t="s">
        <v>837</v>
      </c>
      <c r="F2505" s="32">
        <v>46437</v>
      </c>
      <c r="G2505" t="s">
        <v>514</v>
      </c>
      <c r="H2505">
        <v>47128417</v>
      </c>
      <c r="I2505" t="s">
        <v>1069</v>
      </c>
      <c r="J2505" t="s">
        <v>1068</v>
      </c>
      <c r="K2505" t="s">
        <v>530</v>
      </c>
      <c r="N2505">
        <v>20</v>
      </c>
      <c r="O2505">
        <v>20</v>
      </c>
      <c r="P2505" t="str">
        <f t="shared" si="39"/>
        <v>N</v>
      </c>
      <c r="Q2505" t="s">
        <v>8235</v>
      </c>
    </row>
    <row r="2506" spans="1:17" x14ac:dyDescent="0.25">
      <c r="A2506" t="s">
        <v>5037</v>
      </c>
      <c r="B2506" t="s">
        <v>1090</v>
      </c>
      <c r="C2506">
        <v>2027</v>
      </c>
      <c r="D2506" t="s">
        <v>631</v>
      </c>
      <c r="E2506" t="s">
        <v>837</v>
      </c>
      <c r="F2506" s="32">
        <v>46437</v>
      </c>
      <c r="G2506" t="s">
        <v>514</v>
      </c>
      <c r="H2506">
        <v>47129017</v>
      </c>
      <c r="I2506" t="s">
        <v>1073</v>
      </c>
      <c r="J2506" t="s">
        <v>1072</v>
      </c>
      <c r="K2506" t="s">
        <v>530</v>
      </c>
      <c r="N2506">
        <v>0</v>
      </c>
      <c r="O2506">
        <v>0</v>
      </c>
      <c r="P2506" t="str">
        <f t="shared" si="39"/>
        <v>N</v>
      </c>
      <c r="Q2506" t="s">
        <v>8236</v>
      </c>
    </row>
    <row r="2507" spans="1:17" x14ac:dyDescent="0.25">
      <c r="A2507" t="s">
        <v>5038</v>
      </c>
      <c r="B2507" t="s">
        <v>1090</v>
      </c>
      <c r="C2507">
        <v>2027</v>
      </c>
      <c r="D2507" t="s">
        <v>631</v>
      </c>
      <c r="E2507" t="s">
        <v>837</v>
      </c>
      <c r="F2507" s="32">
        <v>46437</v>
      </c>
      <c r="G2507" t="s">
        <v>514</v>
      </c>
      <c r="H2507">
        <v>47128936</v>
      </c>
      <c r="I2507" t="s">
        <v>1173</v>
      </c>
      <c r="J2507" t="s">
        <v>1172</v>
      </c>
      <c r="K2507" t="s">
        <v>530</v>
      </c>
      <c r="N2507">
        <v>0</v>
      </c>
      <c r="O2507">
        <v>0</v>
      </c>
      <c r="P2507" t="str">
        <f t="shared" si="39"/>
        <v>N</v>
      </c>
      <c r="Q2507" t="s">
        <v>8237</v>
      </c>
    </row>
    <row r="2508" spans="1:17" x14ac:dyDescent="0.25">
      <c r="A2508" t="s">
        <v>5039</v>
      </c>
      <c r="B2508" t="s">
        <v>1090</v>
      </c>
      <c r="C2508">
        <v>2027</v>
      </c>
      <c r="D2508" t="s">
        <v>631</v>
      </c>
      <c r="E2508" t="s">
        <v>837</v>
      </c>
      <c r="F2508" s="32">
        <v>46437</v>
      </c>
      <c r="G2508" t="s">
        <v>514</v>
      </c>
      <c r="H2508">
        <v>47129715</v>
      </c>
      <c r="I2508" t="s">
        <v>1272</v>
      </c>
      <c r="J2508" t="s">
        <v>1271</v>
      </c>
      <c r="K2508" t="s">
        <v>530</v>
      </c>
      <c r="N2508">
        <v>0</v>
      </c>
      <c r="O2508">
        <v>0</v>
      </c>
      <c r="P2508" t="str">
        <f t="shared" si="39"/>
        <v>N</v>
      </c>
      <c r="Q2508" t="s">
        <v>8238</v>
      </c>
    </row>
    <row r="2509" spans="1:17" x14ac:dyDescent="0.25">
      <c r="A2509" t="s">
        <v>5040</v>
      </c>
      <c r="B2509" t="s">
        <v>1090</v>
      </c>
      <c r="C2509">
        <v>2027</v>
      </c>
      <c r="D2509" t="s">
        <v>631</v>
      </c>
      <c r="E2509" t="s">
        <v>837</v>
      </c>
      <c r="F2509" s="32">
        <v>46437</v>
      </c>
      <c r="G2509" t="s">
        <v>514</v>
      </c>
      <c r="H2509">
        <v>47129702</v>
      </c>
      <c r="I2509" t="s">
        <v>1309</v>
      </c>
      <c r="J2509" t="s">
        <v>1308</v>
      </c>
      <c r="K2509" t="s">
        <v>530</v>
      </c>
      <c r="N2509">
        <v>0</v>
      </c>
      <c r="O2509">
        <v>0</v>
      </c>
      <c r="P2509" t="str">
        <f t="shared" si="39"/>
        <v>N</v>
      </c>
      <c r="Q2509" t="s">
        <v>8239</v>
      </c>
    </row>
    <row r="2510" spans="1:17" x14ac:dyDescent="0.25">
      <c r="A2510" t="s">
        <v>5041</v>
      </c>
      <c r="B2510" t="s">
        <v>1090</v>
      </c>
      <c r="C2510">
        <v>2027</v>
      </c>
      <c r="D2510" t="s">
        <v>631</v>
      </c>
      <c r="E2510" t="s">
        <v>837</v>
      </c>
      <c r="F2510" s="32">
        <v>46437</v>
      </c>
      <c r="G2510" t="s">
        <v>514</v>
      </c>
      <c r="H2510">
        <v>47128777</v>
      </c>
      <c r="I2510" t="s">
        <v>1329</v>
      </c>
      <c r="J2510" t="s">
        <v>1328</v>
      </c>
      <c r="K2510" t="s">
        <v>530</v>
      </c>
      <c r="N2510">
        <v>40</v>
      </c>
      <c r="O2510">
        <v>40</v>
      </c>
      <c r="P2510" t="str">
        <f t="shared" si="39"/>
        <v>N</v>
      </c>
      <c r="Q2510" t="s">
        <v>8240</v>
      </c>
    </row>
    <row r="2511" spans="1:17" x14ac:dyDescent="0.25">
      <c r="A2511" t="s">
        <v>5042</v>
      </c>
      <c r="B2511" t="s">
        <v>1090</v>
      </c>
      <c r="C2511">
        <v>2027</v>
      </c>
      <c r="D2511" t="s">
        <v>631</v>
      </c>
      <c r="E2511" t="s">
        <v>837</v>
      </c>
      <c r="F2511" s="32">
        <v>46437</v>
      </c>
      <c r="G2511" t="s">
        <v>514</v>
      </c>
      <c r="H2511">
        <v>47148880</v>
      </c>
      <c r="I2511" t="s">
        <v>1305</v>
      </c>
      <c r="J2511" t="s">
        <v>1304</v>
      </c>
      <c r="K2511" t="s">
        <v>530</v>
      </c>
      <c r="N2511">
        <v>0</v>
      </c>
      <c r="O2511">
        <v>0</v>
      </c>
      <c r="P2511" t="str">
        <f t="shared" si="39"/>
        <v>N</v>
      </c>
      <c r="Q2511" t="s">
        <v>8241</v>
      </c>
    </row>
    <row r="2512" spans="1:17" x14ac:dyDescent="0.25">
      <c r="A2512" t="s">
        <v>5043</v>
      </c>
      <c r="B2512" t="s">
        <v>1090</v>
      </c>
      <c r="C2512">
        <v>2027</v>
      </c>
      <c r="D2512" t="s">
        <v>631</v>
      </c>
      <c r="E2512" t="s">
        <v>837</v>
      </c>
      <c r="F2512" s="32">
        <v>46437</v>
      </c>
      <c r="G2512" t="s">
        <v>514</v>
      </c>
      <c r="H2512">
        <v>47128467</v>
      </c>
      <c r="I2512" t="s">
        <v>1292</v>
      </c>
      <c r="J2512" t="s">
        <v>1291</v>
      </c>
      <c r="K2512" t="s">
        <v>530</v>
      </c>
      <c r="N2512">
        <v>0</v>
      </c>
      <c r="O2512">
        <v>0</v>
      </c>
      <c r="P2512" t="str">
        <f t="shared" si="39"/>
        <v>N</v>
      </c>
      <c r="Q2512" t="s">
        <v>8242</v>
      </c>
    </row>
    <row r="2513" spans="1:17" x14ac:dyDescent="0.25">
      <c r="A2513" t="s">
        <v>5044</v>
      </c>
      <c r="B2513" t="s">
        <v>1090</v>
      </c>
      <c r="C2513">
        <v>2027</v>
      </c>
      <c r="D2513" t="s">
        <v>631</v>
      </c>
      <c r="E2513" t="s">
        <v>837</v>
      </c>
      <c r="F2513" s="32">
        <v>46437</v>
      </c>
      <c r="G2513" t="s">
        <v>514</v>
      </c>
      <c r="H2513">
        <v>47128643</v>
      </c>
      <c r="I2513" t="s">
        <v>1367</v>
      </c>
      <c r="J2513" t="s">
        <v>1366</v>
      </c>
      <c r="K2513" t="s">
        <v>530</v>
      </c>
      <c r="N2513">
        <v>0</v>
      </c>
      <c r="O2513">
        <v>0</v>
      </c>
      <c r="P2513" t="str">
        <f t="shared" si="39"/>
        <v>N</v>
      </c>
      <c r="Q2513" t="s">
        <v>8243</v>
      </c>
    </row>
    <row r="2514" spans="1:17" x14ac:dyDescent="0.25">
      <c r="A2514" t="s">
        <v>5045</v>
      </c>
      <c r="B2514" t="s">
        <v>1090</v>
      </c>
      <c r="C2514">
        <v>2027</v>
      </c>
      <c r="D2514" t="s">
        <v>631</v>
      </c>
      <c r="E2514" t="s">
        <v>837</v>
      </c>
      <c r="F2514" s="32">
        <v>46437</v>
      </c>
      <c r="G2514" t="s">
        <v>514</v>
      </c>
      <c r="H2514">
        <v>47151576</v>
      </c>
      <c r="I2514" t="s">
        <v>1506</v>
      </c>
      <c r="J2514" t="s">
        <v>1505</v>
      </c>
      <c r="K2514" t="s">
        <v>530</v>
      </c>
      <c r="N2514">
        <v>0</v>
      </c>
      <c r="O2514">
        <v>0</v>
      </c>
      <c r="P2514" t="str">
        <f t="shared" si="39"/>
        <v>N</v>
      </c>
      <c r="Q2514" t="s">
        <v>8244</v>
      </c>
    </row>
    <row r="2515" spans="1:17" x14ac:dyDescent="0.25">
      <c r="A2515" t="s">
        <v>5046</v>
      </c>
      <c r="B2515" t="s">
        <v>1090</v>
      </c>
      <c r="C2515">
        <v>2027</v>
      </c>
      <c r="D2515" t="s">
        <v>631</v>
      </c>
      <c r="E2515" t="s">
        <v>837</v>
      </c>
      <c r="F2515" s="32">
        <v>46437</v>
      </c>
      <c r="G2515" t="s">
        <v>514</v>
      </c>
      <c r="H2515">
        <v>47129459</v>
      </c>
      <c r="I2515" t="s">
        <v>1321</v>
      </c>
      <c r="J2515" t="s">
        <v>1320</v>
      </c>
      <c r="K2515" t="s">
        <v>530</v>
      </c>
      <c r="N2515">
        <v>0</v>
      </c>
      <c r="O2515">
        <v>0</v>
      </c>
      <c r="P2515" t="str">
        <f t="shared" si="39"/>
        <v>N</v>
      </c>
      <c r="Q2515" t="s">
        <v>8245</v>
      </c>
    </row>
    <row r="2516" spans="1:17" x14ac:dyDescent="0.25">
      <c r="A2516" t="s">
        <v>5047</v>
      </c>
      <c r="B2516" t="s">
        <v>1090</v>
      </c>
      <c r="C2516">
        <v>2027</v>
      </c>
      <c r="D2516" t="s">
        <v>631</v>
      </c>
      <c r="E2516" t="s">
        <v>837</v>
      </c>
      <c r="F2516" s="32">
        <v>46437</v>
      </c>
      <c r="G2516" t="s">
        <v>514</v>
      </c>
      <c r="H2516">
        <v>47129130</v>
      </c>
      <c r="I2516" t="s">
        <v>1434</v>
      </c>
      <c r="J2516" t="s">
        <v>1433</v>
      </c>
      <c r="K2516" t="s">
        <v>530</v>
      </c>
      <c r="N2516">
        <v>17</v>
      </c>
      <c r="O2516">
        <v>17</v>
      </c>
      <c r="P2516" t="str">
        <f t="shared" si="39"/>
        <v>N</v>
      </c>
      <c r="Q2516" t="s">
        <v>8246</v>
      </c>
    </row>
    <row r="2517" spans="1:17" x14ac:dyDescent="0.25">
      <c r="A2517" t="s">
        <v>5048</v>
      </c>
      <c r="B2517" t="s">
        <v>1090</v>
      </c>
      <c r="C2517">
        <v>2027</v>
      </c>
      <c r="D2517" t="s">
        <v>631</v>
      </c>
      <c r="E2517" t="s">
        <v>837</v>
      </c>
      <c r="F2517" s="32">
        <v>46437</v>
      </c>
      <c r="G2517" t="s">
        <v>514</v>
      </c>
      <c r="H2517">
        <v>47129692</v>
      </c>
      <c r="I2517" t="s">
        <v>1475</v>
      </c>
      <c r="J2517" t="s">
        <v>1474</v>
      </c>
      <c r="K2517" t="s">
        <v>530</v>
      </c>
      <c r="N2517">
        <v>0</v>
      </c>
      <c r="O2517">
        <v>0</v>
      </c>
      <c r="P2517" t="str">
        <f t="shared" si="39"/>
        <v>N</v>
      </c>
      <c r="Q2517" t="s">
        <v>8247</v>
      </c>
    </row>
    <row r="2518" spans="1:17" x14ac:dyDescent="0.25">
      <c r="A2518" t="s">
        <v>5049</v>
      </c>
      <c r="B2518" t="s">
        <v>1090</v>
      </c>
      <c r="C2518">
        <v>2027</v>
      </c>
      <c r="D2518" t="s">
        <v>631</v>
      </c>
      <c r="E2518" t="s">
        <v>837</v>
      </c>
      <c r="F2518" s="32">
        <v>46437</v>
      </c>
      <c r="G2518" t="s">
        <v>514</v>
      </c>
      <c r="H2518">
        <v>47153262</v>
      </c>
      <c r="I2518" t="s">
        <v>1502</v>
      </c>
      <c r="J2518" t="s">
        <v>1501</v>
      </c>
      <c r="K2518" t="s">
        <v>530</v>
      </c>
      <c r="N2518">
        <v>0</v>
      </c>
      <c r="O2518">
        <v>0</v>
      </c>
      <c r="P2518" t="str">
        <f t="shared" si="39"/>
        <v>N</v>
      </c>
      <c r="Q2518" t="s">
        <v>8248</v>
      </c>
    </row>
    <row r="2519" spans="1:17" x14ac:dyDescent="0.25">
      <c r="A2519" t="s">
        <v>5050</v>
      </c>
      <c r="B2519" t="s">
        <v>1090</v>
      </c>
      <c r="C2519">
        <v>2027</v>
      </c>
      <c r="D2519" t="s">
        <v>631</v>
      </c>
      <c r="E2519" t="s">
        <v>837</v>
      </c>
      <c r="F2519" s="32">
        <v>46437</v>
      </c>
      <c r="G2519" t="s">
        <v>514</v>
      </c>
      <c r="H2519">
        <v>47146895</v>
      </c>
      <c r="I2519" t="s">
        <v>1375</v>
      </c>
      <c r="J2519" t="s">
        <v>1374</v>
      </c>
      <c r="K2519" t="s">
        <v>530</v>
      </c>
      <c r="N2519">
        <v>0</v>
      </c>
      <c r="O2519">
        <v>0</v>
      </c>
      <c r="P2519" t="str">
        <f t="shared" si="39"/>
        <v>N</v>
      </c>
      <c r="Q2519" t="s">
        <v>8249</v>
      </c>
    </row>
    <row r="2520" spans="1:17" x14ac:dyDescent="0.25">
      <c r="A2520" t="s">
        <v>5051</v>
      </c>
      <c r="B2520" t="s">
        <v>1090</v>
      </c>
      <c r="C2520">
        <v>2027</v>
      </c>
      <c r="D2520" t="s">
        <v>631</v>
      </c>
      <c r="E2520" t="s">
        <v>837</v>
      </c>
      <c r="F2520" s="32">
        <v>46437</v>
      </c>
      <c r="G2520" t="s">
        <v>514</v>
      </c>
      <c r="H2520">
        <v>47128115</v>
      </c>
      <c r="I2520" t="s">
        <v>1260</v>
      </c>
      <c r="J2520" t="s">
        <v>1499</v>
      </c>
      <c r="K2520" t="s">
        <v>530</v>
      </c>
      <c r="N2520">
        <v>0</v>
      </c>
      <c r="O2520">
        <v>0</v>
      </c>
      <c r="P2520" t="str">
        <f t="shared" si="39"/>
        <v>N</v>
      </c>
      <c r="Q2520" t="s">
        <v>8250</v>
      </c>
    </row>
    <row r="2521" spans="1:17" x14ac:dyDescent="0.25">
      <c r="A2521" t="s">
        <v>5052</v>
      </c>
      <c r="B2521" t="s">
        <v>1090</v>
      </c>
      <c r="C2521">
        <v>2027</v>
      </c>
      <c r="D2521" t="s">
        <v>631</v>
      </c>
      <c r="E2521" t="s">
        <v>837</v>
      </c>
      <c r="F2521" s="32">
        <v>46437</v>
      </c>
      <c r="G2521" t="s">
        <v>514</v>
      </c>
      <c r="H2521">
        <v>47129679</v>
      </c>
      <c r="I2521" t="s">
        <v>1422</v>
      </c>
      <c r="J2521" t="s">
        <v>1421</v>
      </c>
      <c r="K2521" t="s">
        <v>530</v>
      </c>
      <c r="N2521">
        <v>0</v>
      </c>
      <c r="O2521">
        <v>0</v>
      </c>
      <c r="P2521" t="str">
        <f t="shared" si="39"/>
        <v>N</v>
      </c>
      <c r="Q2521" t="s">
        <v>8251</v>
      </c>
    </row>
    <row r="2522" spans="1:17" x14ac:dyDescent="0.25">
      <c r="A2522" t="s">
        <v>5053</v>
      </c>
      <c r="B2522" t="s">
        <v>1090</v>
      </c>
      <c r="C2522">
        <v>2027</v>
      </c>
      <c r="D2522" t="s">
        <v>631</v>
      </c>
      <c r="E2522" t="s">
        <v>837</v>
      </c>
      <c r="F2522" s="32">
        <v>46437</v>
      </c>
      <c r="G2522" t="s">
        <v>514</v>
      </c>
      <c r="H2522">
        <v>47129432</v>
      </c>
      <c r="I2522" t="s">
        <v>1468</v>
      </c>
      <c r="J2522" t="s">
        <v>1467</v>
      </c>
      <c r="K2522" t="s">
        <v>530</v>
      </c>
      <c r="N2522">
        <v>0</v>
      </c>
      <c r="O2522">
        <v>0</v>
      </c>
      <c r="P2522" t="str">
        <f t="shared" si="39"/>
        <v>N</v>
      </c>
      <c r="Q2522" t="s">
        <v>8252</v>
      </c>
    </row>
    <row r="2523" spans="1:17" x14ac:dyDescent="0.25">
      <c r="A2523" t="s">
        <v>5054</v>
      </c>
      <c r="B2523" t="s">
        <v>1090</v>
      </c>
      <c r="C2523">
        <v>2027</v>
      </c>
      <c r="D2523" t="s">
        <v>631</v>
      </c>
      <c r="E2523" t="s">
        <v>837</v>
      </c>
      <c r="F2523" s="32">
        <v>46437</v>
      </c>
      <c r="G2523" t="s">
        <v>514</v>
      </c>
      <c r="H2523">
        <v>47129050</v>
      </c>
      <c r="I2523" t="s">
        <v>1482</v>
      </c>
      <c r="J2523" t="s">
        <v>1481</v>
      </c>
      <c r="K2523" t="s">
        <v>530</v>
      </c>
      <c r="N2523">
        <v>0</v>
      </c>
      <c r="O2523">
        <v>0</v>
      </c>
      <c r="P2523" t="str">
        <f t="shared" si="39"/>
        <v>N</v>
      </c>
      <c r="Q2523" t="s">
        <v>8253</v>
      </c>
    </row>
    <row r="2524" spans="1:17" x14ac:dyDescent="0.25">
      <c r="A2524" t="s">
        <v>5055</v>
      </c>
      <c r="B2524" t="s">
        <v>1090</v>
      </c>
      <c r="C2524">
        <v>2027</v>
      </c>
      <c r="D2524" t="s">
        <v>631</v>
      </c>
      <c r="E2524" t="s">
        <v>837</v>
      </c>
      <c r="F2524" s="32">
        <v>46437</v>
      </c>
      <c r="G2524" t="s">
        <v>514</v>
      </c>
      <c r="H2524">
        <v>47148279</v>
      </c>
      <c r="I2524" t="s">
        <v>1236</v>
      </c>
      <c r="J2524" t="s">
        <v>1235</v>
      </c>
      <c r="K2524" t="s">
        <v>530</v>
      </c>
      <c r="N2524">
        <v>0</v>
      </c>
      <c r="O2524">
        <v>0</v>
      </c>
      <c r="P2524" t="str">
        <f t="shared" si="39"/>
        <v>N</v>
      </c>
      <c r="Q2524" t="s">
        <v>8254</v>
      </c>
    </row>
    <row r="2525" spans="1:17" x14ac:dyDescent="0.25">
      <c r="A2525" t="s">
        <v>5326</v>
      </c>
      <c r="B2525" t="s">
        <v>1089</v>
      </c>
      <c r="C2525">
        <v>2027</v>
      </c>
      <c r="D2525" t="s">
        <v>631</v>
      </c>
      <c r="E2525" t="s">
        <v>837</v>
      </c>
      <c r="F2525" s="32">
        <v>46437</v>
      </c>
      <c r="G2525" t="s">
        <v>514</v>
      </c>
      <c r="H2525">
        <v>47128421</v>
      </c>
      <c r="I2525" t="s">
        <v>1086</v>
      </c>
      <c r="J2525" t="s">
        <v>1085</v>
      </c>
      <c r="K2525" t="s">
        <v>530</v>
      </c>
      <c r="N2525">
        <v>0</v>
      </c>
      <c r="O2525">
        <v>0</v>
      </c>
      <c r="P2525" t="str">
        <f t="shared" si="39"/>
        <v>N</v>
      </c>
      <c r="Q2525" t="s">
        <v>8255</v>
      </c>
    </row>
    <row r="2526" spans="1:17" x14ac:dyDescent="0.25">
      <c r="A2526" t="s">
        <v>5327</v>
      </c>
      <c r="B2526" t="s">
        <v>1089</v>
      </c>
      <c r="C2526">
        <v>2027</v>
      </c>
      <c r="D2526" t="s">
        <v>631</v>
      </c>
      <c r="E2526" t="s">
        <v>837</v>
      </c>
      <c r="F2526" s="32">
        <v>46437</v>
      </c>
      <c r="G2526" t="s">
        <v>514</v>
      </c>
      <c r="H2526">
        <v>47128706</v>
      </c>
      <c r="I2526" t="s">
        <v>1201</v>
      </c>
      <c r="J2526" t="s">
        <v>1200</v>
      </c>
      <c r="K2526" t="s">
        <v>530</v>
      </c>
      <c r="N2526">
        <v>0</v>
      </c>
      <c r="O2526">
        <v>0</v>
      </c>
      <c r="P2526" t="str">
        <f t="shared" si="39"/>
        <v>N</v>
      </c>
      <c r="Q2526" t="s">
        <v>8256</v>
      </c>
    </row>
    <row r="2527" spans="1:17" x14ac:dyDescent="0.25">
      <c r="A2527" t="s">
        <v>5328</v>
      </c>
      <c r="B2527" t="s">
        <v>1089</v>
      </c>
      <c r="C2527">
        <v>2027</v>
      </c>
      <c r="D2527" t="s">
        <v>631</v>
      </c>
      <c r="E2527" t="s">
        <v>837</v>
      </c>
      <c r="F2527" s="32">
        <v>46437</v>
      </c>
      <c r="G2527" t="s">
        <v>514</v>
      </c>
      <c r="H2527">
        <v>47128364</v>
      </c>
      <c r="I2527" t="s">
        <v>1264</v>
      </c>
      <c r="J2527" t="s">
        <v>1263</v>
      </c>
      <c r="K2527" t="s">
        <v>530</v>
      </c>
      <c r="N2527">
        <v>70</v>
      </c>
      <c r="O2527">
        <v>70</v>
      </c>
      <c r="P2527" t="str">
        <f t="shared" si="39"/>
        <v>N</v>
      </c>
      <c r="Q2527" t="s">
        <v>8257</v>
      </c>
    </row>
    <row r="2528" spans="1:17" x14ac:dyDescent="0.25">
      <c r="A2528" t="s">
        <v>5329</v>
      </c>
      <c r="B2528" t="s">
        <v>1089</v>
      </c>
      <c r="C2528">
        <v>2027</v>
      </c>
      <c r="D2528" t="s">
        <v>631</v>
      </c>
      <c r="E2528" t="s">
        <v>837</v>
      </c>
      <c r="F2528" s="32">
        <v>46437</v>
      </c>
      <c r="G2528" t="s">
        <v>514</v>
      </c>
      <c r="H2528">
        <v>47128633</v>
      </c>
      <c r="I2528" t="s">
        <v>1164</v>
      </c>
      <c r="J2528" t="s">
        <v>1163</v>
      </c>
      <c r="K2528" t="s">
        <v>530</v>
      </c>
      <c r="N2528">
        <v>0</v>
      </c>
      <c r="O2528">
        <v>0</v>
      </c>
      <c r="P2528" t="str">
        <f t="shared" si="39"/>
        <v>N</v>
      </c>
      <c r="Q2528" t="s">
        <v>8258</v>
      </c>
    </row>
    <row r="2529" spans="1:17" x14ac:dyDescent="0.25">
      <c r="A2529" t="s">
        <v>5330</v>
      </c>
      <c r="B2529" t="s">
        <v>1089</v>
      </c>
      <c r="C2529">
        <v>2027</v>
      </c>
      <c r="D2529" t="s">
        <v>631</v>
      </c>
      <c r="E2529" t="s">
        <v>837</v>
      </c>
      <c r="F2529" s="32">
        <v>46437</v>
      </c>
      <c r="G2529" t="s">
        <v>514</v>
      </c>
      <c r="H2529">
        <v>47128046</v>
      </c>
      <c r="I2529" t="s">
        <v>1389</v>
      </c>
      <c r="J2529" t="s">
        <v>1388</v>
      </c>
      <c r="K2529" t="s">
        <v>530</v>
      </c>
      <c r="N2529">
        <v>0</v>
      </c>
      <c r="O2529">
        <v>0</v>
      </c>
      <c r="P2529" t="str">
        <f t="shared" si="39"/>
        <v>N</v>
      </c>
      <c r="Q2529" t="s">
        <v>8259</v>
      </c>
    </row>
    <row r="2530" spans="1:17" x14ac:dyDescent="0.25">
      <c r="A2530" t="s">
        <v>5331</v>
      </c>
      <c r="B2530" t="s">
        <v>1089</v>
      </c>
      <c r="C2530">
        <v>2027</v>
      </c>
      <c r="D2530" t="s">
        <v>631</v>
      </c>
      <c r="E2530" t="s">
        <v>837</v>
      </c>
      <c r="F2530" s="32">
        <v>46437</v>
      </c>
      <c r="G2530" t="s">
        <v>514</v>
      </c>
      <c r="H2530">
        <v>47129548</v>
      </c>
      <c r="I2530" t="s">
        <v>1340</v>
      </c>
      <c r="J2530" t="s">
        <v>1339</v>
      </c>
      <c r="K2530" t="s">
        <v>530</v>
      </c>
      <c r="N2530">
        <v>0</v>
      </c>
      <c r="O2530">
        <v>0</v>
      </c>
      <c r="P2530" t="str">
        <f t="shared" si="39"/>
        <v>N</v>
      </c>
      <c r="Q2530" t="s">
        <v>8260</v>
      </c>
    </row>
    <row r="2531" spans="1:17" x14ac:dyDescent="0.25">
      <c r="A2531" t="s">
        <v>5332</v>
      </c>
      <c r="B2531" t="s">
        <v>1089</v>
      </c>
      <c r="C2531">
        <v>2027</v>
      </c>
      <c r="D2531" t="s">
        <v>631</v>
      </c>
      <c r="E2531" t="s">
        <v>837</v>
      </c>
      <c r="F2531" s="32">
        <v>46437</v>
      </c>
      <c r="G2531" t="s">
        <v>514</v>
      </c>
      <c r="H2531">
        <v>47128835</v>
      </c>
      <c r="I2531" t="s">
        <v>998</v>
      </c>
      <c r="J2531" t="s">
        <v>997</v>
      </c>
      <c r="K2531" t="s">
        <v>530</v>
      </c>
      <c r="N2531">
        <v>25</v>
      </c>
      <c r="O2531">
        <v>25</v>
      </c>
      <c r="P2531" t="str">
        <f t="shared" si="39"/>
        <v>N</v>
      </c>
      <c r="Q2531" t="s">
        <v>8261</v>
      </c>
    </row>
    <row r="2532" spans="1:17" x14ac:dyDescent="0.25">
      <c r="A2532" t="s">
        <v>5333</v>
      </c>
      <c r="B2532" t="s">
        <v>1089</v>
      </c>
      <c r="C2532">
        <v>2027</v>
      </c>
      <c r="D2532" t="s">
        <v>631</v>
      </c>
      <c r="E2532" t="s">
        <v>837</v>
      </c>
      <c r="F2532" s="32">
        <v>46437</v>
      </c>
      <c r="G2532" t="s">
        <v>514</v>
      </c>
      <c r="H2532">
        <v>47128788</v>
      </c>
      <c r="I2532" t="s">
        <v>4188</v>
      </c>
      <c r="J2532" t="s">
        <v>4189</v>
      </c>
      <c r="K2532" t="s">
        <v>530</v>
      </c>
      <c r="N2532">
        <v>0</v>
      </c>
      <c r="O2532">
        <v>0</v>
      </c>
      <c r="P2532" t="str">
        <f t="shared" si="39"/>
        <v>N</v>
      </c>
      <c r="Q2532" t="s">
        <v>8262</v>
      </c>
    </row>
    <row r="2533" spans="1:17" x14ac:dyDescent="0.25">
      <c r="A2533" t="s">
        <v>5334</v>
      </c>
      <c r="B2533" t="s">
        <v>1089</v>
      </c>
      <c r="C2533">
        <v>2027</v>
      </c>
      <c r="D2533" t="s">
        <v>631</v>
      </c>
      <c r="E2533" t="s">
        <v>837</v>
      </c>
      <c r="F2533" s="32">
        <v>46437</v>
      </c>
      <c r="G2533" t="s">
        <v>514</v>
      </c>
      <c r="H2533">
        <v>47136348</v>
      </c>
      <c r="I2533" t="s">
        <v>1025</v>
      </c>
      <c r="J2533" t="s">
        <v>1024</v>
      </c>
      <c r="K2533" t="s">
        <v>530</v>
      </c>
      <c r="N2533">
        <v>0</v>
      </c>
      <c r="O2533">
        <v>0</v>
      </c>
      <c r="P2533" t="str">
        <f t="shared" si="39"/>
        <v>N</v>
      </c>
      <c r="Q2533" t="s">
        <v>8263</v>
      </c>
    </row>
    <row r="2534" spans="1:17" x14ac:dyDescent="0.25">
      <c r="A2534" t="s">
        <v>5335</v>
      </c>
      <c r="B2534" t="s">
        <v>1089</v>
      </c>
      <c r="C2534">
        <v>2027</v>
      </c>
      <c r="D2534" t="s">
        <v>631</v>
      </c>
      <c r="E2534" t="s">
        <v>837</v>
      </c>
      <c r="F2534" s="32">
        <v>46437</v>
      </c>
      <c r="G2534" t="s">
        <v>514</v>
      </c>
      <c r="H2534">
        <v>47135083</v>
      </c>
      <c r="I2534" t="s">
        <v>4192</v>
      </c>
      <c r="J2534" t="s">
        <v>4193</v>
      </c>
      <c r="K2534" t="s">
        <v>530</v>
      </c>
      <c r="N2534">
        <v>0</v>
      </c>
      <c r="O2534">
        <v>0</v>
      </c>
      <c r="P2534" t="str">
        <f t="shared" si="39"/>
        <v>N</v>
      </c>
      <c r="Q2534" t="s">
        <v>8264</v>
      </c>
    </row>
    <row r="2535" spans="1:17" x14ac:dyDescent="0.25">
      <c r="A2535" t="s">
        <v>5336</v>
      </c>
      <c r="B2535" t="s">
        <v>1089</v>
      </c>
      <c r="C2535">
        <v>2027</v>
      </c>
      <c r="D2535" t="s">
        <v>631</v>
      </c>
      <c r="E2535" t="s">
        <v>837</v>
      </c>
      <c r="F2535" s="32">
        <v>46437</v>
      </c>
      <c r="G2535" t="s">
        <v>514</v>
      </c>
      <c r="H2535">
        <v>47128515</v>
      </c>
      <c r="I2535" t="s">
        <v>1185</v>
      </c>
      <c r="J2535" t="s">
        <v>1184</v>
      </c>
      <c r="K2535" t="s">
        <v>530</v>
      </c>
      <c r="N2535">
        <v>0</v>
      </c>
      <c r="O2535">
        <v>0</v>
      </c>
      <c r="P2535" t="str">
        <f t="shared" si="39"/>
        <v>N</v>
      </c>
      <c r="Q2535" t="s">
        <v>8265</v>
      </c>
    </row>
    <row r="2536" spans="1:17" x14ac:dyDescent="0.25">
      <c r="A2536" t="s">
        <v>5337</v>
      </c>
      <c r="B2536" t="s">
        <v>1089</v>
      </c>
      <c r="C2536">
        <v>2027</v>
      </c>
      <c r="D2536" t="s">
        <v>631</v>
      </c>
      <c r="E2536" t="s">
        <v>837</v>
      </c>
      <c r="F2536" s="32">
        <v>46437</v>
      </c>
      <c r="G2536" t="s">
        <v>514</v>
      </c>
      <c r="H2536">
        <v>47128472</v>
      </c>
      <c r="I2536" t="s">
        <v>995</v>
      </c>
      <c r="J2536" t="s">
        <v>994</v>
      </c>
      <c r="K2536" t="s">
        <v>530</v>
      </c>
      <c r="N2536">
        <v>0</v>
      </c>
      <c r="O2536">
        <v>0</v>
      </c>
      <c r="P2536" t="str">
        <f t="shared" si="39"/>
        <v>N</v>
      </c>
      <c r="Q2536" t="s">
        <v>8266</v>
      </c>
    </row>
    <row r="2537" spans="1:17" x14ac:dyDescent="0.25">
      <c r="A2537" t="s">
        <v>5338</v>
      </c>
      <c r="B2537" t="s">
        <v>1089</v>
      </c>
      <c r="C2537">
        <v>2027</v>
      </c>
      <c r="D2537" t="s">
        <v>631</v>
      </c>
      <c r="E2537" t="s">
        <v>837</v>
      </c>
      <c r="F2537" s="32">
        <v>46437</v>
      </c>
      <c r="G2537" t="s">
        <v>514</v>
      </c>
      <c r="H2537">
        <v>47128202</v>
      </c>
      <c r="I2537" t="s">
        <v>967</v>
      </c>
      <c r="J2537" t="s">
        <v>966</v>
      </c>
      <c r="K2537" t="s">
        <v>530</v>
      </c>
      <c r="N2537">
        <v>40</v>
      </c>
      <c r="O2537">
        <v>40</v>
      </c>
      <c r="P2537" t="str">
        <f t="shared" si="39"/>
        <v>N</v>
      </c>
      <c r="Q2537" t="s">
        <v>8267</v>
      </c>
    </row>
    <row r="2538" spans="1:17" x14ac:dyDescent="0.25">
      <c r="A2538" t="s">
        <v>5339</v>
      </c>
      <c r="B2538" t="s">
        <v>1089</v>
      </c>
      <c r="C2538">
        <v>2027</v>
      </c>
      <c r="D2538" t="s">
        <v>631</v>
      </c>
      <c r="E2538" t="s">
        <v>837</v>
      </c>
      <c r="F2538" s="32">
        <v>46437</v>
      </c>
      <c r="G2538" t="s">
        <v>514</v>
      </c>
      <c r="H2538">
        <v>47128132</v>
      </c>
      <c r="I2538" t="s">
        <v>4429</v>
      </c>
      <c r="J2538" t="s">
        <v>4430</v>
      </c>
      <c r="K2538" t="s">
        <v>530</v>
      </c>
      <c r="N2538">
        <v>0</v>
      </c>
      <c r="O2538">
        <v>0</v>
      </c>
      <c r="P2538" t="str">
        <f t="shared" si="39"/>
        <v>N</v>
      </c>
      <c r="Q2538" t="s">
        <v>8268</v>
      </c>
    </row>
    <row r="2539" spans="1:17" x14ac:dyDescent="0.25">
      <c r="A2539" t="s">
        <v>5340</v>
      </c>
      <c r="B2539" t="s">
        <v>1089</v>
      </c>
      <c r="C2539">
        <v>2027</v>
      </c>
      <c r="D2539" t="s">
        <v>631</v>
      </c>
      <c r="E2539" t="s">
        <v>837</v>
      </c>
      <c r="F2539" s="32">
        <v>46437</v>
      </c>
      <c r="G2539" t="s">
        <v>514</v>
      </c>
      <c r="H2539">
        <v>47127971</v>
      </c>
      <c r="I2539" t="s">
        <v>991</v>
      </c>
      <c r="J2539" t="s">
        <v>990</v>
      </c>
      <c r="K2539" t="s">
        <v>530</v>
      </c>
      <c r="N2539">
        <v>40</v>
      </c>
      <c r="O2539">
        <v>40</v>
      </c>
      <c r="P2539" t="str">
        <f t="shared" si="39"/>
        <v>N</v>
      </c>
      <c r="Q2539" t="s">
        <v>8269</v>
      </c>
    </row>
    <row r="2540" spans="1:17" x14ac:dyDescent="0.25">
      <c r="A2540" t="s">
        <v>5585</v>
      </c>
      <c r="B2540" t="s">
        <v>5437</v>
      </c>
      <c r="C2540">
        <v>2027</v>
      </c>
      <c r="D2540" t="s">
        <v>631</v>
      </c>
      <c r="E2540" t="s">
        <v>837</v>
      </c>
      <c r="F2540" s="32">
        <v>46437</v>
      </c>
      <c r="G2540" t="s">
        <v>514</v>
      </c>
      <c r="H2540">
        <v>47127948</v>
      </c>
      <c r="I2540" t="s">
        <v>1247</v>
      </c>
      <c r="J2540" t="s">
        <v>1246</v>
      </c>
      <c r="K2540" t="s">
        <v>530</v>
      </c>
      <c r="N2540">
        <v>60</v>
      </c>
      <c r="O2540">
        <v>60</v>
      </c>
      <c r="P2540" t="str">
        <f t="shared" si="39"/>
        <v>N</v>
      </c>
      <c r="Q2540" t="s">
        <v>8270</v>
      </c>
    </row>
    <row r="2541" spans="1:17" x14ac:dyDescent="0.25">
      <c r="A2541" t="s">
        <v>5586</v>
      </c>
      <c r="B2541" t="s">
        <v>5437</v>
      </c>
      <c r="C2541">
        <v>2027</v>
      </c>
      <c r="D2541" t="s">
        <v>631</v>
      </c>
      <c r="E2541" t="s">
        <v>837</v>
      </c>
      <c r="F2541" s="32">
        <v>46437</v>
      </c>
      <c r="G2541" t="s">
        <v>514</v>
      </c>
      <c r="H2541">
        <v>47128710</v>
      </c>
      <c r="I2541" t="s">
        <v>1189</v>
      </c>
      <c r="J2541" t="s">
        <v>1188</v>
      </c>
      <c r="K2541" t="s">
        <v>530</v>
      </c>
      <c r="N2541">
        <v>0</v>
      </c>
      <c r="O2541">
        <v>0</v>
      </c>
      <c r="P2541" t="str">
        <f t="shared" si="39"/>
        <v>N</v>
      </c>
      <c r="Q2541" t="s">
        <v>8271</v>
      </c>
    </row>
    <row r="2542" spans="1:17" x14ac:dyDescent="0.25">
      <c r="A2542" t="s">
        <v>5587</v>
      </c>
      <c r="B2542" t="s">
        <v>5437</v>
      </c>
      <c r="C2542">
        <v>2027</v>
      </c>
      <c r="D2542" t="s">
        <v>631</v>
      </c>
      <c r="E2542" t="s">
        <v>837</v>
      </c>
      <c r="F2542" s="32">
        <v>46437</v>
      </c>
      <c r="G2542" t="s">
        <v>514</v>
      </c>
      <c r="H2542">
        <v>47128572</v>
      </c>
      <c r="I2542" t="s">
        <v>1197</v>
      </c>
      <c r="J2542" t="s">
        <v>1196</v>
      </c>
      <c r="K2542" t="s">
        <v>530</v>
      </c>
      <c r="N2542">
        <v>0</v>
      </c>
      <c r="O2542">
        <v>0</v>
      </c>
      <c r="P2542" t="str">
        <f t="shared" si="39"/>
        <v>N</v>
      </c>
      <c r="Q2542" t="s">
        <v>8272</v>
      </c>
    </row>
    <row r="2543" spans="1:17" x14ac:dyDescent="0.25">
      <c r="A2543" t="s">
        <v>5588</v>
      </c>
      <c r="B2543" t="s">
        <v>5437</v>
      </c>
      <c r="C2543">
        <v>2027</v>
      </c>
      <c r="D2543" t="s">
        <v>631</v>
      </c>
      <c r="E2543" t="s">
        <v>837</v>
      </c>
      <c r="F2543" s="32">
        <v>46437</v>
      </c>
      <c r="G2543" t="s">
        <v>514</v>
      </c>
      <c r="H2543">
        <v>47128482</v>
      </c>
      <c r="I2543" t="s">
        <v>1393</v>
      </c>
      <c r="J2543" t="s">
        <v>1392</v>
      </c>
      <c r="K2543" t="s">
        <v>530</v>
      </c>
      <c r="N2543">
        <v>0</v>
      </c>
      <c r="O2543">
        <v>0</v>
      </c>
      <c r="P2543" t="str">
        <f t="shared" si="39"/>
        <v>N</v>
      </c>
      <c r="Q2543" t="s">
        <v>8273</v>
      </c>
    </row>
    <row r="2544" spans="1:17" x14ac:dyDescent="0.25">
      <c r="A2544" t="s">
        <v>5589</v>
      </c>
      <c r="B2544" t="s">
        <v>5437</v>
      </c>
      <c r="C2544">
        <v>2027</v>
      </c>
      <c r="D2544" t="s">
        <v>631</v>
      </c>
      <c r="E2544" t="s">
        <v>837</v>
      </c>
      <c r="F2544" s="32">
        <v>46437</v>
      </c>
      <c r="G2544" t="s">
        <v>514</v>
      </c>
      <c r="H2544">
        <v>47128337</v>
      </c>
      <c r="I2544" t="s">
        <v>1120</v>
      </c>
      <c r="J2544" t="s">
        <v>1119</v>
      </c>
      <c r="K2544" t="s">
        <v>530</v>
      </c>
      <c r="N2544">
        <v>0</v>
      </c>
      <c r="O2544">
        <v>0</v>
      </c>
      <c r="P2544" t="str">
        <f t="shared" si="39"/>
        <v>N</v>
      </c>
      <c r="Q2544" t="s">
        <v>8274</v>
      </c>
    </row>
    <row r="2545" spans="1:17" x14ac:dyDescent="0.25">
      <c r="A2545" t="s">
        <v>5590</v>
      </c>
      <c r="B2545" t="s">
        <v>5437</v>
      </c>
      <c r="C2545">
        <v>2027</v>
      </c>
      <c r="D2545" t="s">
        <v>631</v>
      </c>
      <c r="E2545" t="s">
        <v>837</v>
      </c>
      <c r="F2545" s="32">
        <v>46437</v>
      </c>
      <c r="G2545" t="s">
        <v>514</v>
      </c>
      <c r="H2545">
        <v>47128833</v>
      </c>
      <c r="I2545" t="s">
        <v>1193</v>
      </c>
      <c r="J2545" t="s">
        <v>1192</v>
      </c>
      <c r="K2545" t="s">
        <v>530</v>
      </c>
      <c r="N2545">
        <v>0</v>
      </c>
      <c r="O2545">
        <v>0</v>
      </c>
      <c r="P2545" t="str">
        <f t="shared" si="39"/>
        <v>N</v>
      </c>
      <c r="Q2545" t="s">
        <v>8275</v>
      </c>
    </row>
    <row r="2546" spans="1:17" x14ac:dyDescent="0.25">
      <c r="A2546" t="s">
        <v>5591</v>
      </c>
      <c r="B2546" t="s">
        <v>5437</v>
      </c>
      <c r="C2546">
        <v>2027</v>
      </c>
      <c r="D2546" t="s">
        <v>631</v>
      </c>
      <c r="E2546" t="s">
        <v>837</v>
      </c>
      <c r="F2546" s="32">
        <v>46437</v>
      </c>
      <c r="G2546" t="s">
        <v>514</v>
      </c>
      <c r="H2546">
        <v>47128784</v>
      </c>
      <c r="I2546" t="s">
        <v>1426</v>
      </c>
      <c r="J2546" t="s">
        <v>1425</v>
      </c>
      <c r="K2546" t="s">
        <v>530</v>
      </c>
      <c r="N2546">
        <v>16</v>
      </c>
      <c r="O2546">
        <v>16</v>
      </c>
      <c r="P2546" t="str">
        <f t="shared" si="39"/>
        <v>N</v>
      </c>
      <c r="Q2546" t="s">
        <v>8276</v>
      </c>
    </row>
    <row r="2547" spans="1:17" x14ac:dyDescent="0.25">
      <c r="A2547" t="s">
        <v>5592</v>
      </c>
      <c r="B2547" t="s">
        <v>5437</v>
      </c>
      <c r="C2547">
        <v>2027</v>
      </c>
      <c r="D2547" t="s">
        <v>631</v>
      </c>
      <c r="E2547" t="s">
        <v>837</v>
      </c>
      <c r="F2547" s="32">
        <v>46437</v>
      </c>
      <c r="G2547" t="s">
        <v>514</v>
      </c>
      <c r="H2547">
        <v>47129473</v>
      </c>
      <c r="I2547" t="s">
        <v>1430</v>
      </c>
      <c r="J2547" t="s">
        <v>1429</v>
      </c>
      <c r="K2547" t="s">
        <v>530</v>
      </c>
      <c r="N2547">
        <v>40</v>
      </c>
      <c r="O2547">
        <v>40</v>
      </c>
      <c r="P2547" t="str">
        <f t="shared" si="39"/>
        <v>N</v>
      </c>
      <c r="Q2547" t="s">
        <v>8277</v>
      </c>
    </row>
    <row r="2548" spans="1:17" x14ac:dyDescent="0.25">
      <c r="A2548" t="s">
        <v>5593</v>
      </c>
      <c r="B2548" t="s">
        <v>5437</v>
      </c>
      <c r="C2548">
        <v>2027</v>
      </c>
      <c r="D2548" t="s">
        <v>631</v>
      </c>
      <c r="E2548" t="s">
        <v>837</v>
      </c>
      <c r="F2548" s="32">
        <v>46437</v>
      </c>
      <c r="G2548" t="s">
        <v>514</v>
      </c>
      <c r="H2548">
        <v>47128429</v>
      </c>
      <c r="I2548" t="s">
        <v>1371</v>
      </c>
      <c r="J2548" t="s">
        <v>1370</v>
      </c>
      <c r="K2548" t="s">
        <v>530</v>
      </c>
      <c r="N2548">
        <v>0</v>
      </c>
      <c r="O2548">
        <v>0</v>
      </c>
      <c r="P2548" t="str">
        <f t="shared" si="39"/>
        <v>N</v>
      </c>
      <c r="Q2548" t="s">
        <v>8278</v>
      </c>
    </row>
    <row r="2549" spans="1:17" x14ac:dyDescent="0.25">
      <c r="A2549" t="s">
        <v>5594</v>
      </c>
      <c r="B2549" t="s">
        <v>5437</v>
      </c>
      <c r="C2549">
        <v>2027</v>
      </c>
      <c r="D2549" t="s">
        <v>631</v>
      </c>
      <c r="E2549" t="s">
        <v>837</v>
      </c>
      <c r="F2549" s="32">
        <v>46437</v>
      </c>
      <c r="G2549" t="s">
        <v>514</v>
      </c>
      <c r="H2549">
        <v>47128181</v>
      </c>
      <c r="I2549" t="s">
        <v>1301</v>
      </c>
      <c r="J2549" t="s">
        <v>1300</v>
      </c>
      <c r="K2549" t="s">
        <v>530</v>
      </c>
      <c r="N2549">
        <v>0</v>
      </c>
      <c r="O2549">
        <v>0</v>
      </c>
      <c r="P2549" t="str">
        <f t="shared" si="39"/>
        <v>N</v>
      </c>
      <c r="Q2549" t="s">
        <v>8279</v>
      </c>
    </row>
    <row r="2550" spans="1:17" x14ac:dyDescent="0.25">
      <c r="A2550" t="s">
        <v>1628</v>
      </c>
      <c r="B2550" t="s">
        <v>1520</v>
      </c>
      <c r="C2550">
        <v>2027</v>
      </c>
      <c r="D2550" t="s">
        <v>634</v>
      </c>
      <c r="E2550" t="s">
        <v>838</v>
      </c>
      <c r="F2550" s="32">
        <v>46444</v>
      </c>
      <c r="G2550" t="s">
        <v>514</v>
      </c>
      <c r="H2550">
        <v>47128207</v>
      </c>
      <c r="I2550" t="s">
        <v>1522</v>
      </c>
      <c r="J2550" t="s">
        <v>1523</v>
      </c>
      <c r="K2550" t="s">
        <v>530</v>
      </c>
      <c r="N2550">
        <v>0</v>
      </c>
      <c r="O2550">
        <v>0</v>
      </c>
      <c r="P2550" t="str">
        <f t="shared" si="39"/>
        <v>N</v>
      </c>
      <c r="Q2550" t="s">
        <v>8280</v>
      </c>
    </row>
    <row r="2551" spans="1:17" x14ac:dyDescent="0.25">
      <c r="A2551" t="s">
        <v>1629</v>
      </c>
      <c r="B2551" t="s">
        <v>1520</v>
      </c>
      <c r="C2551">
        <v>2027</v>
      </c>
      <c r="D2551" t="s">
        <v>634</v>
      </c>
      <c r="E2551" t="s">
        <v>838</v>
      </c>
      <c r="F2551" s="32">
        <v>46444</v>
      </c>
      <c r="G2551" t="s">
        <v>514</v>
      </c>
      <c r="H2551">
        <v>47128581</v>
      </c>
      <c r="I2551" t="s">
        <v>1525</v>
      </c>
      <c r="J2551" t="s">
        <v>1526</v>
      </c>
      <c r="K2551" t="s">
        <v>530</v>
      </c>
      <c r="N2551">
        <v>60</v>
      </c>
      <c r="O2551">
        <v>60</v>
      </c>
      <c r="P2551" t="str">
        <f t="shared" si="39"/>
        <v>N</v>
      </c>
      <c r="Q2551" t="s">
        <v>8281</v>
      </c>
    </row>
    <row r="2552" spans="1:17" x14ac:dyDescent="0.25">
      <c r="A2552" t="s">
        <v>1630</v>
      </c>
      <c r="B2552" t="s">
        <v>1520</v>
      </c>
      <c r="C2552">
        <v>2027</v>
      </c>
      <c r="D2552" t="s">
        <v>634</v>
      </c>
      <c r="E2552" t="s">
        <v>838</v>
      </c>
      <c r="F2552" s="32">
        <v>46444</v>
      </c>
      <c r="G2552" t="s">
        <v>514</v>
      </c>
      <c r="H2552">
        <v>47127959</v>
      </c>
      <c r="I2552" t="s">
        <v>1528</v>
      </c>
      <c r="J2552" t="s">
        <v>1529</v>
      </c>
      <c r="K2552" t="s">
        <v>530</v>
      </c>
      <c r="N2552">
        <v>0</v>
      </c>
      <c r="O2552">
        <v>0</v>
      </c>
      <c r="P2552" t="str">
        <f t="shared" si="39"/>
        <v>N</v>
      </c>
      <c r="Q2552" t="s">
        <v>8282</v>
      </c>
    </row>
    <row r="2553" spans="1:17" x14ac:dyDescent="0.25">
      <c r="A2553" t="s">
        <v>1631</v>
      </c>
      <c r="B2553" t="s">
        <v>1520</v>
      </c>
      <c r="C2553">
        <v>2027</v>
      </c>
      <c r="D2553" t="s">
        <v>634</v>
      </c>
      <c r="E2553" t="s">
        <v>838</v>
      </c>
      <c r="F2553" s="32">
        <v>46444</v>
      </c>
      <c r="G2553" t="s">
        <v>514</v>
      </c>
      <c r="H2553">
        <v>47128204</v>
      </c>
      <c r="I2553" t="s">
        <v>1531</v>
      </c>
      <c r="J2553" t="s">
        <v>1532</v>
      </c>
      <c r="K2553" t="s">
        <v>530</v>
      </c>
      <c r="N2553">
        <v>0</v>
      </c>
      <c r="O2553">
        <v>0</v>
      </c>
      <c r="P2553" t="str">
        <f t="shared" si="39"/>
        <v>N</v>
      </c>
      <c r="Q2553" t="s">
        <v>8283</v>
      </c>
    </row>
    <row r="2554" spans="1:17" x14ac:dyDescent="0.25">
      <c r="A2554" t="s">
        <v>1632</v>
      </c>
      <c r="B2554" t="s">
        <v>1520</v>
      </c>
      <c r="C2554">
        <v>2027</v>
      </c>
      <c r="D2554" t="s">
        <v>634</v>
      </c>
      <c r="E2554" t="s">
        <v>838</v>
      </c>
      <c r="F2554" s="32">
        <v>46444</v>
      </c>
      <c r="G2554" t="s">
        <v>514</v>
      </c>
      <c r="H2554">
        <v>47128207</v>
      </c>
      <c r="I2554" t="s">
        <v>1522</v>
      </c>
      <c r="J2554" t="s">
        <v>1534</v>
      </c>
      <c r="K2554" t="s">
        <v>530</v>
      </c>
      <c r="N2554">
        <v>0</v>
      </c>
      <c r="O2554">
        <v>0</v>
      </c>
      <c r="P2554" t="str">
        <f t="shared" si="39"/>
        <v>N</v>
      </c>
      <c r="Q2554" t="s">
        <v>8284</v>
      </c>
    </row>
    <row r="2555" spans="1:17" x14ac:dyDescent="0.25">
      <c r="A2555" t="s">
        <v>1633</v>
      </c>
      <c r="B2555" t="s">
        <v>1520</v>
      </c>
      <c r="C2555">
        <v>2027</v>
      </c>
      <c r="D2555" t="s">
        <v>634</v>
      </c>
      <c r="E2555" t="s">
        <v>838</v>
      </c>
      <c r="F2555" s="32">
        <v>46444</v>
      </c>
      <c r="G2555" t="s">
        <v>563</v>
      </c>
      <c r="H2555">
        <v>10000015</v>
      </c>
      <c r="I2555" t="s">
        <v>562</v>
      </c>
      <c r="K2555" t="s">
        <v>530</v>
      </c>
      <c r="N2555">
        <v>0</v>
      </c>
      <c r="O2555">
        <v>0</v>
      </c>
      <c r="P2555" t="str">
        <f t="shared" si="39"/>
        <v>N</v>
      </c>
      <c r="Q2555" t="s">
        <v>8285</v>
      </c>
    </row>
    <row r="2556" spans="1:17" x14ac:dyDescent="0.25">
      <c r="A2556" t="s">
        <v>1634</v>
      </c>
      <c r="B2556" t="s">
        <v>1520</v>
      </c>
      <c r="C2556">
        <v>2027</v>
      </c>
      <c r="D2556" t="s">
        <v>634</v>
      </c>
      <c r="E2556" t="s">
        <v>838</v>
      </c>
      <c r="F2556" s="32">
        <v>46444</v>
      </c>
      <c r="G2556" t="s">
        <v>514</v>
      </c>
      <c r="H2556">
        <v>47127959</v>
      </c>
      <c r="I2556" t="s">
        <v>1528</v>
      </c>
      <c r="J2556" t="s">
        <v>1537</v>
      </c>
      <c r="K2556" t="s">
        <v>530</v>
      </c>
      <c r="N2556">
        <v>0</v>
      </c>
      <c r="O2556">
        <v>0</v>
      </c>
      <c r="P2556" t="str">
        <f t="shared" si="39"/>
        <v>N</v>
      </c>
      <c r="Q2556" t="s">
        <v>8286</v>
      </c>
    </row>
    <row r="2557" spans="1:17" x14ac:dyDescent="0.25">
      <c r="A2557" t="s">
        <v>1635</v>
      </c>
      <c r="B2557" t="s">
        <v>1520</v>
      </c>
      <c r="C2557">
        <v>2027</v>
      </c>
      <c r="D2557" t="s">
        <v>634</v>
      </c>
      <c r="E2557" t="s">
        <v>838</v>
      </c>
      <c r="F2557" s="32">
        <v>46444</v>
      </c>
      <c r="G2557" t="s">
        <v>514</v>
      </c>
      <c r="H2557">
        <v>47128581</v>
      </c>
      <c r="I2557" t="s">
        <v>1525</v>
      </c>
      <c r="J2557" t="s">
        <v>1539</v>
      </c>
      <c r="K2557" t="s">
        <v>530</v>
      </c>
      <c r="N2557">
        <v>0</v>
      </c>
      <c r="O2557">
        <v>0</v>
      </c>
      <c r="P2557" t="str">
        <f t="shared" si="39"/>
        <v>N</v>
      </c>
      <c r="Q2557" t="s">
        <v>8287</v>
      </c>
    </row>
    <row r="2558" spans="1:17" x14ac:dyDescent="0.25">
      <c r="A2558" t="s">
        <v>2045</v>
      </c>
      <c r="B2558" t="s">
        <v>1135</v>
      </c>
      <c r="C2558">
        <v>2027</v>
      </c>
      <c r="D2558" t="s">
        <v>634</v>
      </c>
      <c r="E2558" t="s">
        <v>838</v>
      </c>
      <c r="F2558" s="32">
        <v>46444</v>
      </c>
      <c r="G2558" t="s">
        <v>514</v>
      </c>
      <c r="H2558">
        <v>47146464</v>
      </c>
      <c r="I2558" t="s">
        <v>1438</v>
      </c>
      <c r="J2558" t="s">
        <v>1437</v>
      </c>
      <c r="K2558" t="s">
        <v>530</v>
      </c>
      <c r="N2558">
        <v>106</v>
      </c>
      <c r="O2558">
        <v>106</v>
      </c>
      <c r="P2558" t="str">
        <f t="shared" si="39"/>
        <v>N</v>
      </c>
      <c r="Q2558" t="s">
        <v>8288</v>
      </c>
    </row>
    <row r="2559" spans="1:17" x14ac:dyDescent="0.25">
      <c r="A2559" t="s">
        <v>2046</v>
      </c>
      <c r="B2559" t="s">
        <v>1135</v>
      </c>
      <c r="C2559">
        <v>2027</v>
      </c>
      <c r="D2559" t="s">
        <v>634</v>
      </c>
      <c r="E2559" t="s">
        <v>838</v>
      </c>
      <c r="F2559" s="32">
        <v>46444</v>
      </c>
      <c r="G2559" t="s">
        <v>514</v>
      </c>
      <c r="H2559">
        <v>47146463</v>
      </c>
      <c r="I2559" t="s">
        <v>1441</v>
      </c>
      <c r="J2559" t="s">
        <v>1440</v>
      </c>
      <c r="K2559" t="s">
        <v>530</v>
      </c>
      <c r="N2559">
        <v>0</v>
      </c>
      <c r="O2559">
        <v>0</v>
      </c>
      <c r="P2559" t="str">
        <f t="shared" si="39"/>
        <v>N</v>
      </c>
      <c r="Q2559" t="s">
        <v>8289</v>
      </c>
    </row>
    <row r="2560" spans="1:17" x14ac:dyDescent="0.25">
      <c r="A2560" t="s">
        <v>2047</v>
      </c>
      <c r="B2560" t="s">
        <v>1135</v>
      </c>
      <c r="C2560">
        <v>2027</v>
      </c>
      <c r="D2560" t="s">
        <v>634</v>
      </c>
      <c r="E2560" t="s">
        <v>838</v>
      </c>
      <c r="F2560" s="32">
        <v>46444</v>
      </c>
      <c r="G2560" t="s">
        <v>514</v>
      </c>
      <c r="H2560">
        <v>47128729</v>
      </c>
      <c r="I2560" t="s">
        <v>1149</v>
      </c>
      <c r="J2560" t="s">
        <v>1148</v>
      </c>
      <c r="K2560" t="s">
        <v>530</v>
      </c>
      <c r="N2560">
        <v>0</v>
      </c>
      <c r="O2560">
        <v>0</v>
      </c>
      <c r="P2560" t="str">
        <f t="shared" si="39"/>
        <v>N</v>
      </c>
      <c r="Q2560" t="s">
        <v>8290</v>
      </c>
    </row>
    <row r="2561" spans="1:17" x14ac:dyDescent="0.25">
      <c r="A2561" t="s">
        <v>2048</v>
      </c>
      <c r="B2561" t="s">
        <v>1135</v>
      </c>
      <c r="C2561">
        <v>2027</v>
      </c>
      <c r="D2561" t="s">
        <v>634</v>
      </c>
      <c r="E2561" t="s">
        <v>838</v>
      </c>
      <c r="F2561" s="32">
        <v>46444</v>
      </c>
      <c r="G2561" t="s">
        <v>514</v>
      </c>
      <c r="H2561">
        <v>47128413</v>
      </c>
      <c r="I2561" t="s">
        <v>1397</v>
      </c>
      <c r="J2561" t="s">
        <v>1396</v>
      </c>
      <c r="K2561" t="s">
        <v>530</v>
      </c>
      <c r="N2561">
        <v>0</v>
      </c>
      <c r="O2561">
        <v>0</v>
      </c>
      <c r="P2561" t="str">
        <f t="shared" si="39"/>
        <v>N</v>
      </c>
      <c r="Q2561" t="s">
        <v>8291</v>
      </c>
    </row>
    <row r="2562" spans="1:17" x14ac:dyDescent="0.25">
      <c r="A2562" t="s">
        <v>2049</v>
      </c>
      <c r="B2562" t="s">
        <v>1135</v>
      </c>
      <c r="C2562">
        <v>2027</v>
      </c>
      <c r="D2562" t="s">
        <v>634</v>
      </c>
      <c r="E2562" t="s">
        <v>838</v>
      </c>
      <c r="F2562" s="32">
        <v>46444</v>
      </c>
      <c r="G2562" t="s">
        <v>514</v>
      </c>
      <c r="H2562">
        <v>47128783</v>
      </c>
      <c r="I2562" t="s">
        <v>1280</v>
      </c>
      <c r="J2562" t="s">
        <v>1279</v>
      </c>
      <c r="K2562" t="s">
        <v>530</v>
      </c>
      <c r="N2562">
        <v>0</v>
      </c>
      <c r="O2562">
        <v>0</v>
      </c>
      <c r="P2562" t="str">
        <f t="shared" si="39"/>
        <v>N</v>
      </c>
      <c r="Q2562" t="s">
        <v>8292</v>
      </c>
    </row>
    <row r="2563" spans="1:17" x14ac:dyDescent="0.25">
      <c r="A2563" t="s">
        <v>2050</v>
      </c>
      <c r="B2563" t="s">
        <v>1135</v>
      </c>
      <c r="C2563">
        <v>2027</v>
      </c>
      <c r="D2563" t="s">
        <v>634</v>
      </c>
      <c r="E2563" t="s">
        <v>838</v>
      </c>
      <c r="F2563" s="32">
        <v>46444</v>
      </c>
      <c r="G2563" t="s">
        <v>514</v>
      </c>
      <c r="H2563">
        <v>47128944</v>
      </c>
      <c r="I2563" t="s">
        <v>1137</v>
      </c>
      <c r="J2563" t="s">
        <v>1136</v>
      </c>
      <c r="K2563" t="s">
        <v>530</v>
      </c>
      <c r="N2563">
        <v>0</v>
      </c>
      <c r="O2563">
        <v>0</v>
      </c>
      <c r="P2563" t="str">
        <f t="shared" ref="P2563:P2626" si="40">IF(N2563=O2563,"N","Y")</f>
        <v>N</v>
      </c>
      <c r="Q2563" t="s">
        <v>8293</v>
      </c>
    </row>
    <row r="2564" spans="1:17" x14ac:dyDescent="0.25">
      <c r="A2564" t="s">
        <v>2051</v>
      </c>
      <c r="B2564" t="s">
        <v>1135</v>
      </c>
      <c r="C2564">
        <v>2027</v>
      </c>
      <c r="D2564" t="s">
        <v>634</v>
      </c>
      <c r="E2564" t="s">
        <v>838</v>
      </c>
      <c r="F2564" s="32">
        <v>46444</v>
      </c>
      <c r="G2564" t="s">
        <v>514</v>
      </c>
      <c r="H2564">
        <v>47129547</v>
      </c>
      <c r="I2564" t="s">
        <v>1128</v>
      </c>
      <c r="J2564" t="s">
        <v>1352</v>
      </c>
      <c r="K2564" t="s">
        <v>530</v>
      </c>
      <c r="N2564">
        <v>0</v>
      </c>
      <c r="O2564">
        <v>0</v>
      </c>
      <c r="P2564" t="str">
        <f t="shared" si="40"/>
        <v>N</v>
      </c>
      <c r="Q2564" t="s">
        <v>8294</v>
      </c>
    </row>
    <row r="2565" spans="1:17" x14ac:dyDescent="0.25">
      <c r="A2565" t="s">
        <v>2052</v>
      </c>
      <c r="B2565" t="s">
        <v>1135</v>
      </c>
      <c r="C2565">
        <v>2027</v>
      </c>
      <c r="D2565" t="s">
        <v>634</v>
      </c>
      <c r="E2565" t="s">
        <v>838</v>
      </c>
      <c r="F2565" s="32">
        <v>46444</v>
      </c>
      <c r="G2565" t="s">
        <v>514</v>
      </c>
      <c r="H2565">
        <v>47128518</v>
      </c>
      <c r="I2565" t="s">
        <v>1232</v>
      </c>
      <c r="J2565" t="s">
        <v>1493</v>
      </c>
      <c r="K2565" t="s">
        <v>530</v>
      </c>
      <c r="N2565">
        <v>0</v>
      </c>
      <c r="O2565">
        <v>0</v>
      </c>
      <c r="P2565" t="str">
        <f t="shared" si="40"/>
        <v>N</v>
      </c>
      <c r="Q2565" t="s">
        <v>8295</v>
      </c>
    </row>
    <row r="2566" spans="1:17" x14ac:dyDescent="0.25">
      <c r="A2566" t="s">
        <v>2053</v>
      </c>
      <c r="B2566" t="s">
        <v>1135</v>
      </c>
      <c r="C2566">
        <v>2027</v>
      </c>
      <c r="D2566" t="s">
        <v>634</v>
      </c>
      <c r="E2566" t="s">
        <v>838</v>
      </c>
      <c r="F2566" s="32">
        <v>46444</v>
      </c>
      <c r="G2566" t="s">
        <v>514</v>
      </c>
      <c r="H2566">
        <v>47128168</v>
      </c>
      <c r="I2566" t="s">
        <v>1100</v>
      </c>
      <c r="J2566" t="s">
        <v>1099</v>
      </c>
      <c r="K2566" t="s">
        <v>530</v>
      </c>
      <c r="N2566">
        <v>0</v>
      </c>
      <c r="O2566">
        <v>0</v>
      </c>
      <c r="P2566" t="str">
        <f t="shared" si="40"/>
        <v>N</v>
      </c>
      <c r="Q2566" t="s">
        <v>8296</v>
      </c>
    </row>
    <row r="2567" spans="1:17" x14ac:dyDescent="0.25">
      <c r="A2567" t="s">
        <v>2054</v>
      </c>
      <c r="B2567" t="s">
        <v>1135</v>
      </c>
      <c r="C2567">
        <v>2027</v>
      </c>
      <c r="D2567" t="s">
        <v>634</v>
      </c>
      <c r="E2567" t="s">
        <v>838</v>
      </c>
      <c r="F2567" s="32">
        <v>46444</v>
      </c>
      <c r="G2567" t="s">
        <v>514</v>
      </c>
      <c r="H2567">
        <v>47128687</v>
      </c>
      <c r="I2567" t="s">
        <v>1153</v>
      </c>
      <c r="J2567" t="s">
        <v>1152</v>
      </c>
      <c r="K2567" t="s">
        <v>530</v>
      </c>
      <c r="N2567">
        <v>0</v>
      </c>
      <c r="O2567">
        <v>0</v>
      </c>
      <c r="P2567" t="str">
        <f t="shared" si="40"/>
        <v>N</v>
      </c>
      <c r="Q2567" t="s">
        <v>8297</v>
      </c>
    </row>
    <row r="2568" spans="1:17" x14ac:dyDescent="0.25">
      <c r="A2568" t="s">
        <v>2055</v>
      </c>
      <c r="B2568" t="s">
        <v>1135</v>
      </c>
      <c r="C2568">
        <v>2027</v>
      </c>
      <c r="D2568" t="s">
        <v>634</v>
      </c>
      <c r="E2568" t="s">
        <v>838</v>
      </c>
      <c r="F2568" s="32">
        <v>46444</v>
      </c>
      <c r="G2568" t="s">
        <v>514</v>
      </c>
      <c r="H2568">
        <v>47128585</v>
      </c>
      <c r="I2568" t="s">
        <v>1141</v>
      </c>
      <c r="J2568" t="s">
        <v>1140</v>
      </c>
      <c r="K2568" t="s">
        <v>530</v>
      </c>
      <c r="N2568">
        <v>0</v>
      </c>
      <c r="O2568">
        <v>0</v>
      </c>
      <c r="P2568" t="str">
        <f t="shared" si="40"/>
        <v>N</v>
      </c>
      <c r="Q2568" t="s">
        <v>8298</v>
      </c>
    </row>
    <row r="2569" spans="1:17" x14ac:dyDescent="0.25">
      <c r="A2569" t="s">
        <v>2056</v>
      </c>
      <c r="B2569" t="s">
        <v>1135</v>
      </c>
      <c r="C2569">
        <v>2027</v>
      </c>
      <c r="D2569" t="s">
        <v>634</v>
      </c>
      <c r="E2569" t="s">
        <v>838</v>
      </c>
      <c r="F2569" s="32">
        <v>46444</v>
      </c>
      <c r="G2569" t="s">
        <v>514</v>
      </c>
      <c r="H2569">
        <v>47128906</v>
      </c>
      <c r="I2569" t="s">
        <v>1349</v>
      </c>
      <c r="J2569" t="s">
        <v>1348</v>
      </c>
      <c r="K2569" t="s">
        <v>530</v>
      </c>
      <c r="N2569">
        <v>0</v>
      </c>
      <c r="O2569">
        <v>0</v>
      </c>
      <c r="P2569" t="str">
        <f t="shared" si="40"/>
        <v>N</v>
      </c>
      <c r="Q2569" t="s">
        <v>8299</v>
      </c>
    </row>
    <row r="2570" spans="1:17" x14ac:dyDescent="0.25">
      <c r="A2570" t="s">
        <v>2057</v>
      </c>
      <c r="B2570" t="s">
        <v>1135</v>
      </c>
      <c r="C2570">
        <v>2027</v>
      </c>
      <c r="D2570" t="s">
        <v>634</v>
      </c>
      <c r="E2570" t="s">
        <v>838</v>
      </c>
      <c r="F2570" s="32">
        <v>46444</v>
      </c>
      <c r="G2570" t="s">
        <v>514</v>
      </c>
      <c r="H2570">
        <v>47128585</v>
      </c>
      <c r="I2570" t="s">
        <v>1141</v>
      </c>
      <c r="J2570" t="s">
        <v>1408</v>
      </c>
      <c r="K2570" t="s">
        <v>530</v>
      </c>
      <c r="N2570">
        <v>0</v>
      </c>
      <c r="O2570">
        <v>0</v>
      </c>
      <c r="P2570" t="str">
        <f t="shared" si="40"/>
        <v>N</v>
      </c>
      <c r="Q2570" t="s">
        <v>8300</v>
      </c>
    </row>
    <row r="2571" spans="1:17" x14ac:dyDescent="0.25">
      <c r="A2571" t="s">
        <v>2058</v>
      </c>
      <c r="B2571" t="s">
        <v>1135</v>
      </c>
      <c r="C2571">
        <v>2027</v>
      </c>
      <c r="D2571" t="s">
        <v>634</v>
      </c>
      <c r="E2571" t="s">
        <v>838</v>
      </c>
      <c r="F2571" s="32">
        <v>46444</v>
      </c>
      <c r="G2571" t="s">
        <v>514</v>
      </c>
      <c r="H2571">
        <v>47128518</v>
      </c>
      <c r="I2571" t="s">
        <v>1232</v>
      </c>
      <c r="J2571" t="s">
        <v>1231</v>
      </c>
      <c r="K2571" t="s">
        <v>530</v>
      </c>
      <c r="N2571">
        <v>0</v>
      </c>
      <c r="O2571">
        <v>0</v>
      </c>
      <c r="P2571" t="str">
        <f t="shared" si="40"/>
        <v>N</v>
      </c>
      <c r="Q2571" t="s">
        <v>8301</v>
      </c>
    </row>
    <row r="2572" spans="1:17" x14ac:dyDescent="0.25">
      <c r="A2572" t="s">
        <v>2059</v>
      </c>
      <c r="B2572" t="s">
        <v>1135</v>
      </c>
      <c r="C2572">
        <v>2027</v>
      </c>
      <c r="D2572" t="s">
        <v>634</v>
      </c>
      <c r="E2572" t="s">
        <v>838</v>
      </c>
      <c r="F2572" s="32">
        <v>46444</v>
      </c>
      <c r="G2572" t="s">
        <v>514</v>
      </c>
      <c r="H2572">
        <v>47128680</v>
      </c>
      <c r="I2572" t="s">
        <v>1284</v>
      </c>
      <c r="J2572" t="s">
        <v>1283</v>
      </c>
      <c r="K2572" t="s">
        <v>530</v>
      </c>
      <c r="N2572">
        <v>0</v>
      </c>
      <c r="O2572">
        <v>0</v>
      </c>
      <c r="P2572" t="str">
        <f t="shared" si="40"/>
        <v>N</v>
      </c>
      <c r="Q2572" t="s">
        <v>8302</v>
      </c>
    </row>
    <row r="2573" spans="1:17" x14ac:dyDescent="0.25">
      <c r="A2573" t="s">
        <v>2060</v>
      </c>
      <c r="B2573" t="s">
        <v>1135</v>
      </c>
      <c r="C2573">
        <v>2027</v>
      </c>
      <c r="D2573" t="s">
        <v>634</v>
      </c>
      <c r="E2573" t="s">
        <v>838</v>
      </c>
      <c r="F2573" s="32">
        <v>46444</v>
      </c>
      <c r="G2573" t="s">
        <v>514</v>
      </c>
      <c r="H2573">
        <v>47128024</v>
      </c>
      <c r="I2573" t="s">
        <v>1108</v>
      </c>
      <c r="J2573" t="s">
        <v>1107</v>
      </c>
      <c r="K2573" t="s">
        <v>530</v>
      </c>
      <c r="N2573">
        <v>0</v>
      </c>
      <c r="O2573">
        <v>0</v>
      </c>
      <c r="P2573" t="str">
        <f t="shared" si="40"/>
        <v>N</v>
      </c>
      <c r="Q2573" t="s">
        <v>8303</v>
      </c>
    </row>
    <row r="2574" spans="1:17" x14ac:dyDescent="0.25">
      <c r="A2574" t="s">
        <v>2061</v>
      </c>
      <c r="B2574" t="s">
        <v>1135</v>
      </c>
      <c r="C2574">
        <v>2027</v>
      </c>
      <c r="D2574" t="s">
        <v>634</v>
      </c>
      <c r="E2574" t="s">
        <v>838</v>
      </c>
      <c r="F2574" s="32">
        <v>46444</v>
      </c>
      <c r="G2574" t="s">
        <v>514</v>
      </c>
      <c r="H2574">
        <v>47128944</v>
      </c>
      <c r="I2574" t="s">
        <v>1137</v>
      </c>
      <c r="J2574" t="s">
        <v>1513</v>
      </c>
      <c r="K2574" t="s">
        <v>530</v>
      </c>
      <c r="N2574">
        <v>0</v>
      </c>
      <c r="O2574">
        <v>0</v>
      </c>
      <c r="P2574" t="str">
        <f t="shared" si="40"/>
        <v>N</v>
      </c>
      <c r="Q2574" t="s">
        <v>8304</v>
      </c>
    </row>
    <row r="2575" spans="1:17" x14ac:dyDescent="0.25">
      <c r="A2575" t="s">
        <v>2062</v>
      </c>
      <c r="B2575" t="s">
        <v>1135</v>
      </c>
      <c r="C2575">
        <v>2027</v>
      </c>
      <c r="D2575" t="s">
        <v>634</v>
      </c>
      <c r="E2575" t="s">
        <v>838</v>
      </c>
      <c r="F2575" s="32">
        <v>46444</v>
      </c>
      <c r="G2575" t="s">
        <v>514</v>
      </c>
      <c r="H2575">
        <v>47147546</v>
      </c>
      <c r="I2575" t="s">
        <v>1077</v>
      </c>
      <c r="J2575" t="s">
        <v>1076</v>
      </c>
      <c r="K2575" t="s">
        <v>530</v>
      </c>
      <c r="N2575">
        <v>0</v>
      </c>
      <c r="O2575">
        <v>0</v>
      </c>
      <c r="P2575" t="str">
        <f t="shared" si="40"/>
        <v>N</v>
      </c>
      <c r="Q2575" t="s">
        <v>8305</v>
      </c>
    </row>
    <row r="2576" spans="1:17" x14ac:dyDescent="0.25">
      <c r="A2576" t="s">
        <v>2063</v>
      </c>
      <c r="B2576" t="s">
        <v>1135</v>
      </c>
      <c r="C2576">
        <v>2027</v>
      </c>
      <c r="D2576" t="s">
        <v>634</v>
      </c>
      <c r="E2576" t="s">
        <v>838</v>
      </c>
      <c r="F2576" s="32">
        <v>46444</v>
      </c>
      <c r="G2576" t="s">
        <v>514</v>
      </c>
      <c r="H2576">
        <v>47128346</v>
      </c>
      <c r="I2576" t="s">
        <v>1157</v>
      </c>
      <c r="J2576" t="s">
        <v>1156</v>
      </c>
      <c r="K2576" t="s">
        <v>530</v>
      </c>
      <c r="N2576">
        <v>0</v>
      </c>
      <c r="O2576">
        <v>0</v>
      </c>
      <c r="P2576" t="str">
        <f t="shared" si="40"/>
        <v>N</v>
      </c>
      <c r="Q2576" t="s">
        <v>8306</v>
      </c>
    </row>
    <row r="2577" spans="1:17" x14ac:dyDescent="0.25">
      <c r="A2577" t="s">
        <v>2064</v>
      </c>
      <c r="B2577" t="s">
        <v>1135</v>
      </c>
      <c r="C2577">
        <v>2027</v>
      </c>
      <c r="D2577" t="s">
        <v>634</v>
      </c>
      <c r="E2577" t="s">
        <v>838</v>
      </c>
      <c r="F2577" s="32">
        <v>46444</v>
      </c>
      <c r="G2577" t="s">
        <v>514</v>
      </c>
      <c r="H2577">
        <v>47128800</v>
      </c>
      <c r="I2577" t="s">
        <v>1145</v>
      </c>
      <c r="J2577" t="s">
        <v>1144</v>
      </c>
      <c r="K2577" t="s">
        <v>530</v>
      </c>
      <c r="N2577">
        <v>0</v>
      </c>
      <c r="O2577">
        <v>0</v>
      </c>
      <c r="P2577" t="str">
        <f t="shared" si="40"/>
        <v>N</v>
      </c>
      <c r="Q2577" t="s">
        <v>8307</v>
      </c>
    </row>
    <row r="2578" spans="1:17" x14ac:dyDescent="0.25">
      <c r="A2578" t="s">
        <v>2065</v>
      </c>
      <c r="B2578" t="s">
        <v>1135</v>
      </c>
      <c r="C2578">
        <v>2027</v>
      </c>
      <c r="D2578" t="s">
        <v>634</v>
      </c>
      <c r="E2578" t="s">
        <v>838</v>
      </c>
      <c r="F2578" s="32">
        <v>46444</v>
      </c>
      <c r="G2578" t="s">
        <v>514</v>
      </c>
      <c r="H2578">
        <v>47128109</v>
      </c>
      <c r="I2578" t="s">
        <v>1336</v>
      </c>
      <c r="J2578" t="s">
        <v>1335</v>
      </c>
      <c r="K2578" t="s">
        <v>530</v>
      </c>
      <c r="N2578">
        <v>0</v>
      </c>
      <c r="O2578">
        <v>0</v>
      </c>
      <c r="P2578" t="str">
        <f t="shared" si="40"/>
        <v>N</v>
      </c>
      <c r="Q2578" t="s">
        <v>8308</v>
      </c>
    </row>
    <row r="2579" spans="1:17" x14ac:dyDescent="0.25">
      <c r="A2579" t="s">
        <v>2066</v>
      </c>
      <c r="B2579" t="s">
        <v>1135</v>
      </c>
      <c r="C2579">
        <v>2027</v>
      </c>
      <c r="D2579" t="s">
        <v>634</v>
      </c>
      <c r="E2579" t="s">
        <v>838</v>
      </c>
      <c r="F2579" s="32">
        <v>46444</v>
      </c>
      <c r="G2579" t="s">
        <v>514</v>
      </c>
      <c r="H2579">
        <v>47128430</v>
      </c>
      <c r="I2579" t="s">
        <v>1401</v>
      </c>
      <c r="J2579" t="s">
        <v>1400</v>
      </c>
      <c r="K2579" t="s">
        <v>530</v>
      </c>
      <c r="N2579">
        <v>0</v>
      </c>
      <c r="O2579">
        <v>0</v>
      </c>
      <c r="P2579" t="str">
        <f t="shared" si="40"/>
        <v>N</v>
      </c>
      <c r="Q2579" t="s">
        <v>8309</v>
      </c>
    </row>
    <row r="2580" spans="1:17" x14ac:dyDescent="0.25">
      <c r="A2580" t="s">
        <v>2067</v>
      </c>
      <c r="B2580" t="s">
        <v>1135</v>
      </c>
      <c r="C2580">
        <v>2027</v>
      </c>
      <c r="D2580" t="s">
        <v>634</v>
      </c>
      <c r="E2580" t="s">
        <v>838</v>
      </c>
      <c r="F2580" s="32">
        <v>46444</v>
      </c>
      <c r="G2580" t="s">
        <v>514</v>
      </c>
      <c r="H2580">
        <v>47128522</v>
      </c>
      <c r="I2580" t="s">
        <v>1092</v>
      </c>
      <c r="J2580" t="s">
        <v>1091</v>
      </c>
      <c r="K2580" t="s">
        <v>530</v>
      </c>
      <c r="N2580">
        <v>0</v>
      </c>
      <c r="O2580">
        <v>0</v>
      </c>
      <c r="P2580" t="str">
        <f t="shared" si="40"/>
        <v>N</v>
      </c>
      <c r="Q2580" t="s">
        <v>8310</v>
      </c>
    </row>
    <row r="2581" spans="1:17" x14ac:dyDescent="0.25">
      <c r="A2581" t="s">
        <v>2068</v>
      </c>
      <c r="B2581" t="s">
        <v>1135</v>
      </c>
      <c r="C2581">
        <v>2027</v>
      </c>
      <c r="D2581" t="s">
        <v>634</v>
      </c>
      <c r="E2581" t="s">
        <v>838</v>
      </c>
      <c r="F2581" s="32">
        <v>46444</v>
      </c>
      <c r="G2581" t="s">
        <v>514</v>
      </c>
      <c r="H2581">
        <v>47147546</v>
      </c>
      <c r="I2581" t="s">
        <v>1077</v>
      </c>
      <c r="J2581" t="s">
        <v>1381</v>
      </c>
      <c r="K2581" t="s">
        <v>530</v>
      </c>
      <c r="N2581">
        <v>0</v>
      </c>
      <c r="O2581">
        <v>0</v>
      </c>
      <c r="P2581" t="str">
        <f t="shared" si="40"/>
        <v>N</v>
      </c>
      <c r="Q2581" t="s">
        <v>8311</v>
      </c>
    </row>
    <row r="2582" spans="1:17" x14ac:dyDescent="0.25">
      <c r="A2582" t="s">
        <v>2069</v>
      </c>
      <c r="B2582" t="s">
        <v>1135</v>
      </c>
      <c r="C2582">
        <v>2027</v>
      </c>
      <c r="D2582" t="s">
        <v>634</v>
      </c>
      <c r="E2582" t="s">
        <v>838</v>
      </c>
      <c r="F2582" s="32">
        <v>46444</v>
      </c>
      <c r="G2582" t="s">
        <v>514</v>
      </c>
      <c r="H2582">
        <v>47147658</v>
      </c>
      <c r="I2582" t="s">
        <v>1276</v>
      </c>
      <c r="J2582" t="s">
        <v>1275</v>
      </c>
      <c r="K2582" t="s">
        <v>530</v>
      </c>
      <c r="N2582">
        <v>0</v>
      </c>
      <c r="O2582">
        <v>0</v>
      </c>
      <c r="P2582" t="str">
        <f t="shared" si="40"/>
        <v>N</v>
      </c>
      <c r="Q2582" t="s">
        <v>8312</v>
      </c>
    </row>
    <row r="2583" spans="1:17" x14ac:dyDescent="0.25">
      <c r="A2583" t="s">
        <v>2070</v>
      </c>
      <c r="B2583" t="s">
        <v>1135</v>
      </c>
      <c r="C2583">
        <v>2027</v>
      </c>
      <c r="D2583" t="s">
        <v>634</v>
      </c>
      <c r="E2583" t="s">
        <v>838</v>
      </c>
      <c r="F2583" s="32">
        <v>46444</v>
      </c>
      <c r="G2583" t="s">
        <v>514</v>
      </c>
      <c r="H2583">
        <v>47147546</v>
      </c>
      <c r="I2583" t="s">
        <v>1077</v>
      </c>
      <c r="J2583" t="s">
        <v>1171</v>
      </c>
      <c r="K2583" t="s">
        <v>530</v>
      </c>
      <c r="N2583">
        <v>0</v>
      </c>
      <c r="O2583">
        <v>0</v>
      </c>
      <c r="P2583" t="str">
        <f t="shared" si="40"/>
        <v>N</v>
      </c>
      <c r="Q2583" t="s">
        <v>8313</v>
      </c>
    </row>
    <row r="2584" spans="1:17" x14ac:dyDescent="0.25">
      <c r="A2584" t="s">
        <v>2071</v>
      </c>
      <c r="B2584" t="s">
        <v>1135</v>
      </c>
      <c r="C2584">
        <v>2027</v>
      </c>
      <c r="D2584" t="s">
        <v>634</v>
      </c>
      <c r="E2584" t="s">
        <v>838</v>
      </c>
      <c r="F2584" s="32">
        <v>46444</v>
      </c>
      <c r="G2584" t="s">
        <v>514</v>
      </c>
      <c r="H2584">
        <v>47128028</v>
      </c>
      <c r="I2584" t="s">
        <v>1035</v>
      </c>
      <c r="J2584" t="s">
        <v>1034</v>
      </c>
      <c r="K2584" t="s">
        <v>530</v>
      </c>
      <c r="N2584">
        <v>0</v>
      </c>
      <c r="O2584">
        <v>0</v>
      </c>
      <c r="P2584" t="str">
        <f t="shared" si="40"/>
        <v>N</v>
      </c>
      <c r="Q2584" t="s">
        <v>8314</v>
      </c>
    </row>
    <row r="2585" spans="1:17" x14ac:dyDescent="0.25">
      <c r="A2585" t="s">
        <v>2072</v>
      </c>
      <c r="B2585" t="s">
        <v>1135</v>
      </c>
      <c r="C2585">
        <v>2027</v>
      </c>
      <c r="D2585" t="s">
        <v>634</v>
      </c>
      <c r="E2585" t="s">
        <v>838</v>
      </c>
      <c r="F2585" s="32">
        <v>46444</v>
      </c>
      <c r="G2585" t="s">
        <v>514</v>
      </c>
      <c r="H2585">
        <v>47128465</v>
      </c>
      <c r="I2585" t="s">
        <v>1333</v>
      </c>
      <c r="J2585" t="s">
        <v>1332</v>
      </c>
      <c r="K2585" t="s">
        <v>530</v>
      </c>
      <c r="N2585">
        <v>0</v>
      </c>
      <c r="O2585">
        <v>0</v>
      </c>
      <c r="P2585" t="str">
        <f t="shared" si="40"/>
        <v>N</v>
      </c>
      <c r="Q2585" t="s">
        <v>8315</v>
      </c>
    </row>
    <row r="2586" spans="1:17" x14ac:dyDescent="0.25">
      <c r="A2586" t="s">
        <v>2073</v>
      </c>
      <c r="B2586" t="s">
        <v>1135</v>
      </c>
      <c r="C2586">
        <v>2027</v>
      </c>
      <c r="D2586" t="s">
        <v>634</v>
      </c>
      <c r="E2586" t="s">
        <v>838</v>
      </c>
      <c r="F2586" s="32">
        <v>46444</v>
      </c>
      <c r="G2586" t="s">
        <v>514</v>
      </c>
      <c r="H2586">
        <v>47128548</v>
      </c>
      <c r="I2586" t="s">
        <v>958</v>
      </c>
      <c r="J2586" t="s">
        <v>957</v>
      </c>
      <c r="K2586" t="s">
        <v>530</v>
      </c>
      <c r="N2586">
        <v>0</v>
      </c>
      <c r="O2586">
        <v>0</v>
      </c>
      <c r="P2586" t="str">
        <f t="shared" si="40"/>
        <v>N</v>
      </c>
      <c r="Q2586" t="s">
        <v>8316</v>
      </c>
    </row>
    <row r="2587" spans="1:17" x14ac:dyDescent="0.25">
      <c r="A2587" t="s">
        <v>2439</v>
      </c>
      <c r="B2587" t="s">
        <v>2344</v>
      </c>
      <c r="C2587">
        <v>2027</v>
      </c>
      <c r="D2587" t="s">
        <v>634</v>
      </c>
      <c r="E2587" t="s">
        <v>838</v>
      </c>
      <c r="F2587" s="32">
        <v>46444</v>
      </c>
      <c r="G2587" t="s">
        <v>514</v>
      </c>
      <c r="H2587">
        <v>47128820</v>
      </c>
      <c r="I2587" t="s">
        <v>2411</v>
      </c>
      <c r="J2587" t="s">
        <v>2412</v>
      </c>
      <c r="K2587" t="s">
        <v>530</v>
      </c>
      <c r="N2587">
        <v>0</v>
      </c>
      <c r="O2587">
        <v>0</v>
      </c>
      <c r="P2587" t="str">
        <f t="shared" si="40"/>
        <v>N</v>
      </c>
      <c r="Q2587" t="s">
        <v>8317</v>
      </c>
    </row>
    <row r="2588" spans="1:17" x14ac:dyDescent="0.25">
      <c r="A2588" t="s">
        <v>2440</v>
      </c>
      <c r="B2588" t="s">
        <v>2344</v>
      </c>
      <c r="C2588">
        <v>2027</v>
      </c>
      <c r="D2588" t="s">
        <v>634</v>
      </c>
      <c r="E2588" t="s">
        <v>838</v>
      </c>
      <c r="F2588" s="32">
        <v>46444</v>
      </c>
      <c r="G2588" t="s">
        <v>514</v>
      </c>
      <c r="H2588">
        <v>47128378</v>
      </c>
      <c r="I2588" t="s">
        <v>2392</v>
      </c>
      <c r="J2588" t="s">
        <v>2393</v>
      </c>
      <c r="K2588" t="s">
        <v>530</v>
      </c>
      <c r="N2588">
        <v>0</v>
      </c>
      <c r="O2588">
        <v>0</v>
      </c>
      <c r="P2588" t="str">
        <f t="shared" si="40"/>
        <v>N</v>
      </c>
      <c r="Q2588" t="s">
        <v>8318</v>
      </c>
    </row>
    <row r="2589" spans="1:17" x14ac:dyDescent="0.25">
      <c r="A2589" t="s">
        <v>2441</v>
      </c>
      <c r="B2589" t="s">
        <v>2344</v>
      </c>
      <c r="C2589">
        <v>2027</v>
      </c>
      <c r="D2589" t="s">
        <v>634</v>
      </c>
      <c r="E2589" t="s">
        <v>838</v>
      </c>
      <c r="F2589" s="32">
        <v>46444</v>
      </c>
      <c r="G2589" t="s">
        <v>514</v>
      </c>
      <c r="H2589">
        <v>47128020</v>
      </c>
      <c r="I2589" t="s">
        <v>2395</v>
      </c>
      <c r="J2589" t="s">
        <v>2396</v>
      </c>
      <c r="K2589" t="s">
        <v>530</v>
      </c>
      <c r="N2589">
        <v>0</v>
      </c>
      <c r="O2589">
        <v>0</v>
      </c>
      <c r="P2589" t="str">
        <f t="shared" si="40"/>
        <v>N</v>
      </c>
      <c r="Q2589" t="s">
        <v>8319</v>
      </c>
    </row>
    <row r="2590" spans="1:17" x14ac:dyDescent="0.25">
      <c r="A2590" t="s">
        <v>2442</v>
      </c>
      <c r="B2590" t="s">
        <v>2344</v>
      </c>
      <c r="C2590">
        <v>2027</v>
      </c>
      <c r="D2590" t="s">
        <v>634</v>
      </c>
      <c r="E2590" t="s">
        <v>838</v>
      </c>
      <c r="F2590" s="32">
        <v>46444</v>
      </c>
      <c r="G2590" t="s">
        <v>514</v>
      </c>
      <c r="H2590">
        <v>47128459</v>
      </c>
      <c r="I2590" t="s">
        <v>2398</v>
      </c>
      <c r="J2590" t="s">
        <v>2399</v>
      </c>
      <c r="K2590" t="s">
        <v>530</v>
      </c>
      <c r="N2590">
        <v>0</v>
      </c>
      <c r="O2590">
        <v>0</v>
      </c>
      <c r="P2590" t="str">
        <f t="shared" si="40"/>
        <v>N</v>
      </c>
      <c r="Q2590" t="s">
        <v>8320</v>
      </c>
    </row>
    <row r="2591" spans="1:17" x14ac:dyDescent="0.25">
      <c r="A2591" t="s">
        <v>2670</v>
      </c>
      <c r="B2591" t="s">
        <v>2444</v>
      </c>
      <c r="C2591">
        <v>2027</v>
      </c>
      <c r="D2591" t="s">
        <v>634</v>
      </c>
      <c r="E2591" t="s">
        <v>838</v>
      </c>
      <c r="F2591" s="32">
        <v>46444</v>
      </c>
      <c r="G2591" t="s">
        <v>514</v>
      </c>
      <c r="H2591">
        <v>47128006</v>
      </c>
      <c r="I2591" t="s">
        <v>2447</v>
      </c>
      <c r="J2591" t="s">
        <v>2448</v>
      </c>
      <c r="K2591" t="s">
        <v>530</v>
      </c>
      <c r="N2591">
        <v>0</v>
      </c>
      <c r="O2591">
        <v>0</v>
      </c>
      <c r="P2591" t="str">
        <f t="shared" si="40"/>
        <v>N</v>
      </c>
      <c r="Q2591" t="s">
        <v>8321</v>
      </c>
    </row>
    <row r="2592" spans="1:17" x14ac:dyDescent="0.25">
      <c r="A2592" t="s">
        <v>2671</v>
      </c>
      <c r="B2592" t="s">
        <v>2444</v>
      </c>
      <c r="C2592">
        <v>2027</v>
      </c>
      <c r="D2592" t="s">
        <v>634</v>
      </c>
      <c r="E2592" t="s">
        <v>838</v>
      </c>
      <c r="F2592" s="32">
        <v>46444</v>
      </c>
      <c r="G2592" t="s">
        <v>514</v>
      </c>
      <c r="H2592">
        <v>47128300</v>
      </c>
      <c r="I2592" t="s">
        <v>2471</v>
      </c>
      <c r="J2592" t="s">
        <v>2472</v>
      </c>
      <c r="K2592" t="s">
        <v>530</v>
      </c>
      <c r="N2592">
        <v>0</v>
      </c>
      <c r="O2592">
        <v>0</v>
      </c>
      <c r="P2592" t="str">
        <f t="shared" si="40"/>
        <v>N</v>
      </c>
      <c r="Q2592" t="s">
        <v>8322</v>
      </c>
    </row>
    <row r="2593" spans="1:17" x14ac:dyDescent="0.25">
      <c r="A2593" t="s">
        <v>2672</v>
      </c>
      <c r="B2593" t="s">
        <v>2444</v>
      </c>
      <c r="C2593">
        <v>2027</v>
      </c>
      <c r="D2593" t="s">
        <v>634</v>
      </c>
      <c r="E2593" t="s">
        <v>838</v>
      </c>
      <c r="F2593" s="32">
        <v>46444</v>
      </c>
      <c r="G2593" t="s">
        <v>514</v>
      </c>
      <c r="H2593">
        <v>47128213</v>
      </c>
      <c r="I2593" t="s">
        <v>2456</v>
      </c>
      <c r="J2593" t="s">
        <v>2457</v>
      </c>
      <c r="K2593" t="s">
        <v>530</v>
      </c>
      <c r="N2593">
        <v>0</v>
      </c>
      <c r="O2593">
        <v>0</v>
      </c>
      <c r="P2593" t="str">
        <f t="shared" si="40"/>
        <v>N</v>
      </c>
      <c r="Q2593" t="s">
        <v>8323</v>
      </c>
    </row>
    <row r="2594" spans="1:17" x14ac:dyDescent="0.25">
      <c r="A2594" t="s">
        <v>2673</v>
      </c>
      <c r="B2594" t="s">
        <v>2444</v>
      </c>
      <c r="C2594">
        <v>2027</v>
      </c>
      <c r="D2594" t="s">
        <v>634</v>
      </c>
      <c r="E2594" t="s">
        <v>838</v>
      </c>
      <c r="F2594" s="32">
        <v>46444</v>
      </c>
      <c r="G2594" t="s">
        <v>514</v>
      </c>
      <c r="H2594">
        <v>47128667</v>
      </c>
      <c r="I2594" t="s">
        <v>2450</v>
      </c>
      <c r="J2594" t="s">
        <v>2451</v>
      </c>
      <c r="K2594" t="s">
        <v>530</v>
      </c>
      <c r="N2594">
        <v>0</v>
      </c>
      <c r="O2594">
        <v>0</v>
      </c>
      <c r="P2594" t="str">
        <f t="shared" si="40"/>
        <v>N</v>
      </c>
      <c r="Q2594" t="s">
        <v>8324</v>
      </c>
    </row>
    <row r="2595" spans="1:17" x14ac:dyDescent="0.25">
      <c r="A2595" t="s">
        <v>2674</v>
      </c>
      <c r="B2595" t="s">
        <v>2444</v>
      </c>
      <c r="C2595">
        <v>2027</v>
      </c>
      <c r="D2595" t="s">
        <v>634</v>
      </c>
      <c r="E2595" t="s">
        <v>838</v>
      </c>
      <c r="F2595" s="32">
        <v>46444</v>
      </c>
      <c r="G2595" t="s">
        <v>514</v>
      </c>
      <c r="H2595">
        <v>47128179</v>
      </c>
      <c r="I2595" t="s">
        <v>2477</v>
      </c>
      <c r="J2595" t="s">
        <v>2478</v>
      </c>
      <c r="K2595" t="s">
        <v>530</v>
      </c>
      <c r="N2595">
        <v>0</v>
      </c>
      <c r="O2595">
        <v>0</v>
      </c>
      <c r="P2595" t="str">
        <f t="shared" si="40"/>
        <v>N</v>
      </c>
      <c r="Q2595" t="s">
        <v>8325</v>
      </c>
    </row>
    <row r="2596" spans="1:17" x14ac:dyDescent="0.25">
      <c r="A2596" t="s">
        <v>2675</v>
      </c>
      <c r="B2596" t="s">
        <v>2444</v>
      </c>
      <c r="C2596">
        <v>2027</v>
      </c>
      <c r="D2596" t="s">
        <v>634</v>
      </c>
      <c r="E2596" t="s">
        <v>838</v>
      </c>
      <c r="F2596" s="32">
        <v>46444</v>
      </c>
      <c r="G2596" t="s">
        <v>514</v>
      </c>
      <c r="H2596">
        <v>47128655</v>
      </c>
      <c r="I2596" t="s">
        <v>2474</v>
      </c>
      <c r="J2596" t="s">
        <v>2475</v>
      </c>
      <c r="K2596" t="s">
        <v>530</v>
      </c>
      <c r="N2596">
        <v>0</v>
      </c>
      <c r="O2596">
        <v>0</v>
      </c>
      <c r="P2596" t="str">
        <f t="shared" si="40"/>
        <v>N</v>
      </c>
      <c r="Q2596" t="s">
        <v>8326</v>
      </c>
    </row>
    <row r="2597" spans="1:17" x14ac:dyDescent="0.25">
      <c r="A2597" t="s">
        <v>2676</v>
      </c>
      <c r="B2597" t="s">
        <v>2444</v>
      </c>
      <c r="C2597">
        <v>2027</v>
      </c>
      <c r="D2597" t="s">
        <v>634</v>
      </c>
      <c r="E2597" t="s">
        <v>838</v>
      </c>
      <c r="F2597" s="32">
        <v>46444</v>
      </c>
      <c r="G2597" t="s">
        <v>514</v>
      </c>
      <c r="H2597">
        <v>47129222</v>
      </c>
      <c r="I2597" t="s">
        <v>2459</v>
      </c>
      <c r="J2597" t="s">
        <v>2460</v>
      </c>
      <c r="K2597" t="s">
        <v>530</v>
      </c>
      <c r="N2597">
        <v>30</v>
      </c>
      <c r="O2597">
        <v>30</v>
      </c>
      <c r="P2597" t="str">
        <f t="shared" si="40"/>
        <v>N</v>
      </c>
      <c r="Q2597" t="s">
        <v>8327</v>
      </c>
    </row>
    <row r="2598" spans="1:17" x14ac:dyDescent="0.25">
      <c r="A2598" t="s">
        <v>2677</v>
      </c>
      <c r="B2598" t="s">
        <v>2444</v>
      </c>
      <c r="C2598">
        <v>2027</v>
      </c>
      <c r="D2598" t="s">
        <v>634</v>
      </c>
      <c r="E2598" t="s">
        <v>838</v>
      </c>
      <c r="F2598" s="32">
        <v>46444</v>
      </c>
      <c r="G2598" t="s">
        <v>514</v>
      </c>
      <c r="H2598">
        <v>47132096</v>
      </c>
      <c r="I2598" t="s">
        <v>2468</v>
      </c>
      <c r="J2598" t="s">
        <v>2469</v>
      </c>
      <c r="K2598" t="s">
        <v>530</v>
      </c>
      <c r="N2598">
        <v>0</v>
      </c>
      <c r="O2598">
        <v>0</v>
      </c>
      <c r="P2598" t="str">
        <f t="shared" si="40"/>
        <v>N</v>
      </c>
      <c r="Q2598" t="s">
        <v>8328</v>
      </c>
    </row>
    <row r="2599" spans="1:17" x14ac:dyDescent="0.25">
      <c r="A2599" t="s">
        <v>2678</v>
      </c>
      <c r="B2599" t="s">
        <v>2444</v>
      </c>
      <c r="C2599">
        <v>2027</v>
      </c>
      <c r="D2599" t="s">
        <v>634</v>
      </c>
      <c r="E2599" t="s">
        <v>838</v>
      </c>
      <c r="F2599" s="32">
        <v>46444</v>
      </c>
      <c r="G2599" t="s">
        <v>514</v>
      </c>
      <c r="H2599">
        <v>47128561</v>
      </c>
      <c r="I2599" t="s">
        <v>2462</v>
      </c>
      <c r="J2599" t="s">
        <v>2463</v>
      </c>
      <c r="K2599" t="s">
        <v>530</v>
      </c>
      <c r="N2599">
        <v>0</v>
      </c>
      <c r="O2599">
        <v>0</v>
      </c>
      <c r="P2599" t="str">
        <f t="shared" si="40"/>
        <v>N</v>
      </c>
      <c r="Q2599" t="s">
        <v>8329</v>
      </c>
    </row>
    <row r="2600" spans="1:17" x14ac:dyDescent="0.25">
      <c r="A2600" t="s">
        <v>2679</v>
      </c>
      <c r="B2600" t="s">
        <v>2444</v>
      </c>
      <c r="C2600">
        <v>2027</v>
      </c>
      <c r="D2600" t="s">
        <v>634</v>
      </c>
      <c r="E2600" t="s">
        <v>838</v>
      </c>
      <c r="F2600" s="32">
        <v>46444</v>
      </c>
      <c r="G2600" t="s">
        <v>514</v>
      </c>
      <c r="H2600">
        <v>47129274</v>
      </c>
      <c r="I2600" t="s">
        <v>2486</v>
      </c>
      <c r="J2600" t="s">
        <v>2487</v>
      </c>
      <c r="K2600" t="s">
        <v>530</v>
      </c>
      <c r="N2600">
        <v>0</v>
      </c>
      <c r="O2600">
        <v>0</v>
      </c>
      <c r="P2600" t="str">
        <f t="shared" si="40"/>
        <v>N</v>
      </c>
      <c r="Q2600" t="s">
        <v>8330</v>
      </c>
    </row>
    <row r="2601" spans="1:17" x14ac:dyDescent="0.25">
      <c r="A2601" t="s">
        <v>2680</v>
      </c>
      <c r="B2601" t="s">
        <v>2444</v>
      </c>
      <c r="C2601">
        <v>2027</v>
      </c>
      <c r="D2601" t="s">
        <v>634</v>
      </c>
      <c r="E2601" t="s">
        <v>838</v>
      </c>
      <c r="F2601" s="32">
        <v>46444</v>
      </c>
      <c r="G2601" t="s">
        <v>514</v>
      </c>
      <c r="H2601">
        <v>47129262</v>
      </c>
      <c r="I2601" t="s">
        <v>2453</v>
      </c>
      <c r="J2601" t="s">
        <v>2454</v>
      </c>
      <c r="K2601" t="s">
        <v>530</v>
      </c>
      <c r="N2601">
        <v>0</v>
      </c>
      <c r="O2601">
        <v>0</v>
      </c>
      <c r="P2601" t="str">
        <f t="shared" si="40"/>
        <v>N</v>
      </c>
      <c r="Q2601" t="s">
        <v>8331</v>
      </c>
    </row>
    <row r="2602" spans="1:17" x14ac:dyDescent="0.25">
      <c r="A2602" t="s">
        <v>2681</v>
      </c>
      <c r="B2602" t="s">
        <v>2444</v>
      </c>
      <c r="C2602">
        <v>2027</v>
      </c>
      <c r="D2602" t="s">
        <v>634</v>
      </c>
      <c r="E2602" t="s">
        <v>838</v>
      </c>
      <c r="F2602" s="32">
        <v>46444</v>
      </c>
      <c r="G2602" t="s">
        <v>514</v>
      </c>
      <c r="H2602">
        <v>47129558</v>
      </c>
      <c r="I2602" t="s">
        <v>2480</v>
      </c>
      <c r="J2602" t="s">
        <v>2481</v>
      </c>
      <c r="K2602" t="s">
        <v>530</v>
      </c>
      <c r="N2602">
        <v>30</v>
      </c>
      <c r="O2602">
        <v>30</v>
      </c>
      <c r="P2602" t="str">
        <f t="shared" si="40"/>
        <v>N</v>
      </c>
      <c r="Q2602" t="s">
        <v>8332</v>
      </c>
    </row>
    <row r="2603" spans="1:17" x14ac:dyDescent="0.25">
      <c r="A2603" t="s">
        <v>2682</v>
      </c>
      <c r="B2603" t="s">
        <v>2444</v>
      </c>
      <c r="C2603">
        <v>2027</v>
      </c>
      <c r="D2603" t="s">
        <v>634</v>
      </c>
      <c r="E2603" t="s">
        <v>838</v>
      </c>
      <c r="F2603" s="32">
        <v>46444</v>
      </c>
      <c r="G2603" t="s">
        <v>514</v>
      </c>
      <c r="H2603">
        <v>47129727</v>
      </c>
      <c r="I2603" t="s">
        <v>2465</v>
      </c>
      <c r="J2603" t="s">
        <v>2466</v>
      </c>
      <c r="K2603" t="s">
        <v>530</v>
      </c>
      <c r="N2603">
        <v>0</v>
      </c>
      <c r="O2603">
        <v>0</v>
      </c>
      <c r="P2603" t="str">
        <f t="shared" si="40"/>
        <v>N</v>
      </c>
      <c r="Q2603" t="s">
        <v>8333</v>
      </c>
    </row>
    <row r="2604" spans="1:17" x14ac:dyDescent="0.25">
      <c r="A2604" t="s">
        <v>2683</v>
      </c>
      <c r="B2604" t="s">
        <v>2444</v>
      </c>
      <c r="C2604">
        <v>2027</v>
      </c>
      <c r="D2604" t="s">
        <v>634</v>
      </c>
      <c r="E2604" t="s">
        <v>838</v>
      </c>
      <c r="F2604" s="32">
        <v>46444</v>
      </c>
      <c r="G2604" t="s">
        <v>514</v>
      </c>
      <c r="H2604">
        <v>47129273</v>
      </c>
      <c r="I2604" t="s">
        <v>2483</v>
      </c>
      <c r="J2604" t="s">
        <v>2484</v>
      </c>
      <c r="K2604" t="s">
        <v>530</v>
      </c>
      <c r="N2604">
        <v>0</v>
      </c>
      <c r="O2604">
        <v>0</v>
      </c>
      <c r="P2604" t="str">
        <f t="shared" si="40"/>
        <v>N</v>
      </c>
      <c r="Q2604" t="s">
        <v>8334</v>
      </c>
    </row>
    <row r="2605" spans="1:17" x14ac:dyDescent="0.25">
      <c r="A2605" t="s">
        <v>2684</v>
      </c>
      <c r="B2605" t="s">
        <v>2444</v>
      </c>
      <c r="C2605">
        <v>2027</v>
      </c>
      <c r="D2605" t="s">
        <v>634</v>
      </c>
      <c r="E2605" t="s">
        <v>838</v>
      </c>
      <c r="F2605" s="32">
        <v>46444</v>
      </c>
      <c r="G2605" t="s">
        <v>514</v>
      </c>
      <c r="H2605">
        <v>47128247</v>
      </c>
      <c r="I2605" t="s">
        <v>2492</v>
      </c>
      <c r="J2605" t="s">
        <v>2493</v>
      </c>
      <c r="K2605" t="s">
        <v>530</v>
      </c>
      <c r="N2605">
        <v>0</v>
      </c>
      <c r="O2605">
        <v>0</v>
      </c>
      <c r="P2605" t="str">
        <f t="shared" si="40"/>
        <v>N</v>
      </c>
      <c r="Q2605" t="s">
        <v>8335</v>
      </c>
    </row>
    <row r="2606" spans="1:17" x14ac:dyDescent="0.25">
      <c r="A2606" t="s">
        <v>2685</v>
      </c>
      <c r="B2606" t="s">
        <v>2444</v>
      </c>
      <c r="C2606">
        <v>2027</v>
      </c>
      <c r="D2606" t="s">
        <v>634</v>
      </c>
      <c r="E2606" t="s">
        <v>838</v>
      </c>
      <c r="F2606" s="32">
        <v>46444</v>
      </c>
      <c r="G2606" t="s">
        <v>514</v>
      </c>
      <c r="H2606">
        <v>47128587</v>
      </c>
      <c r="I2606" t="s">
        <v>2489</v>
      </c>
      <c r="J2606" t="s">
        <v>2490</v>
      </c>
      <c r="K2606" t="s">
        <v>530</v>
      </c>
      <c r="N2606">
        <v>0</v>
      </c>
      <c r="O2606">
        <v>0</v>
      </c>
      <c r="P2606" t="str">
        <f t="shared" si="40"/>
        <v>N</v>
      </c>
      <c r="Q2606" t="s">
        <v>8336</v>
      </c>
    </row>
    <row r="2607" spans="1:17" x14ac:dyDescent="0.25">
      <c r="A2607" t="s">
        <v>2976</v>
      </c>
      <c r="B2607" t="s">
        <v>2783</v>
      </c>
      <c r="C2607">
        <v>2027</v>
      </c>
      <c r="D2607" t="s">
        <v>634</v>
      </c>
      <c r="E2607" t="s">
        <v>838</v>
      </c>
      <c r="F2607" s="32">
        <v>46444</v>
      </c>
      <c r="G2607" t="s">
        <v>514</v>
      </c>
      <c r="H2607">
        <v>47128006</v>
      </c>
      <c r="I2607" t="s">
        <v>2447</v>
      </c>
      <c r="J2607" t="s">
        <v>2448</v>
      </c>
      <c r="K2607" t="s">
        <v>530</v>
      </c>
      <c r="N2607">
        <v>0</v>
      </c>
      <c r="O2607">
        <v>0</v>
      </c>
      <c r="P2607" t="str">
        <f t="shared" si="40"/>
        <v>N</v>
      </c>
      <c r="Q2607" t="s">
        <v>8337</v>
      </c>
    </row>
    <row r="2608" spans="1:17" x14ac:dyDescent="0.25">
      <c r="A2608" t="s">
        <v>2977</v>
      </c>
      <c r="B2608" t="s">
        <v>2783</v>
      </c>
      <c r="C2608">
        <v>2027</v>
      </c>
      <c r="D2608" t="s">
        <v>634</v>
      </c>
      <c r="E2608" t="s">
        <v>838</v>
      </c>
      <c r="F2608" s="32">
        <v>46444</v>
      </c>
      <c r="G2608" t="s">
        <v>514</v>
      </c>
      <c r="H2608">
        <v>47128300</v>
      </c>
      <c r="I2608" t="s">
        <v>2471</v>
      </c>
      <c r="J2608" t="s">
        <v>2472</v>
      </c>
      <c r="K2608" t="s">
        <v>530</v>
      </c>
      <c r="N2608">
        <v>0</v>
      </c>
      <c r="O2608">
        <v>0</v>
      </c>
      <c r="P2608" t="str">
        <f t="shared" si="40"/>
        <v>N</v>
      </c>
      <c r="Q2608" t="s">
        <v>8338</v>
      </c>
    </row>
    <row r="2609" spans="1:17" x14ac:dyDescent="0.25">
      <c r="A2609" t="s">
        <v>2978</v>
      </c>
      <c r="B2609" t="s">
        <v>2783</v>
      </c>
      <c r="C2609">
        <v>2027</v>
      </c>
      <c r="D2609" t="s">
        <v>634</v>
      </c>
      <c r="E2609" t="s">
        <v>838</v>
      </c>
      <c r="F2609" s="32">
        <v>46444</v>
      </c>
      <c r="G2609" t="s">
        <v>514</v>
      </c>
      <c r="H2609">
        <v>47128213</v>
      </c>
      <c r="I2609" t="s">
        <v>2456</v>
      </c>
      <c r="J2609" t="s">
        <v>2457</v>
      </c>
      <c r="K2609" t="s">
        <v>530</v>
      </c>
      <c r="N2609">
        <v>0</v>
      </c>
      <c r="O2609">
        <v>0</v>
      </c>
      <c r="P2609" t="str">
        <f t="shared" si="40"/>
        <v>N</v>
      </c>
      <c r="Q2609" t="s">
        <v>8339</v>
      </c>
    </row>
    <row r="2610" spans="1:17" x14ac:dyDescent="0.25">
      <c r="A2610" t="s">
        <v>2979</v>
      </c>
      <c r="B2610" t="s">
        <v>2783</v>
      </c>
      <c r="C2610">
        <v>2027</v>
      </c>
      <c r="D2610" t="s">
        <v>634</v>
      </c>
      <c r="E2610" t="s">
        <v>838</v>
      </c>
      <c r="F2610" s="32">
        <v>46444</v>
      </c>
      <c r="G2610" t="s">
        <v>514</v>
      </c>
      <c r="H2610">
        <v>47128667</v>
      </c>
      <c r="I2610" t="s">
        <v>2450</v>
      </c>
      <c r="J2610" t="s">
        <v>2451</v>
      </c>
      <c r="K2610" t="s">
        <v>530</v>
      </c>
      <c r="N2610">
        <v>0</v>
      </c>
      <c r="O2610">
        <v>0</v>
      </c>
      <c r="P2610" t="str">
        <f t="shared" si="40"/>
        <v>N</v>
      </c>
      <c r="Q2610" t="s">
        <v>8340</v>
      </c>
    </row>
    <row r="2611" spans="1:17" x14ac:dyDescent="0.25">
      <c r="A2611" t="s">
        <v>2980</v>
      </c>
      <c r="B2611" t="s">
        <v>2783</v>
      </c>
      <c r="C2611">
        <v>2027</v>
      </c>
      <c r="D2611" t="s">
        <v>634</v>
      </c>
      <c r="E2611" t="s">
        <v>838</v>
      </c>
      <c r="F2611" s="32">
        <v>46444</v>
      </c>
      <c r="G2611" t="s">
        <v>514</v>
      </c>
      <c r="H2611">
        <v>47128179</v>
      </c>
      <c r="I2611" t="s">
        <v>2477</v>
      </c>
      <c r="J2611" t="s">
        <v>2478</v>
      </c>
      <c r="K2611" t="s">
        <v>530</v>
      </c>
      <c r="N2611">
        <v>0</v>
      </c>
      <c r="O2611">
        <v>0</v>
      </c>
      <c r="P2611" t="str">
        <f t="shared" si="40"/>
        <v>N</v>
      </c>
      <c r="Q2611" t="s">
        <v>8341</v>
      </c>
    </row>
    <row r="2612" spans="1:17" x14ac:dyDescent="0.25">
      <c r="A2612" t="s">
        <v>2981</v>
      </c>
      <c r="B2612" t="s">
        <v>2783</v>
      </c>
      <c r="C2612">
        <v>2027</v>
      </c>
      <c r="D2612" t="s">
        <v>634</v>
      </c>
      <c r="E2612" t="s">
        <v>838</v>
      </c>
      <c r="F2612" s="32">
        <v>46444</v>
      </c>
      <c r="G2612" t="s">
        <v>514</v>
      </c>
      <c r="H2612">
        <v>47128655</v>
      </c>
      <c r="I2612" t="s">
        <v>2474</v>
      </c>
      <c r="J2612" t="s">
        <v>2475</v>
      </c>
      <c r="K2612" t="s">
        <v>530</v>
      </c>
      <c r="N2612">
        <v>0</v>
      </c>
      <c r="O2612">
        <v>0</v>
      </c>
      <c r="P2612" t="str">
        <f t="shared" si="40"/>
        <v>N</v>
      </c>
      <c r="Q2612" t="s">
        <v>8342</v>
      </c>
    </row>
    <row r="2613" spans="1:17" x14ac:dyDescent="0.25">
      <c r="A2613" t="s">
        <v>2982</v>
      </c>
      <c r="B2613" t="s">
        <v>2783</v>
      </c>
      <c r="C2613">
        <v>2027</v>
      </c>
      <c r="D2613" t="s">
        <v>634</v>
      </c>
      <c r="E2613" t="s">
        <v>838</v>
      </c>
      <c r="F2613" s="32">
        <v>46444</v>
      </c>
      <c r="G2613" t="s">
        <v>514</v>
      </c>
      <c r="H2613">
        <v>47132096</v>
      </c>
      <c r="I2613" t="s">
        <v>2468</v>
      </c>
      <c r="J2613" t="s">
        <v>2469</v>
      </c>
      <c r="K2613" t="s">
        <v>530</v>
      </c>
      <c r="N2613">
        <v>0</v>
      </c>
      <c r="O2613">
        <v>0</v>
      </c>
      <c r="P2613" t="str">
        <f t="shared" si="40"/>
        <v>N</v>
      </c>
      <c r="Q2613" t="s">
        <v>8343</v>
      </c>
    </row>
    <row r="2614" spans="1:17" x14ac:dyDescent="0.25">
      <c r="A2614" t="s">
        <v>2983</v>
      </c>
      <c r="B2614" t="s">
        <v>2783</v>
      </c>
      <c r="C2614">
        <v>2027</v>
      </c>
      <c r="D2614" t="s">
        <v>634</v>
      </c>
      <c r="E2614" t="s">
        <v>838</v>
      </c>
      <c r="F2614" s="32">
        <v>46444</v>
      </c>
      <c r="G2614" t="s">
        <v>514</v>
      </c>
      <c r="H2614">
        <v>47129222</v>
      </c>
      <c r="I2614" t="s">
        <v>2459</v>
      </c>
      <c r="J2614" t="s">
        <v>2460</v>
      </c>
      <c r="K2614" t="s">
        <v>530</v>
      </c>
      <c r="N2614">
        <v>60</v>
      </c>
      <c r="O2614">
        <v>60</v>
      </c>
      <c r="P2614" t="str">
        <f t="shared" si="40"/>
        <v>N</v>
      </c>
      <c r="Q2614" t="s">
        <v>8344</v>
      </c>
    </row>
    <row r="2615" spans="1:17" x14ac:dyDescent="0.25">
      <c r="A2615" t="s">
        <v>2984</v>
      </c>
      <c r="B2615" t="s">
        <v>2783</v>
      </c>
      <c r="C2615">
        <v>2027</v>
      </c>
      <c r="D2615" t="s">
        <v>634</v>
      </c>
      <c r="E2615" t="s">
        <v>838</v>
      </c>
      <c r="F2615" s="32">
        <v>46444</v>
      </c>
      <c r="G2615" t="s">
        <v>514</v>
      </c>
      <c r="H2615">
        <v>47128561</v>
      </c>
      <c r="I2615" t="s">
        <v>2462</v>
      </c>
      <c r="J2615" t="s">
        <v>2463</v>
      </c>
      <c r="K2615" t="s">
        <v>530</v>
      </c>
      <c r="N2615">
        <v>0</v>
      </c>
      <c r="O2615">
        <v>0</v>
      </c>
      <c r="P2615" t="str">
        <f t="shared" si="40"/>
        <v>N</v>
      </c>
      <c r="Q2615" t="s">
        <v>8345</v>
      </c>
    </row>
    <row r="2616" spans="1:17" x14ac:dyDescent="0.25">
      <c r="A2616" t="s">
        <v>2985</v>
      </c>
      <c r="B2616" t="s">
        <v>2783</v>
      </c>
      <c r="C2616">
        <v>2027</v>
      </c>
      <c r="D2616" t="s">
        <v>634</v>
      </c>
      <c r="E2616" t="s">
        <v>838</v>
      </c>
      <c r="F2616" s="32">
        <v>46444</v>
      </c>
      <c r="G2616" t="s">
        <v>514</v>
      </c>
      <c r="H2616">
        <v>47129274</v>
      </c>
      <c r="I2616" t="s">
        <v>2486</v>
      </c>
      <c r="J2616" t="s">
        <v>2487</v>
      </c>
      <c r="K2616" t="s">
        <v>530</v>
      </c>
      <c r="N2616">
        <v>0</v>
      </c>
      <c r="O2616">
        <v>0</v>
      </c>
      <c r="P2616" t="str">
        <f t="shared" si="40"/>
        <v>N</v>
      </c>
      <c r="Q2616" t="s">
        <v>8346</v>
      </c>
    </row>
    <row r="2617" spans="1:17" x14ac:dyDescent="0.25">
      <c r="A2617" t="s">
        <v>2986</v>
      </c>
      <c r="B2617" t="s">
        <v>2783</v>
      </c>
      <c r="C2617">
        <v>2027</v>
      </c>
      <c r="D2617" t="s">
        <v>634</v>
      </c>
      <c r="E2617" t="s">
        <v>838</v>
      </c>
      <c r="F2617" s="32">
        <v>46444</v>
      </c>
      <c r="G2617" t="s">
        <v>514</v>
      </c>
      <c r="H2617">
        <v>47129262</v>
      </c>
      <c r="I2617" t="s">
        <v>2453</v>
      </c>
      <c r="J2617" t="s">
        <v>2454</v>
      </c>
      <c r="K2617" t="s">
        <v>530</v>
      </c>
      <c r="N2617">
        <v>0</v>
      </c>
      <c r="O2617">
        <v>0</v>
      </c>
      <c r="P2617" t="str">
        <f t="shared" si="40"/>
        <v>N</v>
      </c>
      <c r="Q2617" t="s">
        <v>8347</v>
      </c>
    </row>
    <row r="2618" spans="1:17" x14ac:dyDescent="0.25">
      <c r="A2618" t="s">
        <v>2987</v>
      </c>
      <c r="B2618" t="s">
        <v>2783</v>
      </c>
      <c r="C2618">
        <v>2027</v>
      </c>
      <c r="D2618" t="s">
        <v>634</v>
      </c>
      <c r="E2618" t="s">
        <v>838</v>
      </c>
      <c r="F2618" s="32">
        <v>46444</v>
      </c>
      <c r="G2618" t="s">
        <v>514</v>
      </c>
      <c r="H2618">
        <v>47129558</v>
      </c>
      <c r="I2618" t="s">
        <v>2480</v>
      </c>
      <c r="J2618" t="s">
        <v>2481</v>
      </c>
      <c r="K2618" t="s">
        <v>530</v>
      </c>
      <c r="N2618">
        <v>0</v>
      </c>
      <c r="O2618">
        <v>0</v>
      </c>
      <c r="P2618" t="str">
        <f t="shared" si="40"/>
        <v>N</v>
      </c>
      <c r="Q2618" t="s">
        <v>8348</v>
      </c>
    </row>
    <row r="2619" spans="1:17" x14ac:dyDescent="0.25">
      <c r="A2619" t="s">
        <v>2988</v>
      </c>
      <c r="B2619" t="s">
        <v>2783</v>
      </c>
      <c r="C2619">
        <v>2027</v>
      </c>
      <c r="D2619" t="s">
        <v>634</v>
      </c>
      <c r="E2619" t="s">
        <v>838</v>
      </c>
      <c r="F2619" s="32">
        <v>46444</v>
      </c>
      <c r="G2619" t="s">
        <v>514</v>
      </c>
      <c r="H2619">
        <v>47129727</v>
      </c>
      <c r="I2619" t="s">
        <v>2465</v>
      </c>
      <c r="J2619" t="s">
        <v>2466</v>
      </c>
      <c r="K2619" t="s">
        <v>530</v>
      </c>
      <c r="N2619">
        <v>0</v>
      </c>
      <c r="O2619">
        <v>0</v>
      </c>
      <c r="P2619" t="str">
        <f t="shared" si="40"/>
        <v>N</v>
      </c>
      <c r="Q2619" t="s">
        <v>8349</v>
      </c>
    </row>
    <row r="2620" spans="1:17" x14ac:dyDescent="0.25">
      <c r="A2620" t="s">
        <v>2989</v>
      </c>
      <c r="B2620" t="s">
        <v>2783</v>
      </c>
      <c r="C2620">
        <v>2027</v>
      </c>
      <c r="D2620" t="s">
        <v>634</v>
      </c>
      <c r="E2620" t="s">
        <v>838</v>
      </c>
      <c r="F2620" s="32">
        <v>46444</v>
      </c>
      <c r="G2620" t="s">
        <v>514</v>
      </c>
      <c r="H2620">
        <v>47129273</v>
      </c>
      <c r="I2620" t="s">
        <v>2483</v>
      </c>
      <c r="J2620" t="s">
        <v>2484</v>
      </c>
      <c r="K2620" t="s">
        <v>530</v>
      </c>
      <c r="N2620">
        <v>0</v>
      </c>
      <c r="O2620">
        <v>0</v>
      </c>
      <c r="P2620" t="str">
        <f t="shared" si="40"/>
        <v>N</v>
      </c>
      <c r="Q2620" t="s">
        <v>8350</v>
      </c>
    </row>
    <row r="2621" spans="1:17" x14ac:dyDescent="0.25">
      <c r="A2621" t="s">
        <v>2990</v>
      </c>
      <c r="B2621" t="s">
        <v>2783</v>
      </c>
      <c r="C2621">
        <v>2027</v>
      </c>
      <c r="D2621" t="s">
        <v>634</v>
      </c>
      <c r="E2621" t="s">
        <v>838</v>
      </c>
      <c r="F2621" s="32">
        <v>46444</v>
      </c>
      <c r="G2621" t="s">
        <v>514</v>
      </c>
      <c r="H2621">
        <v>47128247</v>
      </c>
      <c r="I2621" t="s">
        <v>2492</v>
      </c>
      <c r="J2621" t="s">
        <v>2493</v>
      </c>
      <c r="K2621" t="s">
        <v>530</v>
      </c>
      <c r="N2621">
        <v>0</v>
      </c>
      <c r="O2621">
        <v>0</v>
      </c>
      <c r="P2621" t="str">
        <f t="shared" si="40"/>
        <v>N</v>
      </c>
      <c r="Q2621" t="s">
        <v>8351</v>
      </c>
    </row>
    <row r="2622" spans="1:17" x14ac:dyDescent="0.25">
      <c r="A2622" t="s">
        <v>2991</v>
      </c>
      <c r="B2622" t="s">
        <v>2783</v>
      </c>
      <c r="C2622">
        <v>2027</v>
      </c>
      <c r="D2622" t="s">
        <v>634</v>
      </c>
      <c r="E2622" t="s">
        <v>838</v>
      </c>
      <c r="F2622" s="32">
        <v>46444</v>
      </c>
      <c r="G2622" t="s">
        <v>514</v>
      </c>
      <c r="H2622">
        <v>47128587</v>
      </c>
      <c r="I2622" t="s">
        <v>2489</v>
      </c>
      <c r="J2622" t="s">
        <v>2490</v>
      </c>
      <c r="K2622" t="s">
        <v>530</v>
      </c>
      <c r="N2622">
        <v>0</v>
      </c>
      <c r="O2622">
        <v>0</v>
      </c>
      <c r="P2622" t="str">
        <f t="shared" si="40"/>
        <v>N</v>
      </c>
      <c r="Q2622" t="s">
        <v>8352</v>
      </c>
    </row>
    <row r="2623" spans="1:17" x14ac:dyDescent="0.25">
      <c r="A2623" t="s">
        <v>3475</v>
      </c>
      <c r="B2623" t="s">
        <v>1080</v>
      </c>
      <c r="C2623">
        <v>2027</v>
      </c>
      <c r="D2623" t="s">
        <v>634</v>
      </c>
      <c r="E2623" t="s">
        <v>838</v>
      </c>
      <c r="F2623" s="32">
        <v>46444</v>
      </c>
      <c r="G2623" t="s">
        <v>514</v>
      </c>
      <c r="H2623">
        <v>47128787</v>
      </c>
      <c r="I2623" t="s">
        <v>1453</v>
      </c>
      <c r="J2623" t="s">
        <v>1452</v>
      </c>
      <c r="K2623" t="s">
        <v>530</v>
      </c>
      <c r="N2623">
        <v>0</v>
      </c>
      <c r="O2623">
        <v>0</v>
      </c>
      <c r="P2623" t="str">
        <f t="shared" si="40"/>
        <v>N</v>
      </c>
      <c r="Q2623" t="s">
        <v>8353</v>
      </c>
    </row>
    <row r="2624" spans="1:17" x14ac:dyDescent="0.25">
      <c r="A2624" t="s">
        <v>3476</v>
      </c>
      <c r="B2624" t="s">
        <v>1080</v>
      </c>
      <c r="C2624">
        <v>2027</v>
      </c>
      <c r="D2624" t="s">
        <v>634</v>
      </c>
      <c r="E2624" t="s">
        <v>838</v>
      </c>
      <c r="F2624" s="32">
        <v>46444</v>
      </c>
      <c r="G2624" t="s">
        <v>514</v>
      </c>
      <c r="H2624">
        <v>47146464</v>
      </c>
      <c r="I2624" t="s">
        <v>1438</v>
      </c>
      <c r="J2624" t="s">
        <v>1437</v>
      </c>
      <c r="K2624" t="s">
        <v>530</v>
      </c>
      <c r="N2624">
        <v>0</v>
      </c>
      <c r="O2624">
        <v>0</v>
      </c>
      <c r="P2624" t="str">
        <f t="shared" si="40"/>
        <v>N</v>
      </c>
      <c r="Q2624" t="s">
        <v>8354</v>
      </c>
    </row>
    <row r="2625" spans="1:17" x14ac:dyDescent="0.25">
      <c r="A2625" t="s">
        <v>3477</v>
      </c>
      <c r="B2625" t="s">
        <v>1080</v>
      </c>
      <c r="C2625">
        <v>2027</v>
      </c>
      <c r="D2625" t="s">
        <v>634</v>
      </c>
      <c r="E2625" t="s">
        <v>838</v>
      </c>
      <c r="F2625" s="32">
        <v>46444</v>
      </c>
      <c r="G2625" t="s">
        <v>514</v>
      </c>
      <c r="H2625">
        <v>47146463</v>
      </c>
      <c r="I2625" t="s">
        <v>1441</v>
      </c>
      <c r="J2625" t="s">
        <v>1440</v>
      </c>
      <c r="K2625" t="s">
        <v>530</v>
      </c>
      <c r="N2625">
        <v>0</v>
      </c>
      <c r="O2625">
        <v>0</v>
      </c>
      <c r="P2625" t="str">
        <f t="shared" si="40"/>
        <v>N</v>
      </c>
      <c r="Q2625" t="s">
        <v>8355</v>
      </c>
    </row>
    <row r="2626" spans="1:17" x14ac:dyDescent="0.25">
      <c r="A2626" t="s">
        <v>3478</v>
      </c>
      <c r="B2626" t="s">
        <v>1080</v>
      </c>
      <c r="C2626">
        <v>2027</v>
      </c>
      <c r="D2626" t="s">
        <v>634</v>
      </c>
      <c r="E2626" t="s">
        <v>838</v>
      </c>
      <c r="F2626" s="32">
        <v>46444</v>
      </c>
      <c r="G2626" t="s">
        <v>514</v>
      </c>
      <c r="H2626">
        <v>47128729</v>
      </c>
      <c r="I2626" t="s">
        <v>1149</v>
      </c>
      <c r="J2626" t="s">
        <v>1148</v>
      </c>
      <c r="K2626" t="s">
        <v>530</v>
      </c>
      <c r="N2626">
        <v>75.7</v>
      </c>
      <c r="O2626">
        <v>75.7</v>
      </c>
      <c r="P2626" t="str">
        <f t="shared" si="40"/>
        <v>N</v>
      </c>
      <c r="Q2626" t="s">
        <v>8356</v>
      </c>
    </row>
    <row r="2627" spans="1:17" x14ac:dyDescent="0.25">
      <c r="A2627" t="s">
        <v>3479</v>
      </c>
      <c r="B2627" t="s">
        <v>1080</v>
      </c>
      <c r="C2627">
        <v>2027</v>
      </c>
      <c r="D2627" t="s">
        <v>634</v>
      </c>
      <c r="E2627" t="s">
        <v>838</v>
      </c>
      <c r="F2627" s="32">
        <v>46444</v>
      </c>
      <c r="G2627" t="s">
        <v>514</v>
      </c>
      <c r="H2627">
        <v>47128413</v>
      </c>
      <c r="I2627" t="s">
        <v>1397</v>
      </c>
      <c r="J2627" t="s">
        <v>1396</v>
      </c>
      <c r="K2627" t="s">
        <v>530</v>
      </c>
      <c r="N2627">
        <v>0</v>
      </c>
      <c r="O2627">
        <v>0</v>
      </c>
      <c r="P2627" t="str">
        <f t="shared" ref="P2627:P2690" si="41">IF(N2627=O2627,"N","Y")</f>
        <v>N</v>
      </c>
      <c r="Q2627" t="s">
        <v>8357</v>
      </c>
    </row>
    <row r="2628" spans="1:17" x14ac:dyDescent="0.25">
      <c r="A2628" t="s">
        <v>3480</v>
      </c>
      <c r="B2628" t="s">
        <v>1080</v>
      </c>
      <c r="C2628">
        <v>2027</v>
      </c>
      <c r="D2628" t="s">
        <v>634</v>
      </c>
      <c r="E2628" t="s">
        <v>838</v>
      </c>
      <c r="F2628" s="32">
        <v>46444</v>
      </c>
      <c r="G2628" t="s">
        <v>514</v>
      </c>
      <c r="H2628">
        <v>47128783</v>
      </c>
      <c r="I2628" t="s">
        <v>1280</v>
      </c>
      <c r="J2628" t="s">
        <v>1279</v>
      </c>
      <c r="K2628" t="s">
        <v>530</v>
      </c>
      <c r="N2628">
        <v>0</v>
      </c>
      <c r="O2628">
        <v>0</v>
      </c>
      <c r="P2628" t="str">
        <f t="shared" si="41"/>
        <v>N</v>
      </c>
      <c r="Q2628" t="s">
        <v>8358</v>
      </c>
    </row>
    <row r="2629" spans="1:17" x14ac:dyDescent="0.25">
      <c r="A2629" t="s">
        <v>3481</v>
      </c>
      <c r="B2629" t="s">
        <v>1080</v>
      </c>
      <c r="C2629">
        <v>2027</v>
      </c>
      <c r="D2629" t="s">
        <v>634</v>
      </c>
      <c r="E2629" t="s">
        <v>838</v>
      </c>
      <c r="F2629" s="32">
        <v>46444</v>
      </c>
      <c r="G2629" t="s">
        <v>514</v>
      </c>
      <c r="H2629">
        <v>47128944</v>
      </c>
      <c r="I2629" t="s">
        <v>1137</v>
      </c>
      <c r="J2629" t="s">
        <v>1136</v>
      </c>
      <c r="K2629" t="s">
        <v>530</v>
      </c>
      <c r="N2629">
        <v>0</v>
      </c>
      <c r="O2629">
        <v>0</v>
      </c>
      <c r="P2629" t="str">
        <f t="shared" si="41"/>
        <v>N</v>
      </c>
      <c r="Q2629" t="s">
        <v>8359</v>
      </c>
    </row>
    <row r="2630" spans="1:17" x14ac:dyDescent="0.25">
      <c r="A2630" t="s">
        <v>3482</v>
      </c>
      <c r="B2630" t="s">
        <v>1080</v>
      </c>
      <c r="C2630">
        <v>2027</v>
      </c>
      <c r="D2630" t="s">
        <v>634</v>
      </c>
      <c r="E2630" t="s">
        <v>838</v>
      </c>
      <c r="F2630" s="32">
        <v>46444</v>
      </c>
      <c r="G2630" t="s">
        <v>514</v>
      </c>
      <c r="H2630">
        <v>47129547</v>
      </c>
      <c r="I2630" t="s">
        <v>1128</v>
      </c>
      <c r="J2630" t="s">
        <v>1352</v>
      </c>
      <c r="K2630" t="s">
        <v>530</v>
      </c>
      <c r="N2630">
        <v>0</v>
      </c>
      <c r="O2630">
        <v>0</v>
      </c>
      <c r="P2630" t="str">
        <f t="shared" si="41"/>
        <v>N</v>
      </c>
      <c r="Q2630" t="s">
        <v>8360</v>
      </c>
    </row>
    <row r="2631" spans="1:17" x14ac:dyDescent="0.25">
      <c r="A2631" t="s">
        <v>3483</v>
      </c>
      <c r="B2631" t="s">
        <v>1080</v>
      </c>
      <c r="C2631">
        <v>2027</v>
      </c>
      <c r="D2631" t="s">
        <v>634</v>
      </c>
      <c r="E2631" t="s">
        <v>838</v>
      </c>
      <c r="F2631" s="32">
        <v>46444</v>
      </c>
      <c r="G2631" t="s">
        <v>514</v>
      </c>
      <c r="H2631">
        <v>47128518</v>
      </c>
      <c r="I2631" t="s">
        <v>1232</v>
      </c>
      <c r="J2631" t="s">
        <v>1493</v>
      </c>
      <c r="K2631" t="s">
        <v>530</v>
      </c>
      <c r="N2631">
        <v>0</v>
      </c>
      <c r="O2631">
        <v>0</v>
      </c>
      <c r="P2631" t="str">
        <f t="shared" si="41"/>
        <v>N</v>
      </c>
      <c r="Q2631" t="s">
        <v>8361</v>
      </c>
    </row>
    <row r="2632" spans="1:17" x14ac:dyDescent="0.25">
      <c r="A2632" t="s">
        <v>3484</v>
      </c>
      <c r="B2632" t="s">
        <v>1080</v>
      </c>
      <c r="C2632">
        <v>2027</v>
      </c>
      <c r="D2632" t="s">
        <v>634</v>
      </c>
      <c r="E2632" t="s">
        <v>838</v>
      </c>
      <c r="F2632" s="32">
        <v>46444</v>
      </c>
      <c r="G2632" t="s">
        <v>514</v>
      </c>
      <c r="H2632">
        <v>47128977</v>
      </c>
      <c r="I2632" t="s">
        <v>1449</v>
      </c>
      <c r="J2632" t="s">
        <v>1448</v>
      </c>
      <c r="K2632" t="s">
        <v>530</v>
      </c>
      <c r="N2632">
        <v>0</v>
      </c>
      <c r="O2632">
        <v>0</v>
      </c>
      <c r="P2632" t="str">
        <f t="shared" si="41"/>
        <v>N</v>
      </c>
      <c r="Q2632" t="s">
        <v>8362</v>
      </c>
    </row>
    <row r="2633" spans="1:17" x14ac:dyDescent="0.25">
      <c r="A2633" t="s">
        <v>3485</v>
      </c>
      <c r="B2633" t="s">
        <v>1080</v>
      </c>
      <c r="C2633">
        <v>2027</v>
      </c>
      <c r="D2633" t="s">
        <v>634</v>
      </c>
      <c r="E2633" t="s">
        <v>838</v>
      </c>
      <c r="F2633" s="32">
        <v>46444</v>
      </c>
      <c r="G2633" t="s">
        <v>514</v>
      </c>
      <c r="H2633">
        <v>47128168</v>
      </c>
      <c r="I2633" t="s">
        <v>1100</v>
      </c>
      <c r="J2633" t="s">
        <v>1099</v>
      </c>
      <c r="K2633" t="s">
        <v>530</v>
      </c>
      <c r="N2633">
        <v>0</v>
      </c>
      <c r="O2633">
        <v>0</v>
      </c>
      <c r="P2633" t="str">
        <f t="shared" si="41"/>
        <v>N</v>
      </c>
      <c r="Q2633" t="s">
        <v>8363</v>
      </c>
    </row>
    <row r="2634" spans="1:17" x14ac:dyDescent="0.25">
      <c r="A2634" t="s">
        <v>3486</v>
      </c>
      <c r="B2634" t="s">
        <v>1080</v>
      </c>
      <c r="C2634">
        <v>2027</v>
      </c>
      <c r="D2634" t="s">
        <v>634</v>
      </c>
      <c r="E2634" t="s">
        <v>838</v>
      </c>
      <c r="F2634" s="32">
        <v>46444</v>
      </c>
      <c r="G2634" t="s">
        <v>514</v>
      </c>
      <c r="H2634">
        <v>47128687</v>
      </c>
      <c r="I2634" t="s">
        <v>1153</v>
      </c>
      <c r="J2634" t="s">
        <v>1152</v>
      </c>
      <c r="K2634" t="s">
        <v>530</v>
      </c>
      <c r="N2634">
        <v>0</v>
      </c>
      <c r="O2634">
        <v>0</v>
      </c>
      <c r="P2634" t="str">
        <f t="shared" si="41"/>
        <v>N</v>
      </c>
      <c r="Q2634" t="s">
        <v>8364</v>
      </c>
    </row>
    <row r="2635" spans="1:17" x14ac:dyDescent="0.25">
      <c r="A2635" t="s">
        <v>3487</v>
      </c>
      <c r="B2635" t="s">
        <v>1080</v>
      </c>
      <c r="C2635">
        <v>2027</v>
      </c>
      <c r="D2635" t="s">
        <v>634</v>
      </c>
      <c r="E2635" t="s">
        <v>838</v>
      </c>
      <c r="F2635" s="32">
        <v>46444</v>
      </c>
      <c r="G2635" t="s">
        <v>514</v>
      </c>
      <c r="H2635">
        <v>47128585</v>
      </c>
      <c r="I2635" t="s">
        <v>1141</v>
      </c>
      <c r="J2635" t="s">
        <v>1140</v>
      </c>
      <c r="K2635" t="s">
        <v>530</v>
      </c>
      <c r="N2635">
        <v>0</v>
      </c>
      <c r="O2635">
        <v>0</v>
      </c>
      <c r="P2635" t="str">
        <f t="shared" si="41"/>
        <v>N</v>
      </c>
      <c r="Q2635" t="s">
        <v>8365</v>
      </c>
    </row>
    <row r="2636" spans="1:17" x14ac:dyDescent="0.25">
      <c r="A2636" t="s">
        <v>3488</v>
      </c>
      <c r="B2636" t="s">
        <v>1080</v>
      </c>
      <c r="C2636">
        <v>2027</v>
      </c>
      <c r="D2636" t="s">
        <v>634</v>
      </c>
      <c r="E2636" t="s">
        <v>838</v>
      </c>
      <c r="F2636" s="32">
        <v>46444</v>
      </c>
      <c r="G2636" t="s">
        <v>514</v>
      </c>
      <c r="H2636">
        <v>47128906</v>
      </c>
      <c r="I2636" t="s">
        <v>1349</v>
      </c>
      <c r="J2636" t="s">
        <v>1348</v>
      </c>
      <c r="K2636" t="s">
        <v>530</v>
      </c>
      <c r="N2636">
        <v>0</v>
      </c>
      <c r="O2636">
        <v>0</v>
      </c>
      <c r="P2636" t="str">
        <f t="shared" si="41"/>
        <v>N</v>
      </c>
      <c r="Q2636" t="s">
        <v>8366</v>
      </c>
    </row>
    <row r="2637" spans="1:17" x14ac:dyDescent="0.25">
      <c r="A2637" t="s">
        <v>3489</v>
      </c>
      <c r="B2637" t="s">
        <v>1080</v>
      </c>
      <c r="C2637">
        <v>2027</v>
      </c>
      <c r="D2637" t="s">
        <v>634</v>
      </c>
      <c r="E2637" t="s">
        <v>838</v>
      </c>
      <c r="F2637" s="32">
        <v>46444</v>
      </c>
      <c r="G2637" t="s">
        <v>514</v>
      </c>
      <c r="H2637">
        <v>47128585</v>
      </c>
      <c r="I2637" t="s">
        <v>1141</v>
      </c>
      <c r="J2637" t="s">
        <v>1408</v>
      </c>
      <c r="K2637" t="s">
        <v>530</v>
      </c>
      <c r="N2637">
        <v>0</v>
      </c>
      <c r="O2637">
        <v>0</v>
      </c>
      <c r="P2637" t="str">
        <f t="shared" si="41"/>
        <v>N</v>
      </c>
      <c r="Q2637" t="s">
        <v>8367</v>
      </c>
    </row>
    <row r="2638" spans="1:17" x14ac:dyDescent="0.25">
      <c r="A2638" t="s">
        <v>3490</v>
      </c>
      <c r="B2638" t="s">
        <v>1080</v>
      </c>
      <c r="C2638">
        <v>2027</v>
      </c>
      <c r="D2638" t="s">
        <v>634</v>
      </c>
      <c r="E2638" t="s">
        <v>838</v>
      </c>
      <c r="F2638" s="32">
        <v>46444</v>
      </c>
      <c r="G2638" t="s">
        <v>514</v>
      </c>
      <c r="H2638">
        <v>47128518</v>
      </c>
      <c r="I2638" t="s">
        <v>1232</v>
      </c>
      <c r="J2638" t="s">
        <v>1231</v>
      </c>
      <c r="K2638" t="s">
        <v>530</v>
      </c>
      <c r="N2638">
        <v>0</v>
      </c>
      <c r="O2638">
        <v>0</v>
      </c>
      <c r="P2638" t="str">
        <f t="shared" si="41"/>
        <v>N</v>
      </c>
      <c r="Q2638" t="s">
        <v>8368</v>
      </c>
    </row>
    <row r="2639" spans="1:17" x14ac:dyDescent="0.25">
      <c r="A2639" t="s">
        <v>3491</v>
      </c>
      <c r="B2639" t="s">
        <v>1080</v>
      </c>
      <c r="C2639">
        <v>2027</v>
      </c>
      <c r="D2639" t="s">
        <v>634</v>
      </c>
      <c r="E2639" t="s">
        <v>838</v>
      </c>
      <c r="F2639" s="32">
        <v>46444</v>
      </c>
      <c r="G2639" t="s">
        <v>514</v>
      </c>
      <c r="H2639">
        <v>47128680</v>
      </c>
      <c r="I2639" t="s">
        <v>1284</v>
      </c>
      <c r="J2639" t="s">
        <v>1283</v>
      </c>
      <c r="K2639" t="s">
        <v>530</v>
      </c>
      <c r="N2639">
        <v>0</v>
      </c>
      <c r="O2639">
        <v>0</v>
      </c>
      <c r="P2639" t="str">
        <f t="shared" si="41"/>
        <v>N</v>
      </c>
      <c r="Q2639" t="s">
        <v>8369</v>
      </c>
    </row>
    <row r="2640" spans="1:17" x14ac:dyDescent="0.25">
      <c r="A2640" t="s">
        <v>3492</v>
      </c>
      <c r="B2640" t="s">
        <v>1080</v>
      </c>
      <c r="C2640">
        <v>2027</v>
      </c>
      <c r="D2640" t="s">
        <v>634</v>
      </c>
      <c r="E2640" t="s">
        <v>838</v>
      </c>
      <c r="F2640" s="32">
        <v>46444</v>
      </c>
      <c r="G2640" t="s">
        <v>514</v>
      </c>
      <c r="H2640">
        <v>47128024</v>
      </c>
      <c r="I2640" t="s">
        <v>1108</v>
      </c>
      <c r="J2640" t="s">
        <v>1107</v>
      </c>
      <c r="K2640" t="s">
        <v>530</v>
      </c>
      <c r="N2640">
        <v>0</v>
      </c>
      <c r="O2640">
        <v>0</v>
      </c>
      <c r="P2640" t="str">
        <f t="shared" si="41"/>
        <v>N</v>
      </c>
      <c r="Q2640" t="s">
        <v>8370</v>
      </c>
    </row>
    <row r="2641" spans="1:17" x14ac:dyDescent="0.25">
      <c r="A2641" t="s">
        <v>3493</v>
      </c>
      <c r="B2641" t="s">
        <v>1080</v>
      </c>
      <c r="C2641">
        <v>2027</v>
      </c>
      <c r="D2641" t="s">
        <v>634</v>
      </c>
      <c r="E2641" t="s">
        <v>838</v>
      </c>
      <c r="F2641" s="32">
        <v>46444</v>
      </c>
      <c r="G2641" t="s">
        <v>514</v>
      </c>
      <c r="H2641">
        <v>47128944</v>
      </c>
      <c r="I2641" t="s">
        <v>1137</v>
      </c>
      <c r="J2641" t="s">
        <v>1513</v>
      </c>
      <c r="K2641" t="s">
        <v>530</v>
      </c>
      <c r="N2641">
        <v>0</v>
      </c>
      <c r="O2641">
        <v>0</v>
      </c>
      <c r="P2641" t="str">
        <f t="shared" si="41"/>
        <v>N</v>
      </c>
      <c r="Q2641" t="s">
        <v>8371</v>
      </c>
    </row>
    <row r="2642" spans="1:17" x14ac:dyDescent="0.25">
      <c r="A2642" t="s">
        <v>3494</v>
      </c>
      <c r="B2642" t="s">
        <v>1080</v>
      </c>
      <c r="C2642">
        <v>2027</v>
      </c>
      <c r="D2642" t="s">
        <v>634</v>
      </c>
      <c r="E2642" t="s">
        <v>838</v>
      </c>
      <c r="F2642" s="32">
        <v>46444</v>
      </c>
      <c r="G2642" t="s">
        <v>514</v>
      </c>
      <c r="H2642">
        <v>47147546</v>
      </c>
      <c r="I2642" t="s">
        <v>1077</v>
      </c>
      <c r="J2642" t="s">
        <v>1076</v>
      </c>
      <c r="K2642" t="s">
        <v>530</v>
      </c>
      <c r="N2642">
        <v>0</v>
      </c>
      <c r="O2642">
        <v>0</v>
      </c>
      <c r="P2642" t="str">
        <f t="shared" si="41"/>
        <v>N</v>
      </c>
      <c r="Q2642" t="s">
        <v>8372</v>
      </c>
    </row>
    <row r="2643" spans="1:17" x14ac:dyDescent="0.25">
      <c r="A2643" t="s">
        <v>3495</v>
      </c>
      <c r="B2643" t="s">
        <v>1080</v>
      </c>
      <c r="C2643">
        <v>2027</v>
      </c>
      <c r="D2643" t="s">
        <v>634</v>
      </c>
      <c r="E2643" t="s">
        <v>838</v>
      </c>
      <c r="F2643" s="32">
        <v>46444</v>
      </c>
      <c r="G2643" t="s">
        <v>514</v>
      </c>
      <c r="H2643">
        <v>47128346</v>
      </c>
      <c r="I2643" t="s">
        <v>1157</v>
      </c>
      <c r="J2643" t="s">
        <v>1156</v>
      </c>
      <c r="K2643" t="s">
        <v>530</v>
      </c>
      <c r="N2643">
        <v>0</v>
      </c>
      <c r="O2643">
        <v>0</v>
      </c>
      <c r="P2643" t="str">
        <f t="shared" si="41"/>
        <v>N</v>
      </c>
      <c r="Q2643" t="s">
        <v>8373</v>
      </c>
    </row>
    <row r="2644" spans="1:17" x14ac:dyDescent="0.25">
      <c r="A2644" t="s">
        <v>3496</v>
      </c>
      <c r="B2644" t="s">
        <v>1080</v>
      </c>
      <c r="C2644">
        <v>2027</v>
      </c>
      <c r="D2644" t="s">
        <v>634</v>
      </c>
      <c r="E2644" t="s">
        <v>838</v>
      </c>
      <c r="F2644" s="32">
        <v>46444</v>
      </c>
      <c r="G2644" t="s">
        <v>514</v>
      </c>
      <c r="H2644">
        <v>47128800</v>
      </c>
      <c r="I2644" t="s">
        <v>1145</v>
      </c>
      <c r="J2644" t="s">
        <v>1144</v>
      </c>
      <c r="K2644" t="s">
        <v>530</v>
      </c>
      <c r="N2644">
        <v>0</v>
      </c>
      <c r="O2644">
        <v>0</v>
      </c>
      <c r="P2644" t="str">
        <f t="shared" si="41"/>
        <v>N</v>
      </c>
      <c r="Q2644" t="s">
        <v>8374</v>
      </c>
    </row>
    <row r="2645" spans="1:17" x14ac:dyDescent="0.25">
      <c r="A2645" t="s">
        <v>3497</v>
      </c>
      <c r="B2645" t="s">
        <v>1080</v>
      </c>
      <c r="C2645">
        <v>2027</v>
      </c>
      <c r="D2645" t="s">
        <v>634</v>
      </c>
      <c r="E2645" t="s">
        <v>838</v>
      </c>
      <c r="F2645" s="32">
        <v>46444</v>
      </c>
      <c r="G2645" t="s">
        <v>514</v>
      </c>
      <c r="H2645">
        <v>47128109</v>
      </c>
      <c r="I2645" t="s">
        <v>1336</v>
      </c>
      <c r="J2645" t="s">
        <v>1335</v>
      </c>
      <c r="K2645" t="s">
        <v>530</v>
      </c>
      <c r="N2645">
        <v>0</v>
      </c>
      <c r="O2645">
        <v>0</v>
      </c>
      <c r="P2645" t="str">
        <f t="shared" si="41"/>
        <v>N</v>
      </c>
      <c r="Q2645" t="s">
        <v>8375</v>
      </c>
    </row>
    <row r="2646" spans="1:17" x14ac:dyDescent="0.25">
      <c r="A2646" t="s">
        <v>3498</v>
      </c>
      <c r="B2646" t="s">
        <v>1080</v>
      </c>
      <c r="C2646">
        <v>2027</v>
      </c>
      <c r="D2646" t="s">
        <v>634</v>
      </c>
      <c r="E2646" t="s">
        <v>838</v>
      </c>
      <c r="F2646" s="32">
        <v>46444</v>
      </c>
      <c r="G2646" t="s">
        <v>514</v>
      </c>
      <c r="H2646">
        <v>47128430</v>
      </c>
      <c r="I2646" t="s">
        <v>1401</v>
      </c>
      <c r="J2646" t="s">
        <v>1400</v>
      </c>
      <c r="K2646" t="s">
        <v>530</v>
      </c>
      <c r="N2646">
        <v>0</v>
      </c>
      <c r="O2646">
        <v>0</v>
      </c>
      <c r="P2646" t="str">
        <f t="shared" si="41"/>
        <v>N</v>
      </c>
      <c r="Q2646" t="s">
        <v>8376</v>
      </c>
    </row>
    <row r="2647" spans="1:17" x14ac:dyDescent="0.25">
      <c r="A2647" t="s">
        <v>3499</v>
      </c>
      <c r="B2647" t="s">
        <v>1080</v>
      </c>
      <c r="C2647">
        <v>2027</v>
      </c>
      <c r="D2647" t="s">
        <v>634</v>
      </c>
      <c r="E2647" t="s">
        <v>838</v>
      </c>
      <c r="F2647" s="32">
        <v>46444</v>
      </c>
      <c r="G2647" t="s">
        <v>514</v>
      </c>
      <c r="H2647">
        <v>47128522</v>
      </c>
      <c r="I2647" t="s">
        <v>1092</v>
      </c>
      <c r="J2647" t="s">
        <v>1091</v>
      </c>
      <c r="K2647" t="s">
        <v>530</v>
      </c>
      <c r="N2647">
        <v>0</v>
      </c>
      <c r="O2647">
        <v>0</v>
      </c>
      <c r="P2647" t="str">
        <f t="shared" si="41"/>
        <v>N</v>
      </c>
      <c r="Q2647" t="s">
        <v>8377</v>
      </c>
    </row>
    <row r="2648" spans="1:17" x14ac:dyDescent="0.25">
      <c r="A2648" t="s">
        <v>3500</v>
      </c>
      <c r="B2648" t="s">
        <v>1080</v>
      </c>
      <c r="C2648">
        <v>2027</v>
      </c>
      <c r="D2648" t="s">
        <v>634</v>
      </c>
      <c r="E2648" t="s">
        <v>838</v>
      </c>
      <c r="F2648" s="32">
        <v>46444</v>
      </c>
      <c r="G2648" t="s">
        <v>514</v>
      </c>
      <c r="H2648">
        <v>47147546</v>
      </c>
      <c r="I2648" t="s">
        <v>1077</v>
      </c>
      <c r="J2648" t="s">
        <v>1381</v>
      </c>
      <c r="K2648" t="s">
        <v>530</v>
      </c>
      <c r="N2648">
        <v>0</v>
      </c>
      <c r="O2648">
        <v>0</v>
      </c>
      <c r="P2648" t="str">
        <f t="shared" si="41"/>
        <v>N</v>
      </c>
      <c r="Q2648" t="s">
        <v>8378</v>
      </c>
    </row>
    <row r="2649" spans="1:17" x14ac:dyDescent="0.25">
      <c r="A2649" t="s">
        <v>3501</v>
      </c>
      <c r="B2649" t="s">
        <v>1080</v>
      </c>
      <c r="C2649">
        <v>2027</v>
      </c>
      <c r="D2649" t="s">
        <v>634</v>
      </c>
      <c r="E2649" t="s">
        <v>838</v>
      </c>
      <c r="F2649" s="32">
        <v>46444</v>
      </c>
      <c r="G2649" t="s">
        <v>514</v>
      </c>
      <c r="H2649">
        <v>47147658</v>
      </c>
      <c r="I2649" t="s">
        <v>1276</v>
      </c>
      <c r="J2649" t="s">
        <v>1275</v>
      </c>
      <c r="K2649" t="s">
        <v>530</v>
      </c>
      <c r="N2649">
        <v>0</v>
      </c>
      <c r="O2649">
        <v>0</v>
      </c>
      <c r="P2649" t="str">
        <f t="shared" si="41"/>
        <v>N</v>
      </c>
      <c r="Q2649" t="s">
        <v>8379</v>
      </c>
    </row>
    <row r="2650" spans="1:17" x14ac:dyDescent="0.25">
      <c r="A2650" t="s">
        <v>3502</v>
      </c>
      <c r="B2650" t="s">
        <v>1080</v>
      </c>
      <c r="C2650">
        <v>2027</v>
      </c>
      <c r="D2650" t="s">
        <v>634</v>
      </c>
      <c r="E2650" t="s">
        <v>838</v>
      </c>
      <c r="F2650" s="32">
        <v>46444</v>
      </c>
      <c r="G2650" t="s">
        <v>514</v>
      </c>
      <c r="H2650">
        <v>47147546</v>
      </c>
      <c r="I2650" t="s">
        <v>1077</v>
      </c>
      <c r="J2650" t="s">
        <v>1171</v>
      </c>
      <c r="K2650" t="s">
        <v>530</v>
      </c>
      <c r="N2650">
        <v>0</v>
      </c>
      <c r="O2650">
        <v>0</v>
      </c>
      <c r="P2650" t="str">
        <f t="shared" si="41"/>
        <v>N</v>
      </c>
      <c r="Q2650" t="s">
        <v>8380</v>
      </c>
    </row>
    <row r="2651" spans="1:17" x14ac:dyDescent="0.25">
      <c r="A2651" t="s">
        <v>3503</v>
      </c>
      <c r="B2651" t="s">
        <v>1080</v>
      </c>
      <c r="C2651">
        <v>2027</v>
      </c>
      <c r="D2651" t="s">
        <v>634</v>
      </c>
      <c r="E2651" t="s">
        <v>838</v>
      </c>
      <c r="F2651" s="32">
        <v>46444</v>
      </c>
      <c r="G2651" t="s">
        <v>514</v>
      </c>
      <c r="H2651">
        <v>47128028</v>
      </c>
      <c r="I2651" t="s">
        <v>1035</v>
      </c>
      <c r="J2651" t="s">
        <v>1034</v>
      </c>
      <c r="K2651" t="s">
        <v>530</v>
      </c>
      <c r="N2651">
        <v>0</v>
      </c>
      <c r="O2651">
        <v>0</v>
      </c>
      <c r="P2651" t="str">
        <f t="shared" si="41"/>
        <v>N</v>
      </c>
      <c r="Q2651" t="s">
        <v>8381</v>
      </c>
    </row>
    <row r="2652" spans="1:17" x14ac:dyDescent="0.25">
      <c r="A2652" t="s">
        <v>3504</v>
      </c>
      <c r="B2652" t="s">
        <v>1080</v>
      </c>
      <c r="C2652">
        <v>2027</v>
      </c>
      <c r="D2652" t="s">
        <v>634</v>
      </c>
      <c r="E2652" t="s">
        <v>838</v>
      </c>
      <c r="F2652" s="32">
        <v>46444</v>
      </c>
      <c r="G2652" t="s">
        <v>514</v>
      </c>
      <c r="H2652">
        <v>47128465</v>
      </c>
      <c r="I2652" t="s">
        <v>1333</v>
      </c>
      <c r="J2652" t="s">
        <v>1332</v>
      </c>
      <c r="K2652" t="s">
        <v>530</v>
      </c>
      <c r="N2652">
        <v>0</v>
      </c>
      <c r="O2652">
        <v>0</v>
      </c>
      <c r="P2652" t="str">
        <f t="shared" si="41"/>
        <v>N</v>
      </c>
      <c r="Q2652" t="s">
        <v>8382</v>
      </c>
    </row>
    <row r="2653" spans="1:17" x14ac:dyDescent="0.25">
      <c r="A2653" t="s">
        <v>3505</v>
      </c>
      <c r="B2653" t="s">
        <v>1080</v>
      </c>
      <c r="C2653">
        <v>2027</v>
      </c>
      <c r="D2653" t="s">
        <v>634</v>
      </c>
      <c r="E2653" t="s">
        <v>838</v>
      </c>
      <c r="F2653" s="32">
        <v>46444</v>
      </c>
      <c r="G2653" t="s">
        <v>514</v>
      </c>
      <c r="H2653">
        <v>47128548</v>
      </c>
      <c r="I2653" t="s">
        <v>958</v>
      </c>
      <c r="J2653" t="s">
        <v>957</v>
      </c>
      <c r="K2653" t="s">
        <v>530</v>
      </c>
      <c r="N2653">
        <v>0</v>
      </c>
      <c r="O2653">
        <v>0</v>
      </c>
      <c r="P2653" t="str">
        <f t="shared" si="41"/>
        <v>N</v>
      </c>
      <c r="Q2653" t="s">
        <v>8383</v>
      </c>
    </row>
    <row r="2654" spans="1:17" x14ac:dyDescent="0.25">
      <c r="A2654" t="s">
        <v>3867</v>
      </c>
      <c r="B2654" t="s">
        <v>912</v>
      </c>
      <c r="C2654">
        <v>2027</v>
      </c>
      <c r="D2654" t="s">
        <v>634</v>
      </c>
      <c r="E2654" t="s">
        <v>838</v>
      </c>
      <c r="F2654" s="32">
        <v>46444</v>
      </c>
      <c r="G2654" t="s">
        <v>514</v>
      </c>
      <c r="H2654">
        <v>47128820</v>
      </c>
      <c r="I2654" t="s">
        <v>2411</v>
      </c>
      <c r="J2654" t="s">
        <v>2412</v>
      </c>
      <c r="K2654" t="s">
        <v>530</v>
      </c>
      <c r="N2654">
        <v>0</v>
      </c>
      <c r="O2654">
        <v>0</v>
      </c>
      <c r="P2654" t="str">
        <f t="shared" si="41"/>
        <v>N</v>
      </c>
      <c r="Q2654" t="s">
        <v>8384</v>
      </c>
    </row>
    <row r="2655" spans="1:17" x14ac:dyDescent="0.25">
      <c r="A2655" t="s">
        <v>3868</v>
      </c>
      <c r="B2655" t="s">
        <v>912</v>
      </c>
      <c r="C2655">
        <v>2027</v>
      </c>
      <c r="D2655" t="s">
        <v>634</v>
      </c>
      <c r="E2655" t="s">
        <v>838</v>
      </c>
      <c r="F2655" s="32">
        <v>46444</v>
      </c>
      <c r="G2655" t="s">
        <v>514</v>
      </c>
      <c r="H2655">
        <v>47128378</v>
      </c>
      <c r="I2655" t="s">
        <v>2392</v>
      </c>
      <c r="J2655" t="s">
        <v>2393</v>
      </c>
      <c r="K2655" t="s">
        <v>530</v>
      </c>
      <c r="N2655">
        <v>0</v>
      </c>
      <c r="O2655">
        <v>0</v>
      </c>
      <c r="P2655" t="str">
        <f t="shared" si="41"/>
        <v>N</v>
      </c>
      <c r="Q2655" t="s">
        <v>8385</v>
      </c>
    </row>
    <row r="2656" spans="1:17" x14ac:dyDescent="0.25">
      <c r="A2656" t="s">
        <v>3869</v>
      </c>
      <c r="B2656" t="s">
        <v>912</v>
      </c>
      <c r="C2656">
        <v>2027</v>
      </c>
      <c r="D2656" t="s">
        <v>634</v>
      </c>
      <c r="E2656" t="s">
        <v>838</v>
      </c>
      <c r="F2656" s="32">
        <v>46444</v>
      </c>
      <c r="G2656" t="s">
        <v>514</v>
      </c>
      <c r="H2656">
        <v>47128020</v>
      </c>
      <c r="I2656" t="s">
        <v>2395</v>
      </c>
      <c r="J2656" t="s">
        <v>2396</v>
      </c>
      <c r="K2656" t="s">
        <v>530</v>
      </c>
      <c r="N2656">
        <v>0</v>
      </c>
      <c r="O2656">
        <v>0</v>
      </c>
      <c r="P2656" t="str">
        <f t="shared" si="41"/>
        <v>N</v>
      </c>
      <c r="Q2656" t="s">
        <v>8386</v>
      </c>
    </row>
    <row r="2657" spans="1:17" x14ac:dyDescent="0.25">
      <c r="A2657" t="s">
        <v>3870</v>
      </c>
      <c r="B2657" t="s">
        <v>912</v>
      </c>
      <c r="C2657">
        <v>2027</v>
      </c>
      <c r="D2657" t="s">
        <v>634</v>
      </c>
      <c r="E2657" t="s">
        <v>838</v>
      </c>
      <c r="F2657" s="32">
        <v>46444</v>
      </c>
      <c r="G2657" t="s">
        <v>514</v>
      </c>
      <c r="H2657">
        <v>47128459</v>
      </c>
      <c r="I2657" t="s">
        <v>2398</v>
      </c>
      <c r="J2657" t="s">
        <v>2399</v>
      </c>
      <c r="K2657" t="s">
        <v>530</v>
      </c>
      <c r="N2657">
        <v>0</v>
      </c>
      <c r="O2657">
        <v>0</v>
      </c>
      <c r="P2657" t="str">
        <f t="shared" si="41"/>
        <v>N</v>
      </c>
      <c r="Q2657" t="s">
        <v>8387</v>
      </c>
    </row>
    <row r="2658" spans="1:17" x14ac:dyDescent="0.25">
      <c r="A2658" t="s">
        <v>3908</v>
      </c>
      <c r="B2658" t="s">
        <v>1043</v>
      </c>
      <c r="C2658">
        <v>2027</v>
      </c>
      <c r="D2658" t="s">
        <v>634</v>
      </c>
      <c r="E2658" t="s">
        <v>838</v>
      </c>
      <c r="F2658" s="32">
        <v>46444</v>
      </c>
      <c r="G2658" t="s">
        <v>514</v>
      </c>
      <c r="H2658">
        <v>47128421</v>
      </c>
      <c r="I2658" t="s">
        <v>1086</v>
      </c>
      <c r="J2658" t="s">
        <v>1085</v>
      </c>
      <c r="K2658" t="s">
        <v>530</v>
      </c>
      <c r="N2658">
        <v>0</v>
      </c>
      <c r="O2658">
        <v>0</v>
      </c>
      <c r="P2658" t="str">
        <f t="shared" si="41"/>
        <v>N</v>
      </c>
      <c r="Q2658" t="s">
        <v>8388</v>
      </c>
    </row>
    <row r="2659" spans="1:17" x14ac:dyDescent="0.25">
      <c r="A2659" t="s">
        <v>3909</v>
      </c>
      <c r="B2659" t="s">
        <v>1043</v>
      </c>
      <c r="C2659">
        <v>2027</v>
      </c>
      <c r="D2659" t="s">
        <v>634</v>
      </c>
      <c r="E2659" t="s">
        <v>838</v>
      </c>
      <c r="F2659" s="32">
        <v>46444</v>
      </c>
      <c r="G2659" t="s">
        <v>514</v>
      </c>
      <c r="H2659">
        <v>47128364</v>
      </c>
      <c r="I2659" t="s">
        <v>1264</v>
      </c>
      <c r="J2659" t="s">
        <v>1263</v>
      </c>
      <c r="K2659" t="s">
        <v>530</v>
      </c>
      <c r="N2659">
        <v>20</v>
      </c>
      <c r="O2659">
        <v>20</v>
      </c>
      <c r="P2659" t="str">
        <f t="shared" si="41"/>
        <v>N</v>
      </c>
      <c r="Q2659" t="s">
        <v>8389</v>
      </c>
    </row>
    <row r="2660" spans="1:17" x14ac:dyDescent="0.25">
      <c r="A2660" t="s">
        <v>3910</v>
      </c>
      <c r="B2660" t="s">
        <v>1043</v>
      </c>
      <c r="C2660">
        <v>2027</v>
      </c>
      <c r="D2660" t="s">
        <v>634</v>
      </c>
      <c r="E2660" t="s">
        <v>838</v>
      </c>
      <c r="F2660" s="32">
        <v>46444</v>
      </c>
      <c r="G2660" t="s">
        <v>514</v>
      </c>
      <c r="H2660">
        <v>47128706</v>
      </c>
      <c r="I2660" t="s">
        <v>1201</v>
      </c>
      <c r="J2660" t="s">
        <v>1200</v>
      </c>
      <c r="K2660" t="s">
        <v>530</v>
      </c>
      <c r="N2660">
        <v>0</v>
      </c>
      <c r="O2660">
        <v>0</v>
      </c>
      <c r="P2660" t="str">
        <f t="shared" si="41"/>
        <v>N</v>
      </c>
      <c r="Q2660" t="s">
        <v>8390</v>
      </c>
    </row>
    <row r="2661" spans="1:17" x14ac:dyDescent="0.25">
      <c r="A2661" t="s">
        <v>4014</v>
      </c>
      <c r="B2661" t="s">
        <v>3939</v>
      </c>
      <c r="C2661">
        <v>2027</v>
      </c>
      <c r="D2661" t="s">
        <v>634</v>
      </c>
      <c r="E2661" t="s">
        <v>838</v>
      </c>
      <c r="F2661" s="32">
        <v>46444</v>
      </c>
      <c r="G2661" t="s">
        <v>514</v>
      </c>
      <c r="H2661">
        <v>47128820</v>
      </c>
      <c r="I2661" t="s">
        <v>2411</v>
      </c>
      <c r="J2661" t="s">
        <v>2412</v>
      </c>
      <c r="K2661" t="s">
        <v>530</v>
      </c>
      <c r="N2661">
        <v>0</v>
      </c>
      <c r="O2661">
        <v>0</v>
      </c>
      <c r="P2661" t="str">
        <f t="shared" si="41"/>
        <v>N</v>
      </c>
      <c r="Q2661" t="s">
        <v>8391</v>
      </c>
    </row>
    <row r="2662" spans="1:17" x14ac:dyDescent="0.25">
      <c r="A2662" t="s">
        <v>4015</v>
      </c>
      <c r="B2662" t="s">
        <v>3939</v>
      </c>
      <c r="C2662">
        <v>2027</v>
      </c>
      <c r="D2662" t="s">
        <v>634</v>
      </c>
      <c r="E2662" t="s">
        <v>838</v>
      </c>
      <c r="F2662" s="32">
        <v>46444</v>
      </c>
      <c r="G2662" t="s">
        <v>514</v>
      </c>
      <c r="H2662">
        <v>47128378</v>
      </c>
      <c r="I2662" t="s">
        <v>2392</v>
      </c>
      <c r="J2662" t="s">
        <v>2393</v>
      </c>
      <c r="K2662" t="s">
        <v>530</v>
      </c>
      <c r="N2662">
        <v>0</v>
      </c>
      <c r="O2662">
        <v>0</v>
      </c>
      <c r="P2662" t="str">
        <f t="shared" si="41"/>
        <v>N</v>
      </c>
      <c r="Q2662" t="s">
        <v>8392</v>
      </c>
    </row>
    <row r="2663" spans="1:17" x14ac:dyDescent="0.25">
      <c r="A2663" t="s">
        <v>4016</v>
      </c>
      <c r="B2663" t="s">
        <v>3939</v>
      </c>
      <c r="C2663">
        <v>2027</v>
      </c>
      <c r="D2663" t="s">
        <v>634</v>
      </c>
      <c r="E2663" t="s">
        <v>838</v>
      </c>
      <c r="F2663" s="32">
        <v>46444</v>
      </c>
      <c r="G2663" t="s">
        <v>514</v>
      </c>
      <c r="H2663">
        <v>47128020</v>
      </c>
      <c r="I2663" t="s">
        <v>2395</v>
      </c>
      <c r="J2663" t="s">
        <v>2396</v>
      </c>
      <c r="K2663" t="s">
        <v>530</v>
      </c>
      <c r="N2663">
        <v>0</v>
      </c>
      <c r="O2663">
        <v>0</v>
      </c>
      <c r="P2663" t="str">
        <f t="shared" si="41"/>
        <v>N</v>
      </c>
      <c r="Q2663" t="s">
        <v>8393</v>
      </c>
    </row>
    <row r="2664" spans="1:17" x14ac:dyDescent="0.25">
      <c r="A2664" t="s">
        <v>4017</v>
      </c>
      <c r="B2664" t="s">
        <v>3939</v>
      </c>
      <c r="C2664">
        <v>2027</v>
      </c>
      <c r="D2664" t="s">
        <v>634</v>
      </c>
      <c r="E2664" t="s">
        <v>838</v>
      </c>
      <c r="F2664" s="32">
        <v>46444</v>
      </c>
      <c r="G2664" t="s">
        <v>514</v>
      </c>
      <c r="H2664">
        <v>47128459</v>
      </c>
      <c r="I2664" t="s">
        <v>2398</v>
      </c>
      <c r="J2664" t="s">
        <v>2399</v>
      </c>
      <c r="K2664" t="s">
        <v>530</v>
      </c>
      <c r="N2664">
        <v>0</v>
      </c>
      <c r="O2664">
        <v>0</v>
      </c>
      <c r="P2664" t="str">
        <f t="shared" si="41"/>
        <v>N</v>
      </c>
      <c r="Q2664" t="s">
        <v>8394</v>
      </c>
    </row>
    <row r="2665" spans="1:17" x14ac:dyDescent="0.25">
      <c r="A2665" t="s">
        <v>4099</v>
      </c>
      <c r="B2665" t="s">
        <v>1489</v>
      </c>
      <c r="C2665">
        <v>2027</v>
      </c>
      <c r="D2665" t="s">
        <v>634</v>
      </c>
      <c r="E2665" t="s">
        <v>838</v>
      </c>
      <c r="F2665" s="32">
        <v>46444</v>
      </c>
      <c r="G2665" t="s">
        <v>514</v>
      </c>
      <c r="H2665">
        <v>47127948</v>
      </c>
      <c r="I2665" t="s">
        <v>1247</v>
      </c>
      <c r="J2665" t="s">
        <v>1246</v>
      </c>
      <c r="K2665" t="s">
        <v>530</v>
      </c>
      <c r="N2665">
        <v>0</v>
      </c>
      <c r="O2665">
        <v>0</v>
      </c>
      <c r="P2665" t="str">
        <f t="shared" si="41"/>
        <v>N</v>
      </c>
      <c r="Q2665" t="s">
        <v>8395</v>
      </c>
    </row>
    <row r="2666" spans="1:17" x14ac:dyDescent="0.25">
      <c r="A2666" t="s">
        <v>4100</v>
      </c>
      <c r="B2666" t="s">
        <v>1489</v>
      </c>
      <c r="C2666">
        <v>2027</v>
      </c>
      <c r="D2666" t="s">
        <v>634</v>
      </c>
      <c r="E2666" t="s">
        <v>838</v>
      </c>
      <c r="F2666" s="32">
        <v>46444</v>
      </c>
      <c r="G2666" t="s">
        <v>514</v>
      </c>
      <c r="H2666">
        <v>47128337</v>
      </c>
      <c r="I2666" t="s">
        <v>1120</v>
      </c>
      <c r="J2666" t="s">
        <v>1119</v>
      </c>
      <c r="K2666" t="s">
        <v>530</v>
      </c>
      <c r="N2666">
        <v>0</v>
      </c>
      <c r="O2666">
        <v>0</v>
      </c>
      <c r="P2666" t="str">
        <f t="shared" si="41"/>
        <v>N</v>
      </c>
      <c r="Q2666" t="s">
        <v>8396</v>
      </c>
    </row>
    <row r="2667" spans="1:17" x14ac:dyDescent="0.25">
      <c r="A2667" t="s">
        <v>4101</v>
      </c>
      <c r="B2667" t="s">
        <v>1489</v>
      </c>
      <c r="C2667">
        <v>2027</v>
      </c>
      <c r="D2667" t="s">
        <v>634</v>
      </c>
      <c r="E2667" t="s">
        <v>838</v>
      </c>
      <c r="F2667" s="32">
        <v>46444</v>
      </c>
      <c r="G2667" t="s">
        <v>514</v>
      </c>
      <c r="H2667">
        <v>47128977</v>
      </c>
      <c r="I2667" t="s">
        <v>1449</v>
      </c>
      <c r="J2667" t="s">
        <v>1448</v>
      </c>
      <c r="K2667" t="s">
        <v>530</v>
      </c>
      <c r="N2667">
        <v>0</v>
      </c>
      <c r="O2667">
        <v>0</v>
      </c>
      <c r="P2667" t="str">
        <f t="shared" si="41"/>
        <v>N</v>
      </c>
      <c r="Q2667" t="s">
        <v>8397</v>
      </c>
    </row>
    <row r="2668" spans="1:17" x14ac:dyDescent="0.25">
      <c r="A2668" t="s">
        <v>4309</v>
      </c>
      <c r="B2668" t="s">
        <v>916</v>
      </c>
      <c r="C2668">
        <v>2027</v>
      </c>
      <c r="D2668" t="s">
        <v>634</v>
      </c>
      <c r="E2668" t="s">
        <v>838</v>
      </c>
      <c r="F2668" s="32">
        <v>46444</v>
      </c>
      <c r="G2668" t="s">
        <v>514</v>
      </c>
      <c r="H2668">
        <v>47128421</v>
      </c>
      <c r="I2668" t="s">
        <v>1086</v>
      </c>
      <c r="J2668" t="s">
        <v>1085</v>
      </c>
      <c r="K2668" t="s">
        <v>530</v>
      </c>
      <c r="N2668">
        <v>0</v>
      </c>
      <c r="O2668">
        <v>0</v>
      </c>
      <c r="P2668" t="str">
        <f t="shared" si="41"/>
        <v>N</v>
      </c>
      <c r="Q2668" t="s">
        <v>8398</v>
      </c>
    </row>
    <row r="2669" spans="1:17" x14ac:dyDescent="0.25">
      <c r="A2669" t="s">
        <v>4310</v>
      </c>
      <c r="B2669" t="s">
        <v>916</v>
      </c>
      <c r="C2669">
        <v>2027</v>
      </c>
      <c r="D2669" t="s">
        <v>634</v>
      </c>
      <c r="E2669" t="s">
        <v>838</v>
      </c>
      <c r="F2669" s="32">
        <v>46444</v>
      </c>
      <c r="G2669" t="s">
        <v>514</v>
      </c>
      <c r="H2669">
        <v>47128706</v>
      </c>
      <c r="I2669" t="s">
        <v>1201</v>
      </c>
      <c r="J2669" t="s">
        <v>1200</v>
      </c>
      <c r="K2669" t="s">
        <v>530</v>
      </c>
      <c r="N2669">
        <v>0</v>
      </c>
      <c r="O2669">
        <v>0</v>
      </c>
      <c r="P2669" t="str">
        <f t="shared" si="41"/>
        <v>N</v>
      </c>
      <c r="Q2669" t="s">
        <v>8399</v>
      </c>
    </row>
    <row r="2670" spans="1:17" x14ac:dyDescent="0.25">
      <c r="A2670" t="s">
        <v>4311</v>
      </c>
      <c r="B2670" t="s">
        <v>916</v>
      </c>
      <c r="C2670">
        <v>2027</v>
      </c>
      <c r="D2670" t="s">
        <v>634</v>
      </c>
      <c r="E2670" t="s">
        <v>838</v>
      </c>
      <c r="F2670" s="32">
        <v>46444</v>
      </c>
      <c r="G2670" t="s">
        <v>514</v>
      </c>
      <c r="H2670">
        <v>47128364</v>
      </c>
      <c r="I2670" t="s">
        <v>1264</v>
      </c>
      <c r="J2670" t="s">
        <v>1263</v>
      </c>
      <c r="K2670" t="s">
        <v>530</v>
      </c>
      <c r="N2670">
        <v>70</v>
      </c>
      <c r="O2670">
        <v>70</v>
      </c>
      <c r="P2670" t="str">
        <f t="shared" si="41"/>
        <v>N</v>
      </c>
      <c r="Q2670" t="s">
        <v>8400</v>
      </c>
    </row>
    <row r="2671" spans="1:17" x14ac:dyDescent="0.25">
      <c r="A2671" t="s">
        <v>4312</v>
      </c>
      <c r="B2671" t="s">
        <v>916</v>
      </c>
      <c r="C2671">
        <v>2027</v>
      </c>
      <c r="D2671" t="s">
        <v>634</v>
      </c>
      <c r="E2671" t="s">
        <v>838</v>
      </c>
      <c r="F2671" s="32">
        <v>46444</v>
      </c>
      <c r="G2671" t="s">
        <v>514</v>
      </c>
      <c r="H2671">
        <v>47128633</v>
      </c>
      <c r="I2671" t="s">
        <v>1164</v>
      </c>
      <c r="J2671" t="s">
        <v>1163</v>
      </c>
      <c r="K2671" t="s">
        <v>530</v>
      </c>
      <c r="N2671">
        <v>0</v>
      </c>
      <c r="O2671">
        <v>0</v>
      </c>
      <c r="P2671" t="str">
        <f t="shared" si="41"/>
        <v>N</v>
      </c>
      <c r="Q2671" t="s">
        <v>8401</v>
      </c>
    </row>
    <row r="2672" spans="1:17" x14ac:dyDescent="0.25">
      <c r="A2672" t="s">
        <v>4313</v>
      </c>
      <c r="B2672" t="s">
        <v>916</v>
      </c>
      <c r="C2672">
        <v>2027</v>
      </c>
      <c r="D2672" t="s">
        <v>634</v>
      </c>
      <c r="E2672" t="s">
        <v>838</v>
      </c>
      <c r="F2672" s="32">
        <v>46444</v>
      </c>
      <c r="G2672" t="s">
        <v>514</v>
      </c>
      <c r="H2672">
        <v>47128046</v>
      </c>
      <c r="I2672" t="s">
        <v>1389</v>
      </c>
      <c r="J2672" t="s">
        <v>1388</v>
      </c>
      <c r="K2672" t="s">
        <v>530</v>
      </c>
      <c r="N2672">
        <v>0</v>
      </c>
      <c r="O2672">
        <v>0</v>
      </c>
      <c r="P2672" t="str">
        <f t="shared" si="41"/>
        <v>N</v>
      </c>
      <c r="Q2672" t="s">
        <v>8402</v>
      </c>
    </row>
    <row r="2673" spans="1:17" x14ac:dyDescent="0.25">
      <c r="A2673" t="s">
        <v>4314</v>
      </c>
      <c r="B2673" t="s">
        <v>916</v>
      </c>
      <c r="C2673">
        <v>2027</v>
      </c>
      <c r="D2673" t="s">
        <v>634</v>
      </c>
      <c r="E2673" t="s">
        <v>838</v>
      </c>
      <c r="F2673" s="32">
        <v>46444</v>
      </c>
      <c r="G2673" t="s">
        <v>514</v>
      </c>
      <c r="H2673">
        <v>47128355</v>
      </c>
      <c r="I2673" t="s">
        <v>964</v>
      </c>
      <c r="J2673" t="s">
        <v>963</v>
      </c>
      <c r="K2673" t="s">
        <v>530</v>
      </c>
      <c r="N2673">
        <v>0</v>
      </c>
      <c r="O2673">
        <v>0</v>
      </c>
      <c r="P2673" t="str">
        <f t="shared" si="41"/>
        <v>N</v>
      </c>
      <c r="Q2673" t="s">
        <v>8403</v>
      </c>
    </row>
    <row r="2674" spans="1:17" x14ac:dyDescent="0.25">
      <c r="A2674" t="s">
        <v>4315</v>
      </c>
      <c r="B2674" t="s">
        <v>916</v>
      </c>
      <c r="C2674">
        <v>2027</v>
      </c>
      <c r="D2674" t="s">
        <v>634</v>
      </c>
      <c r="E2674" t="s">
        <v>838</v>
      </c>
      <c r="F2674" s="32">
        <v>46444</v>
      </c>
      <c r="G2674" t="s">
        <v>514</v>
      </c>
      <c r="H2674">
        <v>47129548</v>
      </c>
      <c r="I2674" t="s">
        <v>1340</v>
      </c>
      <c r="J2674" t="s">
        <v>1339</v>
      </c>
      <c r="K2674" t="s">
        <v>530</v>
      </c>
      <c r="N2674">
        <v>0</v>
      </c>
      <c r="O2674">
        <v>0</v>
      </c>
      <c r="P2674" t="str">
        <f t="shared" si="41"/>
        <v>N</v>
      </c>
      <c r="Q2674" t="s">
        <v>8404</v>
      </c>
    </row>
    <row r="2675" spans="1:17" x14ac:dyDescent="0.25">
      <c r="A2675" t="s">
        <v>4316</v>
      </c>
      <c r="B2675" t="s">
        <v>916</v>
      </c>
      <c r="C2675">
        <v>2027</v>
      </c>
      <c r="D2675" t="s">
        <v>634</v>
      </c>
      <c r="E2675" t="s">
        <v>838</v>
      </c>
      <c r="F2675" s="32">
        <v>46444</v>
      </c>
      <c r="G2675" t="s">
        <v>514</v>
      </c>
      <c r="H2675">
        <v>47128835</v>
      </c>
      <c r="I2675" t="s">
        <v>998</v>
      </c>
      <c r="J2675" t="s">
        <v>997</v>
      </c>
      <c r="K2675" t="s">
        <v>530</v>
      </c>
      <c r="N2675">
        <v>0</v>
      </c>
      <c r="O2675">
        <v>0</v>
      </c>
      <c r="P2675" t="str">
        <f t="shared" si="41"/>
        <v>N</v>
      </c>
      <c r="Q2675" t="s">
        <v>8405</v>
      </c>
    </row>
    <row r="2676" spans="1:17" x14ac:dyDescent="0.25">
      <c r="A2676" t="s">
        <v>4317</v>
      </c>
      <c r="B2676" t="s">
        <v>916</v>
      </c>
      <c r="C2676">
        <v>2027</v>
      </c>
      <c r="D2676" t="s">
        <v>634</v>
      </c>
      <c r="E2676" t="s">
        <v>838</v>
      </c>
      <c r="F2676" s="32">
        <v>46444</v>
      </c>
      <c r="G2676" t="s">
        <v>514</v>
      </c>
      <c r="H2676">
        <v>47128788</v>
      </c>
      <c r="I2676" t="s">
        <v>4188</v>
      </c>
      <c r="J2676" t="s">
        <v>4189</v>
      </c>
      <c r="K2676" t="s">
        <v>530</v>
      </c>
      <c r="N2676">
        <v>40</v>
      </c>
      <c r="O2676">
        <v>40</v>
      </c>
      <c r="P2676" t="str">
        <f t="shared" si="41"/>
        <v>N</v>
      </c>
      <c r="Q2676" t="s">
        <v>8406</v>
      </c>
    </row>
    <row r="2677" spans="1:17" x14ac:dyDescent="0.25">
      <c r="A2677" t="s">
        <v>4318</v>
      </c>
      <c r="B2677" t="s">
        <v>916</v>
      </c>
      <c r="C2677">
        <v>2027</v>
      </c>
      <c r="D2677" t="s">
        <v>634</v>
      </c>
      <c r="E2677" t="s">
        <v>838</v>
      </c>
      <c r="F2677" s="32">
        <v>46444</v>
      </c>
      <c r="G2677" t="s">
        <v>514</v>
      </c>
      <c r="H2677">
        <v>47136348</v>
      </c>
      <c r="I2677" t="s">
        <v>1025</v>
      </c>
      <c r="J2677" t="s">
        <v>1024</v>
      </c>
      <c r="K2677" t="s">
        <v>530</v>
      </c>
      <c r="N2677">
        <v>40</v>
      </c>
      <c r="O2677">
        <v>40</v>
      </c>
      <c r="P2677" t="str">
        <f t="shared" si="41"/>
        <v>N</v>
      </c>
      <c r="Q2677" t="s">
        <v>8407</v>
      </c>
    </row>
    <row r="2678" spans="1:17" x14ac:dyDescent="0.25">
      <c r="A2678" t="s">
        <v>4319</v>
      </c>
      <c r="B2678" t="s">
        <v>916</v>
      </c>
      <c r="C2678">
        <v>2027</v>
      </c>
      <c r="D2678" t="s">
        <v>634</v>
      </c>
      <c r="E2678" t="s">
        <v>838</v>
      </c>
      <c r="F2678" s="32">
        <v>46444</v>
      </c>
      <c r="G2678" t="s">
        <v>514</v>
      </c>
      <c r="H2678">
        <v>47135083</v>
      </c>
      <c r="I2678" t="s">
        <v>4192</v>
      </c>
      <c r="J2678" t="s">
        <v>4193</v>
      </c>
      <c r="K2678" t="s">
        <v>530</v>
      </c>
      <c r="N2678">
        <v>0</v>
      </c>
      <c r="O2678">
        <v>0</v>
      </c>
      <c r="P2678" t="str">
        <f t="shared" si="41"/>
        <v>N</v>
      </c>
      <c r="Q2678" t="s">
        <v>8408</v>
      </c>
    </row>
    <row r="2679" spans="1:17" x14ac:dyDescent="0.25">
      <c r="A2679" t="s">
        <v>4320</v>
      </c>
      <c r="B2679" t="s">
        <v>916</v>
      </c>
      <c r="C2679">
        <v>2027</v>
      </c>
      <c r="D2679" t="s">
        <v>634</v>
      </c>
      <c r="E2679" t="s">
        <v>838</v>
      </c>
      <c r="F2679" s="32">
        <v>46444</v>
      </c>
      <c r="G2679" t="s">
        <v>514</v>
      </c>
      <c r="H2679">
        <v>47128684</v>
      </c>
      <c r="I2679" t="s">
        <v>1005</v>
      </c>
      <c r="J2679" t="s">
        <v>1004</v>
      </c>
      <c r="K2679" t="s">
        <v>530</v>
      </c>
      <c r="N2679">
        <v>0</v>
      </c>
      <c r="O2679">
        <v>0</v>
      </c>
      <c r="P2679" t="str">
        <f t="shared" si="41"/>
        <v>N</v>
      </c>
      <c r="Q2679" t="s">
        <v>8409</v>
      </c>
    </row>
    <row r="2680" spans="1:17" x14ac:dyDescent="0.25">
      <c r="A2680" t="s">
        <v>4321</v>
      </c>
      <c r="B2680" t="s">
        <v>916</v>
      </c>
      <c r="C2680">
        <v>2027</v>
      </c>
      <c r="D2680" t="s">
        <v>634</v>
      </c>
      <c r="E2680" t="s">
        <v>838</v>
      </c>
      <c r="F2680" s="32">
        <v>46444</v>
      </c>
      <c r="G2680" t="s">
        <v>514</v>
      </c>
      <c r="H2680">
        <v>47128469</v>
      </c>
      <c r="I2680" t="s">
        <v>928</v>
      </c>
      <c r="J2680" t="s">
        <v>927</v>
      </c>
      <c r="K2680" t="s">
        <v>530</v>
      </c>
      <c r="N2680">
        <v>0</v>
      </c>
      <c r="O2680">
        <v>0</v>
      </c>
      <c r="P2680" t="str">
        <f t="shared" si="41"/>
        <v>N</v>
      </c>
      <c r="Q2680" t="s">
        <v>8410</v>
      </c>
    </row>
    <row r="2681" spans="1:17" x14ac:dyDescent="0.25">
      <c r="A2681" t="s">
        <v>4322</v>
      </c>
      <c r="B2681" t="s">
        <v>916</v>
      </c>
      <c r="C2681">
        <v>2027</v>
      </c>
      <c r="D2681" t="s">
        <v>634</v>
      </c>
      <c r="E2681" t="s">
        <v>838</v>
      </c>
      <c r="F2681" s="32">
        <v>46444</v>
      </c>
      <c r="G2681" t="s">
        <v>514</v>
      </c>
      <c r="H2681">
        <v>47128359</v>
      </c>
      <c r="I2681" t="s">
        <v>961</v>
      </c>
      <c r="J2681" t="s">
        <v>960</v>
      </c>
      <c r="K2681" t="s">
        <v>530</v>
      </c>
      <c r="N2681">
        <v>0</v>
      </c>
      <c r="O2681">
        <v>0</v>
      </c>
      <c r="P2681" t="str">
        <f t="shared" si="41"/>
        <v>N</v>
      </c>
      <c r="Q2681" t="s">
        <v>8411</v>
      </c>
    </row>
    <row r="2682" spans="1:17" x14ac:dyDescent="0.25">
      <c r="A2682" t="s">
        <v>4323</v>
      </c>
      <c r="B2682" t="s">
        <v>916</v>
      </c>
      <c r="C2682">
        <v>2027</v>
      </c>
      <c r="D2682" t="s">
        <v>634</v>
      </c>
      <c r="E2682" t="s">
        <v>838</v>
      </c>
      <c r="F2682" s="32">
        <v>46444</v>
      </c>
      <c r="G2682" t="s">
        <v>514</v>
      </c>
      <c r="H2682">
        <v>47128202</v>
      </c>
      <c r="I2682" t="s">
        <v>967</v>
      </c>
      <c r="J2682" t="s">
        <v>966</v>
      </c>
      <c r="K2682" t="s">
        <v>530</v>
      </c>
      <c r="N2682">
        <v>40</v>
      </c>
      <c r="O2682">
        <v>40</v>
      </c>
      <c r="P2682" t="str">
        <f t="shared" si="41"/>
        <v>N</v>
      </c>
      <c r="Q2682" t="s">
        <v>8412</v>
      </c>
    </row>
    <row r="2683" spans="1:17" x14ac:dyDescent="0.25">
      <c r="A2683" t="s">
        <v>4324</v>
      </c>
      <c r="B2683" t="s">
        <v>916</v>
      </c>
      <c r="C2683">
        <v>2027</v>
      </c>
      <c r="D2683" t="s">
        <v>634</v>
      </c>
      <c r="E2683" t="s">
        <v>838</v>
      </c>
      <c r="F2683" s="32">
        <v>46444</v>
      </c>
      <c r="G2683" t="s">
        <v>514</v>
      </c>
      <c r="H2683">
        <v>47128154</v>
      </c>
      <c r="I2683" t="s">
        <v>933</v>
      </c>
      <c r="J2683" t="s">
        <v>932</v>
      </c>
      <c r="K2683" t="s">
        <v>530</v>
      </c>
      <c r="N2683">
        <v>0</v>
      </c>
      <c r="O2683">
        <v>0</v>
      </c>
      <c r="P2683" t="str">
        <f t="shared" si="41"/>
        <v>N</v>
      </c>
      <c r="Q2683" t="s">
        <v>8413</v>
      </c>
    </row>
    <row r="2684" spans="1:17" x14ac:dyDescent="0.25">
      <c r="A2684" t="s">
        <v>4325</v>
      </c>
      <c r="B2684" t="s">
        <v>916</v>
      </c>
      <c r="C2684">
        <v>2027</v>
      </c>
      <c r="D2684" t="s">
        <v>634</v>
      </c>
      <c r="E2684" t="s">
        <v>838</v>
      </c>
      <c r="F2684" s="32">
        <v>46444</v>
      </c>
      <c r="G2684" t="s">
        <v>514</v>
      </c>
      <c r="H2684">
        <v>47128108</v>
      </c>
      <c r="I2684" t="s">
        <v>1011</v>
      </c>
      <c r="J2684" t="s">
        <v>1010</v>
      </c>
      <c r="K2684" t="s">
        <v>530</v>
      </c>
      <c r="N2684">
        <v>40</v>
      </c>
      <c r="O2684">
        <v>40</v>
      </c>
      <c r="P2684" t="str">
        <f t="shared" si="41"/>
        <v>N</v>
      </c>
      <c r="Q2684" t="s">
        <v>8414</v>
      </c>
    </row>
    <row r="2685" spans="1:17" x14ac:dyDescent="0.25">
      <c r="A2685" t="s">
        <v>4326</v>
      </c>
      <c r="B2685" t="s">
        <v>916</v>
      </c>
      <c r="C2685">
        <v>2027</v>
      </c>
      <c r="D2685" t="s">
        <v>634</v>
      </c>
      <c r="E2685" t="s">
        <v>838</v>
      </c>
      <c r="F2685" s="32">
        <v>46444</v>
      </c>
      <c r="G2685" t="s">
        <v>514</v>
      </c>
      <c r="H2685">
        <v>47129069</v>
      </c>
      <c r="I2685" t="s">
        <v>1325</v>
      </c>
      <c r="J2685" t="s">
        <v>1324</v>
      </c>
      <c r="K2685" t="s">
        <v>530</v>
      </c>
      <c r="N2685">
        <v>0</v>
      </c>
      <c r="O2685">
        <v>0</v>
      </c>
      <c r="P2685" t="str">
        <f t="shared" si="41"/>
        <v>N</v>
      </c>
      <c r="Q2685" t="s">
        <v>8415</v>
      </c>
    </row>
    <row r="2686" spans="1:17" x14ac:dyDescent="0.25">
      <c r="A2686" t="s">
        <v>4438</v>
      </c>
      <c r="B2686" t="s">
        <v>4428</v>
      </c>
      <c r="C2686">
        <v>2027</v>
      </c>
      <c r="D2686" t="s">
        <v>634</v>
      </c>
      <c r="E2686" t="s">
        <v>838</v>
      </c>
      <c r="F2686" s="32">
        <v>46444</v>
      </c>
      <c r="G2686" t="s">
        <v>514</v>
      </c>
      <c r="H2686">
        <v>47128132</v>
      </c>
      <c r="I2686" t="s">
        <v>4429</v>
      </c>
      <c r="J2686" t="s">
        <v>4430</v>
      </c>
      <c r="K2686" t="s">
        <v>530</v>
      </c>
      <c r="N2686">
        <v>0</v>
      </c>
      <c r="O2686">
        <v>0</v>
      </c>
      <c r="P2686" t="str">
        <f t="shared" si="41"/>
        <v>N</v>
      </c>
      <c r="Q2686" t="s">
        <v>8416</v>
      </c>
    </row>
    <row r="2687" spans="1:17" x14ac:dyDescent="0.25">
      <c r="A2687" t="s">
        <v>4488</v>
      </c>
      <c r="B2687" t="s">
        <v>4445</v>
      </c>
      <c r="C2687">
        <v>2027</v>
      </c>
      <c r="D2687" t="s">
        <v>634</v>
      </c>
      <c r="E2687" t="s">
        <v>838</v>
      </c>
      <c r="F2687" s="32">
        <v>46444</v>
      </c>
      <c r="G2687" t="s">
        <v>514</v>
      </c>
      <c r="H2687">
        <v>47129711</v>
      </c>
      <c r="I2687" t="s">
        <v>4446</v>
      </c>
      <c r="J2687" t="s">
        <v>4447</v>
      </c>
      <c r="K2687" t="s">
        <v>530</v>
      </c>
      <c r="N2687">
        <v>20</v>
      </c>
      <c r="O2687">
        <v>20</v>
      </c>
      <c r="P2687" t="str">
        <f t="shared" si="41"/>
        <v>N</v>
      </c>
      <c r="Q2687" t="s">
        <v>8417</v>
      </c>
    </row>
    <row r="2688" spans="1:17" x14ac:dyDescent="0.25">
      <c r="A2688" t="s">
        <v>4489</v>
      </c>
      <c r="B2688" t="s">
        <v>4445</v>
      </c>
      <c r="C2688">
        <v>2027</v>
      </c>
      <c r="D2688" t="s">
        <v>634</v>
      </c>
      <c r="E2688" t="s">
        <v>838</v>
      </c>
      <c r="F2688" s="32">
        <v>46444</v>
      </c>
      <c r="G2688" t="s">
        <v>514</v>
      </c>
      <c r="H2688">
        <v>47129228</v>
      </c>
      <c r="I2688" t="s">
        <v>4449</v>
      </c>
      <c r="J2688" t="s">
        <v>4450</v>
      </c>
      <c r="K2688" t="s">
        <v>530</v>
      </c>
      <c r="N2688">
        <v>32</v>
      </c>
      <c r="O2688">
        <v>32</v>
      </c>
      <c r="P2688" t="str">
        <f t="shared" si="41"/>
        <v>N</v>
      </c>
      <c r="Q2688" t="s">
        <v>8418</v>
      </c>
    </row>
    <row r="2689" spans="1:17" x14ac:dyDescent="0.25">
      <c r="A2689" t="s">
        <v>4662</v>
      </c>
      <c r="B2689" t="s">
        <v>1044</v>
      </c>
      <c r="C2689">
        <v>2027</v>
      </c>
      <c r="D2689" t="s">
        <v>634</v>
      </c>
      <c r="E2689" t="s">
        <v>838</v>
      </c>
      <c r="F2689" s="32">
        <v>46444</v>
      </c>
      <c r="G2689" t="s">
        <v>514</v>
      </c>
      <c r="H2689">
        <v>47127948</v>
      </c>
      <c r="I2689" t="s">
        <v>1247</v>
      </c>
      <c r="J2689" t="s">
        <v>1246</v>
      </c>
      <c r="K2689" t="s">
        <v>530</v>
      </c>
      <c r="N2689">
        <v>20</v>
      </c>
      <c r="O2689">
        <v>20</v>
      </c>
      <c r="P2689" t="str">
        <f t="shared" si="41"/>
        <v>N</v>
      </c>
      <c r="Q2689" t="s">
        <v>8419</v>
      </c>
    </row>
    <row r="2690" spans="1:17" x14ac:dyDescent="0.25">
      <c r="A2690" t="s">
        <v>4663</v>
      </c>
      <c r="B2690" t="s">
        <v>1044</v>
      </c>
      <c r="C2690">
        <v>2027</v>
      </c>
      <c r="D2690" t="s">
        <v>634</v>
      </c>
      <c r="E2690" t="s">
        <v>838</v>
      </c>
      <c r="F2690" s="32">
        <v>46444</v>
      </c>
      <c r="G2690" t="s">
        <v>514</v>
      </c>
      <c r="H2690">
        <v>47128710</v>
      </c>
      <c r="I2690" t="s">
        <v>1189</v>
      </c>
      <c r="J2690" t="s">
        <v>1188</v>
      </c>
      <c r="K2690" t="s">
        <v>530</v>
      </c>
      <c r="N2690">
        <v>0</v>
      </c>
      <c r="O2690">
        <v>0</v>
      </c>
      <c r="P2690" t="str">
        <f t="shared" si="41"/>
        <v>N</v>
      </c>
      <c r="Q2690" t="s">
        <v>8420</v>
      </c>
    </row>
    <row r="2691" spans="1:17" x14ac:dyDescent="0.25">
      <c r="A2691" t="s">
        <v>4664</v>
      </c>
      <c r="B2691" t="s">
        <v>1044</v>
      </c>
      <c r="C2691">
        <v>2027</v>
      </c>
      <c r="D2691" t="s">
        <v>634</v>
      </c>
      <c r="E2691" t="s">
        <v>838</v>
      </c>
      <c r="F2691" s="32">
        <v>46444</v>
      </c>
      <c r="G2691" t="s">
        <v>514</v>
      </c>
      <c r="H2691">
        <v>47128572</v>
      </c>
      <c r="I2691" t="s">
        <v>1197</v>
      </c>
      <c r="J2691" t="s">
        <v>1196</v>
      </c>
      <c r="K2691" t="s">
        <v>530</v>
      </c>
      <c r="N2691">
        <v>0</v>
      </c>
      <c r="O2691">
        <v>0</v>
      </c>
      <c r="P2691" t="str">
        <f t="shared" ref="P2691:P2754" si="42">IF(N2691=O2691,"N","Y")</f>
        <v>N</v>
      </c>
      <c r="Q2691" t="s">
        <v>8421</v>
      </c>
    </row>
    <row r="2692" spans="1:17" x14ac:dyDescent="0.25">
      <c r="A2692" t="s">
        <v>4665</v>
      </c>
      <c r="B2692" t="s">
        <v>1044</v>
      </c>
      <c r="C2692">
        <v>2027</v>
      </c>
      <c r="D2692" t="s">
        <v>634</v>
      </c>
      <c r="E2692" t="s">
        <v>838</v>
      </c>
      <c r="F2692" s="32">
        <v>46444</v>
      </c>
      <c r="G2692" t="s">
        <v>514</v>
      </c>
      <c r="H2692">
        <v>47128482</v>
      </c>
      <c r="I2692" t="s">
        <v>1393</v>
      </c>
      <c r="J2692" t="s">
        <v>1392</v>
      </c>
      <c r="K2692" t="s">
        <v>530</v>
      </c>
      <c r="N2692">
        <v>0</v>
      </c>
      <c r="O2692">
        <v>0</v>
      </c>
      <c r="P2692" t="str">
        <f t="shared" si="42"/>
        <v>N</v>
      </c>
      <c r="Q2692" t="s">
        <v>8422</v>
      </c>
    </row>
    <row r="2693" spans="1:17" x14ac:dyDescent="0.25">
      <c r="A2693" t="s">
        <v>4666</v>
      </c>
      <c r="B2693" t="s">
        <v>1044</v>
      </c>
      <c r="C2693">
        <v>2027</v>
      </c>
      <c r="D2693" t="s">
        <v>634</v>
      </c>
      <c r="E2693" t="s">
        <v>838</v>
      </c>
      <c r="F2693" s="32">
        <v>46444</v>
      </c>
      <c r="G2693" t="s">
        <v>514</v>
      </c>
      <c r="H2693">
        <v>47128337</v>
      </c>
      <c r="I2693" t="s">
        <v>1120</v>
      </c>
      <c r="J2693" t="s">
        <v>1119</v>
      </c>
      <c r="K2693" t="s">
        <v>530</v>
      </c>
      <c r="N2693">
        <v>0</v>
      </c>
      <c r="O2693">
        <v>0</v>
      </c>
      <c r="P2693" t="str">
        <f t="shared" si="42"/>
        <v>N</v>
      </c>
      <c r="Q2693" t="s">
        <v>8423</v>
      </c>
    </row>
    <row r="2694" spans="1:17" x14ac:dyDescent="0.25">
      <c r="A2694" t="s">
        <v>4667</v>
      </c>
      <c r="B2694" t="s">
        <v>1044</v>
      </c>
      <c r="C2694">
        <v>2027</v>
      </c>
      <c r="D2694" t="s">
        <v>634</v>
      </c>
      <c r="E2694" t="s">
        <v>838</v>
      </c>
      <c r="F2694" s="32">
        <v>46444</v>
      </c>
      <c r="G2694" t="s">
        <v>514</v>
      </c>
      <c r="H2694">
        <v>47128833</v>
      </c>
      <c r="I2694" t="s">
        <v>1193</v>
      </c>
      <c r="J2694" t="s">
        <v>1192</v>
      </c>
      <c r="K2694" t="s">
        <v>530</v>
      </c>
      <c r="N2694">
        <v>0</v>
      </c>
      <c r="O2694">
        <v>0</v>
      </c>
      <c r="P2694" t="str">
        <f t="shared" si="42"/>
        <v>N</v>
      </c>
      <c r="Q2694" t="s">
        <v>8424</v>
      </c>
    </row>
    <row r="2695" spans="1:17" x14ac:dyDescent="0.25">
      <c r="A2695" t="s">
        <v>4668</v>
      </c>
      <c r="B2695" t="s">
        <v>1044</v>
      </c>
      <c r="C2695">
        <v>2027</v>
      </c>
      <c r="D2695" t="s">
        <v>634</v>
      </c>
      <c r="E2695" t="s">
        <v>838</v>
      </c>
      <c r="F2695" s="32">
        <v>46444</v>
      </c>
      <c r="G2695" t="s">
        <v>514</v>
      </c>
      <c r="H2695">
        <v>47128784</v>
      </c>
      <c r="I2695" t="s">
        <v>1426</v>
      </c>
      <c r="J2695" t="s">
        <v>1425</v>
      </c>
      <c r="K2695" t="s">
        <v>530</v>
      </c>
      <c r="N2695">
        <v>0</v>
      </c>
      <c r="O2695">
        <v>0</v>
      </c>
      <c r="P2695" t="str">
        <f t="shared" si="42"/>
        <v>N</v>
      </c>
      <c r="Q2695" t="s">
        <v>8425</v>
      </c>
    </row>
    <row r="2696" spans="1:17" x14ac:dyDescent="0.25">
      <c r="A2696" t="s">
        <v>4669</v>
      </c>
      <c r="B2696" t="s">
        <v>1044</v>
      </c>
      <c r="C2696">
        <v>2027</v>
      </c>
      <c r="D2696" t="s">
        <v>634</v>
      </c>
      <c r="E2696" t="s">
        <v>838</v>
      </c>
      <c r="F2696" s="32">
        <v>46444</v>
      </c>
      <c r="G2696" t="s">
        <v>514</v>
      </c>
      <c r="H2696">
        <v>47129473</v>
      </c>
      <c r="I2696" t="s">
        <v>1430</v>
      </c>
      <c r="J2696" t="s">
        <v>1429</v>
      </c>
      <c r="K2696" t="s">
        <v>530</v>
      </c>
      <c r="N2696">
        <v>20</v>
      </c>
      <c r="O2696">
        <v>20</v>
      </c>
      <c r="P2696" t="str">
        <f t="shared" si="42"/>
        <v>N</v>
      </c>
      <c r="Q2696" t="s">
        <v>8426</v>
      </c>
    </row>
    <row r="2697" spans="1:17" x14ac:dyDescent="0.25">
      <c r="A2697" t="s">
        <v>4670</v>
      </c>
      <c r="B2697" t="s">
        <v>1044</v>
      </c>
      <c r="C2697">
        <v>2027</v>
      </c>
      <c r="D2697" t="s">
        <v>634</v>
      </c>
      <c r="E2697" t="s">
        <v>838</v>
      </c>
      <c r="F2697" s="32">
        <v>46444</v>
      </c>
      <c r="G2697" t="s">
        <v>514</v>
      </c>
      <c r="H2697">
        <v>47128429</v>
      </c>
      <c r="I2697" t="s">
        <v>1371</v>
      </c>
      <c r="J2697" t="s">
        <v>1370</v>
      </c>
      <c r="K2697" t="s">
        <v>530</v>
      </c>
      <c r="N2697">
        <v>0</v>
      </c>
      <c r="O2697">
        <v>0</v>
      </c>
      <c r="P2697" t="str">
        <f t="shared" si="42"/>
        <v>N</v>
      </c>
      <c r="Q2697" t="s">
        <v>8427</v>
      </c>
    </row>
    <row r="2698" spans="1:17" x14ac:dyDescent="0.25">
      <c r="A2698" t="s">
        <v>4671</v>
      </c>
      <c r="B2698" t="s">
        <v>1044</v>
      </c>
      <c r="C2698">
        <v>2027</v>
      </c>
      <c r="D2698" t="s">
        <v>634</v>
      </c>
      <c r="E2698" t="s">
        <v>838</v>
      </c>
      <c r="F2698" s="32">
        <v>46444</v>
      </c>
      <c r="G2698" t="s">
        <v>514</v>
      </c>
      <c r="H2698">
        <v>47128181</v>
      </c>
      <c r="I2698" t="s">
        <v>1301</v>
      </c>
      <c r="J2698" t="s">
        <v>1300</v>
      </c>
      <c r="K2698" t="s">
        <v>530</v>
      </c>
      <c r="N2698">
        <v>0</v>
      </c>
      <c r="O2698">
        <v>0</v>
      </c>
      <c r="P2698" t="str">
        <f t="shared" si="42"/>
        <v>N</v>
      </c>
      <c r="Q2698" t="s">
        <v>8428</v>
      </c>
    </row>
    <row r="2699" spans="1:17" x14ac:dyDescent="0.25">
      <c r="A2699" t="s">
        <v>5056</v>
      </c>
      <c r="B2699" t="s">
        <v>1090</v>
      </c>
      <c r="C2699">
        <v>2027</v>
      </c>
      <c r="D2699" t="s">
        <v>634</v>
      </c>
      <c r="E2699" t="s">
        <v>838</v>
      </c>
      <c r="F2699" s="32">
        <v>46444</v>
      </c>
      <c r="G2699" t="s">
        <v>514</v>
      </c>
      <c r="H2699">
        <v>47128317</v>
      </c>
      <c r="I2699" t="s">
        <v>985</v>
      </c>
      <c r="J2699" t="s">
        <v>984</v>
      </c>
      <c r="K2699" t="s">
        <v>530</v>
      </c>
      <c r="N2699">
        <v>0</v>
      </c>
      <c r="O2699">
        <v>0</v>
      </c>
      <c r="P2699" t="str">
        <f t="shared" si="42"/>
        <v>N</v>
      </c>
      <c r="Q2699" t="s">
        <v>8429</v>
      </c>
    </row>
    <row r="2700" spans="1:17" x14ac:dyDescent="0.25">
      <c r="A2700" t="s">
        <v>5057</v>
      </c>
      <c r="B2700" t="s">
        <v>1090</v>
      </c>
      <c r="C2700">
        <v>2027</v>
      </c>
      <c r="D2700" t="s">
        <v>634</v>
      </c>
      <c r="E2700" t="s">
        <v>838</v>
      </c>
      <c r="F2700" s="32">
        <v>46444</v>
      </c>
      <c r="G2700" t="s">
        <v>514</v>
      </c>
      <c r="H2700">
        <v>47128137</v>
      </c>
      <c r="I2700" t="s">
        <v>1008</v>
      </c>
      <c r="J2700" t="s">
        <v>1007</v>
      </c>
      <c r="K2700" t="s">
        <v>530</v>
      </c>
      <c r="N2700">
        <v>0</v>
      </c>
      <c r="O2700">
        <v>0</v>
      </c>
      <c r="P2700" t="str">
        <f t="shared" si="42"/>
        <v>N</v>
      </c>
      <c r="Q2700" t="s">
        <v>8430</v>
      </c>
    </row>
    <row r="2701" spans="1:17" x14ac:dyDescent="0.25">
      <c r="A2701" t="s">
        <v>5058</v>
      </c>
      <c r="B2701" t="s">
        <v>1090</v>
      </c>
      <c r="C2701">
        <v>2027</v>
      </c>
      <c r="D2701" t="s">
        <v>634</v>
      </c>
      <c r="E2701" t="s">
        <v>838</v>
      </c>
      <c r="F2701" s="32">
        <v>46444</v>
      </c>
      <c r="G2701" t="s">
        <v>514</v>
      </c>
      <c r="H2701">
        <v>47128085</v>
      </c>
      <c r="I2701" t="s">
        <v>942</v>
      </c>
      <c r="J2701" t="s">
        <v>941</v>
      </c>
      <c r="K2701" t="s">
        <v>530</v>
      </c>
      <c r="N2701">
        <v>0</v>
      </c>
      <c r="O2701">
        <v>0</v>
      </c>
      <c r="P2701" t="str">
        <f t="shared" si="42"/>
        <v>N</v>
      </c>
      <c r="Q2701" t="s">
        <v>8431</v>
      </c>
    </row>
    <row r="2702" spans="1:17" x14ac:dyDescent="0.25">
      <c r="A2702" t="s">
        <v>5059</v>
      </c>
      <c r="B2702" t="s">
        <v>1090</v>
      </c>
      <c r="C2702">
        <v>2027</v>
      </c>
      <c r="D2702" t="s">
        <v>634</v>
      </c>
      <c r="E2702" t="s">
        <v>838</v>
      </c>
      <c r="F2702" s="32">
        <v>46444</v>
      </c>
      <c r="G2702" t="s">
        <v>514</v>
      </c>
      <c r="H2702">
        <v>47128139</v>
      </c>
      <c r="I2702" t="s">
        <v>988</v>
      </c>
      <c r="J2702" t="s">
        <v>987</v>
      </c>
      <c r="K2702" t="s">
        <v>530</v>
      </c>
      <c r="N2702">
        <v>3</v>
      </c>
      <c r="O2702">
        <v>3</v>
      </c>
      <c r="P2702" t="str">
        <f t="shared" si="42"/>
        <v>N</v>
      </c>
      <c r="Q2702" t="s">
        <v>8432</v>
      </c>
    </row>
    <row r="2703" spans="1:17" x14ac:dyDescent="0.25">
      <c r="A2703" t="s">
        <v>5060</v>
      </c>
      <c r="B2703" t="s">
        <v>1090</v>
      </c>
      <c r="C2703">
        <v>2027</v>
      </c>
      <c r="D2703" t="s">
        <v>634</v>
      </c>
      <c r="E2703" t="s">
        <v>838</v>
      </c>
      <c r="F2703" s="32">
        <v>46444</v>
      </c>
      <c r="G2703" t="s">
        <v>514</v>
      </c>
      <c r="H2703">
        <v>47128939</v>
      </c>
      <c r="I2703" t="s">
        <v>1224</v>
      </c>
      <c r="J2703" t="s">
        <v>1223</v>
      </c>
      <c r="K2703" t="s">
        <v>530</v>
      </c>
      <c r="N2703">
        <v>0</v>
      </c>
      <c r="O2703">
        <v>0</v>
      </c>
      <c r="P2703" t="str">
        <f t="shared" si="42"/>
        <v>N</v>
      </c>
      <c r="Q2703" t="s">
        <v>8433</v>
      </c>
    </row>
    <row r="2704" spans="1:17" x14ac:dyDescent="0.25">
      <c r="A2704" t="s">
        <v>5061</v>
      </c>
      <c r="B2704" t="s">
        <v>1090</v>
      </c>
      <c r="C2704">
        <v>2027</v>
      </c>
      <c r="D2704" t="s">
        <v>634</v>
      </c>
      <c r="E2704" t="s">
        <v>838</v>
      </c>
      <c r="F2704" s="32">
        <v>46444</v>
      </c>
      <c r="G2704" t="s">
        <v>514</v>
      </c>
      <c r="H2704">
        <v>47128449</v>
      </c>
      <c r="I2704" t="s">
        <v>1364</v>
      </c>
      <c r="J2704" t="s">
        <v>1363</v>
      </c>
      <c r="K2704" t="s">
        <v>530</v>
      </c>
      <c r="N2704">
        <v>0</v>
      </c>
      <c r="O2704">
        <v>0</v>
      </c>
      <c r="P2704" t="str">
        <f t="shared" si="42"/>
        <v>N</v>
      </c>
      <c r="Q2704" t="s">
        <v>8434</v>
      </c>
    </row>
    <row r="2705" spans="1:17" x14ac:dyDescent="0.25">
      <c r="A2705" t="s">
        <v>5062</v>
      </c>
      <c r="B2705" t="s">
        <v>1090</v>
      </c>
      <c r="C2705">
        <v>2027</v>
      </c>
      <c r="D2705" t="s">
        <v>634</v>
      </c>
      <c r="E2705" t="s">
        <v>838</v>
      </c>
      <c r="F2705" s="32">
        <v>46444</v>
      </c>
      <c r="G2705" t="s">
        <v>514</v>
      </c>
      <c r="H2705">
        <v>47128902</v>
      </c>
      <c r="I2705" t="s">
        <v>1243</v>
      </c>
      <c r="J2705" t="s">
        <v>1242</v>
      </c>
      <c r="K2705" t="s">
        <v>530</v>
      </c>
      <c r="N2705">
        <v>0</v>
      </c>
      <c r="O2705">
        <v>0</v>
      </c>
      <c r="P2705" t="str">
        <f t="shared" si="42"/>
        <v>N</v>
      </c>
      <c r="Q2705" t="s">
        <v>8435</v>
      </c>
    </row>
    <row r="2706" spans="1:17" x14ac:dyDescent="0.25">
      <c r="A2706" t="s">
        <v>5063</v>
      </c>
      <c r="B2706" t="s">
        <v>1090</v>
      </c>
      <c r="C2706">
        <v>2027</v>
      </c>
      <c r="D2706" t="s">
        <v>634</v>
      </c>
      <c r="E2706" t="s">
        <v>838</v>
      </c>
      <c r="F2706" s="32">
        <v>46444</v>
      </c>
      <c r="G2706" t="s">
        <v>514</v>
      </c>
      <c r="H2706">
        <v>47128417</v>
      </c>
      <c r="I2706" t="s">
        <v>1069</v>
      </c>
      <c r="J2706" t="s">
        <v>1068</v>
      </c>
      <c r="K2706" t="s">
        <v>530</v>
      </c>
      <c r="N2706">
        <v>0</v>
      </c>
      <c r="O2706">
        <v>0</v>
      </c>
      <c r="P2706" t="str">
        <f t="shared" si="42"/>
        <v>N</v>
      </c>
      <c r="Q2706" t="s">
        <v>8436</v>
      </c>
    </row>
    <row r="2707" spans="1:17" x14ac:dyDescent="0.25">
      <c r="A2707" t="s">
        <v>5064</v>
      </c>
      <c r="B2707" t="s">
        <v>1090</v>
      </c>
      <c r="C2707">
        <v>2027</v>
      </c>
      <c r="D2707" t="s">
        <v>634</v>
      </c>
      <c r="E2707" t="s">
        <v>838</v>
      </c>
      <c r="F2707" s="32">
        <v>46444</v>
      </c>
      <c r="G2707" t="s">
        <v>514</v>
      </c>
      <c r="H2707">
        <v>47129017</v>
      </c>
      <c r="I2707" t="s">
        <v>1073</v>
      </c>
      <c r="J2707" t="s">
        <v>1072</v>
      </c>
      <c r="K2707" t="s">
        <v>530</v>
      </c>
      <c r="N2707">
        <v>0</v>
      </c>
      <c r="O2707">
        <v>0</v>
      </c>
      <c r="P2707" t="str">
        <f t="shared" si="42"/>
        <v>N</v>
      </c>
      <c r="Q2707" t="s">
        <v>8437</v>
      </c>
    </row>
    <row r="2708" spans="1:17" x14ac:dyDescent="0.25">
      <c r="A2708" t="s">
        <v>5065</v>
      </c>
      <c r="B2708" t="s">
        <v>1090</v>
      </c>
      <c r="C2708">
        <v>2027</v>
      </c>
      <c r="D2708" t="s">
        <v>634</v>
      </c>
      <c r="E2708" t="s">
        <v>838</v>
      </c>
      <c r="F2708" s="32">
        <v>46444</v>
      </c>
      <c r="G2708" t="s">
        <v>514</v>
      </c>
      <c r="H2708">
        <v>47128936</v>
      </c>
      <c r="I2708" t="s">
        <v>1173</v>
      </c>
      <c r="J2708" t="s">
        <v>1172</v>
      </c>
      <c r="K2708" t="s">
        <v>530</v>
      </c>
      <c r="N2708">
        <v>0</v>
      </c>
      <c r="O2708">
        <v>0</v>
      </c>
      <c r="P2708" t="str">
        <f t="shared" si="42"/>
        <v>N</v>
      </c>
      <c r="Q2708" t="s">
        <v>8438</v>
      </c>
    </row>
    <row r="2709" spans="1:17" x14ac:dyDescent="0.25">
      <c r="A2709" t="s">
        <v>5066</v>
      </c>
      <c r="B2709" t="s">
        <v>1090</v>
      </c>
      <c r="C2709">
        <v>2027</v>
      </c>
      <c r="D2709" t="s">
        <v>634</v>
      </c>
      <c r="E2709" t="s">
        <v>838</v>
      </c>
      <c r="F2709" s="32">
        <v>46444</v>
      </c>
      <c r="G2709" t="s">
        <v>514</v>
      </c>
      <c r="H2709">
        <v>47129715</v>
      </c>
      <c r="I2709" t="s">
        <v>1272</v>
      </c>
      <c r="J2709" t="s">
        <v>1271</v>
      </c>
      <c r="K2709" t="s">
        <v>530</v>
      </c>
      <c r="N2709">
        <v>0</v>
      </c>
      <c r="O2709">
        <v>0</v>
      </c>
      <c r="P2709" t="str">
        <f t="shared" si="42"/>
        <v>N</v>
      </c>
      <c r="Q2709" t="s">
        <v>8439</v>
      </c>
    </row>
    <row r="2710" spans="1:17" x14ac:dyDescent="0.25">
      <c r="A2710" t="s">
        <v>5067</v>
      </c>
      <c r="B2710" t="s">
        <v>1090</v>
      </c>
      <c r="C2710">
        <v>2027</v>
      </c>
      <c r="D2710" t="s">
        <v>634</v>
      </c>
      <c r="E2710" t="s">
        <v>838</v>
      </c>
      <c r="F2710" s="32">
        <v>46444</v>
      </c>
      <c r="G2710" t="s">
        <v>514</v>
      </c>
      <c r="H2710">
        <v>47129702</v>
      </c>
      <c r="I2710" t="s">
        <v>1309</v>
      </c>
      <c r="J2710" t="s">
        <v>1308</v>
      </c>
      <c r="K2710" t="s">
        <v>530</v>
      </c>
      <c r="N2710">
        <v>0</v>
      </c>
      <c r="O2710">
        <v>0</v>
      </c>
      <c r="P2710" t="str">
        <f t="shared" si="42"/>
        <v>N</v>
      </c>
      <c r="Q2710" t="s">
        <v>8440</v>
      </c>
    </row>
    <row r="2711" spans="1:17" x14ac:dyDescent="0.25">
      <c r="A2711" t="s">
        <v>5068</v>
      </c>
      <c r="B2711" t="s">
        <v>1090</v>
      </c>
      <c r="C2711">
        <v>2027</v>
      </c>
      <c r="D2711" t="s">
        <v>634</v>
      </c>
      <c r="E2711" t="s">
        <v>838</v>
      </c>
      <c r="F2711" s="32">
        <v>46444</v>
      </c>
      <c r="G2711" t="s">
        <v>514</v>
      </c>
      <c r="H2711">
        <v>47128777</v>
      </c>
      <c r="I2711" t="s">
        <v>1329</v>
      </c>
      <c r="J2711" t="s">
        <v>1328</v>
      </c>
      <c r="K2711" t="s">
        <v>530</v>
      </c>
      <c r="N2711">
        <v>19</v>
      </c>
      <c r="O2711">
        <v>19</v>
      </c>
      <c r="P2711" t="str">
        <f t="shared" si="42"/>
        <v>N</v>
      </c>
      <c r="Q2711" t="s">
        <v>8441</v>
      </c>
    </row>
    <row r="2712" spans="1:17" x14ac:dyDescent="0.25">
      <c r="A2712" t="s">
        <v>5069</v>
      </c>
      <c r="B2712" t="s">
        <v>1090</v>
      </c>
      <c r="C2712">
        <v>2027</v>
      </c>
      <c r="D2712" t="s">
        <v>634</v>
      </c>
      <c r="E2712" t="s">
        <v>838</v>
      </c>
      <c r="F2712" s="32">
        <v>46444</v>
      </c>
      <c r="G2712" t="s">
        <v>514</v>
      </c>
      <c r="H2712">
        <v>47148880</v>
      </c>
      <c r="I2712" t="s">
        <v>1305</v>
      </c>
      <c r="J2712" t="s">
        <v>1304</v>
      </c>
      <c r="K2712" t="s">
        <v>530</v>
      </c>
      <c r="N2712">
        <v>0</v>
      </c>
      <c r="O2712">
        <v>0</v>
      </c>
      <c r="P2712" t="str">
        <f t="shared" si="42"/>
        <v>N</v>
      </c>
      <c r="Q2712" t="s">
        <v>8442</v>
      </c>
    </row>
    <row r="2713" spans="1:17" x14ac:dyDescent="0.25">
      <c r="A2713" t="s">
        <v>5070</v>
      </c>
      <c r="B2713" t="s">
        <v>1090</v>
      </c>
      <c r="C2713">
        <v>2027</v>
      </c>
      <c r="D2713" t="s">
        <v>634</v>
      </c>
      <c r="E2713" t="s">
        <v>838</v>
      </c>
      <c r="F2713" s="32">
        <v>46444</v>
      </c>
      <c r="G2713" t="s">
        <v>514</v>
      </c>
      <c r="H2713">
        <v>47128467</v>
      </c>
      <c r="I2713" t="s">
        <v>1292</v>
      </c>
      <c r="J2713" t="s">
        <v>1291</v>
      </c>
      <c r="K2713" t="s">
        <v>530</v>
      </c>
      <c r="N2713">
        <v>0</v>
      </c>
      <c r="O2713">
        <v>0</v>
      </c>
      <c r="P2713" t="str">
        <f t="shared" si="42"/>
        <v>N</v>
      </c>
      <c r="Q2713" t="s">
        <v>8443</v>
      </c>
    </row>
    <row r="2714" spans="1:17" x14ac:dyDescent="0.25">
      <c r="A2714" t="s">
        <v>5071</v>
      </c>
      <c r="B2714" t="s">
        <v>1090</v>
      </c>
      <c r="C2714">
        <v>2027</v>
      </c>
      <c r="D2714" t="s">
        <v>634</v>
      </c>
      <c r="E2714" t="s">
        <v>838</v>
      </c>
      <c r="F2714" s="32">
        <v>46444</v>
      </c>
      <c r="G2714" t="s">
        <v>514</v>
      </c>
      <c r="H2714">
        <v>47128643</v>
      </c>
      <c r="I2714" t="s">
        <v>1367</v>
      </c>
      <c r="J2714" t="s">
        <v>1366</v>
      </c>
      <c r="K2714" t="s">
        <v>530</v>
      </c>
      <c r="N2714">
        <v>50</v>
      </c>
      <c r="O2714">
        <v>50</v>
      </c>
      <c r="P2714" t="str">
        <f t="shared" si="42"/>
        <v>N</v>
      </c>
      <c r="Q2714" t="s">
        <v>8444</v>
      </c>
    </row>
    <row r="2715" spans="1:17" x14ac:dyDescent="0.25">
      <c r="A2715" t="s">
        <v>5072</v>
      </c>
      <c r="B2715" t="s">
        <v>1090</v>
      </c>
      <c r="C2715">
        <v>2027</v>
      </c>
      <c r="D2715" t="s">
        <v>634</v>
      </c>
      <c r="E2715" t="s">
        <v>838</v>
      </c>
      <c r="F2715" s="32">
        <v>46444</v>
      </c>
      <c r="G2715" t="s">
        <v>514</v>
      </c>
      <c r="H2715">
        <v>47151576</v>
      </c>
      <c r="I2715" t="s">
        <v>1506</v>
      </c>
      <c r="J2715" t="s">
        <v>1505</v>
      </c>
      <c r="K2715" t="s">
        <v>530</v>
      </c>
      <c r="N2715">
        <v>0</v>
      </c>
      <c r="O2715">
        <v>0</v>
      </c>
      <c r="P2715" t="str">
        <f t="shared" si="42"/>
        <v>N</v>
      </c>
      <c r="Q2715" t="s">
        <v>8445</v>
      </c>
    </row>
    <row r="2716" spans="1:17" x14ac:dyDescent="0.25">
      <c r="A2716" t="s">
        <v>5073</v>
      </c>
      <c r="B2716" t="s">
        <v>1090</v>
      </c>
      <c r="C2716">
        <v>2027</v>
      </c>
      <c r="D2716" t="s">
        <v>634</v>
      </c>
      <c r="E2716" t="s">
        <v>838</v>
      </c>
      <c r="F2716" s="32">
        <v>46444</v>
      </c>
      <c r="G2716" t="s">
        <v>514</v>
      </c>
      <c r="H2716">
        <v>47129459</v>
      </c>
      <c r="I2716" t="s">
        <v>1321</v>
      </c>
      <c r="J2716" t="s">
        <v>1320</v>
      </c>
      <c r="K2716" t="s">
        <v>530</v>
      </c>
      <c r="N2716">
        <v>0</v>
      </c>
      <c r="O2716">
        <v>0</v>
      </c>
      <c r="P2716" t="str">
        <f t="shared" si="42"/>
        <v>N</v>
      </c>
      <c r="Q2716" t="s">
        <v>8446</v>
      </c>
    </row>
    <row r="2717" spans="1:17" x14ac:dyDescent="0.25">
      <c r="A2717" t="s">
        <v>5074</v>
      </c>
      <c r="B2717" t="s">
        <v>1090</v>
      </c>
      <c r="C2717">
        <v>2027</v>
      </c>
      <c r="D2717" t="s">
        <v>634</v>
      </c>
      <c r="E2717" t="s">
        <v>838</v>
      </c>
      <c r="F2717" s="32">
        <v>46444</v>
      </c>
      <c r="G2717" t="s">
        <v>514</v>
      </c>
      <c r="H2717">
        <v>47129130</v>
      </c>
      <c r="I2717" t="s">
        <v>1434</v>
      </c>
      <c r="J2717" t="s">
        <v>1433</v>
      </c>
      <c r="K2717" t="s">
        <v>530</v>
      </c>
      <c r="N2717">
        <v>0</v>
      </c>
      <c r="O2717">
        <v>0</v>
      </c>
      <c r="P2717" t="str">
        <f t="shared" si="42"/>
        <v>N</v>
      </c>
      <c r="Q2717" t="s">
        <v>8447</v>
      </c>
    </row>
    <row r="2718" spans="1:17" x14ac:dyDescent="0.25">
      <c r="A2718" t="s">
        <v>5075</v>
      </c>
      <c r="B2718" t="s">
        <v>1090</v>
      </c>
      <c r="C2718">
        <v>2027</v>
      </c>
      <c r="D2718" t="s">
        <v>634</v>
      </c>
      <c r="E2718" t="s">
        <v>838</v>
      </c>
      <c r="F2718" s="32">
        <v>46444</v>
      </c>
      <c r="G2718" t="s">
        <v>514</v>
      </c>
      <c r="H2718">
        <v>47129692</v>
      </c>
      <c r="I2718" t="s">
        <v>1475</v>
      </c>
      <c r="J2718" t="s">
        <v>1474</v>
      </c>
      <c r="K2718" t="s">
        <v>530</v>
      </c>
      <c r="N2718">
        <v>0</v>
      </c>
      <c r="O2718">
        <v>0</v>
      </c>
      <c r="P2718" t="str">
        <f t="shared" si="42"/>
        <v>N</v>
      </c>
      <c r="Q2718" t="s">
        <v>8448</v>
      </c>
    </row>
    <row r="2719" spans="1:17" x14ac:dyDescent="0.25">
      <c r="A2719" t="s">
        <v>5076</v>
      </c>
      <c r="B2719" t="s">
        <v>1090</v>
      </c>
      <c r="C2719">
        <v>2027</v>
      </c>
      <c r="D2719" t="s">
        <v>634</v>
      </c>
      <c r="E2719" t="s">
        <v>838</v>
      </c>
      <c r="F2719" s="32">
        <v>46444</v>
      </c>
      <c r="G2719" t="s">
        <v>514</v>
      </c>
      <c r="H2719">
        <v>47153262</v>
      </c>
      <c r="I2719" t="s">
        <v>1502</v>
      </c>
      <c r="J2719" t="s">
        <v>1501</v>
      </c>
      <c r="K2719" t="s">
        <v>530</v>
      </c>
      <c r="N2719">
        <v>0</v>
      </c>
      <c r="O2719">
        <v>0</v>
      </c>
      <c r="P2719" t="str">
        <f t="shared" si="42"/>
        <v>N</v>
      </c>
      <c r="Q2719" t="s">
        <v>8449</v>
      </c>
    </row>
    <row r="2720" spans="1:17" x14ac:dyDescent="0.25">
      <c r="A2720" t="s">
        <v>5077</v>
      </c>
      <c r="B2720" t="s">
        <v>1090</v>
      </c>
      <c r="C2720">
        <v>2027</v>
      </c>
      <c r="D2720" t="s">
        <v>634</v>
      </c>
      <c r="E2720" t="s">
        <v>838</v>
      </c>
      <c r="F2720" s="32">
        <v>46444</v>
      </c>
      <c r="G2720" t="s">
        <v>514</v>
      </c>
      <c r="H2720">
        <v>47146895</v>
      </c>
      <c r="I2720" t="s">
        <v>1375</v>
      </c>
      <c r="J2720" t="s">
        <v>1374</v>
      </c>
      <c r="K2720" t="s">
        <v>530</v>
      </c>
      <c r="N2720">
        <v>0</v>
      </c>
      <c r="O2720">
        <v>0</v>
      </c>
      <c r="P2720" t="str">
        <f t="shared" si="42"/>
        <v>N</v>
      </c>
      <c r="Q2720" t="s">
        <v>8450</v>
      </c>
    </row>
    <row r="2721" spans="1:17" x14ac:dyDescent="0.25">
      <c r="A2721" t="s">
        <v>5078</v>
      </c>
      <c r="B2721" t="s">
        <v>1090</v>
      </c>
      <c r="C2721">
        <v>2027</v>
      </c>
      <c r="D2721" t="s">
        <v>634</v>
      </c>
      <c r="E2721" t="s">
        <v>838</v>
      </c>
      <c r="F2721" s="32">
        <v>46444</v>
      </c>
      <c r="G2721" t="s">
        <v>514</v>
      </c>
      <c r="H2721">
        <v>47128115</v>
      </c>
      <c r="I2721" t="s">
        <v>1260</v>
      </c>
      <c r="J2721" t="s">
        <v>1499</v>
      </c>
      <c r="K2721" t="s">
        <v>530</v>
      </c>
      <c r="N2721">
        <v>0</v>
      </c>
      <c r="O2721">
        <v>0</v>
      </c>
      <c r="P2721" t="str">
        <f t="shared" si="42"/>
        <v>N</v>
      </c>
      <c r="Q2721" t="s">
        <v>8451</v>
      </c>
    </row>
    <row r="2722" spans="1:17" x14ac:dyDescent="0.25">
      <c r="A2722" t="s">
        <v>5079</v>
      </c>
      <c r="B2722" t="s">
        <v>1090</v>
      </c>
      <c r="C2722">
        <v>2027</v>
      </c>
      <c r="D2722" t="s">
        <v>634</v>
      </c>
      <c r="E2722" t="s">
        <v>838</v>
      </c>
      <c r="F2722" s="32">
        <v>46444</v>
      </c>
      <c r="G2722" t="s">
        <v>514</v>
      </c>
      <c r="H2722">
        <v>47129679</v>
      </c>
      <c r="I2722" t="s">
        <v>1422</v>
      </c>
      <c r="J2722" t="s">
        <v>1421</v>
      </c>
      <c r="K2722" t="s">
        <v>530</v>
      </c>
      <c r="N2722">
        <v>22</v>
      </c>
      <c r="O2722">
        <v>22</v>
      </c>
      <c r="P2722" t="str">
        <f t="shared" si="42"/>
        <v>N</v>
      </c>
      <c r="Q2722" t="s">
        <v>8452</v>
      </c>
    </row>
    <row r="2723" spans="1:17" x14ac:dyDescent="0.25">
      <c r="A2723" t="s">
        <v>5080</v>
      </c>
      <c r="B2723" t="s">
        <v>1090</v>
      </c>
      <c r="C2723">
        <v>2027</v>
      </c>
      <c r="D2723" t="s">
        <v>634</v>
      </c>
      <c r="E2723" t="s">
        <v>838</v>
      </c>
      <c r="F2723" s="32">
        <v>46444</v>
      </c>
      <c r="G2723" t="s">
        <v>514</v>
      </c>
      <c r="H2723">
        <v>47129432</v>
      </c>
      <c r="I2723" t="s">
        <v>1468</v>
      </c>
      <c r="J2723" t="s">
        <v>1467</v>
      </c>
      <c r="K2723" t="s">
        <v>530</v>
      </c>
      <c r="N2723">
        <v>0</v>
      </c>
      <c r="O2723">
        <v>0</v>
      </c>
      <c r="P2723" t="str">
        <f t="shared" si="42"/>
        <v>N</v>
      </c>
      <c r="Q2723" t="s">
        <v>8453</v>
      </c>
    </row>
    <row r="2724" spans="1:17" x14ac:dyDescent="0.25">
      <c r="A2724" t="s">
        <v>5081</v>
      </c>
      <c r="B2724" t="s">
        <v>1090</v>
      </c>
      <c r="C2724">
        <v>2027</v>
      </c>
      <c r="D2724" t="s">
        <v>634</v>
      </c>
      <c r="E2724" t="s">
        <v>838</v>
      </c>
      <c r="F2724" s="32">
        <v>46444</v>
      </c>
      <c r="G2724" t="s">
        <v>514</v>
      </c>
      <c r="H2724">
        <v>47129050</v>
      </c>
      <c r="I2724" t="s">
        <v>1482</v>
      </c>
      <c r="J2724" t="s">
        <v>1481</v>
      </c>
      <c r="K2724" t="s">
        <v>530</v>
      </c>
      <c r="N2724">
        <v>0</v>
      </c>
      <c r="O2724">
        <v>0</v>
      </c>
      <c r="P2724" t="str">
        <f t="shared" si="42"/>
        <v>N</v>
      </c>
      <c r="Q2724" t="s">
        <v>8454</v>
      </c>
    </row>
    <row r="2725" spans="1:17" x14ac:dyDescent="0.25">
      <c r="A2725" t="s">
        <v>5082</v>
      </c>
      <c r="B2725" t="s">
        <v>1090</v>
      </c>
      <c r="C2725">
        <v>2027</v>
      </c>
      <c r="D2725" t="s">
        <v>634</v>
      </c>
      <c r="E2725" t="s">
        <v>838</v>
      </c>
      <c r="F2725" s="32">
        <v>46444</v>
      </c>
      <c r="G2725" t="s">
        <v>514</v>
      </c>
      <c r="H2725">
        <v>47148279</v>
      </c>
      <c r="I2725" t="s">
        <v>1236</v>
      </c>
      <c r="J2725" t="s">
        <v>1235</v>
      </c>
      <c r="K2725" t="s">
        <v>530</v>
      </c>
      <c r="N2725">
        <v>0</v>
      </c>
      <c r="O2725">
        <v>0</v>
      </c>
      <c r="P2725" t="str">
        <f t="shared" si="42"/>
        <v>N</v>
      </c>
      <c r="Q2725" t="s">
        <v>8455</v>
      </c>
    </row>
    <row r="2726" spans="1:17" x14ac:dyDescent="0.25">
      <c r="A2726" t="s">
        <v>5341</v>
      </c>
      <c r="B2726" t="s">
        <v>1089</v>
      </c>
      <c r="C2726">
        <v>2027</v>
      </c>
      <c r="D2726" t="s">
        <v>634</v>
      </c>
      <c r="E2726" t="s">
        <v>838</v>
      </c>
      <c r="F2726" s="32">
        <v>46444</v>
      </c>
      <c r="G2726" t="s">
        <v>514</v>
      </c>
      <c r="H2726">
        <v>47128421</v>
      </c>
      <c r="I2726" t="s">
        <v>1086</v>
      </c>
      <c r="J2726" t="s">
        <v>1085</v>
      </c>
      <c r="K2726" t="s">
        <v>530</v>
      </c>
      <c r="N2726">
        <v>0</v>
      </c>
      <c r="O2726">
        <v>0</v>
      </c>
      <c r="P2726" t="str">
        <f t="shared" si="42"/>
        <v>N</v>
      </c>
      <c r="Q2726" t="s">
        <v>8456</v>
      </c>
    </row>
    <row r="2727" spans="1:17" x14ac:dyDescent="0.25">
      <c r="A2727" t="s">
        <v>5342</v>
      </c>
      <c r="B2727" t="s">
        <v>1089</v>
      </c>
      <c r="C2727">
        <v>2027</v>
      </c>
      <c r="D2727" t="s">
        <v>634</v>
      </c>
      <c r="E2727" t="s">
        <v>838</v>
      </c>
      <c r="F2727" s="32">
        <v>46444</v>
      </c>
      <c r="G2727" t="s">
        <v>514</v>
      </c>
      <c r="H2727">
        <v>47128706</v>
      </c>
      <c r="I2727" t="s">
        <v>1201</v>
      </c>
      <c r="J2727" t="s">
        <v>1200</v>
      </c>
      <c r="K2727" t="s">
        <v>530</v>
      </c>
      <c r="N2727">
        <v>0</v>
      </c>
      <c r="O2727">
        <v>0</v>
      </c>
      <c r="P2727" t="str">
        <f t="shared" si="42"/>
        <v>N</v>
      </c>
      <c r="Q2727" t="s">
        <v>8457</v>
      </c>
    </row>
    <row r="2728" spans="1:17" x14ac:dyDescent="0.25">
      <c r="A2728" t="s">
        <v>5343</v>
      </c>
      <c r="B2728" t="s">
        <v>1089</v>
      </c>
      <c r="C2728">
        <v>2027</v>
      </c>
      <c r="D2728" t="s">
        <v>634</v>
      </c>
      <c r="E2728" t="s">
        <v>838</v>
      </c>
      <c r="F2728" s="32">
        <v>46444</v>
      </c>
      <c r="G2728" t="s">
        <v>514</v>
      </c>
      <c r="H2728">
        <v>47128364</v>
      </c>
      <c r="I2728" t="s">
        <v>1264</v>
      </c>
      <c r="J2728" t="s">
        <v>1263</v>
      </c>
      <c r="K2728" t="s">
        <v>530</v>
      </c>
      <c r="N2728">
        <v>70</v>
      </c>
      <c r="O2728">
        <v>70</v>
      </c>
      <c r="P2728" t="str">
        <f t="shared" si="42"/>
        <v>N</v>
      </c>
      <c r="Q2728" t="s">
        <v>8458</v>
      </c>
    </row>
    <row r="2729" spans="1:17" x14ac:dyDescent="0.25">
      <c r="A2729" t="s">
        <v>5344</v>
      </c>
      <c r="B2729" t="s">
        <v>1089</v>
      </c>
      <c r="C2729">
        <v>2027</v>
      </c>
      <c r="D2729" t="s">
        <v>634</v>
      </c>
      <c r="E2729" t="s">
        <v>838</v>
      </c>
      <c r="F2729" s="32">
        <v>46444</v>
      </c>
      <c r="G2729" t="s">
        <v>514</v>
      </c>
      <c r="H2729">
        <v>47128633</v>
      </c>
      <c r="I2729" t="s">
        <v>1164</v>
      </c>
      <c r="J2729" t="s">
        <v>1163</v>
      </c>
      <c r="K2729" t="s">
        <v>530</v>
      </c>
      <c r="N2729">
        <v>0</v>
      </c>
      <c r="O2729">
        <v>0</v>
      </c>
      <c r="P2729" t="str">
        <f t="shared" si="42"/>
        <v>N</v>
      </c>
      <c r="Q2729" t="s">
        <v>8459</v>
      </c>
    </row>
    <row r="2730" spans="1:17" x14ac:dyDescent="0.25">
      <c r="A2730" t="s">
        <v>5345</v>
      </c>
      <c r="B2730" t="s">
        <v>1089</v>
      </c>
      <c r="C2730">
        <v>2027</v>
      </c>
      <c r="D2730" t="s">
        <v>634</v>
      </c>
      <c r="E2730" t="s">
        <v>838</v>
      </c>
      <c r="F2730" s="32">
        <v>46444</v>
      </c>
      <c r="G2730" t="s">
        <v>514</v>
      </c>
      <c r="H2730">
        <v>47128046</v>
      </c>
      <c r="I2730" t="s">
        <v>1389</v>
      </c>
      <c r="J2730" t="s">
        <v>1388</v>
      </c>
      <c r="K2730" t="s">
        <v>530</v>
      </c>
      <c r="N2730">
        <v>0</v>
      </c>
      <c r="O2730">
        <v>0</v>
      </c>
      <c r="P2730" t="str">
        <f t="shared" si="42"/>
        <v>N</v>
      </c>
      <c r="Q2730" t="s">
        <v>8460</v>
      </c>
    </row>
    <row r="2731" spans="1:17" x14ac:dyDescent="0.25">
      <c r="A2731" t="s">
        <v>5346</v>
      </c>
      <c r="B2731" t="s">
        <v>1089</v>
      </c>
      <c r="C2731">
        <v>2027</v>
      </c>
      <c r="D2731" t="s">
        <v>634</v>
      </c>
      <c r="E2731" t="s">
        <v>838</v>
      </c>
      <c r="F2731" s="32">
        <v>46444</v>
      </c>
      <c r="G2731" t="s">
        <v>514</v>
      </c>
      <c r="H2731">
        <v>47129548</v>
      </c>
      <c r="I2731" t="s">
        <v>1340</v>
      </c>
      <c r="J2731" t="s">
        <v>1339</v>
      </c>
      <c r="K2731" t="s">
        <v>530</v>
      </c>
      <c r="N2731">
        <v>0</v>
      </c>
      <c r="O2731">
        <v>0</v>
      </c>
      <c r="P2731" t="str">
        <f t="shared" si="42"/>
        <v>N</v>
      </c>
      <c r="Q2731" t="s">
        <v>8461</v>
      </c>
    </row>
    <row r="2732" spans="1:17" x14ac:dyDescent="0.25">
      <c r="A2732" t="s">
        <v>5347</v>
      </c>
      <c r="B2732" t="s">
        <v>1089</v>
      </c>
      <c r="C2732">
        <v>2027</v>
      </c>
      <c r="D2732" t="s">
        <v>634</v>
      </c>
      <c r="E2732" t="s">
        <v>838</v>
      </c>
      <c r="F2732" s="32">
        <v>46444</v>
      </c>
      <c r="G2732" t="s">
        <v>514</v>
      </c>
      <c r="H2732">
        <v>47128835</v>
      </c>
      <c r="I2732" t="s">
        <v>998</v>
      </c>
      <c r="J2732" t="s">
        <v>997</v>
      </c>
      <c r="K2732" t="s">
        <v>530</v>
      </c>
      <c r="N2732">
        <v>0</v>
      </c>
      <c r="O2732">
        <v>0</v>
      </c>
      <c r="P2732" t="str">
        <f t="shared" si="42"/>
        <v>N</v>
      </c>
      <c r="Q2732" t="s">
        <v>8462</v>
      </c>
    </row>
    <row r="2733" spans="1:17" x14ac:dyDescent="0.25">
      <c r="A2733" t="s">
        <v>5348</v>
      </c>
      <c r="B2733" t="s">
        <v>1089</v>
      </c>
      <c r="C2733">
        <v>2027</v>
      </c>
      <c r="D2733" t="s">
        <v>634</v>
      </c>
      <c r="E2733" t="s">
        <v>838</v>
      </c>
      <c r="F2733" s="32">
        <v>46444</v>
      </c>
      <c r="G2733" t="s">
        <v>514</v>
      </c>
      <c r="H2733">
        <v>47128788</v>
      </c>
      <c r="I2733" t="s">
        <v>4188</v>
      </c>
      <c r="J2733" t="s">
        <v>4189</v>
      </c>
      <c r="K2733" t="s">
        <v>530</v>
      </c>
      <c r="N2733">
        <v>40</v>
      </c>
      <c r="O2733">
        <v>40</v>
      </c>
      <c r="P2733" t="str">
        <f t="shared" si="42"/>
        <v>N</v>
      </c>
      <c r="Q2733" t="s">
        <v>8463</v>
      </c>
    </row>
    <row r="2734" spans="1:17" x14ac:dyDescent="0.25">
      <c r="A2734" t="s">
        <v>5349</v>
      </c>
      <c r="B2734" t="s">
        <v>1089</v>
      </c>
      <c r="C2734">
        <v>2027</v>
      </c>
      <c r="D2734" t="s">
        <v>634</v>
      </c>
      <c r="E2734" t="s">
        <v>838</v>
      </c>
      <c r="F2734" s="32">
        <v>46444</v>
      </c>
      <c r="G2734" t="s">
        <v>514</v>
      </c>
      <c r="H2734">
        <v>47136348</v>
      </c>
      <c r="I2734" t="s">
        <v>1025</v>
      </c>
      <c r="J2734" t="s">
        <v>1024</v>
      </c>
      <c r="K2734" t="s">
        <v>530</v>
      </c>
      <c r="N2734">
        <v>40</v>
      </c>
      <c r="O2734">
        <v>40</v>
      </c>
      <c r="P2734" t="str">
        <f t="shared" si="42"/>
        <v>N</v>
      </c>
      <c r="Q2734" t="s">
        <v>8464</v>
      </c>
    </row>
    <row r="2735" spans="1:17" x14ac:dyDescent="0.25">
      <c r="A2735" t="s">
        <v>5350</v>
      </c>
      <c r="B2735" t="s">
        <v>1089</v>
      </c>
      <c r="C2735">
        <v>2027</v>
      </c>
      <c r="D2735" t="s">
        <v>634</v>
      </c>
      <c r="E2735" t="s">
        <v>838</v>
      </c>
      <c r="F2735" s="32">
        <v>46444</v>
      </c>
      <c r="G2735" t="s">
        <v>514</v>
      </c>
      <c r="H2735">
        <v>47135083</v>
      </c>
      <c r="I2735" t="s">
        <v>4192</v>
      </c>
      <c r="J2735" t="s">
        <v>4193</v>
      </c>
      <c r="K2735" t="s">
        <v>530</v>
      </c>
      <c r="N2735">
        <v>0</v>
      </c>
      <c r="O2735">
        <v>0</v>
      </c>
      <c r="P2735" t="str">
        <f t="shared" si="42"/>
        <v>N</v>
      </c>
      <c r="Q2735" t="s">
        <v>8465</v>
      </c>
    </row>
    <row r="2736" spans="1:17" x14ac:dyDescent="0.25">
      <c r="A2736" t="s">
        <v>5351</v>
      </c>
      <c r="B2736" t="s">
        <v>1089</v>
      </c>
      <c r="C2736">
        <v>2027</v>
      </c>
      <c r="D2736" t="s">
        <v>634</v>
      </c>
      <c r="E2736" t="s">
        <v>838</v>
      </c>
      <c r="F2736" s="32">
        <v>46444</v>
      </c>
      <c r="G2736" t="s">
        <v>514</v>
      </c>
      <c r="H2736">
        <v>47128515</v>
      </c>
      <c r="I2736" t="s">
        <v>1185</v>
      </c>
      <c r="J2736" t="s">
        <v>1184</v>
      </c>
      <c r="K2736" t="s">
        <v>530</v>
      </c>
      <c r="N2736">
        <v>0</v>
      </c>
      <c r="O2736">
        <v>0</v>
      </c>
      <c r="P2736" t="str">
        <f t="shared" si="42"/>
        <v>N</v>
      </c>
      <c r="Q2736" t="s">
        <v>8466</v>
      </c>
    </row>
    <row r="2737" spans="1:17" x14ac:dyDescent="0.25">
      <c r="A2737" t="s">
        <v>5352</v>
      </c>
      <c r="B2737" t="s">
        <v>1089</v>
      </c>
      <c r="C2737">
        <v>2027</v>
      </c>
      <c r="D2737" t="s">
        <v>634</v>
      </c>
      <c r="E2737" t="s">
        <v>838</v>
      </c>
      <c r="F2737" s="32">
        <v>46444</v>
      </c>
      <c r="G2737" t="s">
        <v>514</v>
      </c>
      <c r="H2737">
        <v>47128472</v>
      </c>
      <c r="I2737" t="s">
        <v>995</v>
      </c>
      <c r="J2737" t="s">
        <v>994</v>
      </c>
      <c r="K2737" t="s">
        <v>530</v>
      </c>
      <c r="N2737">
        <v>0</v>
      </c>
      <c r="O2737">
        <v>0</v>
      </c>
      <c r="P2737" t="str">
        <f t="shared" si="42"/>
        <v>N</v>
      </c>
      <c r="Q2737" t="s">
        <v>8467</v>
      </c>
    </row>
    <row r="2738" spans="1:17" x14ac:dyDescent="0.25">
      <c r="A2738" t="s">
        <v>5353</v>
      </c>
      <c r="B2738" t="s">
        <v>1089</v>
      </c>
      <c r="C2738">
        <v>2027</v>
      </c>
      <c r="D2738" t="s">
        <v>634</v>
      </c>
      <c r="E2738" t="s">
        <v>838</v>
      </c>
      <c r="F2738" s="32">
        <v>46444</v>
      </c>
      <c r="G2738" t="s">
        <v>514</v>
      </c>
      <c r="H2738">
        <v>47128202</v>
      </c>
      <c r="I2738" t="s">
        <v>967</v>
      </c>
      <c r="J2738" t="s">
        <v>966</v>
      </c>
      <c r="K2738" t="s">
        <v>530</v>
      </c>
      <c r="N2738">
        <v>40</v>
      </c>
      <c r="O2738">
        <v>40</v>
      </c>
      <c r="P2738" t="str">
        <f t="shared" si="42"/>
        <v>N</v>
      </c>
      <c r="Q2738" t="s">
        <v>8468</v>
      </c>
    </row>
    <row r="2739" spans="1:17" x14ac:dyDescent="0.25">
      <c r="A2739" t="s">
        <v>5354</v>
      </c>
      <c r="B2739" t="s">
        <v>1089</v>
      </c>
      <c r="C2739">
        <v>2027</v>
      </c>
      <c r="D2739" t="s">
        <v>634</v>
      </c>
      <c r="E2739" t="s">
        <v>838</v>
      </c>
      <c r="F2739" s="32">
        <v>46444</v>
      </c>
      <c r="G2739" t="s">
        <v>514</v>
      </c>
      <c r="H2739">
        <v>47128132</v>
      </c>
      <c r="I2739" t="s">
        <v>4429</v>
      </c>
      <c r="J2739" t="s">
        <v>4430</v>
      </c>
      <c r="K2739" t="s">
        <v>530</v>
      </c>
      <c r="N2739">
        <v>0</v>
      </c>
      <c r="O2739">
        <v>0</v>
      </c>
      <c r="P2739" t="str">
        <f t="shared" si="42"/>
        <v>N</v>
      </c>
      <c r="Q2739" t="s">
        <v>8469</v>
      </c>
    </row>
    <row r="2740" spans="1:17" x14ac:dyDescent="0.25">
      <c r="A2740" t="s">
        <v>5355</v>
      </c>
      <c r="B2740" t="s">
        <v>1089</v>
      </c>
      <c r="C2740">
        <v>2027</v>
      </c>
      <c r="D2740" t="s">
        <v>634</v>
      </c>
      <c r="E2740" t="s">
        <v>838</v>
      </c>
      <c r="F2740" s="32">
        <v>46444</v>
      </c>
      <c r="G2740" t="s">
        <v>514</v>
      </c>
      <c r="H2740">
        <v>47127971</v>
      </c>
      <c r="I2740" t="s">
        <v>991</v>
      </c>
      <c r="J2740" t="s">
        <v>990</v>
      </c>
      <c r="K2740" t="s">
        <v>530</v>
      </c>
      <c r="N2740">
        <v>40</v>
      </c>
      <c r="O2740">
        <v>40</v>
      </c>
      <c r="P2740" t="str">
        <f t="shared" si="42"/>
        <v>N</v>
      </c>
      <c r="Q2740" t="s">
        <v>8470</v>
      </c>
    </row>
    <row r="2741" spans="1:17" x14ac:dyDescent="0.25">
      <c r="A2741" t="s">
        <v>5595</v>
      </c>
      <c r="B2741" t="s">
        <v>5437</v>
      </c>
      <c r="C2741">
        <v>2027</v>
      </c>
      <c r="D2741" t="s">
        <v>634</v>
      </c>
      <c r="E2741" t="s">
        <v>838</v>
      </c>
      <c r="F2741" s="32">
        <v>46444</v>
      </c>
      <c r="G2741" t="s">
        <v>514</v>
      </c>
      <c r="H2741">
        <v>47127948</v>
      </c>
      <c r="I2741" t="s">
        <v>1247</v>
      </c>
      <c r="J2741" t="s">
        <v>1246</v>
      </c>
      <c r="K2741" t="s">
        <v>530</v>
      </c>
      <c r="N2741">
        <v>40</v>
      </c>
      <c r="O2741">
        <v>40</v>
      </c>
      <c r="P2741" t="str">
        <f t="shared" si="42"/>
        <v>N</v>
      </c>
      <c r="Q2741" t="s">
        <v>8471</v>
      </c>
    </row>
    <row r="2742" spans="1:17" x14ac:dyDescent="0.25">
      <c r="A2742" t="s">
        <v>5596</v>
      </c>
      <c r="B2742" t="s">
        <v>5437</v>
      </c>
      <c r="C2742">
        <v>2027</v>
      </c>
      <c r="D2742" t="s">
        <v>634</v>
      </c>
      <c r="E2742" t="s">
        <v>838</v>
      </c>
      <c r="F2742" s="32">
        <v>46444</v>
      </c>
      <c r="G2742" t="s">
        <v>514</v>
      </c>
      <c r="H2742">
        <v>47128710</v>
      </c>
      <c r="I2742" t="s">
        <v>1189</v>
      </c>
      <c r="J2742" t="s">
        <v>1188</v>
      </c>
      <c r="K2742" t="s">
        <v>530</v>
      </c>
      <c r="N2742">
        <v>0</v>
      </c>
      <c r="O2742">
        <v>0</v>
      </c>
      <c r="P2742" t="str">
        <f t="shared" si="42"/>
        <v>N</v>
      </c>
      <c r="Q2742" t="s">
        <v>8472</v>
      </c>
    </row>
    <row r="2743" spans="1:17" x14ac:dyDescent="0.25">
      <c r="A2743" t="s">
        <v>5597</v>
      </c>
      <c r="B2743" t="s">
        <v>5437</v>
      </c>
      <c r="C2743">
        <v>2027</v>
      </c>
      <c r="D2743" t="s">
        <v>634</v>
      </c>
      <c r="E2743" t="s">
        <v>838</v>
      </c>
      <c r="F2743" s="32">
        <v>46444</v>
      </c>
      <c r="G2743" t="s">
        <v>514</v>
      </c>
      <c r="H2743">
        <v>47128572</v>
      </c>
      <c r="I2743" t="s">
        <v>1197</v>
      </c>
      <c r="J2743" t="s">
        <v>1196</v>
      </c>
      <c r="K2743" t="s">
        <v>530</v>
      </c>
      <c r="N2743">
        <v>0</v>
      </c>
      <c r="O2743">
        <v>0</v>
      </c>
      <c r="P2743" t="str">
        <f t="shared" si="42"/>
        <v>N</v>
      </c>
      <c r="Q2743" t="s">
        <v>8473</v>
      </c>
    </row>
    <row r="2744" spans="1:17" x14ac:dyDescent="0.25">
      <c r="A2744" t="s">
        <v>5598</v>
      </c>
      <c r="B2744" t="s">
        <v>5437</v>
      </c>
      <c r="C2744">
        <v>2027</v>
      </c>
      <c r="D2744" t="s">
        <v>634</v>
      </c>
      <c r="E2744" t="s">
        <v>838</v>
      </c>
      <c r="F2744" s="32">
        <v>46444</v>
      </c>
      <c r="G2744" t="s">
        <v>514</v>
      </c>
      <c r="H2744">
        <v>47128482</v>
      </c>
      <c r="I2744" t="s">
        <v>1393</v>
      </c>
      <c r="J2744" t="s">
        <v>1392</v>
      </c>
      <c r="K2744" t="s">
        <v>530</v>
      </c>
      <c r="N2744">
        <v>0</v>
      </c>
      <c r="O2744">
        <v>0</v>
      </c>
      <c r="P2744" t="str">
        <f t="shared" si="42"/>
        <v>N</v>
      </c>
      <c r="Q2744" t="s">
        <v>8474</v>
      </c>
    </row>
    <row r="2745" spans="1:17" x14ac:dyDescent="0.25">
      <c r="A2745" t="s">
        <v>5599</v>
      </c>
      <c r="B2745" t="s">
        <v>5437</v>
      </c>
      <c r="C2745">
        <v>2027</v>
      </c>
      <c r="D2745" t="s">
        <v>634</v>
      </c>
      <c r="E2745" t="s">
        <v>838</v>
      </c>
      <c r="F2745" s="32">
        <v>46444</v>
      </c>
      <c r="G2745" t="s">
        <v>514</v>
      </c>
      <c r="H2745">
        <v>47128337</v>
      </c>
      <c r="I2745" t="s">
        <v>1120</v>
      </c>
      <c r="J2745" t="s">
        <v>1119</v>
      </c>
      <c r="K2745" t="s">
        <v>530</v>
      </c>
      <c r="N2745">
        <v>0</v>
      </c>
      <c r="O2745">
        <v>0</v>
      </c>
      <c r="P2745" t="str">
        <f t="shared" si="42"/>
        <v>N</v>
      </c>
      <c r="Q2745" t="s">
        <v>8475</v>
      </c>
    </row>
    <row r="2746" spans="1:17" x14ac:dyDescent="0.25">
      <c r="A2746" t="s">
        <v>5600</v>
      </c>
      <c r="B2746" t="s">
        <v>5437</v>
      </c>
      <c r="C2746">
        <v>2027</v>
      </c>
      <c r="D2746" t="s">
        <v>634</v>
      </c>
      <c r="E2746" t="s">
        <v>838</v>
      </c>
      <c r="F2746" s="32">
        <v>46444</v>
      </c>
      <c r="G2746" t="s">
        <v>514</v>
      </c>
      <c r="H2746">
        <v>47128833</v>
      </c>
      <c r="I2746" t="s">
        <v>1193</v>
      </c>
      <c r="J2746" t="s">
        <v>1192</v>
      </c>
      <c r="K2746" t="s">
        <v>530</v>
      </c>
      <c r="N2746">
        <v>0</v>
      </c>
      <c r="O2746">
        <v>0</v>
      </c>
      <c r="P2746" t="str">
        <f t="shared" si="42"/>
        <v>N</v>
      </c>
      <c r="Q2746" t="s">
        <v>8476</v>
      </c>
    </row>
    <row r="2747" spans="1:17" x14ac:dyDescent="0.25">
      <c r="A2747" t="s">
        <v>5601</v>
      </c>
      <c r="B2747" t="s">
        <v>5437</v>
      </c>
      <c r="C2747">
        <v>2027</v>
      </c>
      <c r="D2747" t="s">
        <v>634</v>
      </c>
      <c r="E2747" t="s">
        <v>838</v>
      </c>
      <c r="F2747" s="32">
        <v>46444</v>
      </c>
      <c r="G2747" t="s">
        <v>514</v>
      </c>
      <c r="H2747">
        <v>47128784</v>
      </c>
      <c r="I2747" t="s">
        <v>1426</v>
      </c>
      <c r="J2747" t="s">
        <v>1425</v>
      </c>
      <c r="K2747" t="s">
        <v>530</v>
      </c>
      <c r="N2747">
        <v>0</v>
      </c>
      <c r="O2747">
        <v>0</v>
      </c>
      <c r="P2747" t="str">
        <f t="shared" si="42"/>
        <v>N</v>
      </c>
      <c r="Q2747" t="s">
        <v>8477</v>
      </c>
    </row>
    <row r="2748" spans="1:17" x14ac:dyDescent="0.25">
      <c r="A2748" t="s">
        <v>5602</v>
      </c>
      <c r="B2748" t="s">
        <v>5437</v>
      </c>
      <c r="C2748">
        <v>2027</v>
      </c>
      <c r="D2748" t="s">
        <v>634</v>
      </c>
      <c r="E2748" t="s">
        <v>838</v>
      </c>
      <c r="F2748" s="32">
        <v>46444</v>
      </c>
      <c r="G2748" t="s">
        <v>514</v>
      </c>
      <c r="H2748">
        <v>47129473</v>
      </c>
      <c r="I2748" t="s">
        <v>1430</v>
      </c>
      <c r="J2748" t="s">
        <v>1429</v>
      </c>
      <c r="K2748" t="s">
        <v>530</v>
      </c>
      <c r="N2748">
        <v>40</v>
      </c>
      <c r="O2748">
        <v>40</v>
      </c>
      <c r="P2748" t="str">
        <f t="shared" si="42"/>
        <v>N</v>
      </c>
      <c r="Q2748" t="s">
        <v>8478</v>
      </c>
    </row>
    <row r="2749" spans="1:17" x14ac:dyDescent="0.25">
      <c r="A2749" t="s">
        <v>5603</v>
      </c>
      <c r="B2749" t="s">
        <v>5437</v>
      </c>
      <c r="C2749">
        <v>2027</v>
      </c>
      <c r="D2749" t="s">
        <v>634</v>
      </c>
      <c r="E2749" t="s">
        <v>838</v>
      </c>
      <c r="F2749" s="32">
        <v>46444</v>
      </c>
      <c r="G2749" t="s">
        <v>514</v>
      </c>
      <c r="H2749">
        <v>47128429</v>
      </c>
      <c r="I2749" t="s">
        <v>1371</v>
      </c>
      <c r="J2749" t="s">
        <v>1370</v>
      </c>
      <c r="K2749" t="s">
        <v>530</v>
      </c>
      <c r="N2749">
        <v>0</v>
      </c>
      <c r="O2749">
        <v>0</v>
      </c>
      <c r="P2749" t="str">
        <f t="shared" si="42"/>
        <v>N</v>
      </c>
      <c r="Q2749" t="s">
        <v>8479</v>
      </c>
    </row>
    <row r="2750" spans="1:17" x14ac:dyDescent="0.25">
      <c r="A2750" t="s">
        <v>5604</v>
      </c>
      <c r="B2750" t="s">
        <v>5437</v>
      </c>
      <c r="C2750">
        <v>2027</v>
      </c>
      <c r="D2750" t="s">
        <v>634</v>
      </c>
      <c r="E2750" t="s">
        <v>838</v>
      </c>
      <c r="F2750" s="32">
        <v>46444</v>
      </c>
      <c r="G2750" t="s">
        <v>514</v>
      </c>
      <c r="H2750">
        <v>47128181</v>
      </c>
      <c r="I2750" t="s">
        <v>1301</v>
      </c>
      <c r="J2750" t="s">
        <v>1300</v>
      </c>
      <c r="K2750" t="s">
        <v>530</v>
      </c>
      <c r="N2750">
        <v>0</v>
      </c>
      <c r="O2750">
        <v>0</v>
      </c>
      <c r="P2750" t="str">
        <f t="shared" si="42"/>
        <v>N</v>
      </c>
      <c r="Q2750" t="s">
        <v>8480</v>
      </c>
    </row>
    <row r="2751" spans="1:17" x14ac:dyDescent="0.25">
      <c r="A2751" t="s">
        <v>1636</v>
      </c>
      <c r="B2751" t="s">
        <v>1520</v>
      </c>
      <c r="C2751">
        <v>2027</v>
      </c>
      <c r="D2751" t="s">
        <v>636</v>
      </c>
      <c r="E2751" t="s">
        <v>839</v>
      </c>
      <c r="F2751" s="32">
        <v>46451</v>
      </c>
      <c r="G2751" t="s">
        <v>514</v>
      </c>
      <c r="H2751">
        <v>47128207</v>
      </c>
      <c r="I2751" t="s">
        <v>1522</v>
      </c>
      <c r="J2751" t="s">
        <v>1523</v>
      </c>
      <c r="K2751" t="s">
        <v>530</v>
      </c>
      <c r="N2751">
        <v>0</v>
      </c>
      <c r="O2751">
        <v>0</v>
      </c>
      <c r="P2751" t="str">
        <f t="shared" si="42"/>
        <v>N</v>
      </c>
      <c r="Q2751" t="s">
        <v>8481</v>
      </c>
    </row>
    <row r="2752" spans="1:17" x14ac:dyDescent="0.25">
      <c r="A2752" t="s">
        <v>1637</v>
      </c>
      <c r="B2752" t="s">
        <v>1520</v>
      </c>
      <c r="C2752">
        <v>2027</v>
      </c>
      <c r="D2752" t="s">
        <v>636</v>
      </c>
      <c r="E2752" t="s">
        <v>839</v>
      </c>
      <c r="F2752" s="32">
        <v>46451</v>
      </c>
      <c r="G2752" t="s">
        <v>514</v>
      </c>
      <c r="H2752">
        <v>47128581</v>
      </c>
      <c r="I2752" t="s">
        <v>1525</v>
      </c>
      <c r="J2752" t="s">
        <v>1526</v>
      </c>
      <c r="K2752" t="s">
        <v>530</v>
      </c>
      <c r="N2752">
        <v>60</v>
      </c>
      <c r="O2752">
        <v>60</v>
      </c>
      <c r="P2752" t="str">
        <f t="shared" si="42"/>
        <v>N</v>
      </c>
      <c r="Q2752" t="s">
        <v>8482</v>
      </c>
    </row>
    <row r="2753" spans="1:17" x14ac:dyDescent="0.25">
      <c r="A2753" t="s">
        <v>1638</v>
      </c>
      <c r="B2753" t="s">
        <v>1520</v>
      </c>
      <c r="C2753">
        <v>2027</v>
      </c>
      <c r="D2753" t="s">
        <v>636</v>
      </c>
      <c r="E2753" t="s">
        <v>839</v>
      </c>
      <c r="F2753" s="32">
        <v>46451</v>
      </c>
      <c r="G2753" t="s">
        <v>514</v>
      </c>
      <c r="H2753">
        <v>47127959</v>
      </c>
      <c r="I2753" t="s">
        <v>1528</v>
      </c>
      <c r="J2753" t="s">
        <v>1529</v>
      </c>
      <c r="K2753" t="s">
        <v>530</v>
      </c>
      <c r="N2753">
        <v>0</v>
      </c>
      <c r="O2753">
        <v>0</v>
      </c>
      <c r="P2753" t="str">
        <f t="shared" si="42"/>
        <v>N</v>
      </c>
      <c r="Q2753" t="s">
        <v>8483</v>
      </c>
    </row>
    <row r="2754" spans="1:17" x14ac:dyDescent="0.25">
      <c r="A2754" t="s">
        <v>1639</v>
      </c>
      <c r="B2754" t="s">
        <v>1520</v>
      </c>
      <c r="C2754">
        <v>2027</v>
      </c>
      <c r="D2754" t="s">
        <v>636</v>
      </c>
      <c r="E2754" t="s">
        <v>839</v>
      </c>
      <c r="F2754" s="32">
        <v>46451</v>
      </c>
      <c r="G2754" t="s">
        <v>514</v>
      </c>
      <c r="H2754">
        <v>47128204</v>
      </c>
      <c r="I2754" t="s">
        <v>1531</v>
      </c>
      <c r="J2754" t="s">
        <v>1532</v>
      </c>
      <c r="K2754" t="s">
        <v>530</v>
      </c>
      <c r="N2754">
        <v>0</v>
      </c>
      <c r="O2754">
        <v>0</v>
      </c>
      <c r="P2754" t="str">
        <f t="shared" si="42"/>
        <v>N</v>
      </c>
      <c r="Q2754" t="s">
        <v>8484</v>
      </c>
    </row>
    <row r="2755" spans="1:17" x14ac:dyDescent="0.25">
      <c r="A2755" t="s">
        <v>1640</v>
      </c>
      <c r="B2755" t="s">
        <v>1520</v>
      </c>
      <c r="C2755">
        <v>2027</v>
      </c>
      <c r="D2755" t="s">
        <v>636</v>
      </c>
      <c r="E2755" t="s">
        <v>839</v>
      </c>
      <c r="F2755" s="32">
        <v>46451</v>
      </c>
      <c r="G2755" t="s">
        <v>514</v>
      </c>
      <c r="H2755">
        <v>47128207</v>
      </c>
      <c r="I2755" t="s">
        <v>1522</v>
      </c>
      <c r="J2755" t="s">
        <v>1534</v>
      </c>
      <c r="K2755" t="s">
        <v>530</v>
      </c>
      <c r="N2755">
        <v>0</v>
      </c>
      <c r="O2755">
        <v>0</v>
      </c>
      <c r="P2755" t="str">
        <f t="shared" ref="P2755:P2818" si="43">IF(N2755=O2755,"N","Y")</f>
        <v>N</v>
      </c>
      <c r="Q2755" t="s">
        <v>8485</v>
      </c>
    </row>
    <row r="2756" spans="1:17" x14ac:dyDescent="0.25">
      <c r="A2756" t="s">
        <v>1641</v>
      </c>
      <c r="B2756" t="s">
        <v>1520</v>
      </c>
      <c r="C2756">
        <v>2027</v>
      </c>
      <c r="D2756" t="s">
        <v>636</v>
      </c>
      <c r="E2756" t="s">
        <v>839</v>
      </c>
      <c r="F2756" s="32">
        <v>46451</v>
      </c>
      <c r="G2756" t="s">
        <v>563</v>
      </c>
      <c r="H2756">
        <v>10000015</v>
      </c>
      <c r="I2756" t="s">
        <v>562</v>
      </c>
      <c r="K2756" t="s">
        <v>530</v>
      </c>
      <c r="N2756">
        <v>0</v>
      </c>
      <c r="O2756">
        <v>0</v>
      </c>
      <c r="P2756" t="str">
        <f t="shared" si="43"/>
        <v>N</v>
      </c>
      <c r="Q2756" t="s">
        <v>8486</v>
      </c>
    </row>
    <row r="2757" spans="1:17" x14ac:dyDescent="0.25">
      <c r="A2757" t="s">
        <v>1642</v>
      </c>
      <c r="B2757" t="s">
        <v>1520</v>
      </c>
      <c r="C2757">
        <v>2027</v>
      </c>
      <c r="D2757" t="s">
        <v>636</v>
      </c>
      <c r="E2757" t="s">
        <v>839</v>
      </c>
      <c r="F2757" s="32">
        <v>46451</v>
      </c>
      <c r="G2757" t="s">
        <v>514</v>
      </c>
      <c r="H2757">
        <v>47127959</v>
      </c>
      <c r="I2757" t="s">
        <v>1528</v>
      </c>
      <c r="J2757" t="s">
        <v>1537</v>
      </c>
      <c r="K2757" t="s">
        <v>530</v>
      </c>
      <c r="N2757">
        <v>0</v>
      </c>
      <c r="O2757">
        <v>0</v>
      </c>
      <c r="P2757" t="str">
        <f t="shared" si="43"/>
        <v>N</v>
      </c>
      <c r="Q2757" t="s">
        <v>8487</v>
      </c>
    </row>
    <row r="2758" spans="1:17" x14ac:dyDescent="0.25">
      <c r="A2758" t="s">
        <v>1643</v>
      </c>
      <c r="B2758" t="s">
        <v>1520</v>
      </c>
      <c r="C2758">
        <v>2027</v>
      </c>
      <c r="D2758" t="s">
        <v>636</v>
      </c>
      <c r="E2758" t="s">
        <v>839</v>
      </c>
      <c r="F2758" s="32">
        <v>46451</v>
      </c>
      <c r="G2758" t="s">
        <v>514</v>
      </c>
      <c r="H2758">
        <v>47128581</v>
      </c>
      <c r="I2758" t="s">
        <v>1525</v>
      </c>
      <c r="J2758" t="s">
        <v>1539</v>
      </c>
      <c r="K2758" t="s">
        <v>530</v>
      </c>
      <c r="N2758">
        <v>0</v>
      </c>
      <c r="O2758">
        <v>0</v>
      </c>
      <c r="P2758" t="str">
        <f t="shared" si="43"/>
        <v>N</v>
      </c>
      <c r="Q2758" t="s">
        <v>8488</v>
      </c>
    </row>
    <row r="2759" spans="1:17" x14ac:dyDescent="0.25">
      <c r="A2759" t="s">
        <v>2074</v>
      </c>
      <c r="B2759" t="s">
        <v>1135</v>
      </c>
      <c r="C2759">
        <v>2027</v>
      </c>
      <c r="D2759" t="s">
        <v>636</v>
      </c>
      <c r="E2759" t="s">
        <v>839</v>
      </c>
      <c r="F2759" s="32">
        <v>46451</v>
      </c>
      <c r="G2759" t="s">
        <v>514</v>
      </c>
      <c r="H2759">
        <v>47146464</v>
      </c>
      <c r="I2759" t="s">
        <v>1438</v>
      </c>
      <c r="J2759" t="s">
        <v>1437</v>
      </c>
      <c r="K2759" t="s">
        <v>530</v>
      </c>
      <c r="N2759">
        <v>0</v>
      </c>
      <c r="O2759">
        <v>0</v>
      </c>
      <c r="P2759" t="str">
        <f t="shared" si="43"/>
        <v>N</v>
      </c>
      <c r="Q2759" t="s">
        <v>8489</v>
      </c>
    </row>
    <row r="2760" spans="1:17" x14ac:dyDescent="0.25">
      <c r="A2760" t="s">
        <v>2075</v>
      </c>
      <c r="B2760" t="s">
        <v>1135</v>
      </c>
      <c r="C2760">
        <v>2027</v>
      </c>
      <c r="D2760" t="s">
        <v>636</v>
      </c>
      <c r="E2760" t="s">
        <v>839</v>
      </c>
      <c r="F2760" s="32">
        <v>46451</v>
      </c>
      <c r="G2760" t="s">
        <v>514</v>
      </c>
      <c r="H2760">
        <v>47146463</v>
      </c>
      <c r="I2760" t="s">
        <v>1441</v>
      </c>
      <c r="J2760" t="s">
        <v>1440</v>
      </c>
      <c r="K2760" t="s">
        <v>530</v>
      </c>
      <c r="N2760">
        <v>0</v>
      </c>
      <c r="O2760">
        <v>0</v>
      </c>
      <c r="P2760" t="str">
        <f t="shared" si="43"/>
        <v>N</v>
      </c>
      <c r="Q2760" t="s">
        <v>8490</v>
      </c>
    </row>
    <row r="2761" spans="1:17" x14ac:dyDescent="0.25">
      <c r="A2761" t="s">
        <v>2076</v>
      </c>
      <c r="B2761" t="s">
        <v>1135</v>
      </c>
      <c r="C2761">
        <v>2027</v>
      </c>
      <c r="D2761" t="s">
        <v>636</v>
      </c>
      <c r="E2761" t="s">
        <v>839</v>
      </c>
      <c r="F2761" s="32">
        <v>46451</v>
      </c>
      <c r="G2761" t="s">
        <v>514</v>
      </c>
      <c r="H2761">
        <v>47128729</v>
      </c>
      <c r="I2761" t="s">
        <v>1149</v>
      </c>
      <c r="J2761" t="s">
        <v>1148</v>
      </c>
      <c r="K2761" t="s">
        <v>530</v>
      </c>
      <c r="N2761">
        <v>0</v>
      </c>
      <c r="O2761">
        <v>0</v>
      </c>
      <c r="P2761" t="str">
        <f t="shared" si="43"/>
        <v>N</v>
      </c>
      <c r="Q2761" t="s">
        <v>8491</v>
      </c>
    </row>
    <row r="2762" spans="1:17" x14ac:dyDescent="0.25">
      <c r="A2762" t="s">
        <v>2077</v>
      </c>
      <c r="B2762" t="s">
        <v>1135</v>
      </c>
      <c r="C2762">
        <v>2027</v>
      </c>
      <c r="D2762" t="s">
        <v>636</v>
      </c>
      <c r="E2762" t="s">
        <v>839</v>
      </c>
      <c r="F2762" s="32">
        <v>46451</v>
      </c>
      <c r="G2762" t="s">
        <v>514</v>
      </c>
      <c r="H2762">
        <v>47128413</v>
      </c>
      <c r="I2762" t="s">
        <v>1397</v>
      </c>
      <c r="J2762" t="s">
        <v>1396</v>
      </c>
      <c r="K2762" t="s">
        <v>530</v>
      </c>
      <c r="N2762">
        <v>0</v>
      </c>
      <c r="O2762">
        <v>0</v>
      </c>
      <c r="P2762" t="str">
        <f t="shared" si="43"/>
        <v>N</v>
      </c>
      <c r="Q2762" t="s">
        <v>8492</v>
      </c>
    </row>
    <row r="2763" spans="1:17" x14ac:dyDescent="0.25">
      <c r="A2763" t="s">
        <v>2078</v>
      </c>
      <c r="B2763" t="s">
        <v>1135</v>
      </c>
      <c r="C2763">
        <v>2027</v>
      </c>
      <c r="D2763" t="s">
        <v>636</v>
      </c>
      <c r="E2763" t="s">
        <v>839</v>
      </c>
      <c r="F2763" s="32">
        <v>46451</v>
      </c>
      <c r="G2763" t="s">
        <v>514</v>
      </c>
      <c r="H2763">
        <v>47128783</v>
      </c>
      <c r="I2763" t="s">
        <v>1280</v>
      </c>
      <c r="J2763" t="s">
        <v>1279</v>
      </c>
      <c r="K2763" t="s">
        <v>530</v>
      </c>
      <c r="N2763">
        <v>0</v>
      </c>
      <c r="O2763">
        <v>0</v>
      </c>
      <c r="P2763" t="str">
        <f t="shared" si="43"/>
        <v>N</v>
      </c>
      <c r="Q2763" t="s">
        <v>8493</v>
      </c>
    </row>
    <row r="2764" spans="1:17" x14ac:dyDescent="0.25">
      <c r="A2764" t="s">
        <v>2079</v>
      </c>
      <c r="B2764" t="s">
        <v>1135</v>
      </c>
      <c r="C2764">
        <v>2027</v>
      </c>
      <c r="D2764" t="s">
        <v>636</v>
      </c>
      <c r="E2764" t="s">
        <v>839</v>
      </c>
      <c r="F2764" s="32">
        <v>46451</v>
      </c>
      <c r="G2764" t="s">
        <v>514</v>
      </c>
      <c r="H2764">
        <v>47128944</v>
      </c>
      <c r="I2764" t="s">
        <v>1137</v>
      </c>
      <c r="J2764" t="s">
        <v>1136</v>
      </c>
      <c r="K2764" t="s">
        <v>530</v>
      </c>
      <c r="N2764">
        <v>0</v>
      </c>
      <c r="O2764">
        <v>0</v>
      </c>
      <c r="P2764" t="str">
        <f t="shared" si="43"/>
        <v>N</v>
      </c>
      <c r="Q2764" t="s">
        <v>8494</v>
      </c>
    </row>
    <row r="2765" spans="1:17" x14ac:dyDescent="0.25">
      <c r="A2765" t="s">
        <v>2080</v>
      </c>
      <c r="B2765" t="s">
        <v>1135</v>
      </c>
      <c r="C2765">
        <v>2027</v>
      </c>
      <c r="D2765" t="s">
        <v>636</v>
      </c>
      <c r="E2765" t="s">
        <v>839</v>
      </c>
      <c r="F2765" s="32">
        <v>46451</v>
      </c>
      <c r="G2765" t="s">
        <v>514</v>
      </c>
      <c r="H2765">
        <v>47129547</v>
      </c>
      <c r="I2765" t="s">
        <v>1128</v>
      </c>
      <c r="J2765" t="s">
        <v>1352</v>
      </c>
      <c r="K2765" t="s">
        <v>530</v>
      </c>
      <c r="N2765">
        <v>0</v>
      </c>
      <c r="O2765">
        <v>0</v>
      </c>
      <c r="P2765" t="str">
        <f t="shared" si="43"/>
        <v>N</v>
      </c>
      <c r="Q2765" t="s">
        <v>8495</v>
      </c>
    </row>
    <row r="2766" spans="1:17" x14ac:dyDescent="0.25">
      <c r="A2766" t="s">
        <v>2081</v>
      </c>
      <c r="B2766" t="s">
        <v>1135</v>
      </c>
      <c r="C2766">
        <v>2027</v>
      </c>
      <c r="D2766" t="s">
        <v>636</v>
      </c>
      <c r="E2766" t="s">
        <v>839</v>
      </c>
      <c r="F2766" s="32">
        <v>46451</v>
      </c>
      <c r="G2766" t="s">
        <v>514</v>
      </c>
      <c r="H2766">
        <v>47128518</v>
      </c>
      <c r="I2766" t="s">
        <v>1232</v>
      </c>
      <c r="J2766" t="s">
        <v>1493</v>
      </c>
      <c r="K2766" t="s">
        <v>530</v>
      </c>
      <c r="N2766">
        <v>0</v>
      </c>
      <c r="O2766">
        <v>0</v>
      </c>
      <c r="P2766" t="str">
        <f t="shared" si="43"/>
        <v>N</v>
      </c>
      <c r="Q2766" t="s">
        <v>8496</v>
      </c>
    </row>
    <row r="2767" spans="1:17" x14ac:dyDescent="0.25">
      <c r="A2767" t="s">
        <v>2082</v>
      </c>
      <c r="B2767" t="s">
        <v>1135</v>
      </c>
      <c r="C2767">
        <v>2027</v>
      </c>
      <c r="D2767" t="s">
        <v>636</v>
      </c>
      <c r="E2767" t="s">
        <v>839</v>
      </c>
      <c r="F2767" s="32">
        <v>46451</v>
      </c>
      <c r="G2767" t="s">
        <v>514</v>
      </c>
      <c r="H2767">
        <v>47128168</v>
      </c>
      <c r="I2767" t="s">
        <v>1100</v>
      </c>
      <c r="J2767" t="s">
        <v>1099</v>
      </c>
      <c r="K2767" t="s">
        <v>530</v>
      </c>
      <c r="N2767">
        <v>0</v>
      </c>
      <c r="O2767">
        <v>0</v>
      </c>
      <c r="P2767" t="str">
        <f t="shared" si="43"/>
        <v>N</v>
      </c>
      <c r="Q2767" t="s">
        <v>8497</v>
      </c>
    </row>
    <row r="2768" spans="1:17" x14ac:dyDescent="0.25">
      <c r="A2768" t="s">
        <v>2083</v>
      </c>
      <c r="B2768" t="s">
        <v>1135</v>
      </c>
      <c r="C2768">
        <v>2027</v>
      </c>
      <c r="D2768" t="s">
        <v>636</v>
      </c>
      <c r="E2768" t="s">
        <v>839</v>
      </c>
      <c r="F2768" s="32">
        <v>46451</v>
      </c>
      <c r="G2768" t="s">
        <v>514</v>
      </c>
      <c r="H2768">
        <v>47128687</v>
      </c>
      <c r="I2768" t="s">
        <v>1153</v>
      </c>
      <c r="J2768" t="s">
        <v>1152</v>
      </c>
      <c r="K2768" t="s">
        <v>530</v>
      </c>
      <c r="N2768">
        <v>0</v>
      </c>
      <c r="O2768">
        <v>0</v>
      </c>
      <c r="P2768" t="str">
        <f t="shared" si="43"/>
        <v>N</v>
      </c>
      <c r="Q2768" t="s">
        <v>8498</v>
      </c>
    </row>
    <row r="2769" spans="1:17" x14ac:dyDescent="0.25">
      <c r="A2769" t="s">
        <v>2084</v>
      </c>
      <c r="B2769" t="s">
        <v>1135</v>
      </c>
      <c r="C2769">
        <v>2027</v>
      </c>
      <c r="D2769" t="s">
        <v>636</v>
      </c>
      <c r="E2769" t="s">
        <v>839</v>
      </c>
      <c r="F2769" s="32">
        <v>46451</v>
      </c>
      <c r="G2769" t="s">
        <v>514</v>
      </c>
      <c r="H2769">
        <v>47128585</v>
      </c>
      <c r="I2769" t="s">
        <v>1141</v>
      </c>
      <c r="J2769" t="s">
        <v>1140</v>
      </c>
      <c r="K2769" t="s">
        <v>530</v>
      </c>
      <c r="N2769">
        <v>0</v>
      </c>
      <c r="O2769">
        <v>0</v>
      </c>
      <c r="P2769" t="str">
        <f t="shared" si="43"/>
        <v>N</v>
      </c>
      <c r="Q2769" t="s">
        <v>8499</v>
      </c>
    </row>
    <row r="2770" spans="1:17" x14ac:dyDescent="0.25">
      <c r="A2770" t="s">
        <v>2085</v>
      </c>
      <c r="B2770" t="s">
        <v>1135</v>
      </c>
      <c r="C2770">
        <v>2027</v>
      </c>
      <c r="D2770" t="s">
        <v>636</v>
      </c>
      <c r="E2770" t="s">
        <v>839</v>
      </c>
      <c r="F2770" s="32">
        <v>46451</v>
      </c>
      <c r="G2770" t="s">
        <v>514</v>
      </c>
      <c r="H2770">
        <v>47128906</v>
      </c>
      <c r="I2770" t="s">
        <v>1349</v>
      </c>
      <c r="J2770" t="s">
        <v>1348</v>
      </c>
      <c r="K2770" t="s">
        <v>530</v>
      </c>
      <c r="N2770">
        <v>0</v>
      </c>
      <c r="O2770">
        <v>0</v>
      </c>
      <c r="P2770" t="str">
        <f t="shared" si="43"/>
        <v>N</v>
      </c>
      <c r="Q2770" t="s">
        <v>8500</v>
      </c>
    </row>
    <row r="2771" spans="1:17" x14ac:dyDescent="0.25">
      <c r="A2771" t="s">
        <v>2086</v>
      </c>
      <c r="B2771" t="s">
        <v>1135</v>
      </c>
      <c r="C2771">
        <v>2027</v>
      </c>
      <c r="D2771" t="s">
        <v>636</v>
      </c>
      <c r="E2771" t="s">
        <v>839</v>
      </c>
      <c r="F2771" s="32">
        <v>46451</v>
      </c>
      <c r="G2771" t="s">
        <v>514</v>
      </c>
      <c r="H2771">
        <v>47128585</v>
      </c>
      <c r="I2771" t="s">
        <v>1141</v>
      </c>
      <c r="J2771" t="s">
        <v>1408</v>
      </c>
      <c r="K2771" t="s">
        <v>530</v>
      </c>
      <c r="N2771">
        <v>0</v>
      </c>
      <c r="O2771">
        <v>0</v>
      </c>
      <c r="P2771" t="str">
        <f t="shared" si="43"/>
        <v>N</v>
      </c>
      <c r="Q2771" t="s">
        <v>8501</v>
      </c>
    </row>
    <row r="2772" spans="1:17" x14ac:dyDescent="0.25">
      <c r="A2772" t="s">
        <v>2087</v>
      </c>
      <c r="B2772" t="s">
        <v>1135</v>
      </c>
      <c r="C2772">
        <v>2027</v>
      </c>
      <c r="D2772" t="s">
        <v>636</v>
      </c>
      <c r="E2772" t="s">
        <v>839</v>
      </c>
      <c r="F2772" s="32">
        <v>46451</v>
      </c>
      <c r="G2772" t="s">
        <v>514</v>
      </c>
      <c r="H2772">
        <v>47128518</v>
      </c>
      <c r="I2772" t="s">
        <v>1232</v>
      </c>
      <c r="J2772" t="s">
        <v>1231</v>
      </c>
      <c r="K2772" t="s">
        <v>530</v>
      </c>
      <c r="N2772">
        <v>0</v>
      </c>
      <c r="O2772">
        <v>0</v>
      </c>
      <c r="P2772" t="str">
        <f t="shared" si="43"/>
        <v>N</v>
      </c>
      <c r="Q2772" t="s">
        <v>8502</v>
      </c>
    </row>
    <row r="2773" spans="1:17" x14ac:dyDescent="0.25">
      <c r="A2773" t="s">
        <v>2088</v>
      </c>
      <c r="B2773" t="s">
        <v>1135</v>
      </c>
      <c r="C2773">
        <v>2027</v>
      </c>
      <c r="D2773" t="s">
        <v>636</v>
      </c>
      <c r="E2773" t="s">
        <v>839</v>
      </c>
      <c r="F2773" s="32">
        <v>46451</v>
      </c>
      <c r="G2773" t="s">
        <v>514</v>
      </c>
      <c r="H2773">
        <v>47128680</v>
      </c>
      <c r="I2773" t="s">
        <v>1284</v>
      </c>
      <c r="J2773" t="s">
        <v>1283</v>
      </c>
      <c r="K2773" t="s">
        <v>530</v>
      </c>
      <c r="N2773">
        <v>0</v>
      </c>
      <c r="O2773">
        <v>0</v>
      </c>
      <c r="P2773" t="str">
        <f t="shared" si="43"/>
        <v>N</v>
      </c>
      <c r="Q2773" t="s">
        <v>8503</v>
      </c>
    </row>
    <row r="2774" spans="1:17" x14ac:dyDescent="0.25">
      <c r="A2774" t="s">
        <v>2089</v>
      </c>
      <c r="B2774" t="s">
        <v>1135</v>
      </c>
      <c r="C2774">
        <v>2027</v>
      </c>
      <c r="D2774" t="s">
        <v>636</v>
      </c>
      <c r="E2774" t="s">
        <v>839</v>
      </c>
      <c r="F2774" s="32">
        <v>46451</v>
      </c>
      <c r="G2774" t="s">
        <v>514</v>
      </c>
      <c r="H2774">
        <v>47128024</v>
      </c>
      <c r="I2774" t="s">
        <v>1108</v>
      </c>
      <c r="J2774" t="s">
        <v>1107</v>
      </c>
      <c r="K2774" t="s">
        <v>530</v>
      </c>
      <c r="N2774">
        <v>0</v>
      </c>
      <c r="O2774">
        <v>0</v>
      </c>
      <c r="P2774" t="str">
        <f t="shared" si="43"/>
        <v>N</v>
      </c>
      <c r="Q2774" t="s">
        <v>8504</v>
      </c>
    </row>
    <row r="2775" spans="1:17" x14ac:dyDescent="0.25">
      <c r="A2775" t="s">
        <v>2090</v>
      </c>
      <c r="B2775" t="s">
        <v>1135</v>
      </c>
      <c r="C2775">
        <v>2027</v>
      </c>
      <c r="D2775" t="s">
        <v>636</v>
      </c>
      <c r="E2775" t="s">
        <v>839</v>
      </c>
      <c r="F2775" s="32">
        <v>46451</v>
      </c>
      <c r="G2775" t="s">
        <v>514</v>
      </c>
      <c r="H2775">
        <v>47128944</v>
      </c>
      <c r="I2775" t="s">
        <v>1137</v>
      </c>
      <c r="J2775" t="s">
        <v>1513</v>
      </c>
      <c r="K2775" t="s">
        <v>530</v>
      </c>
      <c r="N2775">
        <v>0</v>
      </c>
      <c r="O2775">
        <v>0</v>
      </c>
      <c r="P2775" t="str">
        <f t="shared" si="43"/>
        <v>N</v>
      </c>
      <c r="Q2775" t="s">
        <v>8505</v>
      </c>
    </row>
    <row r="2776" spans="1:17" x14ac:dyDescent="0.25">
      <c r="A2776" t="s">
        <v>2091</v>
      </c>
      <c r="B2776" t="s">
        <v>1135</v>
      </c>
      <c r="C2776">
        <v>2027</v>
      </c>
      <c r="D2776" t="s">
        <v>636</v>
      </c>
      <c r="E2776" t="s">
        <v>839</v>
      </c>
      <c r="F2776" s="32">
        <v>46451</v>
      </c>
      <c r="G2776" t="s">
        <v>514</v>
      </c>
      <c r="H2776">
        <v>47147546</v>
      </c>
      <c r="I2776" t="s">
        <v>1077</v>
      </c>
      <c r="J2776" t="s">
        <v>1076</v>
      </c>
      <c r="K2776" t="s">
        <v>530</v>
      </c>
      <c r="N2776">
        <v>0</v>
      </c>
      <c r="O2776">
        <v>0</v>
      </c>
      <c r="P2776" t="str">
        <f t="shared" si="43"/>
        <v>N</v>
      </c>
      <c r="Q2776" t="s">
        <v>8506</v>
      </c>
    </row>
    <row r="2777" spans="1:17" x14ac:dyDescent="0.25">
      <c r="A2777" t="s">
        <v>2092</v>
      </c>
      <c r="B2777" t="s">
        <v>1135</v>
      </c>
      <c r="C2777">
        <v>2027</v>
      </c>
      <c r="D2777" t="s">
        <v>636</v>
      </c>
      <c r="E2777" t="s">
        <v>839</v>
      </c>
      <c r="F2777" s="32">
        <v>46451</v>
      </c>
      <c r="G2777" t="s">
        <v>514</v>
      </c>
      <c r="H2777">
        <v>47128346</v>
      </c>
      <c r="I2777" t="s">
        <v>1157</v>
      </c>
      <c r="J2777" t="s">
        <v>1156</v>
      </c>
      <c r="K2777" t="s">
        <v>530</v>
      </c>
      <c r="N2777">
        <v>0</v>
      </c>
      <c r="O2777">
        <v>0</v>
      </c>
      <c r="P2777" t="str">
        <f t="shared" si="43"/>
        <v>N</v>
      </c>
      <c r="Q2777" t="s">
        <v>8507</v>
      </c>
    </row>
    <row r="2778" spans="1:17" x14ac:dyDescent="0.25">
      <c r="A2778" t="s">
        <v>2093</v>
      </c>
      <c r="B2778" t="s">
        <v>1135</v>
      </c>
      <c r="C2778">
        <v>2027</v>
      </c>
      <c r="D2778" t="s">
        <v>636</v>
      </c>
      <c r="E2778" t="s">
        <v>839</v>
      </c>
      <c r="F2778" s="32">
        <v>46451</v>
      </c>
      <c r="G2778" t="s">
        <v>514</v>
      </c>
      <c r="H2778">
        <v>47128800</v>
      </c>
      <c r="I2778" t="s">
        <v>1145</v>
      </c>
      <c r="J2778" t="s">
        <v>1144</v>
      </c>
      <c r="K2778" t="s">
        <v>530</v>
      </c>
      <c r="N2778">
        <v>0</v>
      </c>
      <c r="O2778">
        <v>0</v>
      </c>
      <c r="P2778" t="str">
        <f t="shared" si="43"/>
        <v>N</v>
      </c>
      <c r="Q2778" t="s">
        <v>8508</v>
      </c>
    </row>
    <row r="2779" spans="1:17" x14ac:dyDescent="0.25">
      <c r="A2779" t="s">
        <v>2094</v>
      </c>
      <c r="B2779" t="s">
        <v>1135</v>
      </c>
      <c r="C2779">
        <v>2027</v>
      </c>
      <c r="D2779" t="s">
        <v>636</v>
      </c>
      <c r="E2779" t="s">
        <v>839</v>
      </c>
      <c r="F2779" s="32">
        <v>46451</v>
      </c>
      <c r="G2779" t="s">
        <v>514</v>
      </c>
      <c r="H2779">
        <v>47128109</v>
      </c>
      <c r="I2779" t="s">
        <v>1336</v>
      </c>
      <c r="J2779" t="s">
        <v>1335</v>
      </c>
      <c r="K2779" t="s">
        <v>530</v>
      </c>
      <c r="N2779">
        <v>0</v>
      </c>
      <c r="O2779">
        <v>0</v>
      </c>
      <c r="P2779" t="str">
        <f t="shared" si="43"/>
        <v>N</v>
      </c>
      <c r="Q2779" t="s">
        <v>8509</v>
      </c>
    </row>
    <row r="2780" spans="1:17" x14ac:dyDescent="0.25">
      <c r="A2780" t="s">
        <v>2095</v>
      </c>
      <c r="B2780" t="s">
        <v>1135</v>
      </c>
      <c r="C2780">
        <v>2027</v>
      </c>
      <c r="D2780" t="s">
        <v>636</v>
      </c>
      <c r="E2780" t="s">
        <v>839</v>
      </c>
      <c r="F2780" s="32">
        <v>46451</v>
      </c>
      <c r="G2780" t="s">
        <v>514</v>
      </c>
      <c r="H2780">
        <v>47128430</v>
      </c>
      <c r="I2780" t="s">
        <v>1401</v>
      </c>
      <c r="J2780" t="s">
        <v>1400</v>
      </c>
      <c r="K2780" t="s">
        <v>530</v>
      </c>
      <c r="N2780">
        <v>0</v>
      </c>
      <c r="O2780">
        <v>0</v>
      </c>
      <c r="P2780" t="str">
        <f t="shared" si="43"/>
        <v>N</v>
      </c>
      <c r="Q2780" t="s">
        <v>8510</v>
      </c>
    </row>
    <row r="2781" spans="1:17" x14ac:dyDescent="0.25">
      <c r="A2781" t="s">
        <v>2096</v>
      </c>
      <c r="B2781" t="s">
        <v>1135</v>
      </c>
      <c r="C2781">
        <v>2027</v>
      </c>
      <c r="D2781" t="s">
        <v>636</v>
      </c>
      <c r="E2781" t="s">
        <v>839</v>
      </c>
      <c r="F2781" s="32">
        <v>46451</v>
      </c>
      <c r="G2781" t="s">
        <v>514</v>
      </c>
      <c r="H2781">
        <v>47128522</v>
      </c>
      <c r="I2781" t="s">
        <v>1092</v>
      </c>
      <c r="J2781" t="s">
        <v>1091</v>
      </c>
      <c r="K2781" t="s">
        <v>530</v>
      </c>
      <c r="N2781">
        <v>0</v>
      </c>
      <c r="O2781">
        <v>0</v>
      </c>
      <c r="P2781" t="str">
        <f t="shared" si="43"/>
        <v>N</v>
      </c>
      <c r="Q2781" t="s">
        <v>8511</v>
      </c>
    </row>
    <row r="2782" spans="1:17" x14ac:dyDescent="0.25">
      <c r="A2782" t="s">
        <v>2097</v>
      </c>
      <c r="B2782" t="s">
        <v>1135</v>
      </c>
      <c r="C2782">
        <v>2027</v>
      </c>
      <c r="D2782" t="s">
        <v>636</v>
      </c>
      <c r="E2782" t="s">
        <v>839</v>
      </c>
      <c r="F2782" s="32">
        <v>46451</v>
      </c>
      <c r="G2782" t="s">
        <v>514</v>
      </c>
      <c r="H2782">
        <v>47147546</v>
      </c>
      <c r="I2782" t="s">
        <v>1077</v>
      </c>
      <c r="J2782" t="s">
        <v>1381</v>
      </c>
      <c r="K2782" t="s">
        <v>530</v>
      </c>
      <c r="N2782">
        <v>0</v>
      </c>
      <c r="O2782">
        <v>0</v>
      </c>
      <c r="P2782" t="str">
        <f t="shared" si="43"/>
        <v>N</v>
      </c>
      <c r="Q2782" t="s">
        <v>8512</v>
      </c>
    </row>
    <row r="2783" spans="1:17" x14ac:dyDescent="0.25">
      <c r="A2783" t="s">
        <v>2098</v>
      </c>
      <c r="B2783" t="s">
        <v>1135</v>
      </c>
      <c r="C2783">
        <v>2027</v>
      </c>
      <c r="D2783" t="s">
        <v>636</v>
      </c>
      <c r="E2783" t="s">
        <v>839</v>
      </c>
      <c r="F2783" s="32">
        <v>46451</v>
      </c>
      <c r="G2783" t="s">
        <v>514</v>
      </c>
      <c r="H2783">
        <v>47147658</v>
      </c>
      <c r="I2783" t="s">
        <v>1276</v>
      </c>
      <c r="J2783" t="s">
        <v>1275</v>
      </c>
      <c r="K2783" t="s">
        <v>530</v>
      </c>
      <c r="N2783">
        <v>0</v>
      </c>
      <c r="O2783">
        <v>0</v>
      </c>
      <c r="P2783" t="str">
        <f t="shared" si="43"/>
        <v>N</v>
      </c>
      <c r="Q2783" t="s">
        <v>8513</v>
      </c>
    </row>
    <row r="2784" spans="1:17" x14ac:dyDescent="0.25">
      <c r="A2784" t="s">
        <v>2099</v>
      </c>
      <c r="B2784" t="s">
        <v>1135</v>
      </c>
      <c r="C2784">
        <v>2027</v>
      </c>
      <c r="D2784" t="s">
        <v>636</v>
      </c>
      <c r="E2784" t="s">
        <v>839</v>
      </c>
      <c r="F2784" s="32">
        <v>46451</v>
      </c>
      <c r="G2784" t="s">
        <v>514</v>
      </c>
      <c r="H2784">
        <v>47147546</v>
      </c>
      <c r="I2784" t="s">
        <v>1077</v>
      </c>
      <c r="J2784" t="s">
        <v>1171</v>
      </c>
      <c r="K2784" t="s">
        <v>530</v>
      </c>
      <c r="N2784">
        <v>0</v>
      </c>
      <c r="O2784">
        <v>0</v>
      </c>
      <c r="P2784" t="str">
        <f t="shared" si="43"/>
        <v>N</v>
      </c>
      <c r="Q2784" t="s">
        <v>8514</v>
      </c>
    </row>
    <row r="2785" spans="1:17" x14ac:dyDescent="0.25">
      <c r="A2785" t="s">
        <v>2100</v>
      </c>
      <c r="B2785" t="s">
        <v>1135</v>
      </c>
      <c r="C2785">
        <v>2027</v>
      </c>
      <c r="D2785" t="s">
        <v>636</v>
      </c>
      <c r="E2785" t="s">
        <v>839</v>
      </c>
      <c r="F2785" s="32">
        <v>46451</v>
      </c>
      <c r="G2785" t="s">
        <v>514</v>
      </c>
      <c r="H2785">
        <v>47128039</v>
      </c>
      <c r="I2785" t="s">
        <v>1405</v>
      </c>
      <c r="J2785" t="s">
        <v>1404</v>
      </c>
      <c r="K2785" t="s">
        <v>530</v>
      </c>
      <c r="N2785">
        <v>0</v>
      </c>
      <c r="O2785">
        <v>0</v>
      </c>
      <c r="P2785" t="str">
        <f t="shared" si="43"/>
        <v>N</v>
      </c>
      <c r="Q2785" t="s">
        <v>8515</v>
      </c>
    </row>
    <row r="2786" spans="1:17" x14ac:dyDescent="0.25">
      <c r="A2786" t="s">
        <v>2101</v>
      </c>
      <c r="B2786" t="s">
        <v>1135</v>
      </c>
      <c r="C2786">
        <v>2027</v>
      </c>
      <c r="D2786" t="s">
        <v>636</v>
      </c>
      <c r="E2786" t="s">
        <v>839</v>
      </c>
      <c r="F2786" s="32">
        <v>46451</v>
      </c>
      <c r="G2786" t="s">
        <v>514</v>
      </c>
      <c r="H2786">
        <v>47128555</v>
      </c>
      <c r="I2786" t="s">
        <v>1209</v>
      </c>
      <c r="J2786" t="s">
        <v>1208</v>
      </c>
      <c r="K2786" t="s">
        <v>530</v>
      </c>
      <c r="N2786">
        <v>0</v>
      </c>
      <c r="O2786">
        <v>0</v>
      </c>
      <c r="P2786" t="str">
        <f t="shared" si="43"/>
        <v>N</v>
      </c>
      <c r="Q2786" t="s">
        <v>8516</v>
      </c>
    </row>
    <row r="2787" spans="1:17" x14ac:dyDescent="0.25">
      <c r="A2787" t="s">
        <v>2102</v>
      </c>
      <c r="B2787" t="s">
        <v>1135</v>
      </c>
      <c r="C2787">
        <v>2027</v>
      </c>
      <c r="D2787" t="s">
        <v>636</v>
      </c>
      <c r="E2787" t="s">
        <v>839</v>
      </c>
      <c r="F2787" s="32">
        <v>46451</v>
      </c>
      <c r="G2787" t="s">
        <v>514</v>
      </c>
      <c r="H2787">
        <v>47128597</v>
      </c>
      <c r="I2787" t="s">
        <v>1510</v>
      </c>
      <c r="J2787" t="s">
        <v>1509</v>
      </c>
      <c r="K2787" t="s">
        <v>530</v>
      </c>
      <c r="N2787">
        <v>0</v>
      </c>
      <c r="O2787">
        <v>0</v>
      </c>
      <c r="P2787" t="str">
        <f t="shared" si="43"/>
        <v>N</v>
      </c>
      <c r="Q2787" t="s">
        <v>8517</v>
      </c>
    </row>
    <row r="2788" spans="1:17" x14ac:dyDescent="0.25">
      <c r="A2788" t="s">
        <v>2103</v>
      </c>
      <c r="B2788" t="s">
        <v>1135</v>
      </c>
      <c r="C2788">
        <v>2027</v>
      </c>
      <c r="D2788" t="s">
        <v>636</v>
      </c>
      <c r="E2788" t="s">
        <v>839</v>
      </c>
      <c r="F2788" s="32">
        <v>46451</v>
      </c>
      <c r="G2788" t="s">
        <v>514</v>
      </c>
      <c r="H2788">
        <v>47128257</v>
      </c>
      <c r="I2788" t="s">
        <v>979</v>
      </c>
      <c r="J2788" t="s">
        <v>978</v>
      </c>
      <c r="K2788" t="s">
        <v>530</v>
      </c>
      <c r="N2788">
        <v>0</v>
      </c>
      <c r="O2788">
        <v>0</v>
      </c>
      <c r="P2788" t="str">
        <f t="shared" si="43"/>
        <v>N</v>
      </c>
      <c r="Q2788" t="s">
        <v>8518</v>
      </c>
    </row>
    <row r="2789" spans="1:17" x14ac:dyDescent="0.25">
      <c r="A2789" t="s">
        <v>2104</v>
      </c>
      <c r="B2789" t="s">
        <v>1135</v>
      </c>
      <c r="C2789">
        <v>2027</v>
      </c>
      <c r="D2789" t="s">
        <v>636</v>
      </c>
      <c r="E2789" t="s">
        <v>839</v>
      </c>
      <c r="F2789" s="32">
        <v>46451</v>
      </c>
      <c r="G2789" t="s">
        <v>514</v>
      </c>
      <c r="H2789">
        <v>47128880</v>
      </c>
      <c r="I2789" t="s">
        <v>1014</v>
      </c>
      <c r="J2789" t="s">
        <v>1013</v>
      </c>
      <c r="K2789" t="s">
        <v>530</v>
      </c>
      <c r="N2789">
        <v>0</v>
      </c>
      <c r="O2789">
        <v>0</v>
      </c>
      <c r="P2789" t="str">
        <f t="shared" si="43"/>
        <v>N</v>
      </c>
      <c r="Q2789" t="s">
        <v>8519</v>
      </c>
    </row>
    <row r="2790" spans="1:17" x14ac:dyDescent="0.25">
      <c r="A2790" t="s">
        <v>2105</v>
      </c>
      <c r="B2790" t="s">
        <v>1135</v>
      </c>
      <c r="C2790">
        <v>2027</v>
      </c>
      <c r="D2790" t="s">
        <v>636</v>
      </c>
      <c r="E2790" t="s">
        <v>839</v>
      </c>
      <c r="F2790" s="32">
        <v>46451</v>
      </c>
      <c r="G2790" t="s">
        <v>514</v>
      </c>
      <c r="H2790">
        <v>47128879</v>
      </c>
      <c r="I2790" t="s">
        <v>1132</v>
      </c>
      <c r="J2790" t="s">
        <v>1131</v>
      </c>
      <c r="K2790" t="s">
        <v>530</v>
      </c>
      <c r="N2790">
        <v>0</v>
      </c>
      <c r="O2790">
        <v>0</v>
      </c>
      <c r="P2790" t="str">
        <f t="shared" si="43"/>
        <v>N</v>
      </c>
      <c r="Q2790" t="s">
        <v>8520</v>
      </c>
    </row>
    <row r="2791" spans="1:17" x14ac:dyDescent="0.25">
      <c r="A2791" t="s">
        <v>2106</v>
      </c>
      <c r="B2791" t="s">
        <v>1135</v>
      </c>
      <c r="C2791">
        <v>2027</v>
      </c>
      <c r="D2791" t="s">
        <v>636</v>
      </c>
      <c r="E2791" t="s">
        <v>839</v>
      </c>
      <c r="F2791" s="32">
        <v>46451</v>
      </c>
      <c r="G2791" t="s">
        <v>514</v>
      </c>
      <c r="H2791">
        <v>47128028</v>
      </c>
      <c r="I2791" t="s">
        <v>1035</v>
      </c>
      <c r="J2791" t="s">
        <v>1034</v>
      </c>
      <c r="K2791" t="s">
        <v>530</v>
      </c>
      <c r="N2791">
        <v>0</v>
      </c>
      <c r="O2791">
        <v>0</v>
      </c>
      <c r="P2791" t="str">
        <f t="shared" si="43"/>
        <v>N</v>
      </c>
      <c r="Q2791" t="s">
        <v>8521</v>
      </c>
    </row>
    <row r="2792" spans="1:17" x14ac:dyDescent="0.25">
      <c r="A2792" t="s">
        <v>2107</v>
      </c>
      <c r="B2792" t="s">
        <v>1135</v>
      </c>
      <c r="C2792">
        <v>2027</v>
      </c>
      <c r="D2792" t="s">
        <v>636</v>
      </c>
      <c r="E2792" t="s">
        <v>839</v>
      </c>
      <c r="F2792" s="32">
        <v>46451</v>
      </c>
      <c r="G2792" t="s">
        <v>514</v>
      </c>
      <c r="H2792">
        <v>47128465</v>
      </c>
      <c r="I2792" t="s">
        <v>1333</v>
      </c>
      <c r="J2792" t="s">
        <v>1332</v>
      </c>
      <c r="K2792" t="s">
        <v>530</v>
      </c>
      <c r="N2792">
        <v>0</v>
      </c>
      <c r="O2792">
        <v>0</v>
      </c>
      <c r="P2792" t="str">
        <f t="shared" si="43"/>
        <v>N</v>
      </c>
      <c r="Q2792" t="s">
        <v>8522</v>
      </c>
    </row>
    <row r="2793" spans="1:17" x14ac:dyDescent="0.25">
      <c r="A2793" t="s">
        <v>2108</v>
      </c>
      <c r="B2793" t="s">
        <v>1135</v>
      </c>
      <c r="C2793">
        <v>2027</v>
      </c>
      <c r="D2793" t="s">
        <v>636</v>
      </c>
      <c r="E2793" t="s">
        <v>839</v>
      </c>
      <c r="F2793" s="32">
        <v>46451</v>
      </c>
      <c r="G2793" t="s">
        <v>514</v>
      </c>
      <c r="H2793">
        <v>47128418</v>
      </c>
      <c r="I2793" t="s">
        <v>1082</v>
      </c>
      <c r="J2793" t="s">
        <v>1081</v>
      </c>
      <c r="K2793" t="s">
        <v>530</v>
      </c>
      <c r="N2793">
        <v>0</v>
      </c>
      <c r="O2793">
        <v>0</v>
      </c>
      <c r="P2793" t="str">
        <f t="shared" si="43"/>
        <v>N</v>
      </c>
      <c r="Q2793" t="s">
        <v>8523</v>
      </c>
    </row>
    <row r="2794" spans="1:17" x14ac:dyDescent="0.25">
      <c r="A2794" t="s">
        <v>2109</v>
      </c>
      <c r="B2794" t="s">
        <v>1135</v>
      </c>
      <c r="C2794">
        <v>2027</v>
      </c>
      <c r="D2794" t="s">
        <v>636</v>
      </c>
      <c r="E2794" t="s">
        <v>839</v>
      </c>
      <c r="F2794" s="32">
        <v>46451</v>
      </c>
      <c r="G2794" t="s">
        <v>514</v>
      </c>
      <c r="H2794">
        <v>47128968</v>
      </c>
      <c r="I2794" t="s">
        <v>947</v>
      </c>
      <c r="J2794" t="s">
        <v>946</v>
      </c>
      <c r="K2794" t="s">
        <v>530</v>
      </c>
      <c r="N2794">
        <v>0</v>
      </c>
      <c r="O2794">
        <v>0</v>
      </c>
      <c r="P2794" t="str">
        <f t="shared" si="43"/>
        <v>N</v>
      </c>
      <c r="Q2794" t="s">
        <v>8524</v>
      </c>
    </row>
    <row r="2795" spans="1:17" x14ac:dyDescent="0.25">
      <c r="A2795" t="s">
        <v>2110</v>
      </c>
      <c r="B2795" t="s">
        <v>1135</v>
      </c>
      <c r="C2795">
        <v>2027</v>
      </c>
      <c r="D2795" t="s">
        <v>636</v>
      </c>
      <c r="E2795" t="s">
        <v>839</v>
      </c>
      <c r="F2795" s="32">
        <v>46451</v>
      </c>
      <c r="G2795" t="s">
        <v>514</v>
      </c>
      <c r="H2795">
        <v>47128548</v>
      </c>
      <c r="I2795" t="s">
        <v>958</v>
      </c>
      <c r="J2795" t="s">
        <v>957</v>
      </c>
      <c r="K2795" t="s">
        <v>530</v>
      </c>
      <c r="N2795">
        <v>0</v>
      </c>
      <c r="O2795">
        <v>0</v>
      </c>
      <c r="P2795" t="str">
        <f t="shared" si="43"/>
        <v>N</v>
      </c>
      <c r="Q2795" t="s">
        <v>8525</v>
      </c>
    </row>
    <row r="2796" spans="1:17" x14ac:dyDescent="0.25">
      <c r="A2796" t="s">
        <v>2686</v>
      </c>
      <c r="B2796" t="s">
        <v>2444</v>
      </c>
      <c r="C2796">
        <v>2027</v>
      </c>
      <c r="D2796" t="s">
        <v>636</v>
      </c>
      <c r="E2796" t="s">
        <v>839</v>
      </c>
      <c r="F2796" s="32">
        <v>46451</v>
      </c>
      <c r="G2796" t="s">
        <v>514</v>
      </c>
      <c r="H2796">
        <v>47128006</v>
      </c>
      <c r="I2796" t="s">
        <v>2447</v>
      </c>
      <c r="J2796" t="s">
        <v>2448</v>
      </c>
      <c r="K2796" t="s">
        <v>530</v>
      </c>
      <c r="N2796">
        <v>0</v>
      </c>
      <c r="O2796">
        <v>0</v>
      </c>
      <c r="P2796" t="str">
        <f t="shared" si="43"/>
        <v>N</v>
      </c>
      <c r="Q2796" t="s">
        <v>8526</v>
      </c>
    </row>
    <row r="2797" spans="1:17" x14ac:dyDescent="0.25">
      <c r="A2797" t="s">
        <v>2687</v>
      </c>
      <c r="B2797" t="s">
        <v>2444</v>
      </c>
      <c r="C2797">
        <v>2027</v>
      </c>
      <c r="D2797" t="s">
        <v>636</v>
      </c>
      <c r="E2797" t="s">
        <v>839</v>
      </c>
      <c r="F2797" s="32">
        <v>46451</v>
      </c>
      <c r="G2797" t="s">
        <v>514</v>
      </c>
      <c r="H2797">
        <v>47128300</v>
      </c>
      <c r="I2797" t="s">
        <v>2471</v>
      </c>
      <c r="J2797" t="s">
        <v>2472</v>
      </c>
      <c r="K2797" t="s">
        <v>530</v>
      </c>
      <c r="N2797">
        <v>0</v>
      </c>
      <c r="O2797">
        <v>0</v>
      </c>
      <c r="P2797" t="str">
        <f t="shared" si="43"/>
        <v>N</v>
      </c>
      <c r="Q2797" t="s">
        <v>8527</v>
      </c>
    </row>
    <row r="2798" spans="1:17" x14ac:dyDescent="0.25">
      <c r="A2798" t="s">
        <v>2688</v>
      </c>
      <c r="B2798" t="s">
        <v>2444</v>
      </c>
      <c r="C2798">
        <v>2027</v>
      </c>
      <c r="D2798" t="s">
        <v>636</v>
      </c>
      <c r="E2798" t="s">
        <v>839</v>
      </c>
      <c r="F2798" s="32">
        <v>46451</v>
      </c>
      <c r="G2798" t="s">
        <v>514</v>
      </c>
      <c r="H2798">
        <v>47128213</v>
      </c>
      <c r="I2798" t="s">
        <v>2456</v>
      </c>
      <c r="J2798" t="s">
        <v>2457</v>
      </c>
      <c r="K2798" t="s">
        <v>530</v>
      </c>
      <c r="N2798">
        <v>0</v>
      </c>
      <c r="O2798">
        <v>0</v>
      </c>
      <c r="P2798" t="str">
        <f t="shared" si="43"/>
        <v>N</v>
      </c>
      <c r="Q2798" t="s">
        <v>8528</v>
      </c>
    </row>
    <row r="2799" spans="1:17" x14ac:dyDescent="0.25">
      <c r="A2799" t="s">
        <v>2689</v>
      </c>
      <c r="B2799" t="s">
        <v>2444</v>
      </c>
      <c r="C2799">
        <v>2027</v>
      </c>
      <c r="D2799" t="s">
        <v>636</v>
      </c>
      <c r="E2799" t="s">
        <v>839</v>
      </c>
      <c r="F2799" s="32">
        <v>46451</v>
      </c>
      <c r="G2799" t="s">
        <v>514</v>
      </c>
      <c r="H2799">
        <v>47128667</v>
      </c>
      <c r="I2799" t="s">
        <v>2450</v>
      </c>
      <c r="J2799" t="s">
        <v>2451</v>
      </c>
      <c r="K2799" t="s">
        <v>530</v>
      </c>
      <c r="N2799">
        <v>0</v>
      </c>
      <c r="O2799">
        <v>0</v>
      </c>
      <c r="P2799" t="str">
        <f t="shared" si="43"/>
        <v>N</v>
      </c>
      <c r="Q2799" t="s">
        <v>8529</v>
      </c>
    </row>
    <row r="2800" spans="1:17" x14ac:dyDescent="0.25">
      <c r="A2800" t="s">
        <v>2690</v>
      </c>
      <c r="B2800" t="s">
        <v>2444</v>
      </c>
      <c r="C2800">
        <v>2027</v>
      </c>
      <c r="D2800" t="s">
        <v>636</v>
      </c>
      <c r="E2800" t="s">
        <v>839</v>
      </c>
      <c r="F2800" s="32">
        <v>46451</v>
      </c>
      <c r="G2800" t="s">
        <v>514</v>
      </c>
      <c r="H2800">
        <v>47128179</v>
      </c>
      <c r="I2800" t="s">
        <v>2477</v>
      </c>
      <c r="J2800" t="s">
        <v>2478</v>
      </c>
      <c r="K2800" t="s">
        <v>530</v>
      </c>
      <c r="N2800">
        <v>0</v>
      </c>
      <c r="O2800">
        <v>0</v>
      </c>
      <c r="P2800" t="str">
        <f t="shared" si="43"/>
        <v>N</v>
      </c>
      <c r="Q2800" t="s">
        <v>8530</v>
      </c>
    </row>
    <row r="2801" spans="1:17" x14ac:dyDescent="0.25">
      <c r="A2801" t="s">
        <v>2691</v>
      </c>
      <c r="B2801" t="s">
        <v>2444</v>
      </c>
      <c r="C2801">
        <v>2027</v>
      </c>
      <c r="D2801" t="s">
        <v>636</v>
      </c>
      <c r="E2801" t="s">
        <v>839</v>
      </c>
      <c r="F2801" s="32">
        <v>46451</v>
      </c>
      <c r="G2801" t="s">
        <v>514</v>
      </c>
      <c r="H2801">
        <v>47128655</v>
      </c>
      <c r="I2801" t="s">
        <v>2474</v>
      </c>
      <c r="J2801" t="s">
        <v>2475</v>
      </c>
      <c r="K2801" t="s">
        <v>530</v>
      </c>
      <c r="N2801">
        <v>0</v>
      </c>
      <c r="O2801">
        <v>0</v>
      </c>
      <c r="P2801" t="str">
        <f t="shared" si="43"/>
        <v>N</v>
      </c>
      <c r="Q2801" t="s">
        <v>8531</v>
      </c>
    </row>
    <row r="2802" spans="1:17" x14ac:dyDescent="0.25">
      <c r="A2802" t="s">
        <v>2692</v>
      </c>
      <c r="B2802" t="s">
        <v>2444</v>
      </c>
      <c r="C2802">
        <v>2027</v>
      </c>
      <c r="D2802" t="s">
        <v>636</v>
      </c>
      <c r="E2802" t="s">
        <v>839</v>
      </c>
      <c r="F2802" s="32">
        <v>46451</v>
      </c>
      <c r="G2802" t="s">
        <v>514</v>
      </c>
      <c r="H2802">
        <v>47129222</v>
      </c>
      <c r="I2802" t="s">
        <v>2459</v>
      </c>
      <c r="J2802" t="s">
        <v>2460</v>
      </c>
      <c r="K2802" t="s">
        <v>530</v>
      </c>
      <c r="N2802">
        <v>60</v>
      </c>
      <c r="O2802">
        <v>60</v>
      </c>
      <c r="P2802" t="str">
        <f t="shared" si="43"/>
        <v>N</v>
      </c>
      <c r="Q2802" t="s">
        <v>8532</v>
      </c>
    </row>
    <row r="2803" spans="1:17" x14ac:dyDescent="0.25">
      <c r="A2803" t="s">
        <v>2693</v>
      </c>
      <c r="B2803" t="s">
        <v>2444</v>
      </c>
      <c r="C2803">
        <v>2027</v>
      </c>
      <c r="D2803" t="s">
        <v>636</v>
      </c>
      <c r="E2803" t="s">
        <v>839</v>
      </c>
      <c r="F2803" s="32">
        <v>46451</v>
      </c>
      <c r="G2803" t="s">
        <v>514</v>
      </c>
      <c r="H2803">
        <v>47132096</v>
      </c>
      <c r="I2803" t="s">
        <v>2468</v>
      </c>
      <c r="J2803" t="s">
        <v>2469</v>
      </c>
      <c r="K2803" t="s">
        <v>530</v>
      </c>
      <c r="N2803">
        <v>0</v>
      </c>
      <c r="O2803">
        <v>0</v>
      </c>
      <c r="P2803" t="str">
        <f t="shared" si="43"/>
        <v>N</v>
      </c>
      <c r="Q2803" t="s">
        <v>8533</v>
      </c>
    </row>
    <row r="2804" spans="1:17" x14ac:dyDescent="0.25">
      <c r="A2804" t="s">
        <v>2694</v>
      </c>
      <c r="B2804" t="s">
        <v>2444</v>
      </c>
      <c r="C2804">
        <v>2027</v>
      </c>
      <c r="D2804" t="s">
        <v>636</v>
      </c>
      <c r="E2804" t="s">
        <v>839</v>
      </c>
      <c r="F2804" s="32">
        <v>46451</v>
      </c>
      <c r="G2804" t="s">
        <v>514</v>
      </c>
      <c r="H2804">
        <v>47128561</v>
      </c>
      <c r="I2804" t="s">
        <v>2462</v>
      </c>
      <c r="J2804" t="s">
        <v>2463</v>
      </c>
      <c r="K2804" t="s">
        <v>530</v>
      </c>
      <c r="N2804">
        <v>0</v>
      </c>
      <c r="O2804">
        <v>0</v>
      </c>
      <c r="P2804" t="str">
        <f t="shared" si="43"/>
        <v>N</v>
      </c>
      <c r="Q2804" t="s">
        <v>8534</v>
      </c>
    </row>
    <row r="2805" spans="1:17" x14ac:dyDescent="0.25">
      <c r="A2805" t="s">
        <v>2695</v>
      </c>
      <c r="B2805" t="s">
        <v>2444</v>
      </c>
      <c r="C2805">
        <v>2027</v>
      </c>
      <c r="D2805" t="s">
        <v>636</v>
      </c>
      <c r="E2805" t="s">
        <v>839</v>
      </c>
      <c r="F2805" s="32">
        <v>46451</v>
      </c>
      <c r="G2805" t="s">
        <v>514</v>
      </c>
      <c r="H2805">
        <v>47129274</v>
      </c>
      <c r="I2805" t="s">
        <v>2486</v>
      </c>
      <c r="J2805" t="s">
        <v>2487</v>
      </c>
      <c r="K2805" t="s">
        <v>530</v>
      </c>
      <c r="N2805">
        <v>0</v>
      </c>
      <c r="O2805">
        <v>0</v>
      </c>
      <c r="P2805" t="str">
        <f t="shared" si="43"/>
        <v>N</v>
      </c>
      <c r="Q2805" t="s">
        <v>8535</v>
      </c>
    </row>
    <row r="2806" spans="1:17" x14ac:dyDescent="0.25">
      <c r="A2806" t="s">
        <v>2696</v>
      </c>
      <c r="B2806" t="s">
        <v>2444</v>
      </c>
      <c r="C2806">
        <v>2027</v>
      </c>
      <c r="D2806" t="s">
        <v>636</v>
      </c>
      <c r="E2806" t="s">
        <v>839</v>
      </c>
      <c r="F2806" s="32">
        <v>46451</v>
      </c>
      <c r="G2806" t="s">
        <v>514</v>
      </c>
      <c r="H2806">
        <v>47129262</v>
      </c>
      <c r="I2806" t="s">
        <v>2453</v>
      </c>
      <c r="J2806" t="s">
        <v>2454</v>
      </c>
      <c r="K2806" t="s">
        <v>530</v>
      </c>
      <c r="N2806">
        <v>0</v>
      </c>
      <c r="O2806">
        <v>0</v>
      </c>
      <c r="P2806" t="str">
        <f t="shared" si="43"/>
        <v>N</v>
      </c>
      <c r="Q2806" t="s">
        <v>8536</v>
      </c>
    </row>
    <row r="2807" spans="1:17" x14ac:dyDescent="0.25">
      <c r="A2807" t="s">
        <v>2697</v>
      </c>
      <c r="B2807" t="s">
        <v>2444</v>
      </c>
      <c r="C2807">
        <v>2027</v>
      </c>
      <c r="D2807" t="s">
        <v>636</v>
      </c>
      <c r="E2807" t="s">
        <v>839</v>
      </c>
      <c r="F2807" s="32">
        <v>46451</v>
      </c>
      <c r="G2807" t="s">
        <v>514</v>
      </c>
      <c r="H2807">
        <v>47129558</v>
      </c>
      <c r="I2807" t="s">
        <v>2480</v>
      </c>
      <c r="J2807" t="s">
        <v>2481</v>
      </c>
      <c r="K2807" t="s">
        <v>530</v>
      </c>
      <c r="N2807">
        <v>0</v>
      </c>
      <c r="O2807">
        <v>0</v>
      </c>
      <c r="P2807" t="str">
        <f t="shared" si="43"/>
        <v>N</v>
      </c>
      <c r="Q2807" t="s">
        <v>8537</v>
      </c>
    </row>
    <row r="2808" spans="1:17" x14ac:dyDescent="0.25">
      <c r="A2808" t="s">
        <v>2698</v>
      </c>
      <c r="B2808" t="s">
        <v>2444</v>
      </c>
      <c r="C2808">
        <v>2027</v>
      </c>
      <c r="D2808" t="s">
        <v>636</v>
      </c>
      <c r="E2808" t="s">
        <v>839</v>
      </c>
      <c r="F2808" s="32">
        <v>46451</v>
      </c>
      <c r="G2808" t="s">
        <v>514</v>
      </c>
      <c r="H2808">
        <v>47129727</v>
      </c>
      <c r="I2808" t="s">
        <v>2465</v>
      </c>
      <c r="J2808" t="s">
        <v>2466</v>
      </c>
      <c r="K2808" t="s">
        <v>530</v>
      </c>
      <c r="N2808">
        <v>0</v>
      </c>
      <c r="O2808">
        <v>0</v>
      </c>
      <c r="P2808" t="str">
        <f t="shared" si="43"/>
        <v>N</v>
      </c>
      <c r="Q2808" t="s">
        <v>8538</v>
      </c>
    </row>
    <row r="2809" spans="1:17" x14ac:dyDescent="0.25">
      <c r="A2809" t="s">
        <v>2699</v>
      </c>
      <c r="B2809" t="s">
        <v>2444</v>
      </c>
      <c r="C2809">
        <v>2027</v>
      </c>
      <c r="D2809" t="s">
        <v>636</v>
      </c>
      <c r="E2809" t="s">
        <v>839</v>
      </c>
      <c r="F2809" s="32">
        <v>46451</v>
      </c>
      <c r="G2809" t="s">
        <v>514</v>
      </c>
      <c r="H2809">
        <v>47129273</v>
      </c>
      <c r="I2809" t="s">
        <v>2483</v>
      </c>
      <c r="J2809" t="s">
        <v>2484</v>
      </c>
      <c r="K2809" t="s">
        <v>530</v>
      </c>
      <c r="N2809">
        <v>0</v>
      </c>
      <c r="O2809">
        <v>0</v>
      </c>
      <c r="P2809" t="str">
        <f t="shared" si="43"/>
        <v>N</v>
      </c>
      <c r="Q2809" t="s">
        <v>8539</v>
      </c>
    </row>
    <row r="2810" spans="1:17" x14ac:dyDescent="0.25">
      <c r="A2810" t="s">
        <v>2700</v>
      </c>
      <c r="B2810" t="s">
        <v>2444</v>
      </c>
      <c r="C2810">
        <v>2027</v>
      </c>
      <c r="D2810" t="s">
        <v>636</v>
      </c>
      <c r="E2810" t="s">
        <v>839</v>
      </c>
      <c r="F2810" s="32">
        <v>46451</v>
      </c>
      <c r="G2810" t="s">
        <v>514</v>
      </c>
      <c r="H2810">
        <v>47128247</v>
      </c>
      <c r="I2810" t="s">
        <v>2492</v>
      </c>
      <c r="J2810" t="s">
        <v>2493</v>
      </c>
      <c r="K2810" t="s">
        <v>530</v>
      </c>
      <c r="N2810">
        <v>0</v>
      </c>
      <c r="O2810">
        <v>0</v>
      </c>
      <c r="P2810" t="str">
        <f t="shared" si="43"/>
        <v>N</v>
      </c>
      <c r="Q2810" t="s">
        <v>8540</v>
      </c>
    </row>
    <row r="2811" spans="1:17" x14ac:dyDescent="0.25">
      <c r="A2811" t="s">
        <v>2701</v>
      </c>
      <c r="B2811" t="s">
        <v>2444</v>
      </c>
      <c r="C2811">
        <v>2027</v>
      </c>
      <c r="D2811" t="s">
        <v>636</v>
      </c>
      <c r="E2811" t="s">
        <v>839</v>
      </c>
      <c r="F2811" s="32">
        <v>46451</v>
      </c>
      <c r="G2811" t="s">
        <v>514</v>
      </c>
      <c r="H2811">
        <v>47128587</v>
      </c>
      <c r="I2811" t="s">
        <v>2489</v>
      </c>
      <c r="J2811" t="s">
        <v>2490</v>
      </c>
      <c r="K2811" t="s">
        <v>530</v>
      </c>
      <c r="N2811">
        <v>0</v>
      </c>
      <c r="O2811">
        <v>0</v>
      </c>
      <c r="P2811" t="str">
        <f t="shared" si="43"/>
        <v>N</v>
      </c>
      <c r="Q2811" t="s">
        <v>8541</v>
      </c>
    </row>
    <row r="2812" spans="1:17" x14ac:dyDescent="0.25">
      <c r="A2812" t="s">
        <v>2992</v>
      </c>
      <c r="B2812" t="s">
        <v>2783</v>
      </c>
      <c r="C2812">
        <v>2027</v>
      </c>
      <c r="D2812" t="s">
        <v>636</v>
      </c>
      <c r="E2812" t="s">
        <v>839</v>
      </c>
      <c r="F2812" s="32">
        <v>46451</v>
      </c>
      <c r="G2812" t="s">
        <v>514</v>
      </c>
      <c r="H2812">
        <v>47128006</v>
      </c>
      <c r="I2812" t="s">
        <v>2447</v>
      </c>
      <c r="J2812" t="s">
        <v>2448</v>
      </c>
      <c r="K2812" t="s">
        <v>530</v>
      </c>
      <c r="N2812">
        <v>0</v>
      </c>
      <c r="O2812">
        <v>0</v>
      </c>
      <c r="P2812" t="str">
        <f t="shared" si="43"/>
        <v>N</v>
      </c>
      <c r="Q2812" t="s">
        <v>8542</v>
      </c>
    </row>
    <row r="2813" spans="1:17" x14ac:dyDescent="0.25">
      <c r="A2813" t="s">
        <v>2993</v>
      </c>
      <c r="B2813" t="s">
        <v>2783</v>
      </c>
      <c r="C2813">
        <v>2027</v>
      </c>
      <c r="D2813" t="s">
        <v>636</v>
      </c>
      <c r="E2813" t="s">
        <v>839</v>
      </c>
      <c r="F2813" s="32">
        <v>46451</v>
      </c>
      <c r="G2813" t="s">
        <v>514</v>
      </c>
      <c r="H2813">
        <v>47128300</v>
      </c>
      <c r="I2813" t="s">
        <v>2471</v>
      </c>
      <c r="J2813" t="s">
        <v>2472</v>
      </c>
      <c r="K2813" t="s">
        <v>530</v>
      </c>
      <c r="N2813">
        <v>0</v>
      </c>
      <c r="O2813">
        <v>0</v>
      </c>
      <c r="P2813" t="str">
        <f t="shared" si="43"/>
        <v>N</v>
      </c>
      <c r="Q2813" t="s">
        <v>8543</v>
      </c>
    </row>
    <row r="2814" spans="1:17" x14ac:dyDescent="0.25">
      <c r="A2814" t="s">
        <v>2994</v>
      </c>
      <c r="B2814" t="s">
        <v>2783</v>
      </c>
      <c r="C2814">
        <v>2027</v>
      </c>
      <c r="D2814" t="s">
        <v>636</v>
      </c>
      <c r="E2814" t="s">
        <v>839</v>
      </c>
      <c r="F2814" s="32">
        <v>46451</v>
      </c>
      <c r="G2814" t="s">
        <v>514</v>
      </c>
      <c r="H2814">
        <v>47128213</v>
      </c>
      <c r="I2814" t="s">
        <v>2456</v>
      </c>
      <c r="J2814" t="s">
        <v>2457</v>
      </c>
      <c r="K2814" t="s">
        <v>530</v>
      </c>
      <c r="N2814">
        <v>0</v>
      </c>
      <c r="O2814">
        <v>0</v>
      </c>
      <c r="P2814" t="str">
        <f t="shared" si="43"/>
        <v>N</v>
      </c>
      <c r="Q2814" t="s">
        <v>8544</v>
      </c>
    </row>
    <row r="2815" spans="1:17" x14ac:dyDescent="0.25">
      <c r="A2815" t="s">
        <v>2995</v>
      </c>
      <c r="B2815" t="s">
        <v>2783</v>
      </c>
      <c r="C2815">
        <v>2027</v>
      </c>
      <c r="D2815" t="s">
        <v>636</v>
      </c>
      <c r="E2815" t="s">
        <v>839</v>
      </c>
      <c r="F2815" s="32">
        <v>46451</v>
      </c>
      <c r="G2815" t="s">
        <v>514</v>
      </c>
      <c r="H2815">
        <v>47128667</v>
      </c>
      <c r="I2815" t="s">
        <v>2450</v>
      </c>
      <c r="J2815" t="s">
        <v>2451</v>
      </c>
      <c r="K2815" t="s">
        <v>530</v>
      </c>
      <c r="N2815">
        <v>0</v>
      </c>
      <c r="O2815">
        <v>0</v>
      </c>
      <c r="P2815" t="str">
        <f t="shared" si="43"/>
        <v>N</v>
      </c>
      <c r="Q2815" t="s">
        <v>8545</v>
      </c>
    </row>
    <row r="2816" spans="1:17" x14ac:dyDescent="0.25">
      <c r="A2816" t="s">
        <v>2996</v>
      </c>
      <c r="B2816" t="s">
        <v>2783</v>
      </c>
      <c r="C2816">
        <v>2027</v>
      </c>
      <c r="D2816" t="s">
        <v>636</v>
      </c>
      <c r="E2816" t="s">
        <v>839</v>
      </c>
      <c r="F2816" s="32">
        <v>46451</v>
      </c>
      <c r="G2816" t="s">
        <v>514</v>
      </c>
      <c r="H2816">
        <v>47128179</v>
      </c>
      <c r="I2816" t="s">
        <v>2477</v>
      </c>
      <c r="J2816" t="s">
        <v>2478</v>
      </c>
      <c r="K2816" t="s">
        <v>530</v>
      </c>
      <c r="N2816">
        <v>0</v>
      </c>
      <c r="O2816">
        <v>0</v>
      </c>
      <c r="P2816" t="str">
        <f t="shared" si="43"/>
        <v>N</v>
      </c>
      <c r="Q2816" t="s">
        <v>8546</v>
      </c>
    </row>
    <row r="2817" spans="1:17" x14ac:dyDescent="0.25">
      <c r="A2817" t="s">
        <v>2997</v>
      </c>
      <c r="B2817" t="s">
        <v>2783</v>
      </c>
      <c r="C2817">
        <v>2027</v>
      </c>
      <c r="D2817" t="s">
        <v>636</v>
      </c>
      <c r="E2817" t="s">
        <v>839</v>
      </c>
      <c r="F2817" s="32">
        <v>46451</v>
      </c>
      <c r="G2817" t="s">
        <v>514</v>
      </c>
      <c r="H2817">
        <v>47128655</v>
      </c>
      <c r="I2817" t="s">
        <v>2474</v>
      </c>
      <c r="J2817" t="s">
        <v>2475</v>
      </c>
      <c r="K2817" t="s">
        <v>530</v>
      </c>
      <c r="N2817">
        <v>0</v>
      </c>
      <c r="O2817">
        <v>0</v>
      </c>
      <c r="P2817" t="str">
        <f t="shared" si="43"/>
        <v>N</v>
      </c>
      <c r="Q2817" t="s">
        <v>8547</v>
      </c>
    </row>
    <row r="2818" spans="1:17" x14ac:dyDescent="0.25">
      <c r="A2818" t="s">
        <v>2998</v>
      </c>
      <c r="B2818" t="s">
        <v>2783</v>
      </c>
      <c r="C2818">
        <v>2027</v>
      </c>
      <c r="D2818" t="s">
        <v>636</v>
      </c>
      <c r="E2818" t="s">
        <v>839</v>
      </c>
      <c r="F2818" s="32">
        <v>46451</v>
      </c>
      <c r="G2818" t="s">
        <v>514</v>
      </c>
      <c r="H2818">
        <v>47132096</v>
      </c>
      <c r="I2818" t="s">
        <v>2468</v>
      </c>
      <c r="J2818" t="s">
        <v>2469</v>
      </c>
      <c r="K2818" t="s">
        <v>530</v>
      </c>
      <c r="N2818">
        <v>60</v>
      </c>
      <c r="O2818">
        <v>60</v>
      </c>
      <c r="P2818" t="str">
        <f t="shared" si="43"/>
        <v>N</v>
      </c>
      <c r="Q2818" t="s">
        <v>8548</v>
      </c>
    </row>
    <row r="2819" spans="1:17" x14ac:dyDescent="0.25">
      <c r="A2819" t="s">
        <v>2999</v>
      </c>
      <c r="B2819" t="s">
        <v>2783</v>
      </c>
      <c r="C2819">
        <v>2027</v>
      </c>
      <c r="D2819" t="s">
        <v>636</v>
      </c>
      <c r="E2819" t="s">
        <v>839</v>
      </c>
      <c r="F2819" s="32">
        <v>46451</v>
      </c>
      <c r="G2819" t="s">
        <v>514</v>
      </c>
      <c r="H2819">
        <v>47129222</v>
      </c>
      <c r="I2819" t="s">
        <v>2459</v>
      </c>
      <c r="J2819" t="s">
        <v>2460</v>
      </c>
      <c r="K2819" t="s">
        <v>530</v>
      </c>
      <c r="N2819">
        <v>0</v>
      </c>
      <c r="O2819">
        <v>0</v>
      </c>
      <c r="P2819" t="str">
        <f t="shared" ref="P2819:P2882" si="44">IF(N2819=O2819,"N","Y")</f>
        <v>N</v>
      </c>
      <c r="Q2819" t="s">
        <v>8549</v>
      </c>
    </row>
    <row r="2820" spans="1:17" x14ac:dyDescent="0.25">
      <c r="A2820" t="s">
        <v>3000</v>
      </c>
      <c r="B2820" t="s">
        <v>2783</v>
      </c>
      <c r="C2820">
        <v>2027</v>
      </c>
      <c r="D2820" t="s">
        <v>636</v>
      </c>
      <c r="E2820" t="s">
        <v>839</v>
      </c>
      <c r="F2820" s="32">
        <v>46451</v>
      </c>
      <c r="G2820" t="s">
        <v>514</v>
      </c>
      <c r="H2820">
        <v>47128561</v>
      </c>
      <c r="I2820" t="s">
        <v>2462</v>
      </c>
      <c r="J2820" t="s">
        <v>2463</v>
      </c>
      <c r="K2820" t="s">
        <v>530</v>
      </c>
      <c r="N2820">
        <v>0</v>
      </c>
      <c r="O2820">
        <v>0</v>
      </c>
      <c r="P2820" t="str">
        <f t="shared" si="44"/>
        <v>N</v>
      </c>
      <c r="Q2820" t="s">
        <v>8550</v>
      </c>
    </row>
    <row r="2821" spans="1:17" x14ac:dyDescent="0.25">
      <c r="A2821" t="s">
        <v>3001</v>
      </c>
      <c r="B2821" t="s">
        <v>2783</v>
      </c>
      <c r="C2821">
        <v>2027</v>
      </c>
      <c r="D2821" t="s">
        <v>636</v>
      </c>
      <c r="E2821" t="s">
        <v>839</v>
      </c>
      <c r="F2821" s="32">
        <v>46451</v>
      </c>
      <c r="G2821" t="s">
        <v>514</v>
      </c>
      <c r="H2821">
        <v>47129274</v>
      </c>
      <c r="I2821" t="s">
        <v>2486</v>
      </c>
      <c r="J2821" t="s">
        <v>2487</v>
      </c>
      <c r="K2821" t="s">
        <v>530</v>
      </c>
      <c r="N2821">
        <v>0</v>
      </c>
      <c r="O2821">
        <v>0</v>
      </c>
      <c r="P2821" t="str">
        <f t="shared" si="44"/>
        <v>N</v>
      </c>
      <c r="Q2821" t="s">
        <v>8551</v>
      </c>
    </row>
    <row r="2822" spans="1:17" x14ac:dyDescent="0.25">
      <c r="A2822" t="s">
        <v>3002</v>
      </c>
      <c r="B2822" t="s">
        <v>2783</v>
      </c>
      <c r="C2822">
        <v>2027</v>
      </c>
      <c r="D2822" t="s">
        <v>636</v>
      </c>
      <c r="E2822" t="s">
        <v>839</v>
      </c>
      <c r="F2822" s="32">
        <v>46451</v>
      </c>
      <c r="G2822" t="s">
        <v>514</v>
      </c>
      <c r="H2822">
        <v>47129262</v>
      </c>
      <c r="I2822" t="s">
        <v>2453</v>
      </c>
      <c r="J2822" t="s">
        <v>2454</v>
      </c>
      <c r="K2822" t="s">
        <v>530</v>
      </c>
      <c r="N2822">
        <v>0</v>
      </c>
      <c r="O2822">
        <v>0</v>
      </c>
      <c r="P2822" t="str">
        <f t="shared" si="44"/>
        <v>N</v>
      </c>
      <c r="Q2822" t="s">
        <v>8552</v>
      </c>
    </row>
    <row r="2823" spans="1:17" x14ac:dyDescent="0.25">
      <c r="A2823" t="s">
        <v>3003</v>
      </c>
      <c r="B2823" t="s">
        <v>2783</v>
      </c>
      <c r="C2823">
        <v>2027</v>
      </c>
      <c r="D2823" t="s">
        <v>636</v>
      </c>
      <c r="E2823" t="s">
        <v>839</v>
      </c>
      <c r="F2823" s="32">
        <v>46451</v>
      </c>
      <c r="G2823" t="s">
        <v>514</v>
      </c>
      <c r="H2823">
        <v>47129558</v>
      </c>
      <c r="I2823" t="s">
        <v>2480</v>
      </c>
      <c r="J2823" t="s">
        <v>2481</v>
      </c>
      <c r="K2823" t="s">
        <v>530</v>
      </c>
      <c r="N2823">
        <v>0</v>
      </c>
      <c r="O2823">
        <v>0</v>
      </c>
      <c r="P2823" t="str">
        <f t="shared" si="44"/>
        <v>N</v>
      </c>
      <c r="Q2823" t="s">
        <v>8553</v>
      </c>
    </row>
    <row r="2824" spans="1:17" x14ac:dyDescent="0.25">
      <c r="A2824" t="s">
        <v>3004</v>
      </c>
      <c r="B2824" t="s">
        <v>2783</v>
      </c>
      <c r="C2824">
        <v>2027</v>
      </c>
      <c r="D2824" t="s">
        <v>636</v>
      </c>
      <c r="E2824" t="s">
        <v>839</v>
      </c>
      <c r="F2824" s="32">
        <v>46451</v>
      </c>
      <c r="G2824" t="s">
        <v>514</v>
      </c>
      <c r="H2824">
        <v>47129727</v>
      </c>
      <c r="I2824" t="s">
        <v>2465</v>
      </c>
      <c r="J2824" t="s">
        <v>2466</v>
      </c>
      <c r="K2824" t="s">
        <v>530</v>
      </c>
      <c r="N2824">
        <v>0</v>
      </c>
      <c r="O2824">
        <v>0</v>
      </c>
      <c r="P2824" t="str">
        <f t="shared" si="44"/>
        <v>N</v>
      </c>
      <c r="Q2824" t="s">
        <v>8554</v>
      </c>
    </row>
    <row r="2825" spans="1:17" x14ac:dyDescent="0.25">
      <c r="A2825" t="s">
        <v>3005</v>
      </c>
      <c r="B2825" t="s">
        <v>2783</v>
      </c>
      <c r="C2825">
        <v>2027</v>
      </c>
      <c r="D2825" t="s">
        <v>636</v>
      </c>
      <c r="E2825" t="s">
        <v>839</v>
      </c>
      <c r="F2825" s="32">
        <v>46451</v>
      </c>
      <c r="G2825" t="s">
        <v>514</v>
      </c>
      <c r="H2825">
        <v>47129273</v>
      </c>
      <c r="I2825" t="s">
        <v>2483</v>
      </c>
      <c r="J2825" t="s">
        <v>2484</v>
      </c>
      <c r="K2825" t="s">
        <v>530</v>
      </c>
      <c r="N2825">
        <v>0</v>
      </c>
      <c r="O2825">
        <v>0</v>
      </c>
      <c r="P2825" t="str">
        <f t="shared" si="44"/>
        <v>N</v>
      </c>
      <c r="Q2825" t="s">
        <v>8555</v>
      </c>
    </row>
    <row r="2826" spans="1:17" x14ac:dyDescent="0.25">
      <c r="A2826" t="s">
        <v>3006</v>
      </c>
      <c r="B2826" t="s">
        <v>2783</v>
      </c>
      <c r="C2826">
        <v>2027</v>
      </c>
      <c r="D2826" t="s">
        <v>636</v>
      </c>
      <c r="E2826" t="s">
        <v>839</v>
      </c>
      <c r="F2826" s="32">
        <v>46451</v>
      </c>
      <c r="G2826" t="s">
        <v>514</v>
      </c>
      <c r="H2826">
        <v>47128247</v>
      </c>
      <c r="I2826" t="s">
        <v>2492</v>
      </c>
      <c r="J2826" t="s">
        <v>2493</v>
      </c>
      <c r="K2826" t="s">
        <v>530</v>
      </c>
      <c r="N2826">
        <v>0</v>
      </c>
      <c r="O2826">
        <v>0</v>
      </c>
      <c r="P2826" t="str">
        <f t="shared" si="44"/>
        <v>N</v>
      </c>
      <c r="Q2826" t="s">
        <v>8556</v>
      </c>
    </row>
    <row r="2827" spans="1:17" x14ac:dyDescent="0.25">
      <c r="A2827" t="s">
        <v>3007</v>
      </c>
      <c r="B2827" t="s">
        <v>2783</v>
      </c>
      <c r="C2827">
        <v>2027</v>
      </c>
      <c r="D2827" t="s">
        <v>636</v>
      </c>
      <c r="E2827" t="s">
        <v>839</v>
      </c>
      <c r="F2827" s="32">
        <v>46451</v>
      </c>
      <c r="G2827" t="s">
        <v>514</v>
      </c>
      <c r="H2827">
        <v>47128587</v>
      </c>
      <c r="I2827" t="s">
        <v>2489</v>
      </c>
      <c r="J2827" t="s">
        <v>2490</v>
      </c>
      <c r="K2827" t="s">
        <v>530</v>
      </c>
      <c r="N2827">
        <v>0</v>
      </c>
      <c r="O2827">
        <v>0</v>
      </c>
      <c r="P2827" t="str">
        <f t="shared" si="44"/>
        <v>N</v>
      </c>
      <c r="Q2827" t="s">
        <v>8557</v>
      </c>
    </row>
    <row r="2828" spans="1:17" x14ac:dyDescent="0.25">
      <c r="A2828" t="s">
        <v>3506</v>
      </c>
      <c r="B2828" t="s">
        <v>1080</v>
      </c>
      <c r="C2828">
        <v>2027</v>
      </c>
      <c r="D2828" t="s">
        <v>636</v>
      </c>
      <c r="E2828" t="s">
        <v>839</v>
      </c>
      <c r="F2828" s="32">
        <v>46451</v>
      </c>
      <c r="G2828" t="s">
        <v>514</v>
      </c>
      <c r="H2828">
        <v>47128787</v>
      </c>
      <c r="I2828" t="s">
        <v>1453</v>
      </c>
      <c r="J2828" t="s">
        <v>1452</v>
      </c>
      <c r="K2828" t="s">
        <v>530</v>
      </c>
      <c r="N2828">
        <v>0</v>
      </c>
      <c r="O2828">
        <v>0</v>
      </c>
      <c r="P2828" t="str">
        <f t="shared" si="44"/>
        <v>N</v>
      </c>
      <c r="Q2828" t="s">
        <v>8558</v>
      </c>
    </row>
    <row r="2829" spans="1:17" x14ac:dyDescent="0.25">
      <c r="A2829" t="s">
        <v>3507</v>
      </c>
      <c r="B2829" t="s">
        <v>1080</v>
      </c>
      <c r="C2829">
        <v>2027</v>
      </c>
      <c r="D2829" t="s">
        <v>636</v>
      </c>
      <c r="E2829" t="s">
        <v>839</v>
      </c>
      <c r="F2829" s="32">
        <v>46451</v>
      </c>
      <c r="G2829" t="s">
        <v>514</v>
      </c>
      <c r="H2829">
        <v>47146464</v>
      </c>
      <c r="I2829" t="s">
        <v>1438</v>
      </c>
      <c r="J2829" t="s">
        <v>1437</v>
      </c>
      <c r="K2829" t="s">
        <v>530</v>
      </c>
      <c r="N2829">
        <v>0</v>
      </c>
      <c r="O2829">
        <v>0</v>
      </c>
      <c r="P2829" t="str">
        <f t="shared" si="44"/>
        <v>N</v>
      </c>
      <c r="Q2829" t="s">
        <v>8559</v>
      </c>
    </row>
    <row r="2830" spans="1:17" x14ac:dyDescent="0.25">
      <c r="A2830" t="s">
        <v>3508</v>
      </c>
      <c r="B2830" t="s">
        <v>1080</v>
      </c>
      <c r="C2830">
        <v>2027</v>
      </c>
      <c r="D2830" t="s">
        <v>636</v>
      </c>
      <c r="E2830" t="s">
        <v>839</v>
      </c>
      <c r="F2830" s="32">
        <v>46451</v>
      </c>
      <c r="G2830" t="s">
        <v>514</v>
      </c>
      <c r="H2830">
        <v>47146463</v>
      </c>
      <c r="I2830" t="s">
        <v>1441</v>
      </c>
      <c r="J2830" t="s">
        <v>1440</v>
      </c>
      <c r="K2830" t="s">
        <v>530</v>
      </c>
      <c r="N2830">
        <v>0</v>
      </c>
      <c r="O2830">
        <v>0</v>
      </c>
      <c r="P2830" t="str">
        <f t="shared" si="44"/>
        <v>N</v>
      </c>
      <c r="Q2830" t="s">
        <v>8560</v>
      </c>
    </row>
    <row r="2831" spans="1:17" x14ac:dyDescent="0.25">
      <c r="A2831" t="s">
        <v>3509</v>
      </c>
      <c r="B2831" t="s">
        <v>1080</v>
      </c>
      <c r="C2831">
        <v>2027</v>
      </c>
      <c r="D2831" t="s">
        <v>636</v>
      </c>
      <c r="E2831" t="s">
        <v>839</v>
      </c>
      <c r="F2831" s="32">
        <v>46451</v>
      </c>
      <c r="G2831" t="s">
        <v>514</v>
      </c>
      <c r="H2831">
        <v>47128729</v>
      </c>
      <c r="I2831" t="s">
        <v>1149</v>
      </c>
      <c r="J2831" t="s">
        <v>1148</v>
      </c>
      <c r="K2831" t="s">
        <v>530</v>
      </c>
      <c r="N2831">
        <v>0</v>
      </c>
      <c r="O2831">
        <v>0</v>
      </c>
      <c r="P2831" t="str">
        <f t="shared" si="44"/>
        <v>N</v>
      </c>
      <c r="Q2831" t="s">
        <v>8561</v>
      </c>
    </row>
    <row r="2832" spans="1:17" x14ac:dyDescent="0.25">
      <c r="A2832" t="s">
        <v>3510</v>
      </c>
      <c r="B2832" t="s">
        <v>1080</v>
      </c>
      <c r="C2832">
        <v>2027</v>
      </c>
      <c r="D2832" t="s">
        <v>636</v>
      </c>
      <c r="E2832" t="s">
        <v>839</v>
      </c>
      <c r="F2832" s="32">
        <v>46451</v>
      </c>
      <c r="G2832" t="s">
        <v>514</v>
      </c>
      <c r="H2832">
        <v>47128413</v>
      </c>
      <c r="I2832" t="s">
        <v>1397</v>
      </c>
      <c r="J2832" t="s">
        <v>1396</v>
      </c>
      <c r="K2832" t="s">
        <v>530</v>
      </c>
      <c r="N2832">
        <v>0</v>
      </c>
      <c r="O2832">
        <v>0</v>
      </c>
      <c r="P2832" t="str">
        <f t="shared" si="44"/>
        <v>N</v>
      </c>
      <c r="Q2832" t="s">
        <v>8562</v>
      </c>
    </row>
    <row r="2833" spans="1:17" x14ac:dyDescent="0.25">
      <c r="A2833" t="s">
        <v>3511</v>
      </c>
      <c r="B2833" t="s">
        <v>1080</v>
      </c>
      <c r="C2833">
        <v>2027</v>
      </c>
      <c r="D2833" t="s">
        <v>636</v>
      </c>
      <c r="E2833" t="s">
        <v>839</v>
      </c>
      <c r="F2833" s="32">
        <v>46451</v>
      </c>
      <c r="G2833" t="s">
        <v>514</v>
      </c>
      <c r="H2833">
        <v>47128783</v>
      </c>
      <c r="I2833" t="s">
        <v>1280</v>
      </c>
      <c r="J2833" t="s">
        <v>1279</v>
      </c>
      <c r="K2833" t="s">
        <v>530</v>
      </c>
      <c r="N2833">
        <v>0</v>
      </c>
      <c r="O2833">
        <v>0</v>
      </c>
      <c r="P2833" t="str">
        <f t="shared" si="44"/>
        <v>N</v>
      </c>
      <c r="Q2833" t="s">
        <v>8563</v>
      </c>
    </row>
    <row r="2834" spans="1:17" x14ac:dyDescent="0.25">
      <c r="A2834" t="s">
        <v>3512</v>
      </c>
      <c r="B2834" t="s">
        <v>1080</v>
      </c>
      <c r="C2834">
        <v>2027</v>
      </c>
      <c r="D2834" t="s">
        <v>636</v>
      </c>
      <c r="E2834" t="s">
        <v>839</v>
      </c>
      <c r="F2834" s="32">
        <v>46451</v>
      </c>
      <c r="G2834" t="s">
        <v>514</v>
      </c>
      <c r="H2834">
        <v>47128944</v>
      </c>
      <c r="I2834" t="s">
        <v>1137</v>
      </c>
      <c r="J2834" t="s">
        <v>1136</v>
      </c>
      <c r="K2834" t="s">
        <v>530</v>
      </c>
      <c r="N2834">
        <v>0</v>
      </c>
      <c r="O2834">
        <v>0</v>
      </c>
      <c r="P2834" t="str">
        <f t="shared" si="44"/>
        <v>N</v>
      </c>
      <c r="Q2834" t="s">
        <v>8564</v>
      </c>
    </row>
    <row r="2835" spans="1:17" x14ac:dyDescent="0.25">
      <c r="A2835" t="s">
        <v>3513</v>
      </c>
      <c r="B2835" t="s">
        <v>1080</v>
      </c>
      <c r="C2835">
        <v>2027</v>
      </c>
      <c r="D2835" t="s">
        <v>636</v>
      </c>
      <c r="E2835" t="s">
        <v>839</v>
      </c>
      <c r="F2835" s="32">
        <v>46451</v>
      </c>
      <c r="G2835" t="s">
        <v>514</v>
      </c>
      <c r="H2835">
        <v>47129547</v>
      </c>
      <c r="I2835" t="s">
        <v>1128</v>
      </c>
      <c r="J2835" t="s">
        <v>1352</v>
      </c>
      <c r="K2835" t="s">
        <v>530</v>
      </c>
      <c r="N2835">
        <v>0</v>
      </c>
      <c r="O2835">
        <v>0</v>
      </c>
      <c r="P2835" t="str">
        <f t="shared" si="44"/>
        <v>N</v>
      </c>
      <c r="Q2835" t="s">
        <v>8565</v>
      </c>
    </row>
    <row r="2836" spans="1:17" x14ac:dyDescent="0.25">
      <c r="A2836" t="s">
        <v>3514</v>
      </c>
      <c r="B2836" t="s">
        <v>1080</v>
      </c>
      <c r="C2836">
        <v>2027</v>
      </c>
      <c r="D2836" t="s">
        <v>636</v>
      </c>
      <c r="E2836" t="s">
        <v>839</v>
      </c>
      <c r="F2836" s="32">
        <v>46451</v>
      </c>
      <c r="G2836" t="s">
        <v>514</v>
      </c>
      <c r="H2836">
        <v>47128518</v>
      </c>
      <c r="I2836" t="s">
        <v>1232</v>
      </c>
      <c r="J2836" t="s">
        <v>1493</v>
      </c>
      <c r="K2836" t="s">
        <v>530</v>
      </c>
      <c r="N2836">
        <v>0</v>
      </c>
      <c r="O2836">
        <v>0</v>
      </c>
      <c r="P2836" t="str">
        <f t="shared" si="44"/>
        <v>N</v>
      </c>
      <c r="Q2836" t="s">
        <v>8566</v>
      </c>
    </row>
    <row r="2837" spans="1:17" x14ac:dyDescent="0.25">
      <c r="A2837" t="s">
        <v>3515</v>
      </c>
      <c r="B2837" t="s">
        <v>1080</v>
      </c>
      <c r="C2837">
        <v>2027</v>
      </c>
      <c r="D2837" t="s">
        <v>636</v>
      </c>
      <c r="E2837" t="s">
        <v>839</v>
      </c>
      <c r="F2837" s="32">
        <v>46451</v>
      </c>
      <c r="G2837" t="s">
        <v>514</v>
      </c>
      <c r="H2837">
        <v>47128977</v>
      </c>
      <c r="I2837" t="s">
        <v>1449</v>
      </c>
      <c r="J2837" t="s">
        <v>1448</v>
      </c>
      <c r="K2837" t="s">
        <v>530</v>
      </c>
      <c r="N2837">
        <v>0</v>
      </c>
      <c r="O2837">
        <v>0</v>
      </c>
      <c r="P2837" t="str">
        <f t="shared" si="44"/>
        <v>N</v>
      </c>
      <c r="Q2837" t="s">
        <v>8567</v>
      </c>
    </row>
    <row r="2838" spans="1:17" x14ac:dyDescent="0.25">
      <c r="A2838" t="s">
        <v>3516</v>
      </c>
      <c r="B2838" t="s">
        <v>1080</v>
      </c>
      <c r="C2838">
        <v>2027</v>
      </c>
      <c r="D2838" t="s">
        <v>636</v>
      </c>
      <c r="E2838" t="s">
        <v>839</v>
      </c>
      <c r="F2838" s="32">
        <v>46451</v>
      </c>
      <c r="G2838" t="s">
        <v>514</v>
      </c>
      <c r="H2838">
        <v>47128168</v>
      </c>
      <c r="I2838" t="s">
        <v>1100</v>
      </c>
      <c r="J2838" t="s">
        <v>1099</v>
      </c>
      <c r="K2838" t="s">
        <v>530</v>
      </c>
      <c r="N2838">
        <v>70</v>
      </c>
      <c r="O2838">
        <v>70</v>
      </c>
      <c r="P2838" t="str">
        <f t="shared" si="44"/>
        <v>N</v>
      </c>
      <c r="Q2838" t="s">
        <v>8568</v>
      </c>
    </row>
    <row r="2839" spans="1:17" x14ac:dyDescent="0.25">
      <c r="A2839" t="s">
        <v>3517</v>
      </c>
      <c r="B2839" t="s">
        <v>1080</v>
      </c>
      <c r="C2839">
        <v>2027</v>
      </c>
      <c r="D2839" t="s">
        <v>636</v>
      </c>
      <c r="E2839" t="s">
        <v>839</v>
      </c>
      <c r="F2839" s="32">
        <v>46451</v>
      </c>
      <c r="G2839" t="s">
        <v>514</v>
      </c>
      <c r="H2839">
        <v>47128687</v>
      </c>
      <c r="I2839" t="s">
        <v>1153</v>
      </c>
      <c r="J2839" t="s">
        <v>1152</v>
      </c>
      <c r="K2839" t="s">
        <v>530</v>
      </c>
      <c r="N2839">
        <v>0</v>
      </c>
      <c r="O2839">
        <v>0</v>
      </c>
      <c r="P2839" t="str">
        <f t="shared" si="44"/>
        <v>N</v>
      </c>
      <c r="Q2839" t="s">
        <v>8569</v>
      </c>
    </row>
    <row r="2840" spans="1:17" x14ac:dyDescent="0.25">
      <c r="A2840" t="s">
        <v>3518</v>
      </c>
      <c r="B2840" t="s">
        <v>1080</v>
      </c>
      <c r="C2840">
        <v>2027</v>
      </c>
      <c r="D2840" t="s">
        <v>636</v>
      </c>
      <c r="E2840" t="s">
        <v>839</v>
      </c>
      <c r="F2840" s="32">
        <v>46451</v>
      </c>
      <c r="G2840" t="s">
        <v>514</v>
      </c>
      <c r="H2840">
        <v>47128585</v>
      </c>
      <c r="I2840" t="s">
        <v>1141</v>
      </c>
      <c r="J2840" t="s">
        <v>1140</v>
      </c>
      <c r="K2840" t="s">
        <v>530</v>
      </c>
      <c r="N2840">
        <v>100</v>
      </c>
      <c r="O2840">
        <v>100</v>
      </c>
      <c r="P2840" t="str">
        <f t="shared" si="44"/>
        <v>N</v>
      </c>
      <c r="Q2840" t="s">
        <v>8570</v>
      </c>
    </row>
    <row r="2841" spans="1:17" x14ac:dyDescent="0.25">
      <c r="A2841" t="s">
        <v>3519</v>
      </c>
      <c r="B2841" t="s">
        <v>1080</v>
      </c>
      <c r="C2841">
        <v>2027</v>
      </c>
      <c r="D2841" t="s">
        <v>636</v>
      </c>
      <c r="E2841" t="s">
        <v>839</v>
      </c>
      <c r="F2841" s="32">
        <v>46451</v>
      </c>
      <c r="G2841" t="s">
        <v>514</v>
      </c>
      <c r="H2841">
        <v>47128906</v>
      </c>
      <c r="I2841" t="s">
        <v>1349</v>
      </c>
      <c r="J2841" t="s">
        <v>1348</v>
      </c>
      <c r="K2841" t="s">
        <v>530</v>
      </c>
      <c r="N2841">
        <v>0</v>
      </c>
      <c r="O2841">
        <v>0</v>
      </c>
      <c r="P2841" t="str">
        <f t="shared" si="44"/>
        <v>N</v>
      </c>
      <c r="Q2841" t="s">
        <v>8571</v>
      </c>
    </row>
    <row r="2842" spans="1:17" x14ac:dyDescent="0.25">
      <c r="A2842" t="s">
        <v>3520</v>
      </c>
      <c r="B2842" t="s">
        <v>1080</v>
      </c>
      <c r="C2842">
        <v>2027</v>
      </c>
      <c r="D2842" t="s">
        <v>636</v>
      </c>
      <c r="E2842" t="s">
        <v>839</v>
      </c>
      <c r="F2842" s="32">
        <v>46451</v>
      </c>
      <c r="G2842" t="s">
        <v>514</v>
      </c>
      <c r="H2842">
        <v>47128585</v>
      </c>
      <c r="I2842" t="s">
        <v>1141</v>
      </c>
      <c r="J2842" t="s">
        <v>1408</v>
      </c>
      <c r="K2842" t="s">
        <v>530</v>
      </c>
      <c r="N2842">
        <v>0</v>
      </c>
      <c r="O2842">
        <v>0</v>
      </c>
      <c r="P2842" t="str">
        <f t="shared" si="44"/>
        <v>N</v>
      </c>
      <c r="Q2842" t="s">
        <v>8572</v>
      </c>
    </row>
    <row r="2843" spans="1:17" x14ac:dyDescent="0.25">
      <c r="A2843" t="s">
        <v>3521</v>
      </c>
      <c r="B2843" t="s">
        <v>1080</v>
      </c>
      <c r="C2843">
        <v>2027</v>
      </c>
      <c r="D2843" t="s">
        <v>636</v>
      </c>
      <c r="E2843" t="s">
        <v>839</v>
      </c>
      <c r="F2843" s="32">
        <v>46451</v>
      </c>
      <c r="G2843" t="s">
        <v>514</v>
      </c>
      <c r="H2843">
        <v>47128518</v>
      </c>
      <c r="I2843" t="s">
        <v>1232</v>
      </c>
      <c r="J2843" t="s">
        <v>1231</v>
      </c>
      <c r="K2843" t="s">
        <v>530</v>
      </c>
      <c r="N2843">
        <v>0</v>
      </c>
      <c r="O2843">
        <v>0</v>
      </c>
      <c r="P2843" t="str">
        <f t="shared" si="44"/>
        <v>N</v>
      </c>
      <c r="Q2843" t="s">
        <v>8573</v>
      </c>
    </row>
    <row r="2844" spans="1:17" x14ac:dyDescent="0.25">
      <c r="A2844" t="s">
        <v>3522</v>
      </c>
      <c r="B2844" t="s">
        <v>1080</v>
      </c>
      <c r="C2844">
        <v>2027</v>
      </c>
      <c r="D2844" t="s">
        <v>636</v>
      </c>
      <c r="E2844" t="s">
        <v>839</v>
      </c>
      <c r="F2844" s="32">
        <v>46451</v>
      </c>
      <c r="G2844" t="s">
        <v>514</v>
      </c>
      <c r="H2844">
        <v>47128680</v>
      </c>
      <c r="I2844" t="s">
        <v>1284</v>
      </c>
      <c r="J2844" t="s">
        <v>1283</v>
      </c>
      <c r="K2844" t="s">
        <v>530</v>
      </c>
      <c r="N2844">
        <v>0</v>
      </c>
      <c r="O2844">
        <v>0</v>
      </c>
      <c r="P2844" t="str">
        <f t="shared" si="44"/>
        <v>N</v>
      </c>
      <c r="Q2844" t="s">
        <v>8574</v>
      </c>
    </row>
    <row r="2845" spans="1:17" x14ac:dyDescent="0.25">
      <c r="A2845" t="s">
        <v>3523</v>
      </c>
      <c r="B2845" t="s">
        <v>1080</v>
      </c>
      <c r="C2845">
        <v>2027</v>
      </c>
      <c r="D2845" t="s">
        <v>636</v>
      </c>
      <c r="E2845" t="s">
        <v>839</v>
      </c>
      <c r="F2845" s="32">
        <v>46451</v>
      </c>
      <c r="G2845" t="s">
        <v>514</v>
      </c>
      <c r="H2845">
        <v>47128024</v>
      </c>
      <c r="I2845" t="s">
        <v>1108</v>
      </c>
      <c r="J2845" t="s">
        <v>1107</v>
      </c>
      <c r="K2845" t="s">
        <v>530</v>
      </c>
      <c r="N2845">
        <v>0</v>
      </c>
      <c r="O2845">
        <v>0</v>
      </c>
      <c r="P2845" t="str">
        <f t="shared" si="44"/>
        <v>N</v>
      </c>
      <c r="Q2845" t="s">
        <v>8575</v>
      </c>
    </row>
    <row r="2846" spans="1:17" x14ac:dyDescent="0.25">
      <c r="A2846" t="s">
        <v>3524</v>
      </c>
      <c r="B2846" t="s">
        <v>1080</v>
      </c>
      <c r="C2846">
        <v>2027</v>
      </c>
      <c r="D2846" t="s">
        <v>636</v>
      </c>
      <c r="E2846" t="s">
        <v>839</v>
      </c>
      <c r="F2846" s="32">
        <v>46451</v>
      </c>
      <c r="G2846" t="s">
        <v>514</v>
      </c>
      <c r="H2846">
        <v>47128944</v>
      </c>
      <c r="I2846" t="s">
        <v>1137</v>
      </c>
      <c r="J2846" t="s">
        <v>1513</v>
      </c>
      <c r="K2846" t="s">
        <v>530</v>
      </c>
      <c r="N2846">
        <v>0</v>
      </c>
      <c r="O2846">
        <v>0</v>
      </c>
      <c r="P2846" t="str">
        <f t="shared" si="44"/>
        <v>N</v>
      </c>
      <c r="Q2846" t="s">
        <v>8576</v>
      </c>
    </row>
    <row r="2847" spans="1:17" x14ac:dyDescent="0.25">
      <c r="A2847" t="s">
        <v>3525</v>
      </c>
      <c r="B2847" t="s">
        <v>1080</v>
      </c>
      <c r="C2847">
        <v>2027</v>
      </c>
      <c r="D2847" t="s">
        <v>636</v>
      </c>
      <c r="E2847" t="s">
        <v>839</v>
      </c>
      <c r="F2847" s="32">
        <v>46451</v>
      </c>
      <c r="G2847" t="s">
        <v>514</v>
      </c>
      <c r="H2847">
        <v>47147546</v>
      </c>
      <c r="I2847" t="s">
        <v>1077</v>
      </c>
      <c r="J2847" t="s">
        <v>1076</v>
      </c>
      <c r="K2847" t="s">
        <v>530</v>
      </c>
      <c r="N2847">
        <v>0</v>
      </c>
      <c r="O2847">
        <v>0</v>
      </c>
      <c r="P2847" t="str">
        <f t="shared" si="44"/>
        <v>N</v>
      </c>
      <c r="Q2847" t="s">
        <v>8577</v>
      </c>
    </row>
    <row r="2848" spans="1:17" x14ac:dyDescent="0.25">
      <c r="A2848" t="s">
        <v>3526</v>
      </c>
      <c r="B2848" t="s">
        <v>1080</v>
      </c>
      <c r="C2848">
        <v>2027</v>
      </c>
      <c r="D2848" t="s">
        <v>636</v>
      </c>
      <c r="E2848" t="s">
        <v>839</v>
      </c>
      <c r="F2848" s="32">
        <v>46451</v>
      </c>
      <c r="G2848" t="s">
        <v>514</v>
      </c>
      <c r="H2848">
        <v>47128346</v>
      </c>
      <c r="I2848" t="s">
        <v>1157</v>
      </c>
      <c r="J2848" t="s">
        <v>1156</v>
      </c>
      <c r="K2848" t="s">
        <v>530</v>
      </c>
      <c r="N2848">
        <v>0</v>
      </c>
      <c r="O2848">
        <v>0</v>
      </c>
      <c r="P2848" t="str">
        <f t="shared" si="44"/>
        <v>N</v>
      </c>
      <c r="Q2848" t="s">
        <v>8578</v>
      </c>
    </row>
    <row r="2849" spans="1:17" x14ac:dyDescent="0.25">
      <c r="A2849" t="s">
        <v>3527</v>
      </c>
      <c r="B2849" t="s">
        <v>1080</v>
      </c>
      <c r="C2849">
        <v>2027</v>
      </c>
      <c r="D2849" t="s">
        <v>636</v>
      </c>
      <c r="E2849" t="s">
        <v>839</v>
      </c>
      <c r="F2849" s="32">
        <v>46451</v>
      </c>
      <c r="G2849" t="s">
        <v>514</v>
      </c>
      <c r="H2849">
        <v>47128800</v>
      </c>
      <c r="I2849" t="s">
        <v>1145</v>
      </c>
      <c r="J2849" t="s">
        <v>1144</v>
      </c>
      <c r="K2849" t="s">
        <v>530</v>
      </c>
      <c r="N2849">
        <v>0</v>
      </c>
      <c r="O2849">
        <v>0</v>
      </c>
      <c r="P2849" t="str">
        <f t="shared" si="44"/>
        <v>N</v>
      </c>
      <c r="Q2849" t="s">
        <v>8579</v>
      </c>
    </row>
    <row r="2850" spans="1:17" x14ac:dyDescent="0.25">
      <c r="A2850" t="s">
        <v>3528</v>
      </c>
      <c r="B2850" t="s">
        <v>1080</v>
      </c>
      <c r="C2850">
        <v>2027</v>
      </c>
      <c r="D2850" t="s">
        <v>636</v>
      </c>
      <c r="E2850" t="s">
        <v>839</v>
      </c>
      <c r="F2850" s="32">
        <v>46451</v>
      </c>
      <c r="G2850" t="s">
        <v>514</v>
      </c>
      <c r="H2850">
        <v>47128109</v>
      </c>
      <c r="I2850" t="s">
        <v>1336</v>
      </c>
      <c r="J2850" t="s">
        <v>1335</v>
      </c>
      <c r="K2850" t="s">
        <v>530</v>
      </c>
      <c r="N2850">
        <v>0</v>
      </c>
      <c r="O2850">
        <v>0</v>
      </c>
      <c r="P2850" t="str">
        <f t="shared" si="44"/>
        <v>N</v>
      </c>
      <c r="Q2850" t="s">
        <v>8580</v>
      </c>
    </row>
    <row r="2851" spans="1:17" x14ac:dyDescent="0.25">
      <c r="A2851" t="s">
        <v>3529</v>
      </c>
      <c r="B2851" t="s">
        <v>1080</v>
      </c>
      <c r="C2851">
        <v>2027</v>
      </c>
      <c r="D2851" t="s">
        <v>636</v>
      </c>
      <c r="E2851" t="s">
        <v>839</v>
      </c>
      <c r="F2851" s="32">
        <v>46451</v>
      </c>
      <c r="G2851" t="s">
        <v>514</v>
      </c>
      <c r="H2851">
        <v>47128430</v>
      </c>
      <c r="I2851" t="s">
        <v>1401</v>
      </c>
      <c r="J2851" t="s">
        <v>1400</v>
      </c>
      <c r="K2851" t="s">
        <v>530</v>
      </c>
      <c r="N2851">
        <v>0</v>
      </c>
      <c r="O2851">
        <v>0</v>
      </c>
      <c r="P2851" t="str">
        <f t="shared" si="44"/>
        <v>N</v>
      </c>
      <c r="Q2851" t="s">
        <v>8581</v>
      </c>
    </row>
    <row r="2852" spans="1:17" x14ac:dyDescent="0.25">
      <c r="A2852" t="s">
        <v>3530</v>
      </c>
      <c r="B2852" t="s">
        <v>1080</v>
      </c>
      <c r="C2852">
        <v>2027</v>
      </c>
      <c r="D2852" t="s">
        <v>636</v>
      </c>
      <c r="E2852" t="s">
        <v>839</v>
      </c>
      <c r="F2852" s="32">
        <v>46451</v>
      </c>
      <c r="G2852" t="s">
        <v>514</v>
      </c>
      <c r="H2852">
        <v>47128522</v>
      </c>
      <c r="I2852" t="s">
        <v>1092</v>
      </c>
      <c r="J2852" t="s">
        <v>1091</v>
      </c>
      <c r="K2852" t="s">
        <v>530</v>
      </c>
      <c r="N2852">
        <v>0</v>
      </c>
      <c r="O2852">
        <v>0</v>
      </c>
      <c r="P2852" t="str">
        <f t="shared" si="44"/>
        <v>N</v>
      </c>
      <c r="Q2852" t="s">
        <v>8582</v>
      </c>
    </row>
    <row r="2853" spans="1:17" x14ac:dyDescent="0.25">
      <c r="A2853" t="s">
        <v>3531</v>
      </c>
      <c r="B2853" t="s">
        <v>1080</v>
      </c>
      <c r="C2853">
        <v>2027</v>
      </c>
      <c r="D2853" t="s">
        <v>636</v>
      </c>
      <c r="E2853" t="s">
        <v>839</v>
      </c>
      <c r="F2853" s="32">
        <v>46451</v>
      </c>
      <c r="G2853" t="s">
        <v>514</v>
      </c>
      <c r="H2853">
        <v>47147546</v>
      </c>
      <c r="I2853" t="s">
        <v>1077</v>
      </c>
      <c r="J2853" t="s">
        <v>1381</v>
      </c>
      <c r="K2853" t="s">
        <v>530</v>
      </c>
      <c r="N2853">
        <v>0</v>
      </c>
      <c r="O2853">
        <v>0</v>
      </c>
      <c r="P2853" t="str">
        <f t="shared" si="44"/>
        <v>N</v>
      </c>
      <c r="Q2853" t="s">
        <v>8583</v>
      </c>
    </row>
    <row r="2854" spans="1:17" x14ac:dyDescent="0.25">
      <c r="A2854" t="s">
        <v>3532</v>
      </c>
      <c r="B2854" t="s">
        <v>1080</v>
      </c>
      <c r="C2854">
        <v>2027</v>
      </c>
      <c r="D2854" t="s">
        <v>636</v>
      </c>
      <c r="E2854" t="s">
        <v>839</v>
      </c>
      <c r="F2854" s="32">
        <v>46451</v>
      </c>
      <c r="G2854" t="s">
        <v>514</v>
      </c>
      <c r="H2854">
        <v>47147658</v>
      </c>
      <c r="I2854" t="s">
        <v>1276</v>
      </c>
      <c r="J2854" t="s">
        <v>1275</v>
      </c>
      <c r="K2854" t="s">
        <v>530</v>
      </c>
      <c r="N2854">
        <v>0</v>
      </c>
      <c r="O2854">
        <v>0</v>
      </c>
      <c r="P2854" t="str">
        <f t="shared" si="44"/>
        <v>N</v>
      </c>
      <c r="Q2854" t="s">
        <v>8584</v>
      </c>
    </row>
    <row r="2855" spans="1:17" x14ac:dyDescent="0.25">
      <c r="A2855" t="s">
        <v>3533</v>
      </c>
      <c r="B2855" t="s">
        <v>1080</v>
      </c>
      <c r="C2855">
        <v>2027</v>
      </c>
      <c r="D2855" t="s">
        <v>636</v>
      </c>
      <c r="E2855" t="s">
        <v>839</v>
      </c>
      <c r="F2855" s="32">
        <v>46451</v>
      </c>
      <c r="G2855" t="s">
        <v>514</v>
      </c>
      <c r="H2855">
        <v>47147546</v>
      </c>
      <c r="I2855" t="s">
        <v>1077</v>
      </c>
      <c r="J2855" t="s">
        <v>1171</v>
      </c>
      <c r="K2855" t="s">
        <v>530</v>
      </c>
      <c r="N2855">
        <v>0</v>
      </c>
      <c r="O2855">
        <v>0</v>
      </c>
      <c r="P2855" t="str">
        <f t="shared" si="44"/>
        <v>N</v>
      </c>
      <c r="Q2855" t="s">
        <v>8585</v>
      </c>
    </row>
    <row r="2856" spans="1:17" x14ac:dyDescent="0.25">
      <c r="A2856" t="s">
        <v>3534</v>
      </c>
      <c r="B2856" t="s">
        <v>1080</v>
      </c>
      <c r="C2856">
        <v>2027</v>
      </c>
      <c r="D2856" t="s">
        <v>636</v>
      </c>
      <c r="E2856" t="s">
        <v>839</v>
      </c>
      <c r="F2856" s="32">
        <v>46451</v>
      </c>
      <c r="G2856" t="s">
        <v>514</v>
      </c>
      <c r="H2856">
        <v>47128039</v>
      </c>
      <c r="I2856" t="s">
        <v>1405</v>
      </c>
      <c r="J2856" t="s">
        <v>1404</v>
      </c>
      <c r="K2856" t="s">
        <v>530</v>
      </c>
      <c r="N2856">
        <v>0</v>
      </c>
      <c r="O2856">
        <v>0</v>
      </c>
      <c r="P2856" t="str">
        <f t="shared" si="44"/>
        <v>N</v>
      </c>
      <c r="Q2856" t="s">
        <v>8586</v>
      </c>
    </row>
    <row r="2857" spans="1:17" x14ac:dyDescent="0.25">
      <c r="A2857" t="s">
        <v>3535</v>
      </c>
      <c r="B2857" t="s">
        <v>1080</v>
      </c>
      <c r="C2857">
        <v>2027</v>
      </c>
      <c r="D2857" t="s">
        <v>636</v>
      </c>
      <c r="E2857" t="s">
        <v>839</v>
      </c>
      <c r="F2857" s="32">
        <v>46451</v>
      </c>
      <c r="G2857" t="s">
        <v>514</v>
      </c>
      <c r="H2857">
        <v>47128555</v>
      </c>
      <c r="I2857" t="s">
        <v>1209</v>
      </c>
      <c r="J2857" t="s">
        <v>1208</v>
      </c>
      <c r="K2857" t="s">
        <v>530</v>
      </c>
      <c r="N2857">
        <v>0</v>
      </c>
      <c r="O2857">
        <v>0</v>
      </c>
      <c r="P2857" t="str">
        <f t="shared" si="44"/>
        <v>N</v>
      </c>
      <c r="Q2857" t="s">
        <v>8587</v>
      </c>
    </row>
    <row r="2858" spans="1:17" x14ac:dyDescent="0.25">
      <c r="A2858" t="s">
        <v>3536</v>
      </c>
      <c r="B2858" t="s">
        <v>1080</v>
      </c>
      <c r="C2858">
        <v>2027</v>
      </c>
      <c r="D2858" t="s">
        <v>636</v>
      </c>
      <c r="E2858" t="s">
        <v>839</v>
      </c>
      <c r="F2858" s="32">
        <v>46451</v>
      </c>
      <c r="G2858" t="s">
        <v>514</v>
      </c>
      <c r="H2858">
        <v>47128597</v>
      </c>
      <c r="I2858" t="s">
        <v>1510</v>
      </c>
      <c r="J2858" t="s">
        <v>1509</v>
      </c>
      <c r="K2858" t="s">
        <v>530</v>
      </c>
      <c r="N2858">
        <v>0</v>
      </c>
      <c r="O2858">
        <v>0</v>
      </c>
      <c r="P2858" t="str">
        <f t="shared" si="44"/>
        <v>N</v>
      </c>
      <c r="Q2858" t="s">
        <v>8588</v>
      </c>
    </row>
    <row r="2859" spans="1:17" x14ac:dyDescent="0.25">
      <c r="A2859" t="s">
        <v>3537</v>
      </c>
      <c r="B2859" t="s">
        <v>1080</v>
      </c>
      <c r="C2859">
        <v>2027</v>
      </c>
      <c r="D2859" t="s">
        <v>636</v>
      </c>
      <c r="E2859" t="s">
        <v>839</v>
      </c>
      <c r="F2859" s="32">
        <v>46451</v>
      </c>
      <c r="G2859" t="s">
        <v>514</v>
      </c>
      <c r="H2859">
        <v>47128257</v>
      </c>
      <c r="I2859" t="s">
        <v>979</v>
      </c>
      <c r="J2859" t="s">
        <v>978</v>
      </c>
      <c r="K2859" t="s">
        <v>530</v>
      </c>
      <c r="N2859">
        <v>50</v>
      </c>
      <c r="O2859">
        <v>50</v>
      </c>
      <c r="P2859" t="str">
        <f t="shared" si="44"/>
        <v>N</v>
      </c>
      <c r="Q2859" t="s">
        <v>8589</v>
      </c>
    </row>
    <row r="2860" spans="1:17" x14ac:dyDescent="0.25">
      <c r="A2860" t="s">
        <v>3538</v>
      </c>
      <c r="B2860" t="s">
        <v>1080</v>
      </c>
      <c r="C2860">
        <v>2027</v>
      </c>
      <c r="D2860" t="s">
        <v>636</v>
      </c>
      <c r="E2860" t="s">
        <v>839</v>
      </c>
      <c r="F2860" s="32">
        <v>46451</v>
      </c>
      <c r="G2860" t="s">
        <v>514</v>
      </c>
      <c r="H2860">
        <v>47128880</v>
      </c>
      <c r="I2860" t="s">
        <v>1014</v>
      </c>
      <c r="J2860" t="s">
        <v>1013</v>
      </c>
      <c r="K2860" t="s">
        <v>530</v>
      </c>
      <c r="N2860">
        <v>0</v>
      </c>
      <c r="O2860">
        <v>0</v>
      </c>
      <c r="P2860" t="str">
        <f t="shared" si="44"/>
        <v>N</v>
      </c>
      <c r="Q2860" t="s">
        <v>8590</v>
      </c>
    </row>
    <row r="2861" spans="1:17" x14ac:dyDescent="0.25">
      <c r="A2861" t="s">
        <v>3539</v>
      </c>
      <c r="B2861" t="s">
        <v>1080</v>
      </c>
      <c r="C2861">
        <v>2027</v>
      </c>
      <c r="D2861" t="s">
        <v>636</v>
      </c>
      <c r="E2861" t="s">
        <v>839</v>
      </c>
      <c r="F2861" s="32">
        <v>46451</v>
      </c>
      <c r="G2861" t="s">
        <v>514</v>
      </c>
      <c r="H2861">
        <v>47128879</v>
      </c>
      <c r="I2861" t="s">
        <v>1132</v>
      </c>
      <c r="J2861" t="s">
        <v>1131</v>
      </c>
      <c r="K2861" t="s">
        <v>530</v>
      </c>
      <c r="N2861">
        <v>0</v>
      </c>
      <c r="O2861">
        <v>0</v>
      </c>
      <c r="P2861" t="str">
        <f t="shared" si="44"/>
        <v>N</v>
      </c>
      <c r="Q2861" t="s">
        <v>8591</v>
      </c>
    </row>
    <row r="2862" spans="1:17" x14ac:dyDescent="0.25">
      <c r="A2862" t="s">
        <v>3540</v>
      </c>
      <c r="B2862" t="s">
        <v>1080</v>
      </c>
      <c r="C2862">
        <v>2027</v>
      </c>
      <c r="D2862" t="s">
        <v>636</v>
      </c>
      <c r="E2862" t="s">
        <v>839</v>
      </c>
      <c r="F2862" s="32">
        <v>46451</v>
      </c>
      <c r="G2862" t="s">
        <v>514</v>
      </c>
      <c r="H2862">
        <v>47128028</v>
      </c>
      <c r="I2862" t="s">
        <v>1035</v>
      </c>
      <c r="J2862" t="s">
        <v>1034</v>
      </c>
      <c r="K2862" t="s">
        <v>530</v>
      </c>
      <c r="N2862">
        <v>0</v>
      </c>
      <c r="O2862">
        <v>0</v>
      </c>
      <c r="P2862" t="str">
        <f t="shared" si="44"/>
        <v>N</v>
      </c>
      <c r="Q2862" t="s">
        <v>8592</v>
      </c>
    </row>
    <row r="2863" spans="1:17" x14ac:dyDescent="0.25">
      <c r="A2863" t="s">
        <v>3541</v>
      </c>
      <c r="B2863" t="s">
        <v>1080</v>
      </c>
      <c r="C2863">
        <v>2027</v>
      </c>
      <c r="D2863" t="s">
        <v>636</v>
      </c>
      <c r="E2863" t="s">
        <v>839</v>
      </c>
      <c r="F2863" s="32">
        <v>46451</v>
      </c>
      <c r="G2863" t="s">
        <v>514</v>
      </c>
      <c r="H2863">
        <v>47128465</v>
      </c>
      <c r="I2863" t="s">
        <v>1333</v>
      </c>
      <c r="J2863" t="s">
        <v>1332</v>
      </c>
      <c r="K2863" t="s">
        <v>530</v>
      </c>
      <c r="N2863">
        <v>0</v>
      </c>
      <c r="O2863">
        <v>0</v>
      </c>
      <c r="P2863" t="str">
        <f t="shared" si="44"/>
        <v>N</v>
      </c>
      <c r="Q2863" t="s">
        <v>8593</v>
      </c>
    </row>
    <row r="2864" spans="1:17" x14ac:dyDescent="0.25">
      <c r="A2864" t="s">
        <v>3542</v>
      </c>
      <c r="B2864" t="s">
        <v>1080</v>
      </c>
      <c r="C2864">
        <v>2027</v>
      </c>
      <c r="D2864" t="s">
        <v>636</v>
      </c>
      <c r="E2864" t="s">
        <v>839</v>
      </c>
      <c r="F2864" s="32">
        <v>46451</v>
      </c>
      <c r="G2864" t="s">
        <v>514</v>
      </c>
      <c r="H2864">
        <v>47128418</v>
      </c>
      <c r="I2864" t="s">
        <v>1082</v>
      </c>
      <c r="J2864" t="s">
        <v>1081</v>
      </c>
      <c r="K2864" t="s">
        <v>530</v>
      </c>
      <c r="N2864">
        <v>70</v>
      </c>
      <c r="O2864">
        <v>70</v>
      </c>
      <c r="P2864" t="str">
        <f t="shared" si="44"/>
        <v>N</v>
      </c>
      <c r="Q2864" t="s">
        <v>8594</v>
      </c>
    </row>
    <row r="2865" spans="1:17" x14ac:dyDescent="0.25">
      <c r="A2865" t="s">
        <v>3543</v>
      </c>
      <c r="B2865" t="s">
        <v>1080</v>
      </c>
      <c r="C2865">
        <v>2027</v>
      </c>
      <c r="D2865" t="s">
        <v>636</v>
      </c>
      <c r="E2865" t="s">
        <v>839</v>
      </c>
      <c r="F2865" s="32">
        <v>46451</v>
      </c>
      <c r="G2865" t="s">
        <v>514</v>
      </c>
      <c r="H2865">
        <v>47128968</v>
      </c>
      <c r="I2865" t="s">
        <v>947</v>
      </c>
      <c r="J2865" t="s">
        <v>946</v>
      </c>
      <c r="K2865" t="s">
        <v>530</v>
      </c>
      <c r="N2865">
        <v>0</v>
      </c>
      <c r="O2865">
        <v>0</v>
      </c>
      <c r="P2865" t="str">
        <f t="shared" si="44"/>
        <v>N</v>
      </c>
      <c r="Q2865" t="s">
        <v>8595</v>
      </c>
    </row>
    <row r="2866" spans="1:17" x14ac:dyDescent="0.25">
      <c r="A2866" t="s">
        <v>3544</v>
      </c>
      <c r="B2866" t="s">
        <v>1080</v>
      </c>
      <c r="C2866">
        <v>2027</v>
      </c>
      <c r="D2866" t="s">
        <v>636</v>
      </c>
      <c r="E2866" t="s">
        <v>839</v>
      </c>
      <c r="F2866" s="32">
        <v>46451</v>
      </c>
      <c r="G2866" t="s">
        <v>514</v>
      </c>
      <c r="H2866">
        <v>47128548</v>
      </c>
      <c r="I2866" t="s">
        <v>958</v>
      </c>
      <c r="J2866" t="s">
        <v>957</v>
      </c>
      <c r="K2866" t="s">
        <v>530</v>
      </c>
      <c r="N2866">
        <v>0</v>
      </c>
      <c r="O2866">
        <v>0</v>
      </c>
      <c r="P2866" t="str">
        <f t="shared" si="44"/>
        <v>N</v>
      </c>
      <c r="Q2866" t="s">
        <v>8596</v>
      </c>
    </row>
    <row r="2867" spans="1:17" x14ac:dyDescent="0.25">
      <c r="A2867" t="s">
        <v>3911</v>
      </c>
      <c r="B2867" t="s">
        <v>1043</v>
      </c>
      <c r="C2867">
        <v>2027</v>
      </c>
      <c r="D2867" t="s">
        <v>636</v>
      </c>
      <c r="E2867" t="s">
        <v>839</v>
      </c>
      <c r="F2867" s="32">
        <v>46451</v>
      </c>
      <c r="G2867" t="s">
        <v>514</v>
      </c>
      <c r="H2867">
        <v>47128421</v>
      </c>
      <c r="I2867" t="s">
        <v>1086</v>
      </c>
      <c r="J2867" t="s">
        <v>1085</v>
      </c>
      <c r="K2867" t="s">
        <v>530</v>
      </c>
      <c r="N2867">
        <v>0</v>
      </c>
      <c r="O2867">
        <v>0</v>
      </c>
      <c r="P2867" t="str">
        <f t="shared" si="44"/>
        <v>N</v>
      </c>
      <c r="Q2867" t="s">
        <v>8597</v>
      </c>
    </row>
    <row r="2868" spans="1:17" x14ac:dyDescent="0.25">
      <c r="A2868" t="s">
        <v>3912</v>
      </c>
      <c r="B2868" t="s">
        <v>1043</v>
      </c>
      <c r="C2868">
        <v>2027</v>
      </c>
      <c r="D2868" t="s">
        <v>636</v>
      </c>
      <c r="E2868" t="s">
        <v>839</v>
      </c>
      <c r="F2868" s="32">
        <v>46451</v>
      </c>
      <c r="G2868" t="s">
        <v>514</v>
      </c>
      <c r="H2868">
        <v>47128364</v>
      </c>
      <c r="I2868" t="s">
        <v>1264</v>
      </c>
      <c r="J2868" t="s">
        <v>1263</v>
      </c>
      <c r="K2868" t="s">
        <v>530</v>
      </c>
      <c r="N2868">
        <v>0</v>
      </c>
      <c r="O2868">
        <v>0</v>
      </c>
      <c r="P2868" t="str">
        <f t="shared" si="44"/>
        <v>N</v>
      </c>
      <c r="Q2868" t="s">
        <v>8598</v>
      </c>
    </row>
    <row r="2869" spans="1:17" x14ac:dyDescent="0.25">
      <c r="A2869" t="s">
        <v>3913</v>
      </c>
      <c r="B2869" t="s">
        <v>1043</v>
      </c>
      <c r="C2869">
        <v>2027</v>
      </c>
      <c r="D2869" t="s">
        <v>636</v>
      </c>
      <c r="E2869" t="s">
        <v>839</v>
      </c>
      <c r="F2869" s="32">
        <v>46451</v>
      </c>
      <c r="G2869" t="s">
        <v>514</v>
      </c>
      <c r="H2869">
        <v>47128633</v>
      </c>
      <c r="I2869" t="s">
        <v>1164</v>
      </c>
      <c r="J2869" t="s">
        <v>1163</v>
      </c>
      <c r="K2869" t="s">
        <v>530</v>
      </c>
      <c r="N2869">
        <v>0</v>
      </c>
      <c r="O2869">
        <v>0</v>
      </c>
      <c r="P2869" t="str">
        <f t="shared" si="44"/>
        <v>N</v>
      </c>
      <c r="Q2869" t="s">
        <v>8599</v>
      </c>
    </row>
    <row r="2870" spans="1:17" x14ac:dyDescent="0.25">
      <c r="A2870" t="s">
        <v>3914</v>
      </c>
      <c r="B2870" t="s">
        <v>1043</v>
      </c>
      <c r="C2870">
        <v>2027</v>
      </c>
      <c r="D2870" t="s">
        <v>636</v>
      </c>
      <c r="E2870" t="s">
        <v>839</v>
      </c>
      <c r="F2870" s="32">
        <v>46451</v>
      </c>
      <c r="G2870" t="s">
        <v>514</v>
      </c>
      <c r="H2870">
        <v>47128706</v>
      </c>
      <c r="I2870" t="s">
        <v>1201</v>
      </c>
      <c r="J2870" t="s">
        <v>1200</v>
      </c>
      <c r="K2870" t="s">
        <v>530</v>
      </c>
      <c r="N2870">
        <v>0</v>
      </c>
      <c r="O2870">
        <v>0</v>
      </c>
      <c r="P2870" t="str">
        <f t="shared" si="44"/>
        <v>N</v>
      </c>
      <c r="Q2870" t="s">
        <v>8600</v>
      </c>
    </row>
    <row r="2871" spans="1:17" x14ac:dyDescent="0.25">
      <c r="A2871" t="s">
        <v>3915</v>
      </c>
      <c r="B2871" t="s">
        <v>1043</v>
      </c>
      <c r="C2871">
        <v>2027</v>
      </c>
      <c r="D2871" t="s">
        <v>636</v>
      </c>
      <c r="E2871" t="s">
        <v>839</v>
      </c>
      <c r="F2871" s="32">
        <v>46451</v>
      </c>
      <c r="G2871" t="s">
        <v>514</v>
      </c>
      <c r="H2871">
        <v>47128046</v>
      </c>
      <c r="I2871" t="s">
        <v>1389</v>
      </c>
      <c r="J2871" t="s">
        <v>1388</v>
      </c>
      <c r="K2871" t="s">
        <v>530</v>
      </c>
      <c r="N2871">
        <v>0</v>
      </c>
      <c r="O2871">
        <v>0</v>
      </c>
      <c r="P2871" t="str">
        <f t="shared" si="44"/>
        <v>N</v>
      </c>
      <c r="Q2871" t="s">
        <v>8601</v>
      </c>
    </row>
    <row r="2872" spans="1:17" x14ac:dyDescent="0.25">
      <c r="A2872" t="s">
        <v>4102</v>
      </c>
      <c r="B2872" t="s">
        <v>1489</v>
      </c>
      <c r="C2872">
        <v>2027</v>
      </c>
      <c r="D2872" t="s">
        <v>636</v>
      </c>
      <c r="E2872" t="s">
        <v>839</v>
      </c>
      <c r="F2872" s="32">
        <v>46451</v>
      </c>
      <c r="G2872" t="s">
        <v>514</v>
      </c>
      <c r="H2872">
        <v>47127948</v>
      </c>
      <c r="I2872" t="s">
        <v>1247</v>
      </c>
      <c r="J2872" t="s">
        <v>1246</v>
      </c>
      <c r="K2872" t="s">
        <v>530</v>
      </c>
      <c r="N2872">
        <v>0</v>
      </c>
      <c r="O2872">
        <v>0</v>
      </c>
      <c r="P2872" t="str">
        <f t="shared" si="44"/>
        <v>N</v>
      </c>
      <c r="Q2872" t="s">
        <v>8602</v>
      </c>
    </row>
    <row r="2873" spans="1:17" x14ac:dyDescent="0.25">
      <c r="A2873" t="s">
        <v>4103</v>
      </c>
      <c r="B2873" t="s">
        <v>1489</v>
      </c>
      <c r="C2873">
        <v>2027</v>
      </c>
      <c r="D2873" t="s">
        <v>636</v>
      </c>
      <c r="E2873" t="s">
        <v>839</v>
      </c>
      <c r="F2873" s="32">
        <v>46451</v>
      </c>
      <c r="G2873" t="s">
        <v>514</v>
      </c>
      <c r="H2873">
        <v>47128337</v>
      </c>
      <c r="I2873" t="s">
        <v>1120</v>
      </c>
      <c r="J2873" t="s">
        <v>1119</v>
      </c>
      <c r="K2873" t="s">
        <v>530</v>
      </c>
      <c r="N2873">
        <v>0</v>
      </c>
      <c r="O2873">
        <v>0</v>
      </c>
      <c r="P2873" t="str">
        <f t="shared" si="44"/>
        <v>N</v>
      </c>
      <c r="Q2873" t="s">
        <v>8603</v>
      </c>
    </row>
    <row r="2874" spans="1:17" x14ac:dyDescent="0.25">
      <c r="A2874" t="s">
        <v>4104</v>
      </c>
      <c r="B2874" t="s">
        <v>1489</v>
      </c>
      <c r="C2874">
        <v>2027</v>
      </c>
      <c r="D2874" t="s">
        <v>636</v>
      </c>
      <c r="E2874" t="s">
        <v>839</v>
      </c>
      <c r="F2874" s="32">
        <v>46451</v>
      </c>
      <c r="G2874" t="s">
        <v>514</v>
      </c>
      <c r="H2874">
        <v>47128977</v>
      </c>
      <c r="I2874" t="s">
        <v>1449</v>
      </c>
      <c r="J2874" t="s">
        <v>1448</v>
      </c>
      <c r="K2874" t="s">
        <v>530</v>
      </c>
      <c r="N2874">
        <v>0</v>
      </c>
      <c r="O2874">
        <v>0</v>
      </c>
      <c r="P2874" t="str">
        <f t="shared" si="44"/>
        <v>N</v>
      </c>
      <c r="Q2874" t="s">
        <v>8604</v>
      </c>
    </row>
    <row r="2875" spans="1:17" x14ac:dyDescent="0.25">
      <c r="A2875" t="s">
        <v>4327</v>
      </c>
      <c r="B2875" t="s">
        <v>916</v>
      </c>
      <c r="C2875">
        <v>2027</v>
      </c>
      <c r="D2875" t="s">
        <v>636</v>
      </c>
      <c r="E2875" t="s">
        <v>839</v>
      </c>
      <c r="F2875" s="32">
        <v>46451</v>
      </c>
      <c r="G2875" t="s">
        <v>514</v>
      </c>
      <c r="H2875">
        <v>47128421</v>
      </c>
      <c r="I2875" t="s">
        <v>1086</v>
      </c>
      <c r="J2875" t="s">
        <v>1085</v>
      </c>
      <c r="K2875" t="s">
        <v>530</v>
      </c>
      <c r="N2875">
        <v>0</v>
      </c>
      <c r="O2875">
        <v>0</v>
      </c>
      <c r="P2875" t="str">
        <f t="shared" si="44"/>
        <v>N</v>
      </c>
      <c r="Q2875" t="s">
        <v>8605</v>
      </c>
    </row>
    <row r="2876" spans="1:17" x14ac:dyDescent="0.25">
      <c r="A2876" t="s">
        <v>4328</v>
      </c>
      <c r="B2876" t="s">
        <v>916</v>
      </c>
      <c r="C2876">
        <v>2027</v>
      </c>
      <c r="D2876" t="s">
        <v>636</v>
      </c>
      <c r="E2876" t="s">
        <v>839</v>
      </c>
      <c r="F2876" s="32">
        <v>46451</v>
      </c>
      <c r="G2876" t="s">
        <v>514</v>
      </c>
      <c r="H2876">
        <v>47128706</v>
      </c>
      <c r="I2876" t="s">
        <v>1201</v>
      </c>
      <c r="J2876" t="s">
        <v>1200</v>
      </c>
      <c r="K2876" t="s">
        <v>530</v>
      </c>
      <c r="N2876">
        <v>0</v>
      </c>
      <c r="O2876">
        <v>0</v>
      </c>
      <c r="P2876" t="str">
        <f t="shared" si="44"/>
        <v>N</v>
      </c>
      <c r="Q2876" t="s">
        <v>8606</v>
      </c>
    </row>
    <row r="2877" spans="1:17" x14ac:dyDescent="0.25">
      <c r="A2877" t="s">
        <v>4329</v>
      </c>
      <c r="B2877" t="s">
        <v>916</v>
      </c>
      <c r="C2877">
        <v>2027</v>
      </c>
      <c r="D2877" t="s">
        <v>636</v>
      </c>
      <c r="E2877" t="s">
        <v>839</v>
      </c>
      <c r="F2877" s="32">
        <v>46451</v>
      </c>
      <c r="G2877" t="s">
        <v>514</v>
      </c>
      <c r="H2877">
        <v>47128364</v>
      </c>
      <c r="I2877" t="s">
        <v>1264</v>
      </c>
      <c r="J2877" t="s">
        <v>1263</v>
      </c>
      <c r="K2877" t="s">
        <v>530</v>
      </c>
      <c r="N2877">
        <v>70</v>
      </c>
      <c r="O2877">
        <v>70</v>
      </c>
      <c r="P2877" t="str">
        <f t="shared" si="44"/>
        <v>N</v>
      </c>
      <c r="Q2877" t="s">
        <v>8607</v>
      </c>
    </row>
    <row r="2878" spans="1:17" x14ac:dyDescent="0.25">
      <c r="A2878" t="s">
        <v>4330</v>
      </c>
      <c r="B2878" t="s">
        <v>916</v>
      </c>
      <c r="C2878">
        <v>2027</v>
      </c>
      <c r="D2878" t="s">
        <v>636</v>
      </c>
      <c r="E2878" t="s">
        <v>839</v>
      </c>
      <c r="F2878" s="32">
        <v>46451</v>
      </c>
      <c r="G2878" t="s">
        <v>514</v>
      </c>
      <c r="H2878">
        <v>47128633</v>
      </c>
      <c r="I2878" t="s">
        <v>1164</v>
      </c>
      <c r="J2878" t="s">
        <v>1163</v>
      </c>
      <c r="K2878" t="s">
        <v>530</v>
      </c>
      <c r="N2878">
        <v>0</v>
      </c>
      <c r="O2878">
        <v>0</v>
      </c>
      <c r="P2878" t="str">
        <f t="shared" si="44"/>
        <v>N</v>
      </c>
      <c r="Q2878" t="s">
        <v>8608</v>
      </c>
    </row>
    <row r="2879" spans="1:17" x14ac:dyDescent="0.25">
      <c r="A2879" t="s">
        <v>4331</v>
      </c>
      <c r="B2879" t="s">
        <v>916</v>
      </c>
      <c r="C2879">
        <v>2027</v>
      </c>
      <c r="D2879" t="s">
        <v>636</v>
      </c>
      <c r="E2879" t="s">
        <v>839</v>
      </c>
      <c r="F2879" s="32">
        <v>46451</v>
      </c>
      <c r="G2879" t="s">
        <v>514</v>
      </c>
      <c r="H2879">
        <v>47128046</v>
      </c>
      <c r="I2879" t="s">
        <v>1389</v>
      </c>
      <c r="J2879" t="s">
        <v>1388</v>
      </c>
      <c r="K2879" t="s">
        <v>530</v>
      </c>
      <c r="N2879">
        <v>0</v>
      </c>
      <c r="O2879">
        <v>0</v>
      </c>
      <c r="P2879" t="str">
        <f t="shared" si="44"/>
        <v>N</v>
      </c>
      <c r="Q2879" t="s">
        <v>8609</v>
      </c>
    </row>
    <row r="2880" spans="1:17" x14ac:dyDescent="0.25">
      <c r="A2880" t="s">
        <v>4332</v>
      </c>
      <c r="B2880" t="s">
        <v>916</v>
      </c>
      <c r="C2880">
        <v>2027</v>
      </c>
      <c r="D2880" t="s">
        <v>636</v>
      </c>
      <c r="E2880" t="s">
        <v>839</v>
      </c>
      <c r="F2880" s="32">
        <v>46451</v>
      </c>
      <c r="G2880" t="s">
        <v>514</v>
      </c>
      <c r="H2880">
        <v>47128355</v>
      </c>
      <c r="I2880" t="s">
        <v>964</v>
      </c>
      <c r="J2880" t="s">
        <v>963</v>
      </c>
      <c r="K2880" t="s">
        <v>530</v>
      </c>
      <c r="N2880">
        <v>0</v>
      </c>
      <c r="O2880">
        <v>0</v>
      </c>
      <c r="P2880" t="str">
        <f t="shared" si="44"/>
        <v>N</v>
      </c>
      <c r="Q2880" t="s">
        <v>8610</v>
      </c>
    </row>
    <row r="2881" spans="1:17" x14ac:dyDescent="0.25">
      <c r="A2881" t="s">
        <v>4333</v>
      </c>
      <c r="B2881" t="s">
        <v>916</v>
      </c>
      <c r="C2881">
        <v>2027</v>
      </c>
      <c r="D2881" t="s">
        <v>636</v>
      </c>
      <c r="E2881" t="s">
        <v>839</v>
      </c>
      <c r="F2881" s="32">
        <v>46451</v>
      </c>
      <c r="G2881" t="s">
        <v>514</v>
      </c>
      <c r="H2881">
        <v>47129548</v>
      </c>
      <c r="I2881" t="s">
        <v>1340</v>
      </c>
      <c r="J2881" t="s">
        <v>1339</v>
      </c>
      <c r="K2881" t="s">
        <v>530</v>
      </c>
      <c r="N2881">
        <v>0</v>
      </c>
      <c r="O2881">
        <v>0</v>
      </c>
      <c r="P2881" t="str">
        <f t="shared" si="44"/>
        <v>N</v>
      </c>
      <c r="Q2881" t="s">
        <v>8611</v>
      </c>
    </row>
    <row r="2882" spans="1:17" x14ac:dyDescent="0.25">
      <c r="A2882" t="s">
        <v>4334</v>
      </c>
      <c r="B2882" t="s">
        <v>916</v>
      </c>
      <c r="C2882">
        <v>2027</v>
      </c>
      <c r="D2882" t="s">
        <v>636</v>
      </c>
      <c r="E2882" t="s">
        <v>839</v>
      </c>
      <c r="F2882" s="32">
        <v>46451</v>
      </c>
      <c r="G2882" t="s">
        <v>514</v>
      </c>
      <c r="H2882">
        <v>47128835</v>
      </c>
      <c r="I2882" t="s">
        <v>998</v>
      </c>
      <c r="J2882" t="s">
        <v>997</v>
      </c>
      <c r="K2882" t="s">
        <v>530</v>
      </c>
      <c r="N2882">
        <v>0</v>
      </c>
      <c r="O2882">
        <v>0</v>
      </c>
      <c r="P2882" t="str">
        <f t="shared" si="44"/>
        <v>N</v>
      </c>
      <c r="Q2882" t="s">
        <v>8612</v>
      </c>
    </row>
    <row r="2883" spans="1:17" x14ac:dyDescent="0.25">
      <c r="A2883" t="s">
        <v>4335</v>
      </c>
      <c r="B2883" t="s">
        <v>916</v>
      </c>
      <c r="C2883">
        <v>2027</v>
      </c>
      <c r="D2883" t="s">
        <v>636</v>
      </c>
      <c r="E2883" t="s">
        <v>839</v>
      </c>
      <c r="F2883" s="32">
        <v>46451</v>
      </c>
      <c r="G2883" t="s">
        <v>514</v>
      </c>
      <c r="H2883">
        <v>47128788</v>
      </c>
      <c r="I2883" t="s">
        <v>4188</v>
      </c>
      <c r="J2883" t="s">
        <v>4189</v>
      </c>
      <c r="K2883" t="s">
        <v>530</v>
      </c>
      <c r="N2883">
        <v>8</v>
      </c>
      <c r="O2883">
        <v>8</v>
      </c>
      <c r="P2883" t="str">
        <f t="shared" ref="P2883:P2946" si="45">IF(N2883=O2883,"N","Y")</f>
        <v>N</v>
      </c>
      <c r="Q2883" t="s">
        <v>8613</v>
      </c>
    </row>
    <row r="2884" spans="1:17" x14ac:dyDescent="0.25">
      <c r="A2884" t="s">
        <v>4336</v>
      </c>
      <c r="B2884" t="s">
        <v>916</v>
      </c>
      <c r="C2884">
        <v>2027</v>
      </c>
      <c r="D2884" t="s">
        <v>636</v>
      </c>
      <c r="E2884" t="s">
        <v>839</v>
      </c>
      <c r="F2884" s="32">
        <v>46451</v>
      </c>
      <c r="G2884" t="s">
        <v>514</v>
      </c>
      <c r="H2884">
        <v>47136348</v>
      </c>
      <c r="I2884" t="s">
        <v>1025</v>
      </c>
      <c r="J2884" t="s">
        <v>1024</v>
      </c>
      <c r="K2884" t="s">
        <v>530</v>
      </c>
      <c r="N2884">
        <v>40</v>
      </c>
      <c r="O2884">
        <v>40</v>
      </c>
      <c r="P2884" t="str">
        <f t="shared" si="45"/>
        <v>N</v>
      </c>
      <c r="Q2884" t="s">
        <v>8614</v>
      </c>
    </row>
    <row r="2885" spans="1:17" x14ac:dyDescent="0.25">
      <c r="A2885" t="s">
        <v>4337</v>
      </c>
      <c r="B2885" t="s">
        <v>916</v>
      </c>
      <c r="C2885">
        <v>2027</v>
      </c>
      <c r="D2885" t="s">
        <v>636</v>
      </c>
      <c r="E2885" t="s">
        <v>839</v>
      </c>
      <c r="F2885" s="32">
        <v>46451</v>
      </c>
      <c r="G2885" t="s">
        <v>514</v>
      </c>
      <c r="H2885">
        <v>47135083</v>
      </c>
      <c r="I2885" t="s">
        <v>4192</v>
      </c>
      <c r="J2885" t="s">
        <v>4193</v>
      </c>
      <c r="K2885" t="s">
        <v>530</v>
      </c>
      <c r="N2885">
        <v>0</v>
      </c>
      <c r="O2885">
        <v>0</v>
      </c>
      <c r="P2885" t="str">
        <f t="shared" si="45"/>
        <v>N</v>
      </c>
      <c r="Q2885" t="s">
        <v>8615</v>
      </c>
    </row>
    <row r="2886" spans="1:17" x14ac:dyDescent="0.25">
      <c r="A2886" t="s">
        <v>4338</v>
      </c>
      <c r="B2886" t="s">
        <v>916</v>
      </c>
      <c r="C2886">
        <v>2027</v>
      </c>
      <c r="D2886" t="s">
        <v>636</v>
      </c>
      <c r="E2886" t="s">
        <v>839</v>
      </c>
      <c r="F2886" s="32">
        <v>46451</v>
      </c>
      <c r="G2886" t="s">
        <v>514</v>
      </c>
      <c r="H2886">
        <v>47128684</v>
      </c>
      <c r="I2886" t="s">
        <v>1005</v>
      </c>
      <c r="J2886" t="s">
        <v>1004</v>
      </c>
      <c r="K2886" t="s">
        <v>530</v>
      </c>
      <c r="N2886">
        <v>0</v>
      </c>
      <c r="O2886">
        <v>0</v>
      </c>
      <c r="P2886" t="str">
        <f t="shared" si="45"/>
        <v>N</v>
      </c>
      <c r="Q2886" t="s">
        <v>8616</v>
      </c>
    </row>
    <row r="2887" spans="1:17" x14ac:dyDescent="0.25">
      <c r="A2887" t="s">
        <v>4339</v>
      </c>
      <c r="B2887" t="s">
        <v>916</v>
      </c>
      <c r="C2887">
        <v>2027</v>
      </c>
      <c r="D2887" t="s">
        <v>636</v>
      </c>
      <c r="E2887" t="s">
        <v>839</v>
      </c>
      <c r="F2887" s="32">
        <v>46451</v>
      </c>
      <c r="G2887" t="s">
        <v>514</v>
      </c>
      <c r="H2887">
        <v>47128469</v>
      </c>
      <c r="I2887" t="s">
        <v>928</v>
      </c>
      <c r="J2887" t="s">
        <v>927</v>
      </c>
      <c r="K2887" t="s">
        <v>530</v>
      </c>
      <c r="N2887">
        <v>0</v>
      </c>
      <c r="O2887">
        <v>0</v>
      </c>
      <c r="P2887" t="str">
        <f t="shared" si="45"/>
        <v>N</v>
      </c>
      <c r="Q2887" t="s">
        <v>8617</v>
      </c>
    </row>
    <row r="2888" spans="1:17" x14ac:dyDescent="0.25">
      <c r="A2888" t="s">
        <v>4340</v>
      </c>
      <c r="B2888" t="s">
        <v>916</v>
      </c>
      <c r="C2888">
        <v>2027</v>
      </c>
      <c r="D2888" t="s">
        <v>636</v>
      </c>
      <c r="E2888" t="s">
        <v>839</v>
      </c>
      <c r="F2888" s="32">
        <v>46451</v>
      </c>
      <c r="G2888" t="s">
        <v>514</v>
      </c>
      <c r="H2888">
        <v>47128359</v>
      </c>
      <c r="I2888" t="s">
        <v>961</v>
      </c>
      <c r="J2888" t="s">
        <v>960</v>
      </c>
      <c r="K2888" t="s">
        <v>530</v>
      </c>
      <c r="N2888">
        <v>0</v>
      </c>
      <c r="O2888">
        <v>0</v>
      </c>
      <c r="P2888" t="str">
        <f t="shared" si="45"/>
        <v>N</v>
      </c>
      <c r="Q2888" t="s">
        <v>8618</v>
      </c>
    </row>
    <row r="2889" spans="1:17" x14ac:dyDescent="0.25">
      <c r="A2889" t="s">
        <v>4341</v>
      </c>
      <c r="B2889" t="s">
        <v>916</v>
      </c>
      <c r="C2889">
        <v>2027</v>
      </c>
      <c r="D2889" t="s">
        <v>636</v>
      </c>
      <c r="E2889" t="s">
        <v>839</v>
      </c>
      <c r="F2889" s="32">
        <v>46451</v>
      </c>
      <c r="G2889" t="s">
        <v>514</v>
      </c>
      <c r="H2889">
        <v>47128202</v>
      </c>
      <c r="I2889" t="s">
        <v>967</v>
      </c>
      <c r="J2889" t="s">
        <v>966</v>
      </c>
      <c r="K2889" t="s">
        <v>530</v>
      </c>
      <c r="N2889">
        <v>40</v>
      </c>
      <c r="O2889">
        <v>40</v>
      </c>
      <c r="P2889" t="str">
        <f t="shared" si="45"/>
        <v>N</v>
      </c>
      <c r="Q2889" t="s">
        <v>8619</v>
      </c>
    </row>
    <row r="2890" spans="1:17" x14ac:dyDescent="0.25">
      <c r="A2890" t="s">
        <v>4342</v>
      </c>
      <c r="B2890" t="s">
        <v>916</v>
      </c>
      <c r="C2890">
        <v>2027</v>
      </c>
      <c r="D2890" t="s">
        <v>636</v>
      </c>
      <c r="E2890" t="s">
        <v>839</v>
      </c>
      <c r="F2890" s="32">
        <v>46451</v>
      </c>
      <c r="G2890" t="s">
        <v>514</v>
      </c>
      <c r="H2890">
        <v>47128154</v>
      </c>
      <c r="I2890" t="s">
        <v>933</v>
      </c>
      <c r="J2890" t="s">
        <v>932</v>
      </c>
      <c r="K2890" t="s">
        <v>530</v>
      </c>
      <c r="N2890">
        <v>0</v>
      </c>
      <c r="O2890">
        <v>0</v>
      </c>
      <c r="P2890" t="str">
        <f t="shared" si="45"/>
        <v>N</v>
      </c>
      <c r="Q2890" t="s">
        <v>8620</v>
      </c>
    </row>
    <row r="2891" spans="1:17" x14ac:dyDescent="0.25">
      <c r="A2891" t="s">
        <v>4343</v>
      </c>
      <c r="B2891" t="s">
        <v>916</v>
      </c>
      <c r="C2891">
        <v>2027</v>
      </c>
      <c r="D2891" t="s">
        <v>636</v>
      </c>
      <c r="E2891" t="s">
        <v>839</v>
      </c>
      <c r="F2891" s="32">
        <v>46451</v>
      </c>
      <c r="G2891" t="s">
        <v>514</v>
      </c>
      <c r="H2891">
        <v>47128108</v>
      </c>
      <c r="I2891" t="s">
        <v>1011</v>
      </c>
      <c r="J2891" t="s">
        <v>1010</v>
      </c>
      <c r="K2891" t="s">
        <v>530</v>
      </c>
      <c r="N2891">
        <v>26</v>
      </c>
      <c r="O2891">
        <v>26</v>
      </c>
      <c r="P2891" t="str">
        <f t="shared" si="45"/>
        <v>N</v>
      </c>
      <c r="Q2891" t="s">
        <v>8621</v>
      </c>
    </row>
    <row r="2892" spans="1:17" x14ac:dyDescent="0.25">
      <c r="A2892" t="s">
        <v>4344</v>
      </c>
      <c r="B2892" t="s">
        <v>916</v>
      </c>
      <c r="C2892">
        <v>2027</v>
      </c>
      <c r="D2892" t="s">
        <v>636</v>
      </c>
      <c r="E2892" t="s">
        <v>839</v>
      </c>
      <c r="F2892" s="32">
        <v>46451</v>
      </c>
      <c r="G2892" t="s">
        <v>514</v>
      </c>
      <c r="H2892">
        <v>47129069</v>
      </c>
      <c r="I2892" t="s">
        <v>1325</v>
      </c>
      <c r="J2892" t="s">
        <v>1324</v>
      </c>
      <c r="K2892" t="s">
        <v>530</v>
      </c>
      <c r="N2892">
        <v>0</v>
      </c>
      <c r="O2892">
        <v>0</v>
      </c>
      <c r="P2892" t="str">
        <f t="shared" si="45"/>
        <v>N</v>
      </c>
      <c r="Q2892" t="s">
        <v>8622</v>
      </c>
    </row>
    <row r="2893" spans="1:17" x14ac:dyDescent="0.25">
      <c r="A2893" t="s">
        <v>4439</v>
      </c>
      <c r="B2893" t="s">
        <v>4428</v>
      </c>
      <c r="C2893">
        <v>2027</v>
      </c>
      <c r="D2893" t="s">
        <v>636</v>
      </c>
      <c r="E2893" t="s">
        <v>839</v>
      </c>
      <c r="F2893" s="32">
        <v>46451</v>
      </c>
      <c r="G2893" t="s">
        <v>514</v>
      </c>
      <c r="H2893">
        <v>47128132</v>
      </c>
      <c r="I2893" t="s">
        <v>4429</v>
      </c>
      <c r="J2893" t="s">
        <v>4430</v>
      </c>
      <c r="K2893" t="s">
        <v>530</v>
      </c>
      <c r="N2893">
        <v>0</v>
      </c>
      <c r="O2893">
        <v>0</v>
      </c>
      <c r="P2893" t="str">
        <f t="shared" si="45"/>
        <v>N</v>
      </c>
      <c r="Q2893" t="s">
        <v>8623</v>
      </c>
    </row>
    <row r="2894" spans="1:17" x14ac:dyDescent="0.25">
      <c r="A2894" t="s">
        <v>4490</v>
      </c>
      <c r="B2894" t="s">
        <v>4445</v>
      </c>
      <c r="C2894">
        <v>2027</v>
      </c>
      <c r="D2894" t="s">
        <v>636</v>
      </c>
      <c r="E2894" t="s">
        <v>839</v>
      </c>
      <c r="F2894" s="32">
        <v>46451</v>
      </c>
      <c r="G2894" t="s">
        <v>514</v>
      </c>
      <c r="H2894">
        <v>47129711</v>
      </c>
      <c r="I2894" t="s">
        <v>4446</v>
      </c>
      <c r="J2894" t="s">
        <v>4447</v>
      </c>
      <c r="K2894" t="s">
        <v>530</v>
      </c>
      <c r="N2894">
        <v>20</v>
      </c>
      <c r="O2894">
        <v>20</v>
      </c>
      <c r="P2894" t="str">
        <f t="shared" si="45"/>
        <v>N</v>
      </c>
      <c r="Q2894" t="s">
        <v>8624</v>
      </c>
    </row>
    <row r="2895" spans="1:17" x14ac:dyDescent="0.25">
      <c r="A2895" t="s">
        <v>4491</v>
      </c>
      <c r="B2895" t="s">
        <v>4445</v>
      </c>
      <c r="C2895">
        <v>2027</v>
      </c>
      <c r="D2895" t="s">
        <v>636</v>
      </c>
      <c r="E2895" t="s">
        <v>839</v>
      </c>
      <c r="F2895" s="32">
        <v>46451</v>
      </c>
      <c r="G2895" t="s">
        <v>514</v>
      </c>
      <c r="H2895">
        <v>47129228</v>
      </c>
      <c r="I2895" t="s">
        <v>4449</v>
      </c>
      <c r="J2895" t="s">
        <v>4450</v>
      </c>
      <c r="K2895" t="s">
        <v>530</v>
      </c>
      <c r="N2895">
        <v>32</v>
      </c>
      <c r="O2895">
        <v>32</v>
      </c>
      <c r="P2895" t="str">
        <f t="shared" si="45"/>
        <v>N</v>
      </c>
      <c r="Q2895" t="s">
        <v>8625</v>
      </c>
    </row>
    <row r="2896" spans="1:17" x14ac:dyDescent="0.25">
      <c r="A2896" t="s">
        <v>4672</v>
      </c>
      <c r="B2896" t="s">
        <v>1044</v>
      </c>
      <c r="C2896">
        <v>2027</v>
      </c>
      <c r="D2896" t="s">
        <v>636</v>
      </c>
      <c r="E2896" t="s">
        <v>839</v>
      </c>
      <c r="F2896" s="32">
        <v>46451</v>
      </c>
      <c r="G2896" t="s">
        <v>514</v>
      </c>
      <c r="H2896">
        <v>47127948</v>
      </c>
      <c r="I2896" t="s">
        <v>1247</v>
      </c>
      <c r="J2896" t="s">
        <v>1246</v>
      </c>
      <c r="K2896" t="s">
        <v>530</v>
      </c>
      <c r="N2896">
        <v>0</v>
      </c>
      <c r="O2896">
        <v>0</v>
      </c>
      <c r="P2896" t="str">
        <f t="shared" si="45"/>
        <v>N</v>
      </c>
      <c r="Q2896" t="s">
        <v>8626</v>
      </c>
    </row>
    <row r="2897" spans="1:17" x14ac:dyDescent="0.25">
      <c r="A2897" t="s">
        <v>4673</v>
      </c>
      <c r="B2897" t="s">
        <v>1044</v>
      </c>
      <c r="C2897">
        <v>2027</v>
      </c>
      <c r="D2897" t="s">
        <v>636</v>
      </c>
      <c r="E2897" t="s">
        <v>839</v>
      </c>
      <c r="F2897" s="32">
        <v>46451</v>
      </c>
      <c r="G2897" t="s">
        <v>514</v>
      </c>
      <c r="H2897">
        <v>47128710</v>
      </c>
      <c r="I2897" t="s">
        <v>1189</v>
      </c>
      <c r="J2897" t="s">
        <v>1188</v>
      </c>
      <c r="K2897" t="s">
        <v>530</v>
      </c>
      <c r="N2897">
        <v>0</v>
      </c>
      <c r="O2897">
        <v>0</v>
      </c>
      <c r="P2897" t="str">
        <f t="shared" si="45"/>
        <v>N</v>
      </c>
      <c r="Q2897" t="s">
        <v>8627</v>
      </c>
    </row>
    <row r="2898" spans="1:17" x14ac:dyDescent="0.25">
      <c r="A2898" t="s">
        <v>4674</v>
      </c>
      <c r="B2898" t="s">
        <v>1044</v>
      </c>
      <c r="C2898">
        <v>2027</v>
      </c>
      <c r="D2898" t="s">
        <v>636</v>
      </c>
      <c r="E2898" t="s">
        <v>839</v>
      </c>
      <c r="F2898" s="32">
        <v>46451</v>
      </c>
      <c r="G2898" t="s">
        <v>514</v>
      </c>
      <c r="H2898">
        <v>47128572</v>
      </c>
      <c r="I2898" t="s">
        <v>1197</v>
      </c>
      <c r="J2898" t="s">
        <v>1196</v>
      </c>
      <c r="K2898" t="s">
        <v>530</v>
      </c>
      <c r="N2898">
        <v>0</v>
      </c>
      <c r="O2898">
        <v>0</v>
      </c>
      <c r="P2898" t="str">
        <f t="shared" si="45"/>
        <v>N</v>
      </c>
      <c r="Q2898" t="s">
        <v>8628</v>
      </c>
    </row>
    <row r="2899" spans="1:17" x14ac:dyDescent="0.25">
      <c r="A2899" t="s">
        <v>4675</v>
      </c>
      <c r="B2899" t="s">
        <v>1044</v>
      </c>
      <c r="C2899">
        <v>2027</v>
      </c>
      <c r="D2899" t="s">
        <v>636</v>
      </c>
      <c r="E2899" t="s">
        <v>839</v>
      </c>
      <c r="F2899" s="32">
        <v>46451</v>
      </c>
      <c r="G2899" t="s">
        <v>514</v>
      </c>
      <c r="H2899">
        <v>47128481</v>
      </c>
      <c r="I2899" t="s">
        <v>1379</v>
      </c>
      <c r="J2899" t="s">
        <v>1378</v>
      </c>
      <c r="K2899" t="s">
        <v>530</v>
      </c>
      <c r="N2899">
        <v>0</v>
      </c>
      <c r="O2899">
        <v>0</v>
      </c>
      <c r="P2899" t="str">
        <f t="shared" si="45"/>
        <v>N</v>
      </c>
      <c r="Q2899" t="s">
        <v>8629</v>
      </c>
    </row>
    <row r="2900" spans="1:17" x14ac:dyDescent="0.25">
      <c r="A2900" t="s">
        <v>4676</v>
      </c>
      <c r="B2900" t="s">
        <v>1044</v>
      </c>
      <c r="C2900">
        <v>2027</v>
      </c>
      <c r="D2900" t="s">
        <v>636</v>
      </c>
      <c r="E2900" t="s">
        <v>839</v>
      </c>
      <c r="F2900" s="32">
        <v>46451</v>
      </c>
      <c r="G2900" t="s">
        <v>514</v>
      </c>
      <c r="H2900">
        <v>47128482</v>
      </c>
      <c r="I2900" t="s">
        <v>1393</v>
      </c>
      <c r="J2900" t="s">
        <v>1392</v>
      </c>
      <c r="K2900" t="s">
        <v>530</v>
      </c>
      <c r="N2900">
        <v>0</v>
      </c>
      <c r="O2900">
        <v>0</v>
      </c>
      <c r="P2900" t="str">
        <f t="shared" si="45"/>
        <v>N</v>
      </c>
      <c r="Q2900" t="s">
        <v>8630</v>
      </c>
    </row>
    <row r="2901" spans="1:17" x14ac:dyDescent="0.25">
      <c r="A2901" t="s">
        <v>4677</v>
      </c>
      <c r="B2901" t="s">
        <v>1044</v>
      </c>
      <c r="C2901">
        <v>2027</v>
      </c>
      <c r="D2901" t="s">
        <v>636</v>
      </c>
      <c r="E2901" t="s">
        <v>839</v>
      </c>
      <c r="F2901" s="32">
        <v>46451</v>
      </c>
      <c r="G2901" t="s">
        <v>514</v>
      </c>
      <c r="H2901">
        <v>47128337</v>
      </c>
      <c r="I2901" t="s">
        <v>1120</v>
      </c>
      <c r="J2901" t="s">
        <v>1119</v>
      </c>
      <c r="K2901" t="s">
        <v>530</v>
      </c>
      <c r="N2901">
        <v>0</v>
      </c>
      <c r="O2901">
        <v>0</v>
      </c>
      <c r="P2901" t="str">
        <f t="shared" si="45"/>
        <v>N</v>
      </c>
      <c r="Q2901" t="s">
        <v>8631</v>
      </c>
    </row>
    <row r="2902" spans="1:17" x14ac:dyDescent="0.25">
      <c r="A2902" t="s">
        <v>4678</v>
      </c>
      <c r="B2902" t="s">
        <v>1044</v>
      </c>
      <c r="C2902">
        <v>2027</v>
      </c>
      <c r="D2902" t="s">
        <v>636</v>
      </c>
      <c r="E2902" t="s">
        <v>839</v>
      </c>
      <c r="F2902" s="32">
        <v>46451</v>
      </c>
      <c r="G2902" t="s">
        <v>514</v>
      </c>
      <c r="H2902">
        <v>47128833</v>
      </c>
      <c r="I2902" t="s">
        <v>1193</v>
      </c>
      <c r="J2902" t="s">
        <v>1192</v>
      </c>
      <c r="K2902" t="s">
        <v>530</v>
      </c>
      <c r="N2902">
        <v>0</v>
      </c>
      <c r="O2902">
        <v>0</v>
      </c>
      <c r="P2902" t="str">
        <f t="shared" si="45"/>
        <v>N</v>
      </c>
      <c r="Q2902" t="s">
        <v>8632</v>
      </c>
    </row>
    <row r="2903" spans="1:17" x14ac:dyDescent="0.25">
      <c r="A2903" t="s">
        <v>4679</v>
      </c>
      <c r="B2903" t="s">
        <v>1044</v>
      </c>
      <c r="C2903">
        <v>2027</v>
      </c>
      <c r="D2903" t="s">
        <v>636</v>
      </c>
      <c r="E2903" t="s">
        <v>839</v>
      </c>
      <c r="F2903" s="32">
        <v>46451</v>
      </c>
      <c r="G2903" t="s">
        <v>514</v>
      </c>
      <c r="H2903">
        <v>47128784</v>
      </c>
      <c r="I2903" t="s">
        <v>1426</v>
      </c>
      <c r="J2903" t="s">
        <v>1425</v>
      </c>
      <c r="K2903" t="s">
        <v>530</v>
      </c>
      <c r="N2903">
        <v>0</v>
      </c>
      <c r="O2903">
        <v>0</v>
      </c>
      <c r="P2903" t="str">
        <f t="shared" si="45"/>
        <v>N</v>
      </c>
      <c r="Q2903" t="s">
        <v>8633</v>
      </c>
    </row>
    <row r="2904" spans="1:17" x14ac:dyDescent="0.25">
      <c r="A2904" t="s">
        <v>4680</v>
      </c>
      <c r="B2904" t="s">
        <v>1044</v>
      </c>
      <c r="C2904">
        <v>2027</v>
      </c>
      <c r="D2904" t="s">
        <v>636</v>
      </c>
      <c r="E2904" t="s">
        <v>839</v>
      </c>
      <c r="F2904" s="32">
        <v>46451</v>
      </c>
      <c r="G2904" t="s">
        <v>514</v>
      </c>
      <c r="H2904">
        <v>47136340</v>
      </c>
      <c r="I2904" t="s">
        <v>1213</v>
      </c>
      <c r="J2904" t="s">
        <v>1212</v>
      </c>
      <c r="K2904" t="s">
        <v>530</v>
      </c>
      <c r="N2904">
        <v>0</v>
      </c>
      <c r="O2904">
        <v>0</v>
      </c>
      <c r="P2904" t="str">
        <f t="shared" si="45"/>
        <v>N</v>
      </c>
      <c r="Q2904" t="s">
        <v>8634</v>
      </c>
    </row>
    <row r="2905" spans="1:17" x14ac:dyDescent="0.25">
      <c r="A2905" t="s">
        <v>4681</v>
      </c>
      <c r="B2905" t="s">
        <v>1044</v>
      </c>
      <c r="C2905">
        <v>2027</v>
      </c>
      <c r="D2905" t="s">
        <v>636</v>
      </c>
      <c r="E2905" t="s">
        <v>839</v>
      </c>
      <c r="F2905" s="32">
        <v>46451</v>
      </c>
      <c r="G2905" t="s">
        <v>514</v>
      </c>
      <c r="H2905">
        <v>47128169</v>
      </c>
      <c r="I2905" t="s">
        <v>1205</v>
      </c>
      <c r="J2905" t="s">
        <v>1204</v>
      </c>
      <c r="K2905" t="s">
        <v>530</v>
      </c>
      <c r="N2905">
        <v>0</v>
      </c>
      <c r="O2905">
        <v>0</v>
      </c>
      <c r="P2905" t="str">
        <f t="shared" si="45"/>
        <v>N</v>
      </c>
      <c r="Q2905" t="s">
        <v>8635</v>
      </c>
    </row>
    <row r="2906" spans="1:17" x14ac:dyDescent="0.25">
      <c r="A2906" t="s">
        <v>4682</v>
      </c>
      <c r="B2906" t="s">
        <v>1044</v>
      </c>
      <c r="C2906">
        <v>2027</v>
      </c>
      <c r="D2906" t="s">
        <v>636</v>
      </c>
      <c r="E2906" t="s">
        <v>839</v>
      </c>
      <c r="F2906" s="32">
        <v>46451</v>
      </c>
      <c r="G2906" t="s">
        <v>514</v>
      </c>
      <c r="H2906">
        <v>47128022</v>
      </c>
      <c r="I2906" t="s">
        <v>1104</v>
      </c>
      <c r="J2906" t="s">
        <v>1103</v>
      </c>
      <c r="K2906" t="s">
        <v>530</v>
      </c>
      <c r="N2906">
        <v>0</v>
      </c>
      <c r="O2906">
        <v>0</v>
      </c>
      <c r="P2906" t="str">
        <f t="shared" si="45"/>
        <v>N</v>
      </c>
      <c r="Q2906" t="s">
        <v>8636</v>
      </c>
    </row>
    <row r="2907" spans="1:17" x14ac:dyDescent="0.25">
      <c r="A2907" t="s">
        <v>4683</v>
      </c>
      <c r="B2907" t="s">
        <v>1044</v>
      </c>
      <c r="C2907">
        <v>2027</v>
      </c>
      <c r="D2907" t="s">
        <v>636</v>
      </c>
      <c r="E2907" t="s">
        <v>839</v>
      </c>
      <c r="F2907" s="32">
        <v>46451</v>
      </c>
      <c r="G2907" t="s">
        <v>514</v>
      </c>
      <c r="H2907">
        <v>47129473</v>
      </c>
      <c r="I2907" t="s">
        <v>1430</v>
      </c>
      <c r="J2907" t="s">
        <v>1429</v>
      </c>
      <c r="K2907" t="s">
        <v>530</v>
      </c>
      <c r="N2907">
        <v>0</v>
      </c>
      <c r="O2907">
        <v>0</v>
      </c>
      <c r="P2907" t="str">
        <f t="shared" si="45"/>
        <v>N</v>
      </c>
      <c r="Q2907" t="s">
        <v>8637</v>
      </c>
    </row>
    <row r="2908" spans="1:17" x14ac:dyDescent="0.25">
      <c r="A2908" t="s">
        <v>4684</v>
      </c>
      <c r="B2908" t="s">
        <v>1044</v>
      </c>
      <c r="C2908">
        <v>2027</v>
      </c>
      <c r="D2908" t="s">
        <v>636</v>
      </c>
      <c r="E2908" t="s">
        <v>839</v>
      </c>
      <c r="F2908" s="32">
        <v>46451</v>
      </c>
      <c r="G2908" t="s">
        <v>514</v>
      </c>
      <c r="H2908">
        <v>47133720</v>
      </c>
      <c r="I2908" t="s">
        <v>1217</v>
      </c>
      <c r="J2908" t="s">
        <v>1216</v>
      </c>
      <c r="K2908" t="s">
        <v>530</v>
      </c>
      <c r="N2908">
        <v>0</v>
      </c>
      <c r="O2908">
        <v>0</v>
      </c>
      <c r="P2908" t="str">
        <f t="shared" si="45"/>
        <v>N</v>
      </c>
      <c r="Q2908" t="s">
        <v>8638</v>
      </c>
    </row>
    <row r="2909" spans="1:17" x14ac:dyDescent="0.25">
      <c r="A2909" t="s">
        <v>4685</v>
      </c>
      <c r="B2909" t="s">
        <v>1044</v>
      </c>
      <c r="C2909">
        <v>2027</v>
      </c>
      <c r="D2909" t="s">
        <v>636</v>
      </c>
      <c r="E2909" t="s">
        <v>839</v>
      </c>
      <c r="F2909" s="32">
        <v>46451</v>
      </c>
      <c r="G2909" t="s">
        <v>514</v>
      </c>
      <c r="H2909">
        <v>47128429</v>
      </c>
      <c r="I2909" t="s">
        <v>1371</v>
      </c>
      <c r="J2909" t="s">
        <v>1370</v>
      </c>
      <c r="K2909" t="s">
        <v>530</v>
      </c>
      <c r="N2909">
        <v>0</v>
      </c>
      <c r="O2909">
        <v>0</v>
      </c>
      <c r="P2909" t="str">
        <f t="shared" si="45"/>
        <v>N</v>
      </c>
      <c r="Q2909" t="s">
        <v>8639</v>
      </c>
    </row>
    <row r="2910" spans="1:17" x14ac:dyDescent="0.25">
      <c r="A2910" t="s">
        <v>4686</v>
      </c>
      <c r="B2910" t="s">
        <v>1044</v>
      </c>
      <c r="C2910">
        <v>2027</v>
      </c>
      <c r="D2910" t="s">
        <v>636</v>
      </c>
      <c r="E2910" t="s">
        <v>839</v>
      </c>
      <c r="F2910" s="32">
        <v>46451</v>
      </c>
      <c r="G2910" t="s">
        <v>514</v>
      </c>
      <c r="H2910">
        <v>47128181</v>
      </c>
      <c r="I2910" t="s">
        <v>1301</v>
      </c>
      <c r="J2910" t="s">
        <v>1300</v>
      </c>
      <c r="K2910" t="s">
        <v>530</v>
      </c>
      <c r="N2910">
        <v>0</v>
      </c>
      <c r="O2910">
        <v>0</v>
      </c>
      <c r="P2910" t="str">
        <f t="shared" si="45"/>
        <v>N</v>
      </c>
      <c r="Q2910" t="s">
        <v>8640</v>
      </c>
    </row>
    <row r="2911" spans="1:17" x14ac:dyDescent="0.25">
      <c r="A2911" t="s">
        <v>5083</v>
      </c>
      <c r="B2911" t="s">
        <v>1090</v>
      </c>
      <c r="C2911">
        <v>2027</v>
      </c>
      <c r="D2911" t="s">
        <v>636</v>
      </c>
      <c r="E2911" t="s">
        <v>839</v>
      </c>
      <c r="F2911" s="32">
        <v>46451</v>
      </c>
      <c r="G2911" t="s">
        <v>514</v>
      </c>
      <c r="H2911">
        <v>47128317</v>
      </c>
      <c r="I2911" t="s">
        <v>985</v>
      </c>
      <c r="J2911" t="s">
        <v>984</v>
      </c>
      <c r="K2911" t="s">
        <v>530</v>
      </c>
      <c r="N2911">
        <v>0</v>
      </c>
      <c r="O2911">
        <v>0</v>
      </c>
      <c r="P2911" t="str">
        <f t="shared" si="45"/>
        <v>N</v>
      </c>
      <c r="Q2911" t="s">
        <v>8641</v>
      </c>
    </row>
    <row r="2912" spans="1:17" x14ac:dyDescent="0.25">
      <c r="A2912" t="s">
        <v>5084</v>
      </c>
      <c r="B2912" t="s">
        <v>1090</v>
      </c>
      <c r="C2912">
        <v>2027</v>
      </c>
      <c r="D2912" t="s">
        <v>636</v>
      </c>
      <c r="E2912" t="s">
        <v>839</v>
      </c>
      <c r="F2912" s="32">
        <v>46451</v>
      </c>
      <c r="G2912" t="s">
        <v>514</v>
      </c>
      <c r="H2912">
        <v>47128137</v>
      </c>
      <c r="I2912" t="s">
        <v>1008</v>
      </c>
      <c r="J2912" t="s">
        <v>1007</v>
      </c>
      <c r="K2912" t="s">
        <v>530</v>
      </c>
      <c r="N2912">
        <v>0</v>
      </c>
      <c r="O2912">
        <v>0</v>
      </c>
      <c r="P2912" t="str">
        <f t="shared" si="45"/>
        <v>N</v>
      </c>
      <c r="Q2912" t="s">
        <v>8642</v>
      </c>
    </row>
    <row r="2913" spans="1:17" x14ac:dyDescent="0.25">
      <c r="A2913" t="s">
        <v>5085</v>
      </c>
      <c r="B2913" t="s">
        <v>1090</v>
      </c>
      <c r="C2913">
        <v>2027</v>
      </c>
      <c r="D2913" t="s">
        <v>636</v>
      </c>
      <c r="E2913" t="s">
        <v>839</v>
      </c>
      <c r="F2913" s="32">
        <v>46451</v>
      </c>
      <c r="G2913" t="s">
        <v>514</v>
      </c>
      <c r="H2913">
        <v>47128085</v>
      </c>
      <c r="I2913" t="s">
        <v>942</v>
      </c>
      <c r="J2913" t="s">
        <v>941</v>
      </c>
      <c r="K2913" t="s">
        <v>530</v>
      </c>
      <c r="N2913">
        <v>0</v>
      </c>
      <c r="O2913">
        <v>0</v>
      </c>
      <c r="P2913" t="str">
        <f t="shared" si="45"/>
        <v>N</v>
      </c>
      <c r="Q2913" t="s">
        <v>8643</v>
      </c>
    </row>
    <row r="2914" spans="1:17" x14ac:dyDescent="0.25">
      <c r="A2914" t="s">
        <v>5086</v>
      </c>
      <c r="B2914" t="s">
        <v>1090</v>
      </c>
      <c r="C2914">
        <v>2027</v>
      </c>
      <c r="D2914" t="s">
        <v>636</v>
      </c>
      <c r="E2914" t="s">
        <v>839</v>
      </c>
      <c r="F2914" s="32">
        <v>46451</v>
      </c>
      <c r="G2914" t="s">
        <v>514</v>
      </c>
      <c r="H2914">
        <v>47128139</v>
      </c>
      <c r="I2914" t="s">
        <v>988</v>
      </c>
      <c r="J2914" t="s">
        <v>987</v>
      </c>
      <c r="K2914" t="s">
        <v>530</v>
      </c>
      <c r="N2914">
        <v>0</v>
      </c>
      <c r="O2914">
        <v>0</v>
      </c>
      <c r="P2914" t="str">
        <f t="shared" si="45"/>
        <v>N</v>
      </c>
      <c r="Q2914" t="s">
        <v>8644</v>
      </c>
    </row>
    <row r="2915" spans="1:17" x14ac:dyDescent="0.25">
      <c r="A2915" t="s">
        <v>5087</v>
      </c>
      <c r="B2915" t="s">
        <v>1090</v>
      </c>
      <c r="C2915">
        <v>2027</v>
      </c>
      <c r="D2915" t="s">
        <v>636</v>
      </c>
      <c r="E2915" t="s">
        <v>839</v>
      </c>
      <c r="F2915" s="32">
        <v>46451</v>
      </c>
      <c r="G2915" t="s">
        <v>514</v>
      </c>
      <c r="H2915">
        <v>47128939</v>
      </c>
      <c r="I2915" t="s">
        <v>1224</v>
      </c>
      <c r="J2915" t="s">
        <v>1223</v>
      </c>
      <c r="K2915" t="s">
        <v>530</v>
      </c>
      <c r="N2915">
        <v>0</v>
      </c>
      <c r="O2915">
        <v>0</v>
      </c>
      <c r="P2915" t="str">
        <f t="shared" si="45"/>
        <v>N</v>
      </c>
      <c r="Q2915" t="s">
        <v>8645</v>
      </c>
    </row>
    <row r="2916" spans="1:17" x14ac:dyDescent="0.25">
      <c r="A2916" t="s">
        <v>5088</v>
      </c>
      <c r="B2916" t="s">
        <v>1090</v>
      </c>
      <c r="C2916">
        <v>2027</v>
      </c>
      <c r="D2916" t="s">
        <v>636</v>
      </c>
      <c r="E2916" t="s">
        <v>839</v>
      </c>
      <c r="F2916" s="32">
        <v>46451</v>
      </c>
      <c r="G2916" t="s">
        <v>514</v>
      </c>
      <c r="H2916">
        <v>47128449</v>
      </c>
      <c r="I2916" t="s">
        <v>1364</v>
      </c>
      <c r="J2916" t="s">
        <v>1363</v>
      </c>
      <c r="K2916" t="s">
        <v>530</v>
      </c>
      <c r="N2916">
        <v>0</v>
      </c>
      <c r="O2916">
        <v>0</v>
      </c>
      <c r="P2916" t="str">
        <f t="shared" si="45"/>
        <v>N</v>
      </c>
      <c r="Q2916" t="s">
        <v>8646</v>
      </c>
    </row>
    <row r="2917" spans="1:17" x14ac:dyDescent="0.25">
      <c r="A2917" t="s">
        <v>5089</v>
      </c>
      <c r="B2917" t="s">
        <v>1090</v>
      </c>
      <c r="C2917">
        <v>2027</v>
      </c>
      <c r="D2917" t="s">
        <v>636</v>
      </c>
      <c r="E2917" t="s">
        <v>839</v>
      </c>
      <c r="F2917" s="32">
        <v>46451</v>
      </c>
      <c r="G2917" t="s">
        <v>514</v>
      </c>
      <c r="H2917">
        <v>47128902</v>
      </c>
      <c r="I2917" t="s">
        <v>1243</v>
      </c>
      <c r="J2917" t="s">
        <v>1242</v>
      </c>
      <c r="K2917" t="s">
        <v>530</v>
      </c>
      <c r="N2917">
        <v>0</v>
      </c>
      <c r="O2917">
        <v>0</v>
      </c>
      <c r="P2917" t="str">
        <f t="shared" si="45"/>
        <v>N</v>
      </c>
      <c r="Q2917" t="s">
        <v>8647</v>
      </c>
    </row>
    <row r="2918" spans="1:17" x14ac:dyDescent="0.25">
      <c r="A2918" t="s">
        <v>5090</v>
      </c>
      <c r="B2918" t="s">
        <v>1090</v>
      </c>
      <c r="C2918">
        <v>2027</v>
      </c>
      <c r="D2918" t="s">
        <v>636</v>
      </c>
      <c r="E2918" t="s">
        <v>839</v>
      </c>
      <c r="F2918" s="32">
        <v>46451</v>
      </c>
      <c r="G2918" t="s">
        <v>514</v>
      </c>
      <c r="H2918">
        <v>47128417</v>
      </c>
      <c r="I2918" t="s">
        <v>1069</v>
      </c>
      <c r="J2918" t="s">
        <v>1068</v>
      </c>
      <c r="K2918" t="s">
        <v>530</v>
      </c>
      <c r="N2918">
        <v>0</v>
      </c>
      <c r="O2918">
        <v>0</v>
      </c>
      <c r="P2918" t="str">
        <f t="shared" si="45"/>
        <v>N</v>
      </c>
      <c r="Q2918" t="s">
        <v>8648</v>
      </c>
    </row>
    <row r="2919" spans="1:17" x14ac:dyDescent="0.25">
      <c r="A2919" t="s">
        <v>5091</v>
      </c>
      <c r="B2919" t="s">
        <v>1090</v>
      </c>
      <c r="C2919">
        <v>2027</v>
      </c>
      <c r="D2919" t="s">
        <v>636</v>
      </c>
      <c r="E2919" t="s">
        <v>839</v>
      </c>
      <c r="F2919" s="32">
        <v>46451</v>
      </c>
      <c r="G2919" t="s">
        <v>514</v>
      </c>
      <c r="H2919">
        <v>47129017</v>
      </c>
      <c r="I2919" t="s">
        <v>1073</v>
      </c>
      <c r="J2919" t="s">
        <v>1072</v>
      </c>
      <c r="K2919" t="s">
        <v>530</v>
      </c>
      <c r="N2919">
        <v>0</v>
      </c>
      <c r="O2919">
        <v>0</v>
      </c>
      <c r="P2919" t="str">
        <f t="shared" si="45"/>
        <v>N</v>
      </c>
      <c r="Q2919" t="s">
        <v>8649</v>
      </c>
    </row>
    <row r="2920" spans="1:17" x14ac:dyDescent="0.25">
      <c r="A2920" t="s">
        <v>5092</v>
      </c>
      <c r="B2920" t="s">
        <v>1090</v>
      </c>
      <c r="C2920">
        <v>2027</v>
      </c>
      <c r="D2920" t="s">
        <v>636</v>
      </c>
      <c r="E2920" t="s">
        <v>839</v>
      </c>
      <c r="F2920" s="32">
        <v>46451</v>
      </c>
      <c r="G2920" t="s">
        <v>514</v>
      </c>
      <c r="H2920">
        <v>47128936</v>
      </c>
      <c r="I2920" t="s">
        <v>1173</v>
      </c>
      <c r="J2920" t="s">
        <v>1172</v>
      </c>
      <c r="K2920" t="s">
        <v>530</v>
      </c>
      <c r="N2920">
        <v>0</v>
      </c>
      <c r="O2920">
        <v>0</v>
      </c>
      <c r="P2920" t="str">
        <f t="shared" si="45"/>
        <v>N</v>
      </c>
      <c r="Q2920" t="s">
        <v>8650</v>
      </c>
    </row>
    <row r="2921" spans="1:17" x14ac:dyDescent="0.25">
      <c r="A2921" t="s">
        <v>5093</v>
      </c>
      <c r="B2921" t="s">
        <v>1090</v>
      </c>
      <c r="C2921">
        <v>2027</v>
      </c>
      <c r="D2921" t="s">
        <v>636</v>
      </c>
      <c r="E2921" t="s">
        <v>839</v>
      </c>
      <c r="F2921" s="32">
        <v>46451</v>
      </c>
      <c r="G2921" t="s">
        <v>514</v>
      </c>
      <c r="H2921">
        <v>47129715</v>
      </c>
      <c r="I2921" t="s">
        <v>1272</v>
      </c>
      <c r="J2921" t="s">
        <v>1271</v>
      </c>
      <c r="K2921" t="s">
        <v>530</v>
      </c>
      <c r="N2921">
        <v>0</v>
      </c>
      <c r="O2921">
        <v>0</v>
      </c>
      <c r="P2921" t="str">
        <f t="shared" si="45"/>
        <v>N</v>
      </c>
      <c r="Q2921" t="s">
        <v>8651</v>
      </c>
    </row>
    <row r="2922" spans="1:17" x14ac:dyDescent="0.25">
      <c r="A2922" t="s">
        <v>5094</v>
      </c>
      <c r="B2922" t="s">
        <v>1090</v>
      </c>
      <c r="C2922">
        <v>2027</v>
      </c>
      <c r="D2922" t="s">
        <v>636</v>
      </c>
      <c r="E2922" t="s">
        <v>839</v>
      </c>
      <c r="F2922" s="32">
        <v>46451</v>
      </c>
      <c r="G2922" t="s">
        <v>514</v>
      </c>
      <c r="H2922">
        <v>47129702</v>
      </c>
      <c r="I2922" t="s">
        <v>1309</v>
      </c>
      <c r="J2922" t="s">
        <v>1308</v>
      </c>
      <c r="K2922" t="s">
        <v>530</v>
      </c>
      <c r="N2922">
        <v>0</v>
      </c>
      <c r="O2922">
        <v>0</v>
      </c>
      <c r="P2922" t="str">
        <f t="shared" si="45"/>
        <v>N</v>
      </c>
      <c r="Q2922" t="s">
        <v>8652</v>
      </c>
    </row>
    <row r="2923" spans="1:17" x14ac:dyDescent="0.25">
      <c r="A2923" t="s">
        <v>5095</v>
      </c>
      <c r="B2923" t="s">
        <v>1090</v>
      </c>
      <c r="C2923">
        <v>2027</v>
      </c>
      <c r="D2923" t="s">
        <v>636</v>
      </c>
      <c r="E2923" t="s">
        <v>839</v>
      </c>
      <c r="F2923" s="32">
        <v>46451</v>
      </c>
      <c r="G2923" t="s">
        <v>514</v>
      </c>
      <c r="H2923">
        <v>47128777</v>
      </c>
      <c r="I2923" t="s">
        <v>1329</v>
      </c>
      <c r="J2923" t="s">
        <v>1328</v>
      </c>
      <c r="K2923" t="s">
        <v>530</v>
      </c>
      <c r="N2923">
        <v>0</v>
      </c>
      <c r="O2923">
        <v>0</v>
      </c>
      <c r="P2923" t="str">
        <f t="shared" si="45"/>
        <v>N</v>
      </c>
      <c r="Q2923" t="s">
        <v>8653</v>
      </c>
    </row>
    <row r="2924" spans="1:17" x14ac:dyDescent="0.25">
      <c r="A2924" t="s">
        <v>5096</v>
      </c>
      <c r="B2924" t="s">
        <v>1090</v>
      </c>
      <c r="C2924">
        <v>2027</v>
      </c>
      <c r="D2924" t="s">
        <v>636</v>
      </c>
      <c r="E2924" t="s">
        <v>839</v>
      </c>
      <c r="F2924" s="32">
        <v>46451</v>
      </c>
      <c r="G2924" t="s">
        <v>514</v>
      </c>
      <c r="H2924">
        <v>47148880</v>
      </c>
      <c r="I2924" t="s">
        <v>1305</v>
      </c>
      <c r="J2924" t="s">
        <v>1304</v>
      </c>
      <c r="K2924" t="s">
        <v>530</v>
      </c>
      <c r="N2924">
        <v>0</v>
      </c>
      <c r="O2924">
        <v>0</v>
      </c>
      <c r="P2924" t="str">
        <f t="shared" si="45"/>
        <v>N</v>
      </c>
      <c r="Q2924" t="s">
        <v>8654</v>
      </c>
    </row>
    <row r="2925" spans="1:17" x14ac:dyDescent="0.25">
      <c r="A2925" t="s">
        <v>5097</v>
      </c>
      <c r="B2925" t="s">
        <v>1090</v>
      </c>
      <c r="C2925">
        <v>2027</v>
      </c>
      <c r="D2925" t="s">
        <v>636</v>
      </c>
      <c r="E2925" t="s">
        <v>839</v>
      </c>
      <c r="F2925" s="32">
        <v>46451</v>
      </c>
      <c r="G2925" t="s">
        <v>514</v>
      </c>
      <c r="H2925">
        <v>47128467</v>
      </c>
      <c r="I2925" t="s">
        <v>1292</v>
      </c>
      <c r="J2925" t="s">
        <v>1291</v>
      </c>
      <c r="K2925" t="s">
        <v>530</v>
      </c>
      <c r="N2925">
        <v>0</v>
      </c>
      <c r="O2925">
        <v>0</v>
      </c>
      <c r="P2925" t="str">
        <f t="shared" si="45"/>
        <v>N</v>
      </c>
      <c r="Q2925" t="s">
        <v>8655</v>
      </c>
    </row>
    <row r="2926" spans="1:17" x14ac:dyDescent="0.25">
      <c r="A2926" t="s">
        <v>5098</v>
      </c>
      <c r="B2926" t="s">
        <v>1090</v>
      </c>
      <c r="C2926">
        <v>2027</v>
      </c>
      <c r="D2926" t="s">
        <v>636</v>
      </c>
      <c r="E2926" t="s">
        <v>839</v>
      </c>
      <c r="F2926" s="32">
        <v>46451</v>
      </c>
      <c r="G2926" t="s">
        <v>514</v>
      </c>
      <c r="H2926">
        <v>47128643</v>
      </c>
      <c r="I2926" t="s">
        <v>1367</v>
      </c>
      <c r="J2926" t="s">
        <v>1366</v>
      </c>
      <c r="K2926" t="s">
        <v>530</v>
      </c>
      <c r="N2926">
        <v>53</v>
      </c>
      <c r="O2926">
        <v>53</v>
      </c>
      <c r="P2926" t="str">
        <f t="shared" si="45"/>
        <v>N</v>
      </c>
      <c r="Q2926" t="s">
        <v>8656</v>
      </c>
    </row>
    <row r="2927" spans="1:17" x14ac:dyDescent="0.25">
      <c r="A2927" t="s">
        <v>5099</v>
      </c>
      <c r="B2927" t="s">
        <v>1090</v>
      </c>
      <c r="C2927">
        <v>2027</v>
      </c>
      <c r="D2927" t="s">
        <v>636</v>
      </c>
      <c r="E2927" t="s">
        <v>839</v>
      </c>
      <c r="F2927" s="32">
        <v>46451</v>
      </c>
      <c r="G2927" t="s">
        <v>514</v>
      </c>
      <c r="H2927">
        <v>47151576</v>
      </c>
      <c r="I2927" t="s">
        <v>1506</v>
      </c>
      <c r="J2927" t="s">
        <v>1505</v>
      </c>
      <c r="K2927" t="s">
        <v>530</v>
      </c>
      <c r="N2927">
        <v>0</v>
      </c>
      <c r="O2927">
        <v>0</v>
      </c>
      <c r="P2927" t="str">
        <f t="shared" si="45"/>
        <v>N</v>
      </c>
      <c r="Q2927" t="s">
        <v>8657</v>
      </c>
    </row>
    <row r="2928" spans="1:17" x14ac:dyDescent="0.25">
      <c r="A2928" t="s">
        <v>5100</v>
      </c>
      <c r="B2928" t="s">
        <v>1090</v>
      </c>
      <c r="C2928">
        <v>2027</v>
      </c>
      <c r="D2928" t="s">
        <v>636</v>
      </c>
      <c r="E2928" t="s">
        <v>839</v>
      </c>
      <c r="F2928" s="32">
        <v>46451</v>
      </c>
      <c r="G2928" t="s">
        <v>514</v>
      </c>
      <c r="H2928">
        <v>47129459</v>
      </c>
      <c r="I2928" t="s">
        <v>1321</v>
      </c>
      <c r="J2928" t="s">
        <v>1320</v>
      </c>
      <c r="K2928" t="s">
        <v>530</v>
      </c>
      <c r="N2928">
        <v>0</v>
      </c>
      <c r="O2928">
        <v>0</v>
      </c>
      <c r="P2928" t="str">
        <f t="shared" si="45"/>
        <v>N</v>
      </c>
      <c r="Q2928" t="s">
        <v>8658</v>
      </c>
    </row>
    <row r="2929" spans="1:17" x14ac:dyDescent="0.25">
      <c r="A2929" t="s">
        <v>5101</v>
      </c>
      <c r="B2929" t="s">
        <v>1090</v>
      </c>
      <c r="C2929">
        <v>2027</v>
      </c>
      <c r="D2929" t="s">
        <v>636</v>
      </c>
      <c r="E2929" t="s">
        <v>839</v>
      </c>
      <c r="F2929" s="32">
        <v>46451</v>
      </c>
      <c r="G2929" t="s">
        <v>514</v>
      </c>
      <c r="H2929">
        <v>47129130</v>
      </c>
      <c r="I2929" t="s">
        <v>1434</v>
      </c>
      <c r="J2929" t="s">
        <v>1433</v>
      </c>
      <c r="K2929" t="s">
        <v>530</v>
      </c>
      <c r="N2929">
        <v>0</v>
      </c>
      <c r="O2929">
        <v>0</v>
      </c>
      <c r="P2929" t="str">
        <f t="shared" si="45"/>
        <v>N</v>
      </c>
      <c r="Q2929" t="s">
        <v>8659</v>
      </c>
    </row>
    <row r="2930" spans="1:17" x14ac:dyDescent="0.25">
      <c r="A2930" t="s">
        <v>5102</v>
      </c>
      <c r="B2930" t="s">
        <v>1090</v>
      </c>
      <c r="C2930">
        <v>2027</v>
      </c>
      <c r="D2930" t="s">
        <v>636</v>
      </c>
      <c r="E2930" t="s">
        <v>839</v>
      </c>
      <c r="F2930" s="32">
        <v>46451</v>
      </c>
      <c r="G2930" t="s">
        <v>514</v>
      </c>
      <c r="H2930">
        <v>47129692</v>
      </c>
      <c r="I2930" t="s">
        <v>1475</v>
      </c>
      <c r="J2930" t="s">
        <v>1474</v>
      </c>
      <c r="K2930" t="s">
        <v>530</v>
      </c>
      <c r="N2930">
        <v>5</v>
      </c>
      <c r="O2930">
        <v>5</v>
      </c>
      <c r="P2930" t="str">
        <f t="shared" si="45"/>
        <v>N</v>
      </c>
      <c r="Q2930" t="s">
        <v>8660</v>
      </c>
    </row>
    <row r="2931" spans="1:17" x14ac:dyDescent="0.25">
      <c r="A2931" t="s">
        <v>5103</v>
      </c>
      <c r="B2931" t="s">
        <v>1090</v>
      </c>
      <c r="C2931">
        <v>2027</v>
      </c>
      <c r="D2931" t="s">
        <v>636</v>
      </c>
      <c r="E2931" t="s">
        <v>839</v>
      </c>
      <c r="F2931" s="32">
        <v>46451</v>
      </c>
      <c r="G2931" t="s">
        <v>514</v>
      </c>
      <c r="H2931">
        <v>47153262</v>
      </c>
      <c r="I2931" t="s">
        <v>1502</v>
      </c>
      <c r="J2931" t="s">
        <v>1501</v>
      </c>
      <c r="K2931" t="s">
        <v>530</v>
      </c>
      <c r="N2931">
        <v>40</v>
      </c>
      <c r="O2931">
        <v>40</v>
      </c>
      <c r="P2931" t="str">
        <f t="shared" si="45"/>
        <v>N</v>
      </c>
      <c r="Q2931" t="s">
        <v>8661</v>
      </c>
    </row>
    <row r="2932" spans="1:17" x14ac:dyDescent="0.25">
      <c r="A2932" t="s">
        <v>5104</v>
      </c>
      <c r="B2932" t="s">
        <v>1090</v>
      </c>
      <c r="C2932">
        <v>2027</v>
      </c>
      <c r="D2932" t="s">
        <v>636</v>
      </c>
      <c r="E2932" t="s">
        <v>839</v>
      </c>
      <c r="F2932" s="32">
        <v>46451</v>
      </c>
      <c r="G2932" t="s">
        <v>514</v>
      </c>
      <c r="H2932">
        <v>47146895</v>
      </c>
      <c r="I2932" t="s">
        <v>1375</v>
      </c>
      <c r="J2932" t="s">
        <v>1374</v>
      </c>
      <c r="K2932" t="s">
        <v>530</v>
      </c>
      <c r="N2932">
        <v>0</v>
      </c>
      <c r="O2932">
        <v>0</v>
      </c>
      <c r="P2932" t="str">
        <f t="shared" si="45"/>
        <v>N</v>
      </c>
      <c r="Q2932" t="s">
        <v>8662</v>
      </c>
    </row>
    <row r="2933" spans="1:17" x14ac:dyDescent="0.25">
      <c r="A2933" t="s">
        <v>5105</v>
      </c>
      <c r="B2933" t="s">
        <v>1090</v>
      </c>
      <c r="C2933">
        <v>2027</v>
      </c>
      <c r="D2933" t="s">
        <v>636</v>
      </c>
      <c r="E2933" t="s">
        <v>839</v>
      </c>
      <c r="F2933" s="32">
        <v>46451</v>
      </c>
      <c r="G2933" t="s">
        <v>514</v>
      </c>
      <c r="H2933">
        <v>47128115</v>
      </c>
      <c r="I2933" t="s">
        <v>1260</v>
      </c>
      <c r="J2933" t="s">
        <v>1499</v>
      </c>
      <c r="K2933" t="s">
        <v>530</v>
      </c>
      <c r="N2933">
        <v>0</v>
      </c>
      <c r="O2933">
        <v>0</v>
      </c>
      <c r="P2933" t="str">
        <f t="shared" si="45"/>
        <v>N</v>
      </c>
      <c r="Q2933" t="s">
        <v>8663</v>
      </c>
    </row>
    <row r="2934" spans="1:17" x14ac:dyDescent="0.25">
      <c r="A2934" t="s">
        <v>5106</v>
      </c>
      <c r="B2934" t="s">
        <v>1090</v>
      </c>
      <c r="C2934">
        <v>2027</v>
      </c>
      <c r="D2934" t="s">
        <v>636</v>
      </c>
      <c r="E2934" t="s">
        <v>839</v>
      </c>
      <c r="F2934" s="32">
        <v>46451</v>
      </c>
      <c r="G2934" t="s">
        <v>514</v>
      </c>
      <c r="H2934">
        <v>47129679</v>
      </c>
      <c r="I2934" t="s">
        <v>1422</v>
      </c>
      <c r="J2934" t="s">
        <v>1421</v>
      </c>
      <c r="K2934" t="s">
        <v>530</v>
      </c>
      <c r="N2934">
        <v>0</v>
      </c>
      <c r="O2934">
        <v>0</v>
      </c>
      <c r="P2934" t="str">
        <f t="shared" si="45"/>
        <v>N</v>
      </c>
      <c r="Q2934" t="s">
        <v>8664</v>
      </c>
    </row>
    <row r="2935" spans="1:17" x14ac:dyDescent="0.25">
      <c r="A2935" t="s">
        <v>5107</v>
      </c>
      <c r="B2935" t="s">
        <v>1090</v>
      </c>
      <c r="C2935">
        <v>2027</v>
      </c>
      <c r="D2935" t="s">
        <v>636</v>
      </c>
      <c r="E2935" t="s">
        <v>839</v>
      </c>
      <c r="F2935" s="32">
        <v>46451</v>
      </c>
      <c r="G2935" t="s">
        <v>514</v>
      </c>
      <c r="H2935">
        <v>47129432</v>
      </c>
      <c r="I2935" t="s">
        <v>1468</v>
      </c>
      <c r="J2935" t="s">
        <v>1467</v>
      </c>
      <c r="K2935" t="s">
        <v>530</v>
      </c>
      <c r="N2935">
        <v>0</v>
      </c>
      <c r="O2935">
        <v>0</v>
      </c>
      <c r="P2935" t="str">
        <f t="shared" si="45"/>
        <v>N</v>
      </c>
      <c r="Q2935" t="s">
        <v>8665</v>
      </c>
    </row>
    <row r="2936" spans="1:17" x14ac:dyDescent="0.25">
      <c r="A2936" t="s">
        <v>5108</v>
      </c>
      <c r="B2936" t="s">
        <v>1090</v>
      </c>
      <c r="C2936">
        <v>2027</v>
      </c>
      <c r="D2936" t="s">
        <v>636</v>
      </c>
      <c r="E2936" t="s">
        <v>839</v>
      </c>
      <c r="F2936" s="32">
        <v>46451</v>
      </c>
      <c r="G2936" t="s">
        <v>514</v>
      </c>
      <c r="H2936">
        <v>47129050</v>
      </c>
      <c r="I2936" t="s">
        <v>1482</v>
      </c>
      <c r="J2936" t="s">
        <v>1481</v>
      </c>
      <c r="K2936" t="s">
        <v>530</v>
      </c>
      <c r="N2936">
        <v>0</v>
      </c>
      <c r="O2936">
        <v>0</v>
      </c>
      <c r="P2936" t="str">
        <f t="shared" si="45"/>
        <v>N</v>
      </c>
      <c r="Q2936" t="s">
        <v>8666</v>
      </c>
    </row>
    <row r="2937" spans="1:17" x14ac:dyDescent="0.25">
      <c r="A2937" t="s">
        <v>5109</v>
      </c>
      <c r="B2937" t="s">
        <v>1090</v>
      </c>
      <c r="C2937">
        <v>2027</v>
      </c>
      <c r="D2937" t="s">
        <v>636</v>
      </c>
      <c r="E2937" t="s">
        <v>839</v>
      </c>
      <c r="F2937" s="32">
        <v>46451</v>
      </c>
      <c r="G2937" t="s">
        <v>514</v>
      </c>
      <c r="H2937">
        <v>47148279</v>
      </c>
      <c r="I2937" t="s">
        <v>1236</v>
      </c>
      <c r="J2937" t="s">
        <v>1235</v>
      </c>
      <c r="K2937" t="s">
        <v>530</v>
      </c>
      <c r="N2937">
        <v>0</v>
      </c>
      <c r="O2937">
        <v>0</v>
      </c>
      <c r="P2937" t="str">
        <f t="shared" si="45"/>
        <v>N</v>
      </c>
      <c r="Q2937" t="s">
        <v>8667</v>
      </c>
    </row>
    <row r="2938" spans="1:17" x14ac:dyDescent="0.25">
      <c r="A2938" t="s">
        <v>5356</v>
      </c>
      <c r="B2938" t="s">
        <v>1089</v>
      </c>
      <c r="C2938">
        <v>2027</v>
      </c>
      <c r="D2938" t="s">
        <v>636</v>
      </c>
      <c r="E2938" t="s">
        <v>839</v>
      </c>
      <c r="F2938" s="32">
        <v>46451</v>
      </c>
      <c r="G2938" t="s">
        <v>514</v>
      </c>
      <c r="H2938">
        <v>47128421</v>
      </c>
      <c r="I2938" t="s">
        <v>1086</v>
      </c>
      <c r="J2938" t="s">
        <v>1085</v>
      </c>
      <c r="K2938" t="s">
        <v>530</v>
      </c>
      <c r="N2938">
        <v>0</v>
      </c>
      <c r="O2938">
        <v>0</v>
      </c>
      <c r="P2938" t="str">
        <f t="shared" si="45"/>
        <v>N</v>
      </c>
      <c r="Q2938" t="s">
        <v>8668</v>
      </c>
    </row>
    <row r="2939" spans="1:17" x14ac:dyDescent="0.25">
      <c r="A2939" t="s">
        <v>5357</v>
      </c>
      <c r="B2939" t="s">
        <v>1089</v>
      </c>
      <c r="C2939">
        <v>2027</v>
      </c>
      <c r="D2939" t="s">
        <v>636</v>
      </c>
      <c r="E2939" t="s">
        <v>839</v>
      </c>
      <c r="F2939" s="32">
        <v>46451</v>
      </c>
      <c r="G2939" t="s">
        <v>514</v>
      </c>
      <c r="H2939">
        <v>47128706</v>
      </c>
      <c r="I2939" t="s">
        <v>1201</v>
      </c>
      <c r="J2939" t="s">
        <v>1200</v>
      </c>
      <c r="K2939" t="s">
        <v>530</v>
      </c>
      <c r="N2939">
        <v>0</v>
      </c>
      <c r="O2939">
        <v>0</v>
      </c>
      <c r="P2939" t="str">
        <f t="shared" si="45"/>
        <v>N</v>
      </c>
      <c r="Q2939" t="s">
        <v>8669</v>
      </c>
    </row>
    <row r="2940" spans="1:17" x14ac:dyDescent="0.25">
      <c r="A2940" t="s">
        <v>5358</v>
      </c>
      <c r="B2940" t="s">
        <v>1089</v>
      </c>
      <c r="C2940">
        <v>2027</v>
      </c>
      <c r="D2940" t="s">
        <v>636</v>
      </c>
      <c r="E2940" t="s">
        <v>839</v>
      </c>
      <c r="F2940" s="32">
        <v>46451</v>
      </c>
      <c r="G2940" t="s">
        <v>514</v>
      </c>
      <c r="H2940">
        <v>47128364</v>
      </c>
      <c r="I2940" t="s">
        <v>1264</v>
      </c>
      <c r="J2940" t="s">
        <v>1263</v>
      </c>
      <c r="K2940" t="s">
        <v>530</v>
      </c>
      <c r="N2940">
        <v>70</v>
      </c>
      <c r="O2940">
        <v>70</v>
      </c>
      <c r="P2940" t="str">
        <f t="shared" si="45"/>
        <v>N</v>
      </c>
      <c r="Q2940" t="s">
        <v>8670</v>
      </c>
    </row>
    <row r="2941" spans="1:17" x14ac:dyDescent="0.25">
      <c r="A2941" t="s">
        <v>5359</v>
      </c>
      <c r="B2941" t="s">
        <v>1089</v>
      </c>
      <c r="C2941">
        <v>2027</v>
      </c>
      <c r="D2941" t="s">
        <v>636</v>
      </c>
      <c r="E2941" t="s">
        <v>839</v>
      </c>
      <c r="F2941" s="32">
        <v>46451</v>
      </c>
      <c r="G2941" t="s">
        <v>514</v>
      </c>
      <c r="H2941">
        <v>47128633</v>
      </c>
      <c r="I2941" t="s">
        <v>1164</v>
      </c>
      <c r="J2941" t="s">
        <v>1163</v>
      </c>
      <c r="K2941" t="s">
        <v>530</v>
      </c>
      <c r="N2941">
        <v>0</v>
      </c>
      <c r="O2941">
        <v>0</v>
      </c>
      <c r="P2941" t="str">
        <f t="shared" si="45"/>
        <v>N</v>
      </c>
      <c r="Q2941" t="s">
        <v>8671</v>
      </c>
    </row>
    <row r="2942" spans="1:17" x14ac:dyDescent="0.25">
      <c r="A2942" t="s">
        <v>5360</v>
      </c>
      <c r="B2942" t="s">
        <v>1089</v>
      </c>
      <c r="C2942">
        <v>2027</v>
      </c>
      <c r="D2942" t="s">
        <v>636</v>
      </c>
      <c r="E2942" t="s">
        <v>839</v>
      </c>
      <c r="F2942" s="32">
        <v>46451</v>
      </c>
      <c r="G2942" t="s">
        <v>514</v>
      </c>
      <c r="H2942">
        <v>47128046</v>
      </c>
      <c r="I2942" t="s">
        <v>1389</v>
      </c>
      <c r="J2942" t="s">
        <v>1388</v>
      </c>
      <c r="K2942" t="s">
        <v>530</v>
      </c>
      <c r="N2942">
        <v>0</v>
      </c>
      <c r="O2942">
        <v>0</v>
      </c>
      <c r="P2942" t="str">
        <f t="shared" si="45"/>
        <v>N</v>
      </c>
      <c r="Q2942" t="s">
        <v>8672</v>
      </c>
    </row>
    <row r="2943" spans="1:17" x14ac:dyDescent="0.25">
      <c r="A2943" t="s">
        <v>5361</v>
      </c>
      <c r="B2943" t="s">
        <v>1089</v>
      </c>
      <c r="C2943">
        <v>2027</v>
      </c>
      <c r="D2943" t="s">
        <v>636</v>
      </c>
      <c r="E2943" t="s">
        <v>839</v>
      </c>
      <c r="F2943" s="32">
        <v>46451</v>
      </c>
      <c r="G2943" t="s">
        <v>514</v>
      </c>
      <c r="H2943">
        <v>47129548</v>
      </c>
      <c r="I2943" t="s">
        <v>1340</v>
      </c>
      <c r="J2943" t="s">
        <v>1339</v>
      </c>
      <c r="K2943" t="s">
        <v>530</v>
      </c>
      <c r="N2943">
        <v>0</v>
      </c>
      <c r="O2943">
        <v>0</v>
      </c>
      <c r="P2943" t="str">
        <f t="shared" si="45"/>
        <v>N</v>
      </c>
      <c r="Q2943" t="s">
        <v>8673</v>
      </c>
    </row>
    <row r="2944" spans="1:17" x14ac:dyDescent="0.25">
      <c r="A2944" t="s">
        <v>5362</v>
      </c>
      <c r="B2944" t="s">
        <v>1089</v>
      </c>
      <c r="C2944">
        <v>2027</v>
      </c>
      <c r="D2944" t="s">
        <v>636</v>
      </c>
      <c r="E2944" t="s">
        <v>839</v>
      </c>
      <c r="F2944" s="32">
        <v>46451</v>
      </c>
      <c r="G2944" t="s">
        <v>514</v>
      </c>
      <c r="H2944">
        <v>47128835</v>
      </c>
      <c r="I2944" t="s">
        <v>998</v>
      </c>
      <c r="J2944" t="s">
        <v>997</v>
      </c>
      <c r="K2944" t="s">
        <v>530</v>
      </c>
      <c r="N2944">
        <v>0</v>
      </c>
      <c r="O2944">
        <v>0</v>
      </c>
      <c r="P2944" t="str">
        <f t="shared" si="45"/>
        <v>N</v>
      </c>
      <c r="Q2944" t="s">
        <v>8674</v>
      </c>
    </row>
    <row r="2945" spans="1:17" x14ac:dyDescent="0.25">
      <c r="A2945" t="s">
        <v>5363</v>
      </c>
      <c r="B2945" t="s">
        <v>1089</v>
      </c>
      <c r="C2945">
        <v>2027</v>
      </c>
      <c r="D2945" t="s">
        <v>636</v>
      </c>
      <c r="E2945" t="s">
        <v>839</v>
      </c>
      <c r="F2945" s="32">
        <v>46451</v>
      </c>
      <c r="G2945" t="s">
        <v>514</v>
      </c>
      <c r="H2945">
        <v>47128788</v>
      </c>
      <c r="I2945" t="s">
        <v>4188</v>
      </c>
      <c r="J2945" t="s">
        <v>4189</v>
      </c>
      <c r="K2945" t="s">
        <v>530</v>
      </c>
      <c r="N2945">
        <v>8</v>
      </c>
      <c r="O2945">
        <v>8</v>
      </c>
      <c r="P2945" t="str">
        <f t="shared" si="45"/>
        <v>N</v>
      </c>
      <c r="Q2945" t="s">
        <v>8675</v>
      </c>
    </row>
    <row r="2946" spans="1:17" x14ac:dyDescent="0.25">
      <c r="A2946" t="s">
        <v>5364</v>
      </c>
      <c r="B2946" t="s">
        <v>1089</v>
      </c>
      <c r="C2946">
        <v>2027</v>
      </c>
      <c r="D2946" t="s">
        <v>636</v>
      </c>
      <c r="E2946" t="s">
        <v>839</v>
      </c>
      <c r="F2946" s="32">
        <v>46451</v>
      </c>
      <c r="G2946" t="s">
        <v>514</v>
      </c>
      <c r="H2946">
        <v>47136348</v>
      </c>
      <c r="I2946" t="s">
        <v>1025</v>
      </c>
      <c r="J2946" t="s">
        <v>1024</v>
      </c>
      <c r="K2946" t="s">
        <v>530</v>
      </c>
      <c r="N2946">
        <v>40</v>
      </c>
      <c r="O2946">
        <v>40</v>
      </c>
      <c r="P2946" t="str">
        <f t="shared" si="45"/>
        <v>N</v>
      </c>
      <c r="Q2946" t="s">
        <v>8676</v>
      </c>
    </row>
    <row r="2947" spans="1:17" x14ac:dyDescent="0.25">
      <c r="A2947" t="s">
        <v>5365</v>
      </c>
      <c r="B2947" t="s">
        <v>1089</v>
      </c>
      <c r="C2947">
        <v>2027</v>
      </c>
      <c r="D2947" t="s">
        <v>636</v>
      </c>
      <c r="E2947" t="s">
        <v>839</v>
      </c>
      <c r="F2947" s="32">
        <v>46451</v>
      </c>
      <c r="G2947" t="s">
        <v>514</v>
      </c>
      <c r="H2947">
        <v>47135083</v>
      </c>
      <c r="I2947" t="s">
        <v>4192</v>
      </c>
      <c r="J2947" t="s">
        <v>4193</v>
      </c>
      <c r="K2947" t="s">
        <v>530</v>
      </c>
      <c r="N2947">
        <v>0</v>
      </c>
      <c r="O2947">
        <v>0</v>
      </c>
      <c r="P2947" t="str">
        <f t="shared" ref="P2947:P3010" si="46">IF(N2947=O2947,"N","Y")</f>
        <v>N</v>
      </c>
      <c r="Q2947" t="s">
        <v>8677</v>
      </c>
    </row>
    <row r="2948" spans="1:17" x14ac:dyDescent="0.25">
      <c r="A2948" t="s">
        <v>5366</v>
      </c>
      <c r="B2948" t="s">
        <v>1089</v>
      </c>
      <c r="C2948">
        <v>2027</v>
      </c>
      <c r="D2948" t="s">
        <v>636</v>
      </c>
      <c r="E2948" t="s">
        <v>839</v>
      </c>
      <c r="F2948" s="32">
        <v>46451</v>
      </c>
      <c r="G2948" t="s">
        <v>514</v>
      </c>
      <c r="H2948">
        <v>47128515</v>
      </c>
      <c r="I2948" t="s">
        <v>1185</v>
      </c>
      <c r="J2948" t="s">
        <v>1184</v>
      </c>
      <c r="K2948" t="s">
        <v>530</v>
      </c>
      <c r="N2948">
        <v>0</v>
      </c>
      <c r="O2948">
        <v>0</v>
      </c>
      <c r="P2948" t="str">
        <f t="shared" si="46"/>
        <v>N</v>
      </c>
      <c r="Q2948" t="s">
        <v>8678</v>
      </c>
    </row>
    <row r="2949" spans="1:17" x14ac:dyDescent="0.25">
      <c r="A2949" t="s">
        <v>5367</v>
      </c>
      <c r="B2949" t="s">
        <v>1089</v>
      </c>
      <c r="C2949">
        <v>2027</v>
      </c>
      <c r="D2949" t="s">
        <v>636</v>
      </c>
      <c r="E2949" t="s">
        <v>839</v>
      </c>
      <c r="F2949" s="32">
        <v>46451</v>
      </c>
      <c r="G2949" t="s">
        <v>514</v>
      </c>
      <c r="H2949">
        <v>47128472</v>
      </c>
      <c r="I2949" t="s">
        <v>995</v>
      </c>
      <c r="J2949" t="s">
        <v>994</v>
      </c>
      <c r="K2949" t="s">
        <v>530</v>
      </c>
      <c r="N2949">
        <v>0</v>
      </c>
      <c r="O2949">
        <v>0</v>
      </c>
      <c r="P2949" t="str">
        <f t="shared" si="46"/>
        <v>N</v>
      </c>
      <c r="Q2949" t="s">
        <v>8679</v>
      </c>
    </row>
    <row r="2950" spans="1:17" x14ac:dyDescent="0.25">
      <c r="A2950" t="s">
        <v>5368</v>
      </c>
      <c r="B2950" t="s">
        <v>1089</v>
      </c>
      <c r="C2950">
        <v>2027</v>
      </c>
      <c r="D2950" t="s">
        <v>636</v>
      </c>
      <c r="E2950" t="s">
        <v>839</v>
      </c>
      <c r="F2950" s="32">
        <v>46451</v>
      </c>
      <c r="G2950" t="s">
        <v>514</v>
      </c>
      <c r="H2950">
        <v>47128202</v>
      </c>
      <c r="I2950" t="s">
        <v>967</v>
      </c>
      <c r="J2950" t="s">
        <v>966</v>
      </c>
      <c r="K2950" t="s">
        <v>530</v>
      </c>
      <c r="N2950">
        <v>40</v>
      </c>
      <c r="O2950">
        <v>40</v>
      </c>
      <c r="P2950" t="str">
        <f t="shared" si="46"/>
        <v>N</v>
      </c>
      <c r="Q2950" t="s">
        <v>8680</v>
      </c>
    </row>
    <row r="2951" spans="1:17" x14ac:dyDescent="0.25">
      <c r="A2951" t="s">
        <v>5369</v>
      </c>
      <c r="B2951" t="s">
        <v>1089</v>
      </c>
      <c r="C2951">
        <v>2027</v>
      </c>
      <c r="D2951" t="s">
        <v>636</v>
      </c>
      <c r="E2951" t="s">
        <v>839</v>
      </c>
      <c r="F2951" s="32">
        <v>46451</v>
      </c>
      <c r="G2951" t="s">
        <v>514</v>
      </c>
      <c r="H2951">
        <v>47128132</v>
      </c>
      <c r="I2951" t="s">
        <v>4429</v>
      </c>
      <c r="J2951" t="s">
        <v>4430</v>
      </c>
      <c r="K2951" t="s">
        <v>530</v>
      </c>
      <c r="N2951">
        <v>0</v>
      </c>
      <c r="O2951">
        <v>0</v>
      </c>
      <c r="P2951" t="str">
        <f t="shared" si="46"/>
        <v>N</v>
      </c>
      <c r="Q2951" t="s">
        <v>8681</v>
      </c>
    </row>
    <row r="2952" spans="1:17" x14ac:dyDescent="0.25">
      <c r="A2952" t="s">
        <v>5370</v>
      </c>
      <c r="B2952" t="s">
        <v>1089</v>
      </c>
      <c r="C2952">
        <v>2027</v>
      </c>
      <c r="D2952" t="s">
        <v>636</v>
      </c>
      <c r="E2952" t="s">
        <v>839</v>
      </c>
      <c r="F2952" s="32">
        <v>46451</v>
      </c>
      <c r="G2952" t="s">
        <v>514</v>
      </c>
      <c r="H2952">
        <v>47127971</v>
      </c>
      <c r="I2952" t="s">
        <v>991</v>
      </c>
      <c r="J2952" t="s">
        <v>990</v>
      </c>
      <c r="K2952" t="s">
        <v>530</v>
      </c>
      <c r="N2952">
        <v>40</v>
      </c>
      <c r="O2952">
        <v>40</v>
      </c>
      <c r="P2952" t="str">
        <f t="shared" si="46"/>
        <v>N</v>
      </c>
      <c r="Q2952" t="s">
        <v>8682</v>
      </c>
    </row>
    <row r="2953" spans="1:17" x14ac:dyDescent="0.25">
      <c r="A2953" t="s">
        <v>5605</v>
      </c>
      <c r="B2953" t="s">
        <v>5437</v>
      </c>
      <c r="C2953">
        <v>2027</v>
      </c>
      <c r="D2953" t="s">
        <v>636</v>
      </c>
      <c r="E2953" t="s">
        <v>839</v>
      </c>
      <c r="F2953" s="32">
        <v>46451</v>
      </c>
      <c r="G2953" t="s">
        <v>514</v>
      </c>
      <c r="H2953">
        <v>47127948</v>
      </c>
      <c r="I2953" t="s">
        <v>1247</v>
      </c>
      <c r="J2953" t="s">
        <v>1246</v>
      </c>
      <c r="K2953" t="s">
        <v>530</v>
      </c>
      <c r="N2953">
        <v>0</v>
      </c>
      <c r="O2953">
        <v>0</v>
      </c>
      <c r="P2953" t="str">
        <f t="shared" si="46"/>
        <v>N</v>
      </c>
      <c r="Q2953" t="s">
        <v>8683</v>
      </c>
    </row>
    <row r="2954" spans="1:17" x14ac:dyDescent="0.25">
      <c r="A2954" t="s">
        <v>5606</v>
      </c>
      <c r="B2954" t="s">
        <v>5437</v>
      </c>
      <c r="C2954">
        <v>2027</v>
      </c>
      <c r="D2954" t="s">
        <v>636</v>
      </c>
      <c r="E2954" t="s">
        <v>839</v>
      </c>
      <c r="F2954" s="32">
        <v>46451</v>
      </c>
      <c r="G2954" t="s">
        <v>514</v>
      </c>
      <c r="H2954">
        <v>47128710</v>
      </c>
      <c r="I2954" t="s">
        <v>1189</v>
      </c>
      <c r="J2954" t="s">
        <v>1188</v>
      </c>
      <c r="K2954" t="s">
        <v>530</v>
      </c>
      <c r="N2954">
        <v>0</v>
      </c>
      <c r="O2954">
        <v>0</v>
      </c>
      <c r="P2954" t="str">
        <f t="shared" si="46"/>
        <v>N</v>
      </c>
      <c r="Q2954" t="s">
        <v>8684</v>
      </c>
    </row>
    <row r="2955" spans="1:17" x14ac:dyDescent="0.25">
      <c r="A2955" t="s">
        <v>5607</v>
      </c>
      <c r="B2955" t="s">
        <v>5437</v>
      </c>
      <c r="C2955">
        <v>2027</v>
      </c>
      <c r="D2955" t="s">
        <v>636</v>
      </c>
      <c r="E2955" t="s">
        <v>839</v>
      </c>
      <c r="F2955" s="32">
        <v>46451</v>
      </c>
      <c r="G2955" t="s">
        <v>514</v>
      </c>
      <c r="H2955">
        <v>47128481</v>
      </c>
      <c r="I2955" t="s">
        <v>1379</v>
      </c>
      <c r="J2955" t="s">
        <v>1378</v>
      </c>
      <c r="K2955" t="s">
        <v>530</v>
      </c>
      <c r="N2955">
        <v>0</v>
      </c>
      <c r="O2955">
        <v>0</v>
      </c>
      <c r="P2955" t="str">
        <f t="shared" si="46"/>
        <v>N</v>
      </c>
      <c r="Q2955" t="s">
        <v>8685</v>
      </c>
    </row>
    <row r="2956" spans="1:17" x14ac:dyDescent="0.25">
      <c r="A2956" t="s">
        <v>5608</v>
      </c>
      <c r="B2956" t="s">
        <v>5437</v>
      </c>
      <c r="C2956">
        <v>2027</v>
      </c>
      <c r="D2956" t="s">
        <v>636</v>
      </c>
      <c r="E2956" t="s">
        <v>839</v>
      </c>
      <c r="F2956" s="32">
        <v>46451</v>
      </c>
      <c r="G2956" t="s">
        <v>514</v>
      </c>
      <c r="H2956">
        <v>47128572</v>
      </c>
      <c r="I2956" t="s">
        <v>1197</v>
      </c>
      <c r="J2956" t="s">
        <v>1196</v>
      </c>
      <c r="K2956" t="s">
        <v>530</v>
      </c>
      <c r="N2956">
        <v>0</v>
      </c>
      <c r="O2956">
        <v>0</v>
      </c>
      <c r="P2956" t="str">
        <f t="shared" si="46"/>
        <v>N</v>
      </c>
      <c r="Q2956" t="s">
        <v>8686</v>
      </c>
    </row>
    <row r="2957" spans="1:17" x14ac:dyDescent="0.25">
      <c r="A2957" t="s">
        <v>5609</v>
      </c>
      <c r="B2957" t="s">
        <v>5437</v>
      </c>
      <c r="C2957">
        <v>2027</v>
      </c>
      <c r="D2957" t="s">
        <v>636</v>
      </c>
      <c r="E2957" t="s">
        <v>839</v>
      </c>
      <c r="F2957" s="32">
        <v>46451</v>
      </c>
      <c r="G2957" t="s">
        <v>514</v>
      </c>
      <c r="H2957">
        <v>47128482</v>
      </c>
      <c r="I2957" t="s">
        <v>1393</v>
      </c>
      <c r="J2957" t="s">
        <v>1392</v>
      </c>
      <c r="K2957" t="s">
        <v>530</v>
      </c>
      <c r="N2957">
        <v>0</v>
      </c>
      <c r="O2957">
        <v>0</v>
      </c>
      <c r="P2957" t="str">
        <f t="shared" si="46"/>
        <v>N</v>
      </c>
      <c r="Q2957" t="s">
        <v>8687</v>
      </c>
    </row>
    <row r="2958" spans="1:17" x14ac:dyDescent="0.25">
      <c r="A2958" t="s">
        <v>5610</v>
      </c>
      <c r="B2958" t="s">
        <v>5437</v>
      </c>
      <c r="C2958">
        <v>2027</v>
      </c>
      <c r="D2958" t="s">
        <v>636</v>
      </c>
      <c r="E2958" t="s">
        <v>839</v>
      </c>
      <c r="F2958" s="32">
        <v>46451</v>
      </c>
      <c r="G2958" t="s">
        <v>514</v>
      </c>
      <c r="H2958">
        <v>47128337</v>
      </c>
      <c r="I2958" t="s">
        <v>1120</v>
      </c>
      <c r="J2958" t="s">
        <v>1119</v>
      </c>
      <c r="K2958" t="s">
        <v>530</v>
      </c>
      <c r="N2958">
        <v>0</v>
      </c>
      <c r="O2958">
        <v>0</v>
      </c>
      <c r="P2958" t="str">
        <f t="shared" si="46"/>
        <v>N</v>
      </c>
      <c r="Q2958" t="s">
        <v>8688</v>
      </c>
    </row>
    <row r="2959" spans="1:17" x14ac:dyDescent="0.25">
      <c r="A2959" t="s">
        <v>5611</v>
      </c>
      <c r="B2959" t="s">
        <v>5437</v>
      </c>
      <c r="C2959">
        <v>2027</v>
      </c>
      <c r="D2959" t="s">
        <v>636</v>
      </c>
      <c r="E2959" t="s">
        <v>839</v>
      </c>
      <c r="F2959" s="32">
        <v>46451</v>
      </c>
      <c r="G2959" t="s">
        <v>514</v>
      </c>
      <c r="H2959">
        <v>47128833</v>
      </c>
      <c r="I2959" t="s">
        <v>1193</v>
      </c>
      <c r="J2959" t="s">
        <v>1192</v>
      </c>
      <c r="K2959" t="s">
        <v>530</v>
      </c>
      <c r="N2959">
        <v>0</v>
      </c>
      <c r="O2959">
        <v>0</v>
      </c>
      <c r="P2959" t="str">
        <f t="shared" si="46"/>
        <v>N</v>
      </c>
      <c r="Q2959" t="s">
        <v>8689</v>
      </c>
    </row>
    <row r="2960" spans="1:17" x14ac:dyDescent="0.25">
      <c r="A2960" t="s">
        <v>5612</v>
      </c>
      <c r="B2960" t="s">
        <v>5437</v>
      </c>
      <c r="C2960">
        <v>2027</v>
      </c>
      <c r="D2960" t="s">
        <v>636</v>
      </c>
      <c r="E2960" t="s">
        <v>839</v>
      </c>
      <c r="F2960" s="32">
        <v>46451</v>
      </c>
      <c r="G2960" t="s">
        <v>514</v>
      </c>
      <c r="H2960">
        <v>47128784</v>
      </c>
      <c r="I2960" t="s">
        <v>1426</v>
      </c>
      <c r="J2960" t="s">
        <v>1425</v>
      </c>
      <c r="K2960" t="s">
        <v>530</v>
      </c>
      <c r="N2960">
        <v>0</v>
      </c>
      <c r="O2960">
        <v>0</v>
      </c>
      <c r="P2960" t="str">
        <f t="shared" si="46"/>
        <v>N</v>
      </c>
      <c r="Q2960" t="s">
        <v>8690</v>
      </c>
    </row>
    <row r="2961" spans="1:17" x14ac:dyDescent="0.25">
      <c r="A2961" t="s">
        <v>5613</v>
      </c>
      <c r="B2961" t="s">
        <v>5437</v>
      </c>
      <c r="C2961">
        <v>2027</v>
      </c>
      <c r="D2961" t="s">
        <v>636</v>
      </c>
      <c r="E2961" t="s">
        <v>839</v>
      </c>
      <c r="F2961" s="32">
        <v>46451</v>
      </c>
      <c r="G2961" t="s">
        <v>514</v>
      </c>
      <c r="H2961">
        <v>47136340</v>
      </c>
      <c r="I2961" t="s">
        <v>1213</v>
      </c>
      <c r="J2961" t="s">
        <v>1212</v>
      </c>
      <c r="K2961" t="s">
        <v>530</v>
      </c>
      <c r="N2961">
        <v>0</v>
      </c>
      <c r="O2961">
        <v>0</v>
      </c>
      <c r="P2961" t="str">
        <f t="shared" si="46"/>
        <v>N</v>
      </c>
      <c r="Q2961" t="s">
        <v>8691</v>
      </c>
    </row>
    <row r="2962" spans="1:17" x14ac:dyDescent="0.25">
      <c r="A2962" t="s">
        <v>5614</v>
      </c>
      <c r="B2962" t="s">
        <v>5437</v>
      </c>
      <c r="C2962">
        <v>2027</v>
      </c>
      <c r="D2962" t="s">
        <v>636</v>
      </c>
      <c r="E2962" t="s">
        <v>839</v>
      </c>
      <c r="F2962" s="32">
        <v>46451</v>
      </c>
      <c r="G2962" t="s">
        <v>514</v>
      </c>
      <c r="H2962">
        <v>47128169</v>
      </c>
      <c r="I2962" t="s">
        <v>1205</v>
      </c>
      <c r="J2962" t="s">
        <v>1204</v>
      </c>
      <c r="K2962" t="s">
        <v>530</v>
      </c>
      <c r="N2962">
        <v>0</v>
      </c>
      <c r="O2962">
        <v>0</v>
      </c>
      <c r="P2962" t="str">
        <f t="shared" si="46"/>
        <v>N</v>
      </c>
      <c r="Q2962" t="s">
        <v>8692</v>
      </c>
    </row>
    <row r="2963" spans="1:17" x14ac:dyDescent="0.25">
      <c r="A2963" t="s">
        <v>5615</v>
      </c>
      <c r="B2963" t="s">
        <v>5437</v>
      </c>
      <c r="C2963">
        <v>2027</v>
      </c>
      <c r="D2963" t="s">
        <v>636</v>
      </c>
      <c r="E2963" t="s">
        <v>839</v>
      </c>
      <c r="F2963" s="32">
        <v>46451</v>
      </c>
      <c r="G2963" t="s">
        <v>514</v>
      </c>
      <c r="H2963">
        <v>47128022</v>
      </c>
      <c r="I2963" t="s">
        <v>1104</v>
      </c>
      <c r="J2963" t="s">
        <v>1103</v>
      </c>
      <c r="K2963" t="s">
        <v>530</v>
      </c>
      <c r="N2963">
        <v>0</v>
      </c>
      <c r="O2963">
        <v>0</v>
      </c>
      <c r="P2963" t="str">
        <f t="shared" si="46"/>
        <v>N</v>
      </c>
      <c r="Q2963" t="s">
        <v>8693</v>
      </c>
    </row>
    <row r="2964" spans="1:17" x14ac:dyDescent="0.25">
      <c r="A2964" t="s">
        <v>5616</v>
      </c>
      <c r="B2964" t="s">
        <v>5437</v>
      </c>
      <c r="C2964">
        <v>2027</v>
      </c>
      <c r="D2964" t="s">
        <v>636</v>
      </c>
      <c r="E2964" t="s">
        <v>839</v>
      </c>
      <c r="F2964" s="32">
        <v>46451</v>
      </c>
      <c r="G2964" t="s">
        <v>514</v>
      </c>
      <c r="H2964">
        <v>47129473</v>
      </c>
      <c r="I2964" t="s">
        <v>1430</v>
      </c>
      <c r="J2964" t="s">
        <v>1429</v>
      </c>
      <c r="K2964" t="s">
        <v>530</v>
      </c>
      <c r="N2964">
        <v>0</v>
      </c>
      <c r="O2964">
        <v>0</v>
      </c>
      <c r="P2964" t="str">
        <f t="shared" si="46"/>
        <v>N</v>
      </c>
      <c r="Q2964" t="s">
        <v>8694</v>
      </c>
    </row>
    <row r="2965" spans="1:17" x14ac:dyDescent="0.25">
      <c r="A2965" t="s">
        <v>5617</v>
      </c>
      <c r="B2965" t="s">
        <v>5437</v>
      </c>
      <c r="C2965">
        <v>2027</v>
      </c>
      <c r="D2965" t="s">
        <v>636</v>
      </c>
      <c r="E2965" t="s">
        <v>839</v>
      </c>
      <c r="F2965" s="32">
        <v>46451</v>
      </c>
      <c r="G2965" t="s">
        <v>514</v>
      </c>
      <c r="H2965">
        <v>47133720</v>
      </c>
      <c r="I2965" t="s">
        <v>1217</v>
      </c>
      <c r="J2965" t="s">
        <v>1216</v>
      </c>
      <c r="K2965" t="s">
        <v>530</v>
      </c>
      <c r="N2965">
        <v>0</v>
      </c>
      <c r="O2965">
        <v>0</v>
      </c>
      <c r="P2965" t="str">
        <f t="shared" si="46"/>
        <v>N</v>
      </c>
      <c r="Q2965" t="s">
        <v>8695</v>
      </c>
    </row>
    <row r="2966" spans="1:17" x14ac:dyDescent="0.25">
      <c r="A2966" t="s">
        <v>5618</v>
      </c>
      <c r="B2966" t="s">
        <v>5437</v>
      </c>
      <c r="C2966">
        <v>2027</v>
      </c>
      <c r="D2966" t="s">
        <v>636</v>
      </c>
      <c r="E2966" t="s">
        <v>839</v>
      </c>
      <c r="F2966" s="32">
        <v>46451</v>
      </c>
      <c r="G2966" t="s">
        <v>514</v>
      </c>
      <c r="H2966">
        <v>47128429</v>
      </c>
      <c r="I2966" t="s">
        <v>1371</v>
      </c>
      <c r="J2966" t="s">
        <v>1370</v>
      </c>
      <c r="K2966" t="s">
        <v>530</v>
      </c>
      <c r="N2966">
        <v>0</v>
      </c>
      <c r="O2966">
        <v>0</v>
      </c>
      <c r="P2966" t="str">
        <f t="shared" si="46"/>
        <v>N</v>
      </c>
      <c r="Q2966" t="s">
        <v>8696</v>
      </c>
    </row>
    <row r="2967" spans="1:17" x14ac:dyDescent="0.25">
      <c r="A2967" t="s">
        <v>5619</v>
      </c>
      <c r="B2967" t="s">
        <v>5437</v>
      </c>
      <c r="C2967">
        <v>2027</v>
      </c>
      <c r="D2967" t="s">
        <v>636</v>
      </c>
      <c r="E2967" t="s">
        <v>839</v>
      </c>
      <c r="F2967" s="32">
        <v>46451</v>
      </c>
      <c r="G2967" t="s">
        <v>514</v>
      </c>
      <c r="H2967">
        <v>47128181</v>
      </c>
      <c r="I2967" t="s">
        <v>1301</v>
      </c>
      <c r="J2967" t="s">
        <v>1300</v>
      </c>
      <c r="K2967" t="s">
        <v>530</v>
      </c>
      <c r="N2967">
        <v>0</v>
      </c>
      <c r="O2967">
        <v>0</v>
      </c>
      <c r="P2967" t="str">
        <f t="shared" si="46"/>
        <v>N</v>
      </c>
      <c r="Q2967" t="s">
        <v>8697</v>
      </c>
    </row>
    <row r="2968" spans="1:17" x14ac:dyDescent="0.25">
      <c r="A2968" t="s">
        <v>1644</v>
      </c>
      <c r="B2968" t="s">
        <v>1520</v>
      </c>
      <c r="C2968">
        <v>2027</v>
      </c>
      <c r="D2968" t="s">
        <v>546</v>
      </c>
      <c r="E2968" t="s">
        <v>840</v>
      </c>
      <c r="F2968" s="32">
        <v>46458</v>
      </c>
      <c r="G2968" t="s">
        <v>514</v>
      </c>
      <c r="H2968">
        <v>47128204</v>
      </c>
      <c r="I2968" t="s">
        <v>1531</v>
      </c>
      <c r="J2968" t="s">
        <v>1532</v>
      </c>
      <c r="K2968" t="s">
        <v>530</v>
      </c>
      <c r="N2968">
        <v>0</v>
      </c>
      <c r="O2968">
        <v>0</v>
      </c>
      <c r="P2968" t="str">
        <f t="shared" si="46"/>
        <v>N</v>
      </c>
      <c r="Q2968" t="s">
        <v>8698</v>
      </c>
    </row>
    <row r="2969" spans="1:17" x14ac:dyDescent="0.25">
      <c r="A2969" t="s">
        <v>1645</v>
      </c>
      <c r="B2969" t="s">
        <v>1520</v>
      </c>
      <c r="C2969">
        <v>2027</v>
      </c>
      <c r="D2969" t="s">
        <v>546</v>
      </c>
      <c r="E2969" t="s">
        <v>840</v>
      </c>
      <c r="F2969" s="32">
        <v>46458</v>
      </c>
      <c r="G2969" t="s">
        <v>514</v>
      </c>
      <c r="H2969">
        <v>47128207</v>
      </c>
      <c r="I2969" t="s">
        <v>1522</v>
      </c>
      <c r="J2969" t="s">
        <v>1534</v>
      </c>
      <c r="K2969" t="s">
        <v>530</v>
      </c>
      <c r="N2969">
        <v>0</v>
      </c>
      <c r="O2969">
        <v>0</v>
      </c>
      <c r="P2969" t="str">
        <f t="shared" si="46"/>
        <v>N</v>
      </c>
      <c r="Q2969" t="s">
        <v>8699</v>
      </c>
    </row>
    <row r="2970" spans="1:17" x14ac:dyDescent="0.25">
      <c r="A2970" t="s">
        <v>1646</v>
      </c>
      <c r="B2970" t="s">
        <v>1520</v>
      </c>
      <c r="C2970">
        <v>2027</v>
      </c>
      <c r="D2970" t="s">
        <v>546</v>
      </c>
      <c r="E2970" t="s">
        <v>840</v>
      </c>
      <c r="F2970" s="32">
        <v>46458</v>
      </c>
      <c r="G2970" t="s">
        <v>514</v>
      </c>
      <c r="H2970">
        <v>47128581</v>
      </c>
      <c r="I2970" t="s">
        <v>1525</v>
      </c>
      <c r="J2970" t="s">
        <v>1526</v>
      </c>
      <c r="K2970" t="s">
        <v>530</v>
      </c>
      <c r="N2970">
        <v>60</v>
      </c>
      <c r="O2970">
        <v>60</v>
      </c>
      <c r="P2970" t="str">
        <f t="shared" si="46"/>
        <v>N</v>
      </c>
      <c r="Q2970" t="s">
        <v>8700</v>
      </c>
    </row>
    <row r="2971" spans="1:17" x14ac:dyDescent="0.25">
      <c r="A2971" t="s">
        <v>1647</v>
      </c>
      <c r="B2971" t="s">
        <v>1520</v>
      </c>
      <c r="C2971">
        <v>2027</v>
      </c>
      <c r="D2971" t="s">
        <v>546</v>
      </c>
      <c r="E2971" t="s">
        <v>840</v>
      </c>
      <c r="F2971" s="32">
        <v>46458</v>
      </c>
      <c r="G2971" t="s">
        <v>514</v>
      </c>
      <c r="H2971">
        <v>47127959</v>
      </c>
      <c r="I2971" t="s">
        <v>1528</v>
      </c>
      <c r="J2971" t="s">
        <v>1529</v>
      </c>
      <c r="K2971" t="s">
        <v>530</v>
      </c>
      <c r="N2971">
        <v>0</v>
      </c>
      <c r="O2971">
        <v>0</v>
      </c>
      <c r="P2971" t="str">
        <f t="shared" si="46"/>
        <v>N</v>
      </c>
      <c r="Q2971" t="s">
        <v>8701</v>
      </c>
    </row>
    <row r="2972" spans="1:17" x14ac:dyDescent="0.25">
      <c r="A2972" t="s">
        <v>1648</v>
      </c>
      <c r="B2972" t="s">
        <v>1520</v>
      </c>
      <c r="C2972">
        <v>2027</v>
      </c>
      <c r="D2972" t="s">
        <v>546</v>
      </c>
      <c r="E2972" t="s">
        <v>840</v>
      </c>
      <c r="F2972" s="32">
        <v>46458</v>
      </c>
      <c r="G2972" t="s">
        <v>563</v>
      </c>
      <c r="H2972">
        <v>10000015</v>
      </c>
      <c r="I2972" t="s">
        <v>562</v>
      </c>
      <c r="K2972" t="s">
        <v>530</v>
      </c>
      <c r="N2972">
        <v>0</v>
      </c>
      <c r="O2972">
        <v>0</v>
      </c>
      <c r="P2972" t="str">
        <f t="shared" si="46"/>
        <v>N</v>
      </c>
      <c r="Q2972" t="s">
        <v>8702</v>
      </c>
    </row>
    <row r="2973" spans="1:17" x14ac:dyDescent="0.25">
      <c r="A2973" t="s">
        <v>1649</v>
      </c>
      <c r="B2973" t="s">
        <v>1520</v>
      </c>
      <c r="C2973">
        <v>2027</v>
      </c>
      <c r="D2973" t="s">
        <v>546</v>
      </c>
      <c r="E2973" t="s">
        <v>840</v>
      </c>
      <c r="F2973" s="32">
        <v>46458</v>
      </c>
      <c r="G2973" t="s">
        <v>514</v>
      </c>
      <c r="H2973">
        <v>47127959</v>
      </c>
      <c r="I2973" t="s">
        <v>1528</v>
      </c>
      <c r="J2973" t="s">
        <v>1537</v>
      </c>
      <c r="K2973" t="s">
        <v>530</v>
      </c>
      <c r="N2973">
        <v>0</v>
      </c>
      <c r="O2973">
        <v>0</v>
      </c>
      <c r="P2973" t="str">
        <f t="shared" si="46"/>
        <v>N</v>
      </c>
      <c r="Q2973" t="s">
        <v>8703</v>
      </c>
    </row>
    <row r="2974" spans="1:17" x14ac:dyDescent="0.25">
      <c r="A2974" t="s">
        <v>1650</v>
      </c>
      <c r="B2974" t="s">
        <v>1520</v>
      </c>
      <c r="C2974">
        <v>2027</v>
      </c>
      <c r="D2974" t="s">
        <v>546</v>
      </c>
      <c r="E2974" t="s">
        <v>840</v>
      </c>
      <c r="F2974" s="32">
        <v>46458</v>
      </c>
      <c r="G2974" t="s">
        <v>514</v>
      </c>
      <c r="H2974">
        <v>47128581</v>
      </c>
      <c r="I2974" t="s">
        <v>1525</v>
      </c>
      <c r="J2974" t="s">
        <v>1539</v>
      </c>
      <c r="K2974" t="s">
        <v>530</v>
      </c>
      <c r="N2974">
        <v>0</v>
      </c>
      <c r="O2974">
        <v>0</v>
      </c>
      <c r="P2974" t="str">
        <f t="shared" si="46"/>
        <v>N</v>
      </c>
      <c r="Q2974" t="s">
        <v>8704</v>
      </c>
    </row>
    <row r="2975" spans="1:17" x14ac:dyDescent="0.25">
      <c r="A2975" t="s">
        <v>1651</v>
      </c>
      <c r="B2975" t="s">
        <v>1520</v>
      </c>
      <c r="C2975">
        <v>2027</v>
      </c>
      <c r="D2975" t="s">
        <v>546</v>
      </c>
      <c r="E2975" t="s">
        <v>840</v>
      </c>
      <c r="F2975" s="32">
        <v>46458</v>
      </c>
      <c r="G2975" t="s">
        <v>514</v>
      </c>
      <c r="H2975">
        <v>47128781</v>
      </c>
      <c r="I2975" t="s">
        <v>1251</v>
      </c>
      <c r="J2975" t="s">
        <v>1250</v>
      </c>
      <c r="K2975" t="s">
        <v>530</v>
      </c>
      <c r="N2975">
        <v>0</v>
      </c>
      <c r="O2975">
        <v>0</v>
      </c>
      <c r="P2975" t="str">
        <f t="shared" si="46"/>
        <v>N</v>
      </c>
      <c r="Q2975" t="s">
        <v>8705</v>
      </c>
    </row>
    <row r="2976" spans="1:17" x14ac:dyDescent="0.25">
      <c r="A2976" t="s">
        <v>2111</v>
      </c>
      <c r="B2976" t="s">
        <v>1135</v>
      </c>
      <c r="C2976">
        <v>2027</v>
      </c>
      <c r="D2976" t="s">
        <v>546</v>
      </c>
      <c r="E2976" t="s">
        <v>840</v>
      </c>
      <c r="F2976" s="32">
        <v>46458</v>
      </c>
      <c r="G2976" t="s">
        <v>514</v>
      </c>
      <c r="H2976">
        <v>47128168</v>
      </c>
      <c r="I2976" t="s">
        <v>1100</v>
      </c>
      <c r="J2976" t="s">
        <v>1099</v>
      </c>
      <c r="K2976" t="s">
        <v>530</v>
      </c>
      <c r="N2976">
        <v>0</v>
      </c>
      <c r="O2976">
        <v>0</v>
      </c>
      <c r="P2976" t="str">
        <f t="shared" si="46"/>
        <v>N</v>
      </c>
      <c r="Q2976" t="s">
        <v>8706</v>
      </c>
    </row>
    <row r="2977" spans="1:17" x14ac:dyDescent="0.25">
      <c r="A2977" t="s">
        <v>2112</v>
      </c>
      <c r="B2977" t="s">
        <v>1135</v>
      </c>
      <c r="C2977">
        <v>2027</v>
      </c>
      <c r="D2977" t="s">
        <v>546</v>
      </c>
      <c r="E2977" t="s">
        <v>840</v>
      </c>
      <c r="F2977" s="32">
        <v>46458</v>
      </c>
      <c r="G2977" t="s">
        <v>514</v>
      </c>
      <c r="H2977">
        <v>47128906</v>
      </c>
      <c r="I2977" t="s">
        <v>1349</v>
      </c>
      <c r="J2977" t="s">
        <v>1348</v>
      </c>
      <c r="K2977" t="s">
        <v>530</v>
      </c>
      <c r="N2977">
        <v>0</v>
      </c>
      <c r="O2977">
        <v>0</v>
      </c>
      <c r="P2977" t="str">
        <f t="shared" si="46"/>
        <v>N</v>
      </c>
      <c r="Q2977" t="s">
        <v>8707</v>
      </c>
    </row>
    <row r="2978" spans="1:17" x14ac:dyDescent="0.25">
      <c r="A2978" t="s">
        <v>2113</v>
      </c>
      <c r="B2978" t="s">
        <v>1135</v>
      </c>
      <c r="C2978">
        <v>2027</v>
      </c>
      <c r="D2978" t="s">
        <v>546</v>
      </c>
      <c r="E2978" t="s">
        <v>840</v>
      </c>
      <c r="F2978" s="32">
        <v>46458</v>
      </c>
      <c r="G2978" t="s">
        <v>514</v>
      </c>
      <c r="H2978">
        <v>47128783</v>
      </c>
      <c r="I2978" t="s">
        <v>1280</v>
      </c>
      <c r="J2978" t="s">
        <v>1279</v>
      </c>
      <c r="K2978" t="s">
        <v>530</v>
      </c>
      <c r="N2978">
        <v>0</v>
      </c>
      <c r="O2978">
        <v>0</v>
      </c>
      <c r="P2978" t="str">
        <f t="shared" si="46"/>
        <v>N</v>
      </c>
      <c r="Q2978" t="s">
        <v>8708</v>
      </c>
    </row>
    <row r="2979" spans="1:17" x14ac:dyDescent="0.25">
      <c r="A2979" t="s">
        <v>2114</v>
      </c>
      <c r="B2979" t="s">
        <v>1135</v>
      </c>
      <c r="C2979">
        <v>2027</v>
      </c>
      <c r="D2979" t="s">
        <v>546</v>
      </c>
      <c r="E2979" t="s">
        <v>840</v>
      </c>
      <c r="F2979" s="32">
        <v>46458</v>
      </c>
      <c r="G2979" t="s">
        <v>514</v>
      </c>
      <c r="H2979">
        <v>47128944</v>
      </c>
      <c r="I2979" t="s">
        <v>1137</v>
      </c>
      <c r="J2979" t="s">
        <v>1136</v>
      </c>
      <c r="K2979" t="s">
        <v>530</v>
      </c>
      <c r="N2979">
        <v>0</v>
      </c>
      <c r="O2979">
        <v>0</v>
      </c>
      <c r="P2979" t="str">
        <f t="shared" si="46"/>
        <v>N</v>
      </c>
      <c r="Q2979" t="s">
        <v>8709</v>
      </c>
    </row>
    <row r="2980" spans="1:17" x14ac:dyDescent="0.25">
      <c r="A2980" t="s">
        <v>2115</v>
      </c>
      <c r="B2980" t="s">
        <v>1135</v>
      </c>
      <c r="C2980">
        <v>2027</v>
      </c>
      <c r="D2980" t="s">
        <v>546</v>
      </c>
      <c r="E2980" t="s">
        <v>840</v>
      </c>
      <c r="F2980" s="32">
        <v>46458</v>
      </c>
      <c r="G2980" t="s">
        <v>514</v>
      </c>
      <c r="H2980">
        <v>47128729</v>
      </c>
      <c r="I2980" t="s">
        <v>1149</v>
      </c>
      <c r="J2980" t="s">
        <v>1148</v>
      </c>
      <c r="K2980" t="s">
        <v>530</v>
      </c>
      <c r="N2980">
        <v>0</v>
      </c>
      <c r="O2980">
        <v>0</v>
      </c>
      <c r="P2980" t="str">
        <f t="shared" si="46"/>
        <v>N</v>
      </c>
      <c r="Q2980" t="s">
        <v>8710</v>
      </c>
    </row>
    <row r="2981" spans="1:17" x14ac:dyDescent="0.25">
      <c r="A2981" t="s">
        <v>2116</v>
      </c>
      <c r="B2981" t="s">
        <v>1135</v>
      </c>
      <c r="C2981">
        <v>2027</v>
      </c>
      <c r="D2981" t="s">
        <v>546</v>
      </c>
      <c r="E2981" t="s">
        <v>840</v>
      </c>
      <c r="F2981" s="32">
        <v>46458</v>
      </c>
      <c r="G2981" t="s">
        <v>514</v>
      </c>
      <c r="H2981">
        <v>47128585</v>
      </c>
      <c r="I2981" t="s">
        <v>1141</v>
      </c>
      <c r="J2981" t="s">
        <v>1140</v>
      </c>
      <c r="K2981" t="s">
        <v>530</v>
      </c>
      <c r="N2981">
        <v>0</v>
      </c>
      <c r="O2981">
        <v>0</v>
      </c>
      <c r="P2981" t="str">
        <f t="shared" si="46"/>
        <v>N</v>
      </c>
      <c r="Q2981" t="s">
        <v>8711</v>
      </c>
    </row>
    <row r="2982" spans="1:17" x14ac:dyDescent="0.25">
      <c r="A2982" t="s">
        <v>2117</v>
      </c>
      <c r="B2982" t="s">
        <v>1135</v>
      </c>
      <c r="C2982">
        <v>2027</v>
      </c>
      <c r="D2982" t="s">
        <v>546</v>
      </c>
      <c r="E2982" t="s">
        <v>840</v>
      </c>
      <c r="F2982" s="32">
        <v>46458</v>
      </c>
      <c r="G2982" t="s">
        <v>514</v>
      </c>
      <c r="H2982">
        <v>47128680</v>
      </c>
      <c r="I2982" t="s">
        <v>1284</v>
      </c>
      <c r="J2982" t="s">
        <v>1283</v>
      </c>
      <c r="K2982" t="s">
        <v>530</v>
      </c>
      <c r="N2982">
        <v>0</v>
      </c>
      <c r="O2982">
        <v>0</v>
      </c>
      <c r="P2982" t="str">
        <f t="shared" si="46"/>
        <v>N</v>
      </c>
      <c r="Q2982" t="s">
        <v>8712</v>
      </c>
    </row>
    <row r="2983" spans="1:17" x14ac:dyDescent="0.25">
      <c r="A2983" t="s">
        <v>2118</v>
      </c>
      <c r="B2983" t="s">
        <v>1135</v>
      </c>
      <c r="C2983">
        <v>2027</v>
      </c>
      <c r="D2983" t="s">
        <v>546</v>
      </c>
      <c r="E2983" t="s">
        <v>840</v>
      </c>
      <c r="F2983" s="32">
        <v>46458</v>
      </c>
      <c r="G2983" t="s">
        <v>514</v>
      </c>
      <c r="H2983">
        <v>47128585</v>
      </c>
      <c r="I2983" t="s">
        <v>1141</v>
      </c>
      <c r="J2983" t="s">
        <v>1408</v>
      </c>
      <c r="K2983" t="s">
        <v>530</v>
      </c>
      <c r="N2983">
        <v>0</v>
      </c>
      <c r="O2983">
        <v>0</v>
      </c>
      <c r="P2983" t="str">
        <f t="shared" si="46"/>
        <v>N</v>
      </c>
      <c r="Q2983" t="s">
        <v>8713</v>
      </c>
    </row>
    <row r="2984" spans="1:17" x14ac:dyDescent="0.25">
      <c r="A2984" t="s">
        <v>2119</v>
      </c>
      <c r="B2984" t="s">
        <v>1135</v>
      </c>
      <c r="C2984">
        <v>2027</v>
      </c>
      <c r="D2984" t="s">
        <v>546</v>
      </c>
      <c r="E2984" t="s">
        <v>840</v>
      </c>
      <c r="F2984" s="32">
        <v>46458</v>
      </c>
      <c r="G2984" t="s">
        <v>514</v>
      </c>
      <c r="H2984">
        <v>47128039</v>
      </c>
      <c r="I2984" t="s">
        <v>1405</v>
      </c>
      <c r="J2984" t="s">
        <v>1404</v>
      </c>
      <c r="K2984" t="s">
        <v>530</v>
      </c>
      <c r="N2984">
        <v>0</v>
      </c>
      <c r="O2984">
        <v>0</v>
      </c>
      <c r="P2984" t="str">
        <f t="shared" si="46"/>
        <v>N</v>
      </c>
      <c r="Q2984" t="s">
        <v>8714</v>
      </c>
    </row>
    <row r="2985" spans="1:17" x14ac:dyDescent="0.25">
      <c r="A2985" t="s">
        <v>2120</v>
      </c>
      <c r="B2985" t="s">
        <v>1135</v>
      </c>
      <c r="C2985">
        <v>2027</v>
      </c>
      <c r="D2985" t="s">
        <v>546</v>
      </c>
      <c r="E2985" t="s">
        <v>840</v>
      </c>
      <c r="F2985" s="32">
        <v>46458</v>
      </c>
      <c r="G2985" t="s">
        <v>514</v>
      </c>
      <c r="H2985">
        <v>47128024</v>
      </c>
      <c r="I2985" t="s">
        <v>1108</v>
      </c>
      <c r="J2985" t="s">
        <v>1107</v>
      </c>
      <c r="K2985" t="s">
        <v>530</v>
      </c>
      <c r="N2985">
        <v>0</v>
      </c>
      <c r="O2985">
        <v>0</v>
      </c>
      <c r="P2985" t="str">
        <f t="shared" si="46"/>
        <v>N</v>
      </c>
      <c r="Q2985" t="s">
        <v>8715</v>
      </c>
    </row>
    <row r="2986" spans="1:17" x14ac:dyDescent="0.25">
      <c r="A2986" t="s">
        <v>2121</v>
      </c>
      <c r="B2986" t="s">
        <v>1135</v>
      </c>
      <c r="C2986">
        <v>2027</v>
      </c>
      <c r="D2986" t="s">
        <v>546</v>
      </c>
      <c r="E2986" t="s">
        <v>840</v>
      </c>
      <c r="F2986" s="32">
        <v>46458</v>
      </c>
      <c r="G2986" t="s">
        <v>514</v>
      </c>
      <c r="H2986">
        <v>47128430</v>
      </c>
      <c r="I2986" t="s">
        <v>1401</v>
      </c>
      <c r="J2986" t="s">
        <v>1400</v>
      </c>
      <c r="K2986" t="s">
        <v>530</v>
      </c>
      <c r="N2986">
        <v>0</v>
      </c>
      <c r="O2986">
        <v>0</v>
      </c>
      <c r="P2986" t="str">
        <f t="shared" si="46"/>
        <v>N</v>
      </c>
      <c r="Q2986" t="s">
        <v>8716</v>
      </c>
    </row>
    <row r="2987" spans="1:17" x14ac:dyDescent="0.25">
      <c r="A2987" t="s">
        <v>2122</v>
      </c>
      <c r="B2987" t="s">
        <v>1135</v>
      </c>
      <c r="C2987">
        <v>2027</v>
      </c>
      <c r="D2987" t="s">
        <v>546</v>
      </c>
      <c r="E2987" t="s">
        <v>840</v>
      </c>
      <c r="F2987" s="32">
        <v>46458</v>
      </c>
      <c r="G2987" t="s">
        <v>514</v>
      </c>
      <c r="H2987">
        <v>47128555</v>
      </c>
      <c r="I2987" t="s">
        <v>1209</v>
      </c>
      <c r="J2987" t="s">
        <v>1208</v>
      </c>
      <c r="K2987" t="s">
        <v>530</v>
      </c>
      <c r="N2987">
        <v>0</v>
      </c>
      <c r="O2987">
        <v>0</v>
      </c>
      <c r="P2987" t="str">
        <f t="shared" si="46"/>
        <v>N</v>
      </c>
      <c r="Q2987" t="s">
        <v>8717</v>
      </c>
    </row>
    <row r="2988" spans="1:17" x14ac:dyDescent="0.25">
      <c r="A2988" t="s">
        <v>2123</v>
      </c>
      <c r="B2988" t="s">
        <v>1135</v>
      </c>
      <c r="C2988">
        <v>2027</v>
      </c>
      <c r="D2988" t="s">
        <v>546</v>
      </c>
      <c r="E2988" t="s">
        <v>840</v>
      </c>
      <c r="F2988" s="32">
        <v>46458</v>
      </c>
      <c r="G2988" t="s">
        <v>514</v>
      </c>
      <c r="H2988">
        <v>47128522</v>
      </c>
      <c r="I2988" t="s">
        <v>1092</v>
      </c>
      <c r="J2988" t="s">
        <v>1091</v>
      </c>
      <c r="K2988" t="s">
        <v>530</v>
      </c>
      <c r="N2988">
        <v>0</v>
      </c>
      <c r="O2988">
        <v>0</v>
      </c>
      <c r="P2988" t="str">
        <f t="shared" si="46"/>
        <v>N</v>
      </c>
      <c r="Q2988" t="s">
        <v>8718</v>
      </c>
    </row>
    <row r="2989" spans="1:17" x14ac:dyDescent="0.25">
      <c r="A2989" t="s">
        <v>2124</v>
      </c>
      <c r="B2989" t="s">
        <v>1135</v>
      </c>
      <c r="C2989">
        <v>2027</v>
      </c>
      <c r="D2989" t="s">
        <v>546</v>
      </c>
      <c r="E2989" t="s">
        <v>840</v>
      </c>
      <c r="F2989" s="32">
        <v>46458</v>
      </c>
      <c r="G2989" t="s">
        <v>514</v>
      </c>
      <c r="H2989">
        <v>47147546</v>
      </c>
      <c r="I2989" t="s">
        <v>1077</v>
      </c>
      <c r="J2989" t="s">
        <v>1076</v>
      </c>
      <c r="K2989" t="s">
        <v>530</v>
      </c>
      <c r="N2989">
        <v>0</v>
      </c>
      <c r="O2989">
        <v>0</v>
      </c>
      <c r="P2989" t="str">
        <f t="shared" si="46"/>
        <v>N</v>
      </c>
      <c r="Q2989" t="s">
        <v>8719</v>
      </c>
    </row>
    <row r="2990" spans="1:17" x14ac:dyDescent="0.25">
      <c r="A2990" t="s">
        <v>2125</v>
      </c>
      <c r="B2990" t="s">
        <v>1135</v>
      </c>
      <c r="C2990">
        <v>2027</v>
      </c>
      <c r="D2990" t="s">
        <v>546</v>
      </c>
      <c r="E2990" t="s">
        <v>840</v>
      </c>
      <c r="F2990" s="32">
        <v>46458</v>
      </c>
      <c r="G2990" t="s">
        <v>514</v>
      </c>
      <c r="H2990">
        <v>47128597</v>
      </c>
      <c r="I2990" t="s">
        <v>1510</v>
      </c>
      <c r="J2990" t="s">
        <v>1509</v>
      </c>
      <c r="K2990" t="s">
        <v>530</v>
      </c>
      <c r="N2990">
        <v>0</v>
      </c>
      <c r="O2990">
        <v>0</v>
      </c>
      <c r="P2990" t="str">
        <f t="shared" si="46"/>
        <v>N</v>
      </c>
      <c r="Q2990" t="s">
        <v>8720</v>
      </c>
    </row>
    <row r="2991" spans="1:17" x14ac:dyDescent="0.25">
      <c r="A2991" t="s">
        <v>2126</v>
      </c>
      <c r="B2991" t="s">
        <v>1135</v>
      </c>
      <c r="C2991">
        <v>2027</v>
      </c>
      <c r="D2991" t="s">
        <v>546</v>
      </c>
      <c r="E2991" t="s">
        <v>840</v>
      </c>
      <c r="F2991" s="32">
        <v>46458</v>
      </c>
      <c r="G2991" t="s">
        <v>514</v>
      </c>
      <c r="H2991">
        <v>47128257</v>
      </c>
      <c r="I2991" t="s">
        <v>979</v>
      </c>
      <c r="J2991" t="s">
        <v>978</v>
      </c>
      <c r="K2991" t="s">
        <v>530</v>
      </c>
      <c r="N2991">
        <v>0</v>
      </c>
      <c r="O2991">
        <v>0</v>
      </c>
      <c r="P2991" t="str">
        <f t="shared" si="46"/>
        <v>N</v>
      </c>
      <c r="Q2991" t="s">
        <v>8721</v>
      </c>
    </row>
    <row r="2992" spans="1:17" x14ac:dyDescent="0.25">
      <c r="A2992" t="s">
        <v>2127</v>
      </c>
      <c r="B2992" t="s">
        <v>1135</v>
      </c>
      <c r="C2992">
        <v>2027</v>
      </c>
      <c r="D2992" t="s">
        <v>546</v>
      </c>
      <c r="E2992" t="s">
        <v>840</v>
      </c>
      <c r="F2992" s="32">
        <v>46458</v>
      </c>
      <c r="G2992" t="s">
        <v>514</v>
      </c>
      <c r="H2992">
        <v>47128880</v>
      </c>
      <c r="I2992" t="s">
        <v>1014</v>
      </c>
      <c r="J2992" t="s">
        <v>1013</v>
      </c>
      <c r="K2992" t="s">
        <v>530</v>
      </c>
      <c r="N2992">
        <v>0</v>
      </c>
      <c r="O2992">
        <v>0</v>
      </c>
      <c r="P2992" t="str">
        <f t="shared" si="46"/>
        <v>N</v>
      </c>
      <c r="Q2992" t="s">
        <v>8722</v>
      </c>
    </row>
    <row r="2993" spans="1:17" x14ac:dyDescent="0.25">
      <c r="A2993" t="s">
        <v>2128</v>
      </c>
      <c r="B2993" t="s">
        <v>1135</v>
      </c>
      <c r="C2993">
        <v>2027</v>
      </c>
      <c r="D2993" t="s">
        <v>546</v>
      </c>
      <c r="E2993" t="s">
        <v>840</v>
      </c>
      <c r="F2993" s="32">
        <v>46458</v>
      </c>
      <c r="G2993" t="s">
        <v>514</v>
      </c>
      <c r="H2993">
        <v>47128879</v>
      </c>
      <c r="I2993" t="s">
        <v>1132</v>
      </c>
      <c r="J2993" t="s">
        <v>1131</v>
      </c>
      <c r="K2993" t="s">
        <v>530</v>
      </c>
      <c r="N2993">
        <v>0</v>
      </c>
      <c r="O2993">
        <v>0</v>
      </c>
      <c r="P2993" t="str">
        <f t="shared" si="46"/>
        <v>N</v>
      </c>
      <c r="Q2993" t="s">
        <v>8723</v>
      </c>
    </row>
    <row r="2994" spans="1:17" x14ac:dyDescent="0.25">
      <c r="A2994" t="s">
        <v>2129</v>
      </c>
      <c r="B2994" t="s">
        <v>1135</v>
      </c>
      <c r="C2994">
        <v>2027</v>
      </c>
      <c r="D2994" t="s">
        <v>546</v>
      </c>
      <c r="E2994" t="s">
        <v>840</v>
      </c>
      <c r="F2994" s="32">
        <v>46458</v>
      </c>
      <c r="G2994" t="s">
        <v>514</v>
      </c>
      <c r="H2994">
        <v>47128413</v>
      </c>
      <c r="I2994" t="s">
        <v>1397</v>
      </c>
      <c r="J2994" t="s">
        <v>1396</v>
      </c>
      <c r="K2994" t="s">
        <v>530</v>
      </c>
      <c r="N2994">
        <v>0</v>
      </c>
      <c r="O2994">
        <v>0</v>
      </c>
      <c r="P2994" t="str">
        <f t="shared" si="46"/>
        <v>N</v>
      </c>
      <c r="Q2994" t="s">
        <v>8724</v>
      </c>
    </row>
    <row r="2995" spans="1:17" x14ac:dyDescent="0.25">
      <c r="A2995" t="s">
        <v>2130</v>
      </c>
      <c r="B2995" t="s">
        <v>1135</v>
      </c>
      <c r="C2995">
        <v>2027</v>
      </c>
      <c r="D2995" t="s">
        <v>546</v>
      </c>
      <c r="E2995" t="s">
        <v>840</v>
      </c>
      <c r="F2995" s="32">
        <v>46458</v>
      </c>
      <c r="G2995" t="s">
        <v>514</v>
      </c>
      <c r="H2995">
        <v>47146464</v>
      </c>
      <c r="I2995" t="s">
        <v>1438</v>
      </c>
      <c r="J2995" t="s">
        <v>1437</v>
      </c>
      <c r="K2995" t="s">
        <v>530</v>
      </c>
      <c r="N2995">
        <v>0</v>
      </c>
      <c r="O2995">
        <v>0</v>
      </c>
      <c r="P2995" t="str">
        <f t="shared" si="46"/>
        <v>N</v>
      </c>
      <c r="Q2995" t="s">
        <v>8725</v>
      </c>
    </row>
    <row r="2996" spans="1:17" x14ac:dyDescent="0.25">
      <c r="A2996" t="s">
        <v>2131</v>
      </c>
      <c r="B2996" t="s">
        <v>1135</v>
      </c>
      <c r="C2996">
        <v>2027</v>
      </c>
      <c r="D2996" t="s">
        <v>546</v>
      </c>
      <c r="E2996" t="s">
        <v>840</v>
      </c>
      <c r="F2996" s="32">
        <v>46458</v>
      </c>
      <c r="G2996" t="s">
        <v>514</v>
      </c>
      <c r="H2996">
        <v>47147546</v>
      </c>
      <c r="I2996" t="s">
        <v>1077</v>
      </c>
      <c r="J2996" t="s">
        <v>1381</v>
      </c>
      <c r="K2996" t="s">
        <v>530</v>
      </c>
      <c r="N2996">
        <v>0</v>
      </c>
      <c r="O2996">
        <v>0</v>
      </c>
      <c r="P2996" t="str">
        <f t="shared" si="46"/>
        <v>N</v>
      </c>
      <c r="Q2996" t="s">
        <v>8726</v>
      </c>
    </row>
    <row r="2997" spans="1:17" x14ac:dyDescent="0.25">
      <c r="A2997" t="s">
        <v>2132</v>
      </c>
      <c r="B2997" t="s">
        <v>1135</v>
      </c>
      <c r="C2997">
        <v>2027</v>
      </c>
      <c r="D2997" t="s">
        <v>546</v>
      </c>
      <c r="E2997" t="s">
        <v>840</v>
      </c>
      <c r="F2997" s="32">
        <v>46458</v>
      </c>
      <c r="G2997" t="s">
        <v>514</v>
      </c>
      <c r="H2997">
        <v>47128800</v>
      </c>
      <c r="I2997" t="s">
        <v>1145</v>
      </c>
      <c r="J2997" t="s">
        <v>1144</v>
      </c>
      <c r="K2997" t="s">
        <v>530</v>
      </c>
      <c r="N2997">
        <v>0</v>
      </c>
      <c r="O2997">
        <v>0</v>
      </c>
      <c r="P2997" t="str">
        <f t="shared" si="46"/>
        <v>N</v>
      </c>
      <c r="Q2997" t="s">
        <v>8727</v>
      </c>
    </row>
    <row r="2998" spans="1:17" x14ac:dyDescent="0.25">
      <c r="A2998" t="s">
        <v>2133</v>
      </c>
      <c r="B2998" t="s">
        <v>1135</v>
      </c>
      <c r="C2998">
        <v>2027</v>
      </c>
      <c r="D2998" t="s">
        <v>546</v>
      </c>
      <c r="E2998" t="s">
        <v>840</v>
      </c>
      <c r="F2998" s="32">
        <v>46458</v>
      </c>
      <c r="G2998" t="s">
        <v>514</v>
      </c>
      <c r="H2998">
        <v>47128109</v>
      </c>
      <c r="I2998" t="s">
        <v>1336</v>
      </c>
      <c r="J2998" t="s">
        <v>1335</v>
      </c>
      <c r="K2998" t="s">
        <v>530</v>
      </c>
      <c r="N2998">
        <v>0</v>
      </c>
      <c r="O2998">
        <v>0</v>
      </c>
      <c r="P2998" t="str">
        <f t="shared" si="46"/>
        <v>N</v>
      </c>
      <c r="Q2998" t="s">
        <v>8728</v>
      </c>
    </row>
    <row r="2999" spans="1:17" x14ac:dyDescent="0.25">
      <c r="A2999" t="s">
        <v>2134</v>
      </c>
      <c r="B2999" t="s">
        <v>1135</v>
      </c>
      <c r="C2999">
        <v>2027</v>
      </c>
      <c r="D2999" t="s">
        <v>546</v>
      </c>
      <c r="E2999" t="s">
        <v>840</v>
      </c>
      <c r="F2999" s="32">
        <v>46458</v>
      </c>
      <c r="G2999" t="s">
        <v>514</v>
      </c>
      <c r="H2999">
        <v>47128346</v>
      </c>
      <c r="I2999" t="s">
        <v>1157</v>
      </c>
      <c r="J2999" t="s">
        <v>1156</v>
      </c>
      <c r="K2999" t="s">
        <v>530</v>
      </c>
      <c r="N2999">
        <v>0</v>
      </c>
      <c r="O2999">
        <v>0</v>
      </c>
      <c r="P2999" t="str">
        <f t="shared" si="46"/>
        <v>N</v>
      </c>
      <c r="Q2999" t="s">
        <v>8729</v>
      </c>
    </row>
    <row r="3000" spans="1:17" x14ac:dyDescent="0.25">
      <c r="A3000" t="s">
        <v>2135</v>
      </c>
      <c r="B3000" t="s">
        <v>1135</v>
      </c>
      <c r="C3000">
        <v>2027</v>
      </c>
      <c r="D3000" t="s">
        <v>546</v>
      </c>
      <c r="E3000" t="s">
        <v>840</v>
      </c>
      <c r="F3000" s="32">
        <v>46458</v>
      </c>
      <c r="G3000" t="s">
        <v>514</v>
      </c>
      <c r="H3000">
        <v>47128518</v>
      </c>
      <c r="I3000" t="s">
        <v>1232</v>
      </c>
      <c r="J3000" t="s">
        <v>1231</v>
      </c>
      <c r="K3000" t="s">
        <v>530</v>
      </c>
      <c r="N3000">
        <v>0</v>
      </c>
      <c r="O3000">
        <v>0</v>
      </c>
      <c r="P3000" t="str">
        <f t="shared" si="46"/>
        <v>N</v>
      </c>
      <c r="Q3000" t="s">
        <v>8730</v>
      </c>
    </row>
    <row r="3001" spans="1:17" x14ac:dyDescent="0.25">
      <c r="A3001" t="s">
        <v>2136</v>
      </c>
      <c r="B3001" t="s">
        <v>1135</v>
      </c>
      <c r="C3001">
        <v>2027</v>
      </c>
      <c r="D3001" t="s">
        <v>546</v>
      </c>
      <c r="E3001" t="s">
        <v>840</v>
      </c>
      <c r="F3001" s="32">
        <v>46458</v>
      </c>
      <c r="G3001" t="s">
        <v>514</v>
      </c>
      <c r="H3001">
        <v>47128418</v>
      </c>
      <c r="I3001" t="s">
        <v>1082</v>
      </c>
      <c r="J3001" t="s">
        <v>1081</v>
      </c>
      <c r="K3001" t="s">
        <v>530</v>
      </c>
      <c r="N3001">
        <v>0</v>
      </c>
      <c r="O3001">
        <v>0</v>
      </c>
      <c r="P3001" t="str">
        <f t="shared" si="46"/>
        <v>N</v>
      </c>
      <c r="Q3001" t="s">
        <v>8731</v>
      </c>
    </row>
    <row r="3002" spans="1:17" x14ac:dyDescent="0.25">
      <c r="A3002" t="s">
        <v>2137</v>
      </c>
      <c r="B3002" t="s">
        <v>1135</v>
      </c>
      <c r="C3002">
        <v>2027</v>
      </c>
      <c r="D3002" t="s">
        <v>546</v>
      </c>
      <c r="E3002" t="s">
        <v>840</v>
      </c>
      <c r="F3002" s="32">
        <v>46458</v>
      </c>
      <c r="G3002" t="s">
        <v>514</v>
      </c>
      <c r="H3002">
        <v>47128968</v>
      </c>
      <c r="I3002" t="s">
        <v>947</v>
      </c>
      <c r="J3002" t="s">
        <v>946</v>
      </c>
      <c r="K3002" t="s">
        <v>530</v>
      </c>
      <c r="N3002">
        <v>0</v>
      </c>
      <c r="O3002">
        <v>0</v>
      </c>
      <c r="P3002" t="str">
        <f t="shared" si="46"/>
        <v>N</v>
      </c>
      <c r="Q3002" t="s">
        <v>8732</v>
      </c>
    </row>
    <row r="3003" spans="1:17" x14ac:dyDescent="0.25">
      <c r="A3003" t="s">
        <v>2138</v>
      </c>
      <c r="B3003" t="s">
        <v>1135</v>
      </c>
      <c r="C3003">
        <v>2027</v>
      </c>
      <c r="D3003" t="s">
        <v>546</v>
      </c>
      <c r="E3003" t="s">
        <v>840</v>
      </c>
      <c r="F3003" s="32">
        <v>46458</v>
      </c>
      <c r="G3003" t="s">
        <v>514</v>
      </c>
      <c r="H3003">
        <v>47147658</v>
      </c>
      <c r="I3003" t="s">
        <v>1276</v>
      </c>
      <c r="J3003" t="s">
        <v>1275</v>
      </c>
      <c r="K3003" t="s">
        <v>530</v>
      </c>
      <c r="N3003">
        <v>0</v>
      </c>
      <c r="O3003">
        <v>0</v>
      </c>
      <c r="P3003" t="str">
        <f t="shared" si="46"/>
        <v>N</v>
      </c>
      <c r="Q3003" t="s">
        <v>8733</v>
      </c>
    </row>
    <row r="3004" spans="1:17" x14ac:dyDescent="0.25">
      <c r="A3004" t="s">
        <v>2139</v>
      </c>
      <c r="B3004" t="s">
        <v>1135</v>
      </c>
      <c r="C3004">
        <v>2027</v>
      </c>
      <c r="D3004" t="s">
        <v>546</v>
      </c>
      <c r="E3004" t="s">
        <v>840</v>
      </c>
      <c r="F3004" s="32">
        <v>46458</v>
      </c>
      <c r="G3004" t="s">
        <v>514</v>
      </c>
      <c r="H3004">
        <v>47128781</v>
      </c>
      <c r="I3004" t="s">
        <v>1251</v>
      </c>
      <c r="J3004" t="s">
        <v>1250</v>
      </c>
      <c r="K3004" t="s">
        <v>530</v>
      </c>
      <c r="N3004">
        <v>0</v>
      </c>
      <c r="O3004">
        <v>0</v>
      </c>
      <c r="P3004" t="str">
        <f t="shared" si="46"/>
        <v>N</v>
      </c>
      <c r="Q3004" t="s">
        <v>8734</v>
      </c>
    </row>
    <row r="3005" spans="1:17" x14ac:dyDescent="0.25">
      <c r="A3005" t="s">
        <v>2702</v>
      </c>
      <c r="B3005" t="s">
        <v>2444</v>
      </c>
      <c r="C3005">
        <v>2027</v>
      </c>
      <c r="D3005" t="s">
        <v>546</v>
      </c>
      <c r="E3005" t="s">
        <v>840</v>
      </c>
      <c r="F3005" s="32">
        <v>46458</v>
      </c>
      <c r="G3005" t="s">
        <v>514</v>
      </c>
      <c r="H3005">
        <v>47128006</v>
      </c>
      <c r="I3005" t="s">
        <v>2447</v>
      </c>
      <c r="J3005" t="s">
        <v>2448</v>
      </c>
      <c r="K3005" t="s">
        <v>530</v>
      </c>
      <c r="N3005">
        <v>0</v>
      </c>
      <c r="O3005">
        <v>0</v>
      </c>
      <c r="P3005" t="str">
        <f t="shared" si="46"/>
        <v>N</v>
      </c>
      <c r="Q3005" t="s">
        <v>8735</v>
      </c>
    </row>
    <row r="3006" spans="1:17" x14ac:dyDescent="0.25">
      <c r="A3006" t="s">
        <v>2703</v>
      </c>
      <c r="B3006" t="s">
        <v>2444</v>
      </c>
      <c r="C3006">
        <v>2027</v>
      </c>
      <c r="D3006" t="s">
        <v>546</v>
      </c>
      <c r="E3006" t="s">
        <v>840</v>
      </c>
      <c r="F3006" s="32">
        <v>46458</v>
      </c>
      <c r="G3006" t="s">
        <v>514</v>
      </c>
      <c r="H3006">
        <v>47128300</v>
      </c>
      <c r="I3006" t="s">
        <v>2471</v>
      </c>
      <c r="J3006" t="s">
        <v>2472</v>
      </c>
      <c r="K3006" t="s">
        <v>530</v>
      </c>
      <c r="N3006">
        <v>0</v>
      </c>
      <c r="O3006">
        <v>0</v>
      </c>
      <c r="P3006" t="str">
        <f t="shared" si="46"/>
        <v>N</v>
      </c>
      <c r="Q3006" t="s">
        <v>8736</v>
      </c>
    </row>
    <row r="3007" spans="1:17" x14ac:dyDescent="0.25">
      <c r="A3007" t="s">
        <v>2704</v>
      </c>
      <c r="B3007" t="s">
        <v>2444</v>
      </c>
      <c r="C3007">
        <v>2027</v>
      </c>
      <c r="D3007" t="s">
        <v>546</v>
      </c>
      <c r="E3007" t="s">
        <v>840</v>
      </c>
      <c r="F3007" s="32">
        <v>46458</v>
      </c>
      <c r="G3007" t="s">
        <v>514</v>
      </c>
      <c r="H3007">
        <v>47128213</v>
      </c>
      <c r="I3007" t="s">
        <v>2456</v>
      </c>
      <c r="J3007" t="s">
        <v>2457</v>
      </c>
      <c r="K3007" t="s">
        <v>530</v>
      </c>
      <c r="N3007">
        <v>0</v>
      </c>
      <c r="O3007">
        <v>0</v>
      </c>
      <c r="P3007" t="str">
        <f t="shared" si="46"/>
        <v>N</v>
      </c>
      <c r="Q3007" t="s">
        <v>8737</v>
      </c>
    </row>
    <row r="3008" spans="1:17" x14ac:dyDescent="0.25">
      <c r="A3008" t="s">
        <v>2705</v>
      </c>
      <c r="B3008" t="s">
        <v>2444</v>
      </c>
      <c r="C3008">
        <v>2027</v>
      </c>
      <c r="D3008" t="s">
        <v>546</v>
      </c>
      <c r="E3008" t="s">
        <v>840</v>
      </c>
      <c r="F3008" s="32">
        <v>46458</v>
      </c>
      <c r="G3008" t="s">
        <v>514</v>
      </c>
      <c r="H3008">
        <v>47128667</v>
      </c>
      <c r="I3008" t="s">
        <v>2450</v>
      </c>
      <c r="J3008" t="s">
        <v>2451</v>
      </c>
      <c r="K3008" t="s">
        <v>530</v>
      </c>
      <c r="N3008">
        <v>0</v>
      </c>
      <c r="O3008">
        <v>0</v>
      </c>
      <c r="P3008" t="str">
        <f t="shared" si="46"/>
        <v>N</v>
      </c>
      <c r="Q3008" t="s">
        <v>8738</v>
      </c>
    </row>
    <row r="3009" spans="1:17" x14ac:dyDescent="0.25">
      <c r="A3009" t="s">
        <v>2706</v>
      </c>
      <c r="B3009" t="s">
        <v>2444</v>
      </c>
      <c r="C3009">
        <v>2027</v>
      </c>
      <c r="D3009" t="s">
        <v>546</v>
      </c>
      <c r="E3009" t="s">
        <v>840</v>
      </c>
      <c r="F3009" s="32">
        <v>46458</v>
      </c>
      <c r="G3009" t="s">
        <v>514</v>
      </c>
      <c r="H3009">
        <v>47128179</v>
      </c>
      <c r="I3009" t="s">
        <v>2477</v>
      </c>
      <c r="J3009" t="s">
        <v>2478</v>
      </c>
      <c r="K3009" t="s">
        <v>530</v>
      </c>
      <c r="N3009">
        <v>0</v>
      </c>
      <c r="O3009">
        <v>0</v>
      </c>
      <c r="P3009" t="str">
        <f t="shared" si="46"/>
        <v>N</v>
      </c>
      <c r="Q3009" t="s">
        <v>8739</v>
      </c>
    </row>
    <row r="3010" spans="1:17" x14ac:dyDescent="0.25">
      <c r="A3010" t="s">
        <v>2707</v>
      </c>
      <c r="B3010" t="s">
        <v>2444</v>
      </c>
      <c r="C3010">
        <v>2027</v>
      </c>
      <c r="D3010" t="s">
        <v>546</v>
      </c>
      <c r="E3010" t="s">
        <v>840</v>
      </c>
      <c r="F3010" s="32">
        <v>46458</v>
      </c>
      <c r="G3010" t="s">
        <v>514</v>
      </c>
      <c r="H3010">
        <v>47128655</v>
      </c>
      <c r="I3010" t="s">
        <v>2474</v>
      </c>
      <c r="J3010" t="s">
        <v>2475</v>
      </c>
      <c r="K3010" t="s">
        <v>530</v>
      </c>
      <c r="N3010">
        <v>0</v>
      </c>
      <c r="O3010">
        <v>0</v>
      </c>
      <c r="P3010" t="str">
        <f t="shared" si="46"/>
        <v>N</v>
      </c>
      <c r="Q3010" t="s">
        <v>8740</v>
      </c>
    </row>
    <row r="3011" spans="1:17" x14ac:dyDescent="0.25">
      <c r="A3011" t="s">
        <v>2708</v>
      </c>
      <c r="B3011" t="s">
        <v>2444</v>
      </c>
      <c r="C3011">
        <v>2027</v>
      </c>
      <c r="D3011" t="s">
        <v>546</v>
      </c>
      <c r="E3011" t="s">
        <v>840</v>
      </c>
      <c r="F3011" s="32">
        <v>46458</v>
      </c>
      <c r="G3011" t="s">
        <v>514</v>
      </c>
      <c r="H3011">
        <v>47129222</v>
      </c>
      <c r="I3011" t="s">
        <v>2459</v>
      </c>
      <c r="J3011" t="s">
        <v>2460</v>
      </c>
      <c r="K3011" t="s">
        <v>530</v>
      </c>
      <c r="N3011">
        <v>0</v>
      </c>
      <c r="O3011">
        <v>0</v>
      </c>
      <c r="P3011" t="str">
        <f t="shared" ref="P3011:P3074" si="47">IF(N3011=O3011,"N","Y")</f>
        <v>N</v>
      </c>
      <c r="Q3011" t="s">
        <v>8741</v>
      </c>
    </row>
    <row r="3012" spans="1:17" x14ac:dyDescent="0.25">
      <c r="A3012" t="s">
        <v>2709</v>
      </c>
      <c r="B3012" t="s">
        <v>2444</v>
      </c>
      <c r="C3012">
        <v>2027</v>
      </c>
      <c r="D3012" t="s">
        <v>546</v>
      </c>
      <c r="E3012" t="s">
        <v>840</v>
      </c>
      <c r="F3012" s="32">
        <v>46458</v>
      </c>
      <c r="G3012" t="s">
        <v>514</v>
      </c>
      <c r="H3012">
        <v>47132096</v>
      </c>
      <c r="I3012" t="s">
        <v>2468</v>
      </c>
      <c r="J3012" t="s">
        <v>2469</v>
      </c>
      <c r="K3012" t="s">
        <v>530</v>
      </c>
      <c r="N3012">
        <v>0</v>
      </c>
      <c r="O3012">
        <v>0</v>
      </c>
      <c r="P3012" t="str">
        <f t="shared" si="47"/>
        <v>N</v>
      </c>
      <c r="Q3012" t="s">
        <v>8742</v>
      </c>
    </row>
    <row r="3013" spans="1:17" x14ac:dyDescent="0.25">
      <c r="A3013" t="s">
        <v>2710</v>
      </c>
      <c r="B3013" t="s">
        <v>2444</v>
      </c>
      <c r="C3013">
        <v>2027</v>
      </c>
      <c r="D3013" t="s">
        <v>546</v>
      </c>
      <c r="E3013" t="s">
        <v>840</v>
      </c>
      <c r="F3013" s="32">
        <v>46458</v>
      </c>
      <c r="G3013" t="s">
        <v>514</v>
      </c>
      <c r="H3013">
        <v>47128561</v>
      </c>
      <c r="I3013" t="s">
        <v>2462</v>
      </c>
      <c r="J3013" t="s">
        <v>2463</v>
      </c>
      <c r="K3013" t="s">
        <v>530</v>
      </c>
      <c r="N3013">
        <v>0</v>
      </c>
      <c r="O3013">
        <v>0</v>
      </c>
      <c r="P3013" t="str">
        <f t="shared" si="47"/>
        <v>N</v>
      </c>
      <c r="Q3013" t="s">
        <v>8743</v>
      </c>
    </row>
    <row r="3014" spans="1:17" x14ac:dyDescent="0.25">
      <c r="A3014" t="s">
        <v>2711</v>
      </c>
      <c r="B3014" t="s">
        <v>2444</v>
      </c>
      <c r="C3014">
        <v>2027</v>
      </c>
      <c r="D3014" t="s">
        <v>546</v>
      </c>
      <c r="E3014" t="s">
        <v>840</v>
      </c>
      <c r="F3014" s="32">
        <v>46458</v>
      </c>
      <c r="G3014" t="s">
        <v>514</v>
      </c>
      <c r="H3014">
        <v>47129274</v>
      </c>
      <c r="I3014" t="s">
        <v>2486</v>
      </c>
      <c r="J3014" t="s">
        <v>2487</v>
      </c>
      <c r="K3014" t="s">
        <v>530</v>
      </c>
      <c r="N3014">
        <v>7</v>
      </c>
      <c r="O3014">
        <v>7</v>
      </c>
      <c r="P3014" t="str">
        <f t="shared" si="47"/>
        <v>N</v>
      </c>
      <c r="Q3014" t="s">
        <v>8744</v>
      </c>
    </row>
    <row r="3015" spans="1:17" x14ac:dyDescent="0.25">
      <c r="A3015" t="s">
        <v>2712</v>
      </c>
      <c r="B3015" t="s">
        <v>2444</v>
      </c>
      <c r="C3015">
        <v>2027</v>
      </c>
      <c r="D3015" t="s">
        <v>546</v>
      </c>
      <c r="E3015" t="s">
        <v>840</v>
      </c>
      <c r="F3015" s="32">
        <v>46458</v>
      </c>
      <c r="G3015" t="s">
        <v>514</v>
      </c>
      <c r="H3015">
        <v>47129262</v>
      </c>
      <c r="I3015" t="s">
        <v>2453</v>
      </c>
      <c r="J3015" t="s">
        <v>2454</v>
      </c>
      <c r="K3015" t="s">
        <v>530</v>
      </c>
      <c r="N3015">
        <v>45</v>
      </c>
      <c r="O3015">
        <v>45</v>
      </c>
      <c r="P3015" t="str">
        <f t="shared" si="47"/>
        <v>N</v>
      </c>
      <c r="Q3015" t="s">
        <v>8745</v>
      </c>
    </row>
    <row r="3016" spans="1:17" x14ac:dyDescent="0.25">
      <c r="A3016" t="s">
        <v>2713</v>
      </c>
      <c r="B3016" t="s">
        <v>2444</v>
      </c>
      <c r="C3016">
        <v>2027</v>
      </c>
      <c r="D3016" t="s">
        <v>546</v>
      </c>
      <c r="E3016" t="s">
        <v>840</v>
      </c>
      <c r="F3016" s="32">
        <v>46458</v>
      </c>
      <c r="G3016" t="s">
        <v>514</v>
      </c>
      <c r="H3016">
        <v>47129558</v>
      </c>
      <c r="I3016" t="s">
        <v>2480</v>
      </c>
      <c r="J3016" t="s">
        <v>2481</v>
      </c>
      <c r="K3016" t="s">
        <v>530</v>
      </c>
      <c r="N3016">
        <v>0</v>
      </c>
      <c r="O3016">
        <v>0</v>
      </c>
      <c r="P3016" t="str">
        <f t="shared" si="47"/>
        <v>N</v>
      </c>
      <c r="Q3016" t="s">
        <v>8746</v>
      </c>
    </row>
    <row r="3017" spans="1:17" x14ac:dyDescent="0.25">
      <c r="A3017" t="s">
        <v>2714</v>
      </c>
      <c r="B3017" t="s">
        <v>2444</v>
      </c>
      <c r="C3017">
        <v>2027</v>
      </c>
      <c r="D3017" t="s">
        <v>546</v>
      </c>
      <c r="E3017" t="s">
        <v>840</v>
      </c>
      <c r="F3017" s="32">
        <v>46458</v>
      </c>
      <c r="G3017" t="s">
        <v>514</v>
      </c>
      <c r="H3017">
        <v>47129727</v>
      </c>
      <c r="I3017" t="s">
        <v>2465</v>
      </c>
      <c r="J3017" t="s">
        <v>2466</v>
      </c>
      <c r="K3017" t="s">
        <v>530</v>
      </c>
      <c r="N3017">
        <v>0</v>
      </c>
      <c r="O3017">
        <v>0</v>
      </c>
      <c r="P3017" t="str">
        <f t="shared" si="47"/>
        <v>N</v>
      </c>
      <c r="Q3017" t="s">
        <v>8747</v>
      </c>
    </row>
    <row r="3018" spans="1:17" x14ac:dyDescent="0.25">
      <c r="A3018" t="s">
        <v>2715</v>
      </c>
      <c r="B3018" t="s">
        <v>2444</v>
      </c>
      <c r="C3018">
        <v>2027</v>
      </c>
      <c r="D3018" t="s">
        <v>546</v>
      </c>
      <c r="E3018" t="s">
        <v>840</v>
      </c>
      <c r="F3018" s="32">
        <v>46458</v>
      </c>
      <c r="G3018" t="s">
        <v>514</v>
      </c>
      <c r="H3018">
        <v>47129273</v>
      </c>
      <c r="I3018" t="s">
        <v>2483</v>
      </c>
      <c r="J3018" t="s">
        <v>2484</v>
      </c>
      <c r="K3018" t="s">
        <v>530</v>
      </c>
      <c r="N3018">
        <v>0</v>
      </c>
      <c r="O3018">
        <v>0</v>
      </c>
      <c r="P3018" t="str">
        <f t="shared" si="47"/>
        <v>N</v>
      </c>
      <c r="Q3018" t="s">
        <v>8748</v>
      </c>
    </row>
    <row r="3019" spans="1:17" x14ac:dyDescent="0.25">
      <c r="A3019" t="s">
        <v>2716</v>
      </c>
      <c r="B3019" t="s">
        <v>2444</v>
      </c>
      <c r="C3019">
        <v>2027</v>
      </c>
      <c r="D3019" t="s">
        <v>546</v>
      </c>
      <c r="E3019" t="s">
        <v>840</v>
      </c>
      <c r="F3019" s="32">
        <v>46458</v>
      </c>
      <c r="G3019" t="s">
        <v>514</v>
      </c>
      <c r="H3019">
        <v>47128247</v>
      </c>
      <c r="I3019" t="s">
        <v>2492</v>
      </c>
      <c r="J3019" t="s">
        <v>2493</v>
      </c>
      <c r="K3019" t="s">
        <v>530</v>
      </c>
      <c r="N3019">
        <v>0</v>
      </c>
      <c r="O3019">
        <v>0</v>
      </c>
      <c r="P3019" t="str">
        <f t="shared" si="47"/>
        <v>N</v>
      </c>
      <c r="Q3019" t="s">
        <v>8749</v>
      </c>
    </row>
    <row r="3020" spans="1:17" x14ac:dyDescent="0.25">
      <c r="A3020" t="s">
        <v>2717</v>
      </c>
      <c r="B3020" t="s">
        <v>2444</v>
      </c>
      <c r="C3020">
        <v>2027</v>
      </c>
      <c r="D3020" t="s">
        <v>546</v>
      </c>
      <c r="E3020" t="s">
        <v>840</v>
      </c>
      <c r="F3020" s="32">
        <v>46458</v>
      </c>
      <c r="G3020" t="s">
        <v>514</v>
      </c>
      <c r="H3020">
        <v>47128587</v>
      </c>
      <c r="I3020" t="s">
        <v>2489</v>
      </c>
      <c r="J3020" t="s">
        <v>2490</v>
      </c>
      <c r="K3020" t="s">
        <v>530</v>
      </c>
      <c r="N3020">
        <v>0</v>
      </c>
      <c r="O3020">
        <v>0</v>
      </c>
      <c r="P3020" t="str">
        <f t="shared" si="47"/>
        <v>N</v>
      </c>
      <c r="Q3020" t="s">
        <v>8750</v>
      </c>
    </row>
    <row r="3021" spans="1:17" x14ac:dyDescent="0.25">
      <c r="A3021" t="s">
        <v>2718</v>
      </c>
      <c r="B3021" t="s">
        <v>2444</v>
      </c>
      <c r="C3021">
        <v>2027</v>
      </c>
      <c r="D3021" t="s">
        <v>546</v>
      </c>
      <c r="E3021" t="s">
        <v>840</v>
      </c>
      <c r="F3021" s="32">
        <v>46458</v>
      </c>
      <c r="G3021" t="s">
        <v>514</v>
      </c>
      <c r="H3021">
        <v>47128781</v>
      </c>
      <c r="I3021" t="s">
        <v>1251</v>
      </c>
      <c r="J3021" t="s">
        <v>1250</v>
      </c>
      <c r="K3021" t="s">
        <v>530</v>
      </c>
      <c r="N3021">
        <v>0</v>
      </c>
      <c r="O3021">
        <v>0</v>
      </c>
      <c r="P3021" t="str">
        <f t="shared" si="47"/>
        <v>N</v>
      </c>
      <c r="Q3021" t="s">
        <v>8751</v>
      </c>
    </row>
    <row r="3022" spans="1:17" x14ac:dyDescent="0.25">
      <c r="A3022" t="s">
        <v>3008</v>
      </c>
      <c r="B3022" t="s">
        <v>2783</v>
      </c>
      <c r="C3022">
        <v>2027</v>
      </c>
      <c r="D3022" t="s">
        <v>546</v>
      </c>
      <c r="E3022" t="s">
        <v>840</v>
      </c>
      <c r="F3022" s="32">
        <v>46458</v>
      </c>
      <c r="G3022" t="s">
        <v>514</v>
      </c>
      <c r="H3022">
        <v>47128006</v>
      </c>
      <c r="I3022" t="s">
        <v>2447</v>
      </c>
      <c r="J3022" t="s">
        <v>2448</v>
      </c>
      <c r="K3022" t="s">
        <v>530</v>
      </c>
      <c r="N3022">
        <v>0</v>
      </c>
      <c r="O3022">
        <v>0</v>
      </c>
      <c r="P3022" t="str">
        <f t="shared" si="47"/>
        <v>N</v>
      </c>
      <c r="Q3022" t="s">
        <v>8752</v>
      </c>
    </row>
    <row r="3023" spans="1:17" x14ac:dyDescent="0.25">
      <c r="A3023" t="s">
        <v>3009</v>
      </c>
      <c r="B3023" t="s">
        <v>2783</v>
      </c>
      <c r="C3023">
        <v>2027</v>
      </c>
      <c r="D3023" t="s">
        <v>546</v>
      </c>
      <c r="E3023" t="s">
        <v>840</v>
      </c>
      <c r="F3023" s="32">
        <v>46458</v>
      </c>
      <c r="G3023" t="s">
        <v>514</v>
      </c>
      <c r="H3023">
        <v>47128300</v>
      </c>
      <c r="I3023" t="s">
        <v>2471</v>
      </c>
      <c r="J3023" t="s">
        <v>2472</v>
      </c>
      <c r="K3023" t="s">
        <v>530</v>
      </c>
      <c r="N3023">
        <v>0</v>
      </c>
      <c r="O3023">
        <v>0</v>
      </c>
      <c r="P3023" t="str">
        <f t="shared" si="47"/>
        <v>N</v>
      </c>
      <c r="Q3023" t="s">
        <v>8753</v>
      </c>
    </row>
    <row r="3024" spans="1:17" x14ac:dyDescent="0.25">
      <c r="A3024" t="s">
        <v>3010</v>
      </c>
      <c r="B3024" t="s">
        <v>2783</v>
      </c>
      <c r="C3024">
        <v>2027</v>
      </c>
      <c r="D3024" t="s">
        <v>546</v>
      </c>
      <c r="E3024" t="s">
        <v>840</v>
      </c>
      <c r="F3024" s="32">
        <v>46458</v>
      </c>
      <c r="G3024" t="s">
        <v>514</v>
      </c>
      <c r="H3024">
        <v>47128213</v>
      </c>
      <c r="I3024" t="s">
        <v>2456</v>
      </c>
      <c r="J3024" t="s">
        <v>2457</v>
      </c>
      <c r="K3024" t="s">
        <v>530</v>
      </c>
      <c r="N3024">
        <v>0</v>
      </c>
      <c r="O3024">
        <v>0</v>
      </c>
      <c r="P3024" t="str">
        <f t="shared" si="47"/>
        <v>N</v>
      </c>
      <c r="Q3024" t="s">
        <v>8754</v>
      </c>
    </row>
    <row r="3025" spans="1:17" x14ac:dyDescent="0.25">
      <c r="A3025" t="s">
        <v>3011</v>
      </c>
      <c r="B3025" t="s">
        <v>2783</v>
      </c>
      <c r="C3025">
        <v>2027</v>
      </c>
      <c r="D3025" t="s">
        <v>546</v>
      </c>
      <c r="E3025" t="s">
        <v>840</v>
      </c>
      <c r="F3025" s="32">
        <v>46458</v>
      </c>
      <c r="G3025" t="s">
        <v>514</v>
      </c>
      <c r="H3025">
        <v>47128667</v>
      </c>
      <c r="I3025" t="s">
        <v>2450</v>
      </c>
      <c r="J3025" t="s">
        <v>2451</v>
      </c>
      <c r="K3025" t="s">
        <v>530</v>
      </c>
      <c r="N3025">
        <v>0</v>
      </c>
      <c r="O3025">
        <v>0</v>
      </c>
      <c r="P3025" t="str">
        <f t="shared" si="47"/>
        <v>N</v>
      </c>
      <c r="Q3025" t="s">
        <v>8755</v>
      </c>
    </row>
    <row r="3026" spans="1:17" x14ac:dyDescent="0.25">
      <c r="A3026" t="s">
        <v>3012</v>
      </c>
      <c r="B3026" t="s">
        <v>2783</v>
      </c>
      <c r="C3026">
        <v>2027</v>
      </c>
      <c r="D3026" t="s">
        <v>546</v>
      </c>
      <c r="E3026" t="s">
        <v>840</v>
      </c>
      <c r="F3026" s="32">
        <v>46458</v>
      </c>
      <c r="G3026" t="s">
        <v>514</v>
      </c>
      <c r="H3026">
        <v>47128179</v>
      </c>
      <c r="I3026" t="s">
        <v>2477</v>
      </c>
      <c r="J3026" t="s">
        <v>2478</v>
      </c>
      <c r="K3026" t="s">
        <v>530</v>
      </c>
      <c r="N3026">
        <v>0</v>
      </c>
      <c r="O3026">
        <v>0</v>
      </c>
      <c r="P3026" t="str">
        <f t="shared" si="47"/>
        <v>N</v>
      </c>
      <c r="Q3026" t="s">
        <v>8756</v>
      </c>
    </row>
    <row r="3027" spans="1:17" x14ac:dyDescent="0.25">
      <c r="A3027" t="s">
        <v>3013</v>
      </c>
      <c r="B3027" t="s">
        <v>2783</v>
      </c>
      <c r="C3027">
        <v>2027</v>
      </c>
      <c r="D3027" t="s">
        <v>546</v>
      </c>
      <c r="E3027" t="s">
        <v>840</v>
      </c>
      <c r="F3027" s="32">
        <v>46458</v>
      </c>
      <c r="G3027" t="s">
        <v>514</v>
      </c>
      <c r="H3027">
        <v>47128655</v>
      </c>
      <c r="I3027" t="s">
        <v>2474</v>
      </c>
      <c r="J3027" t="s">
        <v>2475</v>
      </c>
      <c r="K3027" t="s">
        <v>530</v>
      </c>
      <c r="N3027">
        <v>0</v>
      </c>
      <c r="O3027">
        <v>0</v>
      </c>
      <c r="P3027" t="str">
        <f t="shared" si="47"/>
        <v>N</v>
      </c>
      <c r="Q3027" t="s">
        <v>8757</v>
      </c>
    </row>
    <row r="3028" spans="1:17" x14ac:dyDescent="0.25">
      <c r="A3028" t="s">
        <v>3014</v>
      </c>
      <c r="B3028" t="s">
        <v>2783</v>
      </c>
      <c r="C3028">
        <v>2027</v>
      </c>
      <c r="D3028" t="s">
        <v>546</v>
      </c>
      <c r="E3028" t="s">
        <v>840</v>
      </c>
      <c r="F3028" s="32">
        <v>46458</v>
      </c>
      <c r="G3028" t="s">
        <v>514</v>
      </c>
      <c r="H3028">
        <v>47132096</v>
      </c>
      <c r="I3028" t="s">
        <v>2468</v>
      </c>
      <c r="J3028" t="s">
        <v>2469</v>
      </c>
      <c r="K3028" t="s">
        <v>530</v>
      </c>
      <c r="N3028">
        <v>0</v>
      </c>
      <c r="O3028">
        <v>0</v>
      </c>
      <c r="P3028" t="str">
        <f t="shared" si="47"/>
        <v>N</v>
      </c>
      <c r="Q3028" t="s">
        <v>8758</v>
      </c>
    </row>
    <row r="3029" spans="1:17" x14ac:dyDescent="0.25">
      <c r="A3029" t="s">
        <v>3015</v>
      </c>
      <c r="B3029" t="s">
        <v>2783</v>
      </c>
      <c r="C3029">
        <v>2027</v>
      </c>
      <c r="D3029" t="s">
        <v>546</v>
      </c>
      <c r="E3029" t="s">
        <v>840</v>
      </c>
      <c r="F3029" s="32">
        <v>46458</v>
      </c>
      <c r="G3029" t="s">
        <v>514</v>
      </c>
      <c r="H3029">
        <v>47129222</v>
      </c>
      <c r="I3029" t="s">
        <v>2459</v>
      </c>
      <c r="J3029" t="s">
        <v>2460</v>
      </c>
      <c r="K3029" t="s">
        <v>530</v>
      </c>
      <c r="N3029">
        <v>0</v>
      </c>
      <c r="O3029">
        <v>0</v>
      </c>
      <c r="P3029" t="str">
        <f t="shared" si="47"/>
        <v>N</v>
      </c>
      <c r="Q3029" t="s">
        <v>8759</v>
      </c>
    </row>
    <row r="3030" spans="1:17" x14ac:dyDescent="0.25">
      <c r="A3030" t="s">
        <v>3016</v>
      </c>
      <c r="B3030" t="s">
        <v>2783</v>
      </c>
      <c r="C3030">
        <v>2027</v>
      </c>
      <c r="D3030" t="s">
        <v>546</v>
      </c>
      <c r="E3030" t="s">
        <v>840</v>
      </c>
      <c r="F3030" s="32">
        <v>46458</v>
      </c>
      <c r="G3030" t="s">
        <v>514</v>
      </c>
      <c r="H3030">
        <v>47128561</v>
      </c>
      <c r="I3030" t="s">
        <v>2462</v>
      </c>
      <c r="J3030" t="s">
        <v>2463</v>
      </c>
      <c r="K3030" t="s">
        <v>530</v>
      </c>
      <c r="N3030">
        <v>30</v>
      </c>
      <c r="O3030">
        <v>30</v>
      </c>
      <c r="P3030" t="str">
        <f t="shared" si="47"/>
        <v>N</v>
      </c>
      <c r="Q3030" t="s">
        <v>8760</v>
      </c>
    </row>
    <row r="3031" spans="1:17" x14ac:dyDescent="0.25">
      <c r="A3031" t="s">
        <v>3017</v>
      </c>
      <c r="B3031" t="s">
        <v>2783</v>
      </c>
      <c r="C3031">
        <v>2027</v>
      </c>
      <c r="D3031" t="s">
        <v>546</v>
      </c>
      <c r="E3031" t="s">
        <v>840</v>
      </c>
      <c r="F3031" s="32">
        <v>46458</v>
      </c>
      <c r="G3031" t="s">
        <v>514</v>
      </c>
      <c r="H3031">
        <v>47129274</v>
      </c>
      <c r="I3031" t="s">
        <v>2486</v>
      </c>
      <c r="J3031" t="s">
        <v>2487</v>
      </c>
      <c r="K3031" t="s">
        <v>530</v>
      </c>
      <c r="N3031">
        <v>0</v>
      </c>
      <c r="O3031">
        <v>0</v>
      </c>
      <c r="P3031" t="str">
        <f t="shared" si="47"/>
        <v>N</v>
      </c>
      <c r="Q3031" t="s">
        <v>8761</v>
      </c>
    </row>
    <row r="3032" spans="1:17" x14ac:dyDescent="0.25">
      <c r="A3032" t="s">
        <v>3018</v>
      </c>
      <c r="B3032" t="s">
        <v>2783</v>
      </c>
      <c r="C3032">
        <v>2027</v>
      </c>
      <c r="D3032" t="s">
        <v>546</v>
      </c>
      <c r="E3032" t="s">
        <v>840</v>
      </c>
      <c r="F3032" s="32">
        <v>46458</v>
      </c>
      <c r="G3032" t="s">
        <v>514</v>
      </c>
      <c r="H3032">
        <v>47129262</v>
      </c>
      <c r="I3032" t="s">
        <v>2453</v>
      </c>
      <c r="J3032" t="s">
        <v>2454</v>
      </c>
      <c r="K3032" t="s">
        <v>530</v>
      </c>
      <c r="N3032">
        <v>0</v>
      </c>
      <c r="O3032">
        <v>0</v>
      </c>
      <c r="P3032" t="str">
        <f t="shared" si="47"/>
        <v>N</v>
      </c>
      <c r="Q3032" t="s">
        <v>8762</v>
      </c>
    </row>
    <row r="3033" spans="1:17" x14ac:dyDescent="0.25">
      <c r="A3033" t="s">
        <v>3019</v>
      </c>
      <c r="B3033" t="s">
        <v>2783</v>
      </c>
      <c r="C3033">
        <v>2027</v>
      </c>
      <c r="D3033" t="s">
        <v>546</v>
      </c>
      <c r="E3033" t="s">
        <v>840</v>
      </c>
      <c r="F3033" s="32">
        <v>46458</v>
      </c>
      <c r="G3033" t="s">
        <v>514</v>
      </c>
      <c r="H3033">
        <v>47129558</v>
      </c>
      <c r="I3033" t="s">
        <v>2480</v>
      </c>
      <c r="J3033" t="s">
        <v>2481</v>
      </c>
      <c r="K3033" t="s">
        <v>530</v>
      </c>
      <c r="N3033">
        <v>0</v>
      </c>
      <c r="O3033">
        <v>0</v>
      </c>
      <c r="P3033" t="str">
        <f t="shared" si="47"/>
        <v>N</v>
      </c>
      <c r="Q3033" t="s">
        <v>8763</v>
      </c>
    </row>
    <row r="3034" spans="1:17" x14ac:dyDescent="0.25">
      <c r="A3034" t="s">
        <v>3020</v>
      </c>
      <c r="B3034" t="s">
        <v>2783</v>
      </c>
      <c r="C3034">
        <v>2027</v>
      </c>
      <c r="D3034" t="s">
        <v>546</v>
      </c>
      <c r="E3034" t="s">
        <v>840</v>
      </c>
      <c r="F3034" s="32">
        <v>46458</v>
      </c>
      <c r="G3034" t="s">
        <v>514</v>
      </c>
      <c r="H3034">
        <v>47129727</v>
      </c>
      <c r="I3034" t="s">
        <v>2465</v>
      </c>
      <c r="J3034" t="s">
        <v>2466</v>
      </c>
      <c r="K3034" t="s">
        <v>530</v>
      </c>
      <c r="N3034">
        <v>0</v>
      </c>
      <c r="O3034">
        <v>0</v>
      </c>
      <c r="P3034" t="str">
        <f t="shared" si="47"/>
        <v>N</v>
      </c>
      <c r="Q3034" t="s">
        <v>8764</v>
      </c>
    </row>
    <row r="3035" spans="1:17" x14ac:dyDescent="0.25">
      <c r="A3035" t="s">
        <v>3021</v>
      </c>
      <c r="B3035" t="s">
        <v>2783</v>
      </c>
      <c r="C3035">
        <v>2027</v>
      </c>
      <c r="D3035" t="s">
        <v>546</v>
      </c>
      <c r="E3035" t="s">
        <v>840</v>
      </c>
      <c r="F3035" s="32">
        <v>46458</v>
      </c>
      <c r="G3035" t="s">
        <v>514</v>
      </c>
      <c r="H3035">
        <v>47129273</v>
      </c>
      <c r="I3035" t="s">
        <v>2483</v>
      </c>
      <c r="J3035" t="s">
        <v>2484</v>
      </c>
      <c r="K3035" t="s">
        <v>530</v>
      </c>
      <c r="N3035">
        <v>0</v>
      </c>
      <c r="O3035">
        <v>0</v>
      </c>
      <c r="P3035" t="str">
        <f t="shared" si="47"/>
        <v>N</v>
      </c>
      <c r="Q3035" t="s">
        <v>8765</v>
      </c>
    </row>
    <row r="3036" spans="1:17" x14ac:dyDescent="0.25">
      <c r="A3036" t="s">
        <v>3022</v>
      </c>
      <c r="B3036" t="s">
        <v>2783</v>
      </c>
      <c r="C3036">
        <v>2027</v>
      </c>
      <c r="D3036" t="s">
        <v>546</v>
      </c>
      <c r="E3036" t="s">
        <v>840</v>
      </c>
      <c r="F3036" s="32">
        <v>46458</v>
      </c>
      <c r="G3036" t="s">
        <v>514</v>
      </c>
      <c r="H3036">
        <v>47128247</v>
      </c>
      <c r="I3036" t="s">
        <v>2492</v>
      </c>
      <c r="J3036" t="s">
        <v>2493</v>
      </c>
      <c r="K3036" t="s">
        <v>530</v>
      </c>
      <c r="N3036">
        <v>0</v>
      </c>
      <c r="O3036">
        <v>0</v>
      </c>
      <c r="P3036" t="str">
        <f t="shared" si="47"/>
        <v>N</v>
      </c>
      <c r="Q3036" t="s">
        <v>8766</v>
      </c>
    </row>
    <row r="3037" spans="1:17" x14ac:dyDescent="0.25">
      <c r="A3037" t="s">
        <v>3023</v>
      </c>
      <c r="B3037" t="s">
        <v>2783</v>
      </c>
      <c r="C3037">
        <v>2027</v>
      </c>
      <c r="D3037" t="s">
        <v>546</v>
      </c>
      <c r="E3037" t="s">
        <v>840</v>
      </c>
      <c r="F3037" s="32">
        <v>46458</v>
      </c>
      <c r="G3037" t="s">
        <v>514</v>
      </c>
      <c r="H3037">
        <v>47128587</v>
      </c>
      <c r="I3037" t="s">
        <v>2489</v>
      </c>
      <c r="J3037" t="s">
        <v>2490</v>
      </c>
      <c r="K3037" t="s">
        <v>530</v>
      </c>
      <c r="N3037">
        <v>0</v>
      </c>
      <c r="O3037">
        <v>0</v>
      </c>
      <c r="P3037" t="str">
        <f t="shared" si="47"/>
        <v>N</v>
      </c>
      <c r="Q3037" t="s">
        <v>8767</v>
      </c>
    </row>
    <row r="3038" spans="1:17" x14ac:dyDescent="0.25">
      <c r="A3038" t="s">
        <v>3024</v>
      </c>
      <c r="B3038" t="s">
        <v>2783</v>
      </c>
      <c r="C3038">
        <v>2027</v>
      </c>
      <c r="D3038" t="s">
        <v>546</v>
      </c>
      <c r="E3038" t="s">
        <v>840</v>
      </c>
      <c r="F3038" s="32">
        <v>46458</v>
      </c>
      <c r="G3038" t="s">
        <v>514</v>
      </c>
      <c r="H3038">
        <v>47128781</v>
      </c>
      <c r="I3038" t="s">
        <v>1251</v>
      </c>
      <c r="J3038" t="s">
        <v>1250</v>
      </c>
      <c r="K3038" t="s">
        <v>530</v>
      </c>
      <c r="N3038">
        <v>0</v>
      </c>
      <c r="O3038">
        <v>0</v>
      </c>
      <c r="P3038" t="str">
        <f t="shared" si="47"/>
        <v>N</v>
      </c>
      <c r="Q3038" t="s">
        <v>8768</v>
      </c>
    </row>
    <row r="3039" spans="1:17" x14ac:dyDescent="0.25">
      <c r="A3039" t="s">
        <v>3545</v>
      </c>
      <c r="B3039" t="s">
        <v>1080</v>
      </c>
      <c r="C3039">
        <v>2027</v>
      </c>
      <c r="D3039" t="s">
        <v>546</v>
      </c>
      <c r="E3039" t="s">
        <v>840</v>
      </c>
      <c r="F3039" s="32">
        <v>46458</v>
      </c>
      <c r="G3039" t="s">
        <v>514</v>
      </c>
      <c r="H3039">
        <v>47128168</v>
      </c>
      <c r="I3039" t="s">
        <v>1100</v>
      </c>
      <c r="J3039" t="s">
        <v>1099</v>
      </c>
      <c r="K3039" t="s">
        <v>530</v>
      </c>
      <c r="N3039">
        <v>0</v>
      </c>
      <c r="O3039">
        <v>0</v>
      </c>
      <c r="P3039" t="str">
        <f t="shared" si="47"/>
        <v>N</v>
      </c>
      <c r="Q3039" t="s">
        <v>8769</v>
      </c>
    </row>
    <row r="3040" spans="1:17" x14ac:dyDescent="0.25">
      <c r="A3040" t="s">
        <v>3546</v>
      </c>
      <c r="B3040" t="s">
        <v>1080</v>
      </c>
      <c r="C3040">
        <v>2027</v>
      </c>
      <c r="D3040" t="s">
        <v>546</v>
      </c>
      <c r="E3040" t="s">
        <v>840</v>
      </c>
      <c r="F3040" s="32">
        <v>46458</v>
      </c>
      <c r="G3040" t="s">
        <v>514</v>
      </c>
      <c r="H3040">
        <v>47128906</v>
      </c>
      <c r="I3040" t="s">
        <v>1349</v>
      </c>
      <c r="J3040" t="s">
        <v>1348</v>
      </c>
      <c r="K3040" t="s">
        <v>530</v>
      </c>
      <c r="N3040">
        <v>0</v>
      </c>
      <c r="O3040">
        <v>0</v>
      </c>
      <c r="P3040" t="str">
        <f t="shared" si="47"/>
        <v>N</v>
      </c>
      <c r="Q3040" t="s">
        <v>8770</v>
      </c>
    </row>
    <row r="3041" spans="1:17" x14ac:dyDescent="0.25">
      <c r="A3041" t="s">
        <v>3547</v>
      </c>
      <c r="B3041" t="s">
        <v>1080</v>
      </c>
      <c r="C3041">
        <v>2027</v>
      </c>
      <c r="D3041" t="s">
        <v>546</v>
      </c>
      <c r="E3041" t="s">
        <v>840</v>
      </c>
      <c r="F3041" s="32">
        <v>46458</v>
      </c>
      <c r="G3041" t="s">
        <v>514</v>
      </c>
      <c r="H3041">
        <v>47128783</v>
      </c>
      <c r="I3041" t="s">
        <v>1280</v>
      </c>
      <c r="J3041" t="s">
        <v>1279</v>
      </c>
      <c r="K3041" t="s">
        <v>530</v>
      </c>
      <c r="N3041">
        <v>0</v>
      </c>
      <c r="O3041">
        <v>0</v>
      </c>
      <c r="P3041" t="str">
        <f t="shared" si="47"/>
        <v>N</v>
      </c>
      <c r="Q3041" t="s">
        <v>8771</v>
      </c>
    </row>
    <row r="3042" spans="1:17" x14ac:dyDescent="0.25">
      <c r="A3042" t="s">
        <v>3548</v>
      </c>
      <c r="B3042" t="s">
        <v>1080</v>
      </c>
      <c r="C3042">
        <v>2027</v>
      </c>
      <c r="D3042" t="s">
        <v>546</v>
      </c>
      <c r="E3042" t="s">
        <v>840</v>
      </c>
      <c r="F3042" s="32">
        <v>46458</v>
      </c>
      <c r="G3042" t="s">
        <v>514</v>
      </c>
      <c r="H3042">
        <v>47128944</v>
      </c>
      <c r="I3042" t="s">
        <v>1137</v>
      </c>
      <c r="J3042" t="s">
        <v>1136</v>
      </c>
      <c r="K3042" t="s">
        <v>530</v>
      </c>
      <c r="N3042">
        <v>0</v>
      </c>
      <c r="O3042">
        <v>0</v>
      </c>
      <c r="P3042" t="str">
        <f t="shared" si="47"/>
        <v>N</v>
      </c>
      <c r="Q3042" t="s">
        <v>8772</v>
      </c>
    </row>
    <row r="3043" spans="1:17" x14ac:dyDescent="0.25">
      <c r="A3043" t="s">
        <v>3549</v>
      </c>
      <c r="B3043" t="s">
        <v>1080</v>
      </c>
      <c r="C3043">
        <v>2027</v>
      </c>
      <c r="D3043" t="s">
        <v>546</v>
      </c>
      <c r="E3043" t="s">
        <v>840</v>
      </c>
      <c r="F3043" s="32">
        <v>46458</v>
      </c>
      <c r="G3043" t="s">
        <v>514</v>
      </c>
      <c r="H3043">
        <v>47128729</v>
      </c>
      <c r="I3043" t="s">
        <v>1149</v>
      </c>
      <c r="J3043" t="s">
        <v>1148</v>
      </c>
      <c r="K3043" t="s">
        <v>530</v>
      </c>
      <c r="N3043">
        <v>0</v>
      </c>
      <c r="O3043">
        <v>0</v>
      </c>
      <c r="P3043" t="str">
        <f t="shared" si="47"/>
        <v>N</v>
      </c>
      <c r="Q3043" t="s">
        <v>8773</v>
      </c>
    </row>
    <row r="3044" spans="1:17" x14ac:dyDescent="0.25">
      <c r="A3044" t="s">
        <v>3550</v>
      </c>
      <c r="B3044" t="s">
        <v>1080</v>
      </c>
      <c r="C3044">
        <v>2027</v>
      </c>
      <c r="D3044" t="s">
        <v>546</v>
      </c>
      <c r="E3044" t="s">
        <v>840</v>
      </c>
      <c r="F3044" s="32">
        <v>46458</v>
      </c>
      <c r="G3044" t="s">
        <v>514</v>
      </c>
      <c r="H3044">
        <v>47128585</v>
      </c>
      <c r="I3044" t="s">
        <v>1141</v>
      </c>
      <c r="J3044" t="s">
        <v>1140</v>
      </c>
      <c r="K3044" t="s">
        <v>530</v>
      </c>
      <c r="N3044">
        <v>0</v>
      </c>
      <c r="O3044">
        <v>0</v>
      </c>
      <c r="P3044" t="str">
        <f t="shared" si="47"/>
        <v>N</v>
      </c>
      <c r="Q3044" t="s">
        <v>8774</v>
      </c>
    </row>
    <row r="3045" spans="1:17" x14ac:dyDescent="0.25">
      <c r="A3045" t="s">
        <v>3551</v>
      </c>
      <c r="B3045" t="s">
        <v>1080</v>
      </c>
      <c r="C3045">
        <v>2027</v>
      </c>
      <c r="D3045" t="s">
        <v>546</v>
      </c>
      <c r="E3045" t="s">
        <v>840</v>
      </c>
      <c r="F3045" s="32">
        <v>46458</v>
      </c>
      <c r="G3045" t="s">
        <v>514</v>
      </c>
      <c r="H3045">
        <v>47128680</v>
      </c>
      <c r="I3045" t="s">
        <v>1284</v>
      </c>
      <c r="J3045" t="s">
        <v>1283</v>
      </c>
      <c r="K3045" t="s">
        <v>530</v>
      </c>
      <c r="N3045">
        <v>0</v>
      </c>
      <c r="O3045">
        <v>0</v>
      </c>
      <c r="P3045" t="str">
        <f t="shared" si="47"/>
        <v>N</v>
      </c>
      <c r="Q3045" t="s">
        <v>8775</v>
      </c>
    </row>
    <row r="3046" spans="1:17" x14ac:dyDescent="0.25">
      <c r="A3046" t="s">
        <v>3552</v>
      </c>
      <c r="B3046" t="s">
        <v>1080</v>
      </c>
      <c r="C3046">
        <v>2027</v>
      </c>
      <c r="D3046" t="s">
        <v>546</v>
      </c>
      <c r="E3046" t="s">
        <v>840</v>
      </c>
      <c r="F3046" s="32">
        <v>46458</v>
      </c>
      <c r="G3046" t="s">
        <v>514</v>
      </c>
      <c r="H3046">
        <v>47128585</v>
      </c>
      <c r="I3046" t="s">
        <v>1141</v>
      </c>
      <c r="J3046" t="s">
        <v>1408</v>
      </c>
      <c r="K3046" t="s">
        <v>530</v>
      </c>
      <c r="N3046">
        <v>0</v>
      </c>
      <c r="O3046">
        <v>0</v>
      </c>
      <c r="P3046" t="str">
        <f t="shared" si="47"/>
        <v>N</v>
      </c>
      <c r="Q3046" t="s">
        <v>8776</v>
      </c>
    </row>
    <row r="3047" spans="1:17" x14ac:dyDescent="0.25">
      <c r="A3047" t="s">
        <v>3553</v>
      </c>
      <c r="B3047" t="s">
        <v>1080</v>
      </c>
      <c r="C3047">
        <v>2027</v>
      </c>
      <c r="D3047" t="s">
        <v>546</v>
      </c>
      <c r="E3047" t="s">
        <v>840</v>
      </c>
      <c r="F3047" s="32">
        <v>46458</v>
      </c>
      <c r="G3047" t="s">
        <v>514</v>
      </c>
      <c r="H3047">
        <v>47128039</v>
      </c>
      <c r="I3047" t="s">
        <v>1405</v>
      </c>
      <c r="J3047" t="s">
        <v>1404</v>
      </c>
      <c r="K3047" t="s">
        <v>530</v>
      </c>
      <c r="N3047">
        <v>0</v>
      </c>
      <c r="O3047">
        <v>0</v>
      </c>
      <c r="P3047" t="str">
        <f t="shared" si="47"/>
        <v>N</v>
      </c>
      <c r="Q3047" t="s">
        <v>8777</v>
      </c>
    </row>
    <row r="3048" spans="1:17" x14ac:dyDescent="0.25">
      <c r="A3048" t="s">
        <v>3554</v>
      </c>
      <c r="B3048" t="s">
        <v>1080</v>
      </c>
      <c r="C3048">
        <v>2027</v>
      </c>
      <c r="D3048" t="s">
        <v>546</v>
      </c>
      <c r="E3048" t="s">
        <v>840</v>
      </c>
      <c r="F3048" s="32">
        <v>46458</v>
      </c>
      <c r="G3048" t="s">
        <v>514</v>
      </c>
      <c r="H3048">
        <v>47128024</v>
      </c>
      <c r="I3048" t="s">
        <v>1108</v>
      </c>
      <c r="J3048" t="s">
        <v>1107</v>
      </c>
      <c r="K3048" t="s">
        <v>530</v>
      </c>
      <c r="N3048">
        <v>0</v>
      </c>
      <c r="O3048">
        <v>0</v>
      </c>
      <c r="P3048" t="str">
        <f t="shared" si="47"/>
        <v>N</v>
      </c>
      <c r="Q3048" t="s">
        <v>8778</v>
      </c>
    </row>
    <row r="3049" spans="1:17" x14ac:dyDescent="0.25">
      <c r="A3049" t="s">
        <v>3555</v>
      </c>
      <c r="B3049" t="s">
        <v>1080</v>
      </c>
      <c r="C3049">
        <v>2027</v>
      </c>
      <c r="D3049" t="s">
        <v>546</v>
      </c>
      <c r="E3049" t="s">
        <v>840</v>
      </c>
      <c r="F3049" s="32">
        <v>46458</v>
      </c>
      <c r="G3049" t="s">
        <v>514</v>
      </c>
      <c r="H3049">
        <v>47128430</v>
      </c>
      <c r="I3049" t="s">
        <v>1401</v>
      </c>
      <c r="J3049" t="s">
        <v>1400</v>
      </c>
      <c r="K3049" t="s">
        <v>530</v>
      </c>
      <c r="N3049">
        <v>0</v>
      </c>
      <c r="O3049">
        <v>0</v>
      </c>
      <c r="P3049" t="str">
        <f t="shared" si="47"/>
        <v>N</v>
      </c>
      <c r="Q3049" t="s">
        <v>8779</v>
      </c>
    </row>
    <row r="3050" spans="1:17" x14ac:dyDescent="0.25">
      <c r="A3050" t="s">
        <v>3556</v>
      </c>
      <c r="B3050" t="s">
        <v>1080</v>
      </c>
      <c r="C3050">
        <v>2027</v>
      </c>
      <c r="D3050" t="s">
        <v>546</v>
      </c>
      <c r="E3050" t="s">
        <v>840</v>
      </c>
      <c r="F3050" s="32">
        <v>46458</v>
      </c>
      <c r="G3050" t="s">
        <v>514</v>
      </c>
      <c r="H3050">
        <v>47128555</v>
      </c>
      <c r="I3050" t="s">
        <v>1209</v>
      </c>
      <c r="J3050" t="s">
        <v>1208</v>
      </c>
      <c r="K3050" t="s">
        <v>530</v>
      </c>
      <c r="N3050">
        <v>0</v>
      </c>
      <c r="O3050">
        <v>0</v>
      </c>
      <c r="P3050" t="str">
        <f t="shared" si="47"/>
        <v>N</v>
      </c>
      <c r="Q3050" t="s">
        <v>8780</v>
      </c>
    </row>
    <row r="3051" spans="1:17" x14ac:dyDescent="0.25">
      <c r="A3051" t="s">
        <v>3557</v>
      </c>
      <c r="B3051" t="s">
        <v>1080</v>
      </c>
      <c r="C3051">
        <v>2027</v>
      </c>
      <c r="D3051" t="s">
        <v>546</v>
      </c>
      <c r="E3051" t="s">
        <v>840</v>
      </c>
      <c r="F3051" s="32">
        <v>46458</v>
      </c>
      <c r="G3051" t="s">
        <v>514</v>
      </c>
      <c r="H3051">
        <v>47128522</v>
      </c>
      <c r="I3051" t="s">
        <v>1092</v>
      </c>
      <c r="J3051" t="s">
        <v>1091</v>
      </c>
      <c r="K3051" t="s">
        <v>530</v>
      </c>
      <c r="N3051">
        <v>0</v>
      </c>
      <c r="O3051">
        <v>0</v>
      </c>
      <c r="P3051" t="str">
        <f t="shared" si="47"/>
        <v>N</v>
      </c>
      <c r="Q3051" t="s">
        <v>8781</v>
      </c>
    </row>
    <row r="3052" spans="1:17" x14ac:dyDescent="0.25">
      <c r="A3052" t="s">
        <v>3558</v>
      </c>
      <c r="B3052" t="s">
        <v>1080</v>
      </c>
      <c r="C3052">
        <v>2027</v>
      </c>
      <c r="D3052" t="s">
        <v>546</v>
      </c>
      <c r="E3052" t="s">
        <v>840</v>
      </c>
      <c r="F3052" s="32">
        <v>46458</v>
      </c>
      <c r="G3052" t="s">
        <v>514</v>
      </c>
      <c r="H3052">
        <v>47147546</v>
      </c>
      <c r="I3052" t="s">
        <v>1077</v>
      </c>
      <c r="J3052" t="s">
        <v>1076</v>
      </c>
      <c r="K3052" t="s">
        <v>530</v>
      </c>
      <c r="N3052">
        <v>0</v>
      </c>
      <c r="O3052">
        <v>0</v>
      </c>
      <c r="P3052" t="str">
        <f t="shared" si="47"/>
        <v>N</v>
      </c>
      <c r="Q3052" t="s">
        <v>8782</v>
      </c>
    </row>
    <row r="3053" spans="1:17" x14ac:dyDescent="0.25">
      <c r="A3053" t="s">
        <v>3559</v>
      </c>
      <c r="B3053" t="s">
        <v>1080</v>
      </c>
      <c r="C3053">
        <v>2027</v>
      </c>
      <c r="D3053" t="s">
        <v>546</v>
      </c>
      <c r="E3053" t="s">
        <v>840</v>
      </c>
      <c r="F3053" s="32">
        <v>46458</v>
      </c>
      <c r="G3053" t="s">
        <v>514</v>
      </c>
      <c r="H3053">
        <v>47128597</v>
      </c>
      <c r="I3053" t="s">
        <v>1510</v>
      </c>
      <c r="J3053" t="s">
        <v>1509</v>
      </c>
      <c r="K3053" t="s">
        <v>530</v>
      </c>
      <c r="N3053">
        <v>0</v>
      </c>
      <c r="O3053">
        <v>0</v>
      </c>
      <c r="P3053" t="str">
        <f t="shared" si="47"/>
        <v>N</v>
      </c>
      <c r="Q3053" t="s">
        <v>8783</v>
      </c>
    </row>
    <row r="3054" spans="1:17" x14ac:dyDescent="0.25">
      <c r="A3054" t="s">
        <v>3560</v>
      </c>
      <c r="B3054" t="s">
        <v>1080</v>
      </c>
      <c r="C3054">
        <v>2027</v>
      </c>
      <c r="D3054" t="s">
        <v>546</v>
      </c>
      <c r="E3054" t="s">
        <v>840</v>
      </c>
      <c r="F3054" s="32">
        <v>46458</v>
      </c>
      <c r="G3054" t="s">
        <v>514</v>
      </c>
      <c r="H3054">
        <v>47128257</v>
      </c>
      <c r="I3054" t="s">
        <v>979</v>
      </c>
      <c r="J3054" t="s">
        <v>978</v>
      </c>
      <c r="K3054" t="s">
        <v>530</v>
      </c>
      <c r="N3054">
        <v>0</v>
      </c>
      <c r="O3054">
        <v>0</v>
      </c>
      <c r="P3054" t="str">
        <f t="shared" si="47"/>
        <v>N</v>
      </c>
      <c r="Q3054" t="s">
        <v>8784</v>
      </c>
    </row>
    <row r="3055" spans="1:17" x14ac:dyDescent="0.25">
      <c r="A3055" t="s">
        <v>3561</v>
      </c>
      <c r="B3055" t="s">
        <v>1080</v>
      </c>
      <c r="C3055">
        <v>2027</v>
      </c>
      <c r="D3055" t="s">
        <v>546</v>
      </c>
      <c r="E3055" t="s">
        <v>840</v>
      </c>
      <c r="F3055" s="32">
        <v>46458</v>
      </c>
      <c r="G3055" t="s">
        <v>514</v>
      </c>
      <c r="H3055">
        <v>47128880</v>
      </c>
      <c r="I3055" t="s">
        <v>1014</v>
      </c>
      <c r="J3055" t="s">
        <v>1013</v>
      </c>
      <c r="K3055" t="s">
        <v>530</v>
      </c>
      <c r="N3055">
        <v>0</v>
      </c>
      <c r="O3055">
        <v>0</v>
      </c>
      <c r="P3055" t="str">
        <f t="shared" si="47"/>
        <v>N</v>
      </c>
      <c r="Q3055" t="s">
        <v>8785</v>
      </c>
    </row>
    <row r="3056" spans="1:17" x14ac:dyDescent="0.25">
      <c r="A3056" t="s">
        <v>3562</v>
      </c>
      <c r="B3056" t="s">
        <v>1080</v>
      </c>
      <c r="C3056">
        <v>2027</v>
      </c>
      <c r="D3056" t="s">
        <v>546</v>
      </c>
      <c r="E3056" t="s">
        <v>840</v>
      </c>
      <c r="F3056" s="32">
        <v>46458</v>
      </c>
      <c r="G3056" t="s">
        <v>514</v>
      </c>
      <c r="H3056">
        <v>47128879</v>
      </c>
      <c r="I3056" t="s">
        <v>1132</v>
      </c>
      <c r="J3056" t="s">
        <v>1131</v>
      </c>
      <c r="K3056" t="s">
        <v>530</v>
      </c>
      <c r="N3056">
        <v>0</v>
      </c>
      <c r="O3056">
        <v>0</v>
      </c>
      <c r="P3056" t="str">
        <f t="shared" si="47"/>
        <v>N</v>
      </c>
      <c r="Q3056" t="s">
        <v>8786</v>
      </c>
    </row>
    <row r="3057" spans="1:17" x14ac:dyDescent="0.25">
      <c r="A3057" t="s">
        <v>3563</v>
      </c>
      <c r="B3057" t="s">
        <v>1080</v>
      </c>
      <c r="C3057">
        <v>2027</v>
      </c>
      <c r="D3057" t="s">
        <v>546</v>
      </c>
      <c r="E3057" t="s">
        <v>840</v>
      </c>
      <c r="F3057" s="32">
        <v>46458</v>
      </c>
      <c r="G3057" t="s">
        <v>514</v>
      </c>
      <c r="H3057">
        <v>47128413</v>
      </c>
      <c r="I3057" t="s">
        <v>1397</v>
      </c>
      <c r="J3057" t="s">
        <v>1396</v>
      </c>
      <c r="K3057" t="s">
        <v>530</v>
      </c>
      <c r="N3057">
        <v>0</v>
      </c>
      <c r="O3057">
        <v>0</v>
      </c>
      <c r="P3057" t="str">
        <f t="shared" si="47"/>
        <v>N</v>
      </c>
      <c r="Q3057" t="s">
        <v>8787</v>
      </c>
    </row>
    <row r="3058" spans="1:17" x14ac:dyDescent="0.25">
      <c r="A3058" t="s">
        <v>3564</v>
      </c>
      <c r="B3058" t="s">
        <v>1080</v>
      </c>
      <c r="C3058">
        <v>2027</v>
      </c>
      <c r="D3058" t="s">
        <v>546</v>
      </c>
      <c r="E3058" t="s">
        <v>840</v>
      </c>
      <c r="F3058" s="32">
        <v>46458</v>
      </c>
      <c r="G3058" t="s">
        <v>514</v>
      </c>
      <c r="H3058">
        <v>47146464</v>
      </c>
      <c r="I3058" t="s">
        <v>1438</v>
      </c>
      <c r="J3058" t="s">
        <v>1437</v>
      </c>
      <c r="K3058" t="s">
        <v>530</v>
      </c>
      <c r="N3058">
        <v>0</v>
      </c>
      <c r="O3058">
        <v>0</v>
      </c>
      <c r="P3058" t="str">
        <f t="shared" si="47"/>
        <v>N</v>
      </c>
      <c r="Q3058" t="s">
        <v>8788</v>
      </c>
    </row>
    <row r="3059" spans="1:17" x14ac:dyDescent="0.25">
      <c r="A3059" t="s">
        <v>3565</v>
      </c>
      <c r="B3059" t="s">
        <v>1080</v>
      </c>
      <c r="C3059">
        <v>2027</v>
      </c>
      <c r="D3059" t="s">
        <v>546</v>
      </c>
      <c r="E3059" t="s">
        <v>840</v>
      </c>
      <c r="F3059" s="32">
        <v>46458</v>
      </c>
      <c r="G3059" t="s">
        <v>514</v>
      </c>
      <c r="H3059">
        <v>47147546</v>
      </c>
      <c r="I3059" t="s">
        <v>1077</v>
      </c>
      <c r="J3059" t="s">
        <v>1381</v>
      </c>
      <c r="K3059" t="s">
        <v>530</v>
      </c>
      <c r="N3059">
        <v>0</v>
      </c>
      <c r="O3059">
        <v>0</v>
      </c>
      <c r="P3059" t="str">
        <f t="shared" si="47"/>
        <v>N</v>
      </c>
      <c r="Q3059" t="s">
        <v>8789</v>
      </c>
    </row>
    <row r="3060" spans="1:17" x14ac:dyDescent="0.25">
      <c r="A3060" t="s">
        <v>3566</v>
      </c>
      <c r="B3060" t="s">
        <v>1080</v>
      </c>
      <c r="C3060">
        <v>2027</v>
      </c>
      <c r="D3060" t="s">
        <v>546</v>
      </c>
      <c r="E3060" t="s">
        <v>840</v>
      </c>
      <c r="F3060" s="32">
        <v>46458</v>
      </c>
      <c r="G3060" t="s">
        <v>514</v>
      </c>
      <c r="H3060">
        <v>47128800</v>
      </c>
      <c r="I3060" t="s">
        <v>1145</v>
      </c>
      <c r="J3060" t="s">
        <v>1144</v>
      </c>
      <c r="K3060" t="s">
        <v>530</v>
      </c>
      <c r="N3060">
        <v>0</v>
      </c>
      <c r="O3060">
        <v>0</v>
      </c>
      <c r="P3060" t="str">
        <f t="shared" si="47"/>
        <v>N</v>
      </c>
      <c r="Q3060" t="s">
        <v>8790</v>
      </c>
    </row>
    <row r="3061" spans="1:17" x14ac:dyDescent="0.25">
      <c r="A3061" t="s">
        <v>3567</v>
      </c>
      <c r="B3061" t="s">
        <v>1080</v>
      </c>
      <c r="C3061">
        <v>2027</v>
      </c>
      <c r="D3061" t="s">
        <v>546</v>
      </c>
      <c r="E3061" t="s">
        <v>840</v>
      </c>
      <c r="F3061" s="32">
        <v>46458</v>
      </c>
      <c r="G3061" t="s">
        <v>514</v>
      </c>
      <c r="H3061">
        <v>47128109</v>
      </c>
      <c r="I3061" t="s">
        <v>1336</v>
      </c>
      <c r="J3061" t="s">
        <v>1335</v>
      </c>
      <c r="K3061" t="s">
        <v>530</v>
      </c>
      <c r="N3061">
        <v>0</v>
      </c>
      <c r="O3061">
        <v>0</v>
      </c>
      <c r="P3061" t="str">
        <f t="shared" si="47"/>
        <v>N</v>
      </c>
      <c r="Q3061" t="s">
        <v>8791</v>
      </c>
    </row>
    <row r="3062" spans="1:17" x14ac:dyDescent="0.25">
      <c r="A3062" t="s">
        <v>3568</v>
      </c>
      <c r="B3062" t="s">
        <v>1080</v>
      </c>
      <c r="C3062">
        <v>2027</v>
      </c>
      <c r="D3062" t="s">
        <v>546</v>
      </c>
      <c r="E3062" t="s">
        <v>840</v>
      </c>
      <c r="F3062" s="32">
        <v>46458</v>
      </c>
      <c r="G3062" t="s">
        <v>514</v>
      </c>
      <c r="H3062">
        <v>47128346</v>
      </c>
      <c r="I3062" t="s">
        <v>1157</v>
      </c>
      <c r="J3062" t="s">
        <v>1156</v>
      </c>
      <c r="K3062" t="s">
        <v>530</v>
      </c>
      <c r="N3062">
        <v>0</v>
      </c>
      <c r="O3062">
        <v>0</v>
      </c>
      <c r="P3062" t="str">
        <f t="shared" si="47"/>
        <v>N</v>
      </c>
      <c r="Q3062" t="s">
        <v>8792</v>
      </c>
    </row>
    <row r="3063" spans="1:17" x14ac:dyDescent="0.25">
      <c r="A3063" t="s">
        <v>3569</v>
      </c>
      <c r="B3063" t="s">
        <v>1080</v>
      </c>
      <c r="C3063">
        <v>2027</v>
      </c>
      <c r="D3063" t="s">
        <v>546</v>
      </c>
      <c r="E3063" t="s">
        <v>840</v>
      </c>
      <c r="F3063" s="32">
        <v>46458</v>
      </c>
      <c r="G3063" t="s">
        <v>514</v>
      </c>
      <c r="H3063">
        <v>47128518</v>
      </c>
      <c r="I3063" t="s">
        <v>1232</v>
      </c>
      <c r="J3063" t="s">
        <v>1231</v>
      </c>
      <c r="K3063" t="s">
        <v>530</v>
      </c>
      <c r="N3063">
        <v>0</v>
      </c>
      <c r="O3063">
        <v>0</v>
      </c>
      <c r="P3063" t="str">
        <f t="shared" si="47"/>
        <v>N</v>
      </c>
      <c r="Q3063" t="s">
        <v>8793</v>
      </c>
    </row>
    <row r="3064" spans="1:17" x14ac:dyDescent="0.25">
      <c r="A3064" t="s">
        <v>3570</v>
      </c>
      <c r="B3064" t="s">
        <v>1080</v>
      </c>
      <c r="C3064">
        <v>2027</v>
      </c>
      <c r="D3064" t="s">
        <v>546</v>
      </c>
      <c r="E3064" t="s">
        <v>840</v>
      </c>
      <c r="F3064" s="32">
        <v>46458</v>
      </c>
      <c r="G3064" t="s">
        <v>514</v>
      </c>
      <c r="H3064">
        <v>47128418</v>
      </c>
      <c r="I3064" t="s">
        <v>1082</v>
      </c>
      <c r="J3064" t="s">
        <v>1081</v>
      </c>
      <c r="K3064" t="s">
        <v>530</v>
      </c>
      <c r="N3064">
        <v>0</v>
      </c>
      <c r="O3064">
        <v>0</v>
      </c>
      <c r="P3064" t="str">
        <f t="shared" si="47"/>
        <v>N</v>
      </c>
      <c r="Q3064" t="s">
        <v>8794</v>
      </c>
    </row>
    <row r="3065" spans="1:17" x14ac:dyDescent="0.25">
      <c r="A3065" t="s">
        <v>3571</v>
      </c>
      <c r="B3065" t="s">
        <v>1080</v>
      </c>
      <c r="C3065">
        <v>2027</v>
      </c>
      <c r="D3065" t="s">
        <v>546</v>
      </c>
      <c r="E3065" t="s">
        <v>840</v>
      </c>
      <c r="F3065" s="32">
        <v>46458</v>
      </c>
      <c r="G3065" t="s">
        <v>514</v>
      </c>
      <c r="H3065">
        <v>47128968</v>
      </c>
      <c r="I3065" t="s">
        <v>947</v>
      </c>
      <c r="J3065" t="s">
        <v>946</v>
      </c>
      <c r="K3065" t="s">
        <v>530</v>
      </c>
      <c r="N3065">
        <v>0</v>
      </c>
      <c r="O3065">
        <v>0</v>
      </c>
      <c r="P3065" t="str">
        <f t="shared" si="47"/>
        <v>N</v>
      </c>
      <c r="Q3065" t="s">
        <v>8795</v>
      </c>
    </row>
    <row r="3066" spans="1:17" x14ac:dyDescent="0.25">
      <c r="A3066" t="s">
        <v>3572</v>
      </c>
      <c r="B3066" t="s">
        <v>1080</v>
      </c>
      <c r="C3066">
        <v>2027</v>
      </c>
      <c r="D3066" t="s">
        <v>546</v>
      </c>
      <c r="E3066" t="s">
        <v>840</v>
      </c>
      <c r="F3066" s="32">
        <v>46458</v>
      </c>
      <c r="G3066" t="s">
        <v>514</v>
      </c>
      <c r="H3066">
        <v>47147658</v>
      </c>
      <c r="I3066" t="s">
        <v>1276</v>
      </c>
      <c r="J3066" t="s">
        <v>1275</v>
      </c>
      <c r="K3066" t="s">
        <v>530</v>
      </c>
      <c r="N3066">
        <v>0</v>
      </c>
      <c r="O3066">
        <v>0</v>
      </c>
      <c r="P3066" t="str">
        <f t="shared" si="47"/>
        <v>N</v>
      </c>
      <c r="Q3066" t="s">
        <v>8796</v>
      </c>
    </row>
    <row r="3067" spans="1:17" x14ac:dyDescent="0.25">
      <c r="A3067" t="s">
        <v>3573</v>
      </c>
      <c r="B3067" t="s">
        <v>1080</v>
      </c>
      <c r="C3067">
        <v>2027</v>
      </c>
      <c r="D3067" t="s">
        <v>546</v>
      </c>
      <c r="E3067" t="s">
        <v>840</v>
      </c>
      <c r="F3067" s="32">
        <v>46458</v>
      </c>
      <c r="G3067" t="s">
        <v>514</v>
      </c>
      <c r="H3067">
        <v>47128781</v>
      </c>
      <c r="I3067" t="s">
        <v>1251</v>
      </c>
      <c r="J3067" t="s">
        <v>1250</v>
      </c>
      <c r="K3067" t="s">
        <v>530</v>
      </c>
      <c r="N3067">
        <v>0</v>
      </c>
      <c r="O3067">
        <v>0</v>
      </c>
      <c r="P3067" t="str">
        <f t="shared" si="47"/>
        <v>N</v>
      </c>
      <c r="Q3067" t="s">
        <v>8797</v>
      </c>
    </row>
    <row r="3068" spans="1:17" x14ac:dyDescent="0.25">
      <c r="A3068" t="s">
        <v>3574</v>
      </c>
      <c r="B3068" t="s">
        <v>1080</v>
      </c>
      <c r="C3068">
        <v>2027</v>
      </c>
      <c r="D3068" t="s">
        <v>546</v>
      </c>
      <c r="E3068" t="s">
        <v>840</v>
      </c>
      <c r="F3068" s="32">
        <v>46458</v>
      </c>
      <c r="G3068" t="s">
        <v>514</v>
      </c>
      <c r="H3068">
        <v>47128977</v>
      </c>
      <c r="I3068" t="s">
        <v>1449</v>
      </c>
      <c r="J3068" t="s">
        <v>1448</v>
      </c>
      <c r="K3068" t="s">
        <v>530</v>
      </c>
      <c r="N3068">
        <v>0</v>
      </c>
      <c r="O3068">
        <v>0</v>
      </c>
      <c r="P3068" t="str">
        <f t="shared" si="47"/>
        <v>N</v>
      </c>
      <c r="Q3068" t="s">
        <v>8798</v>
      </c>
    </row>
    <row r="3069" spans="1:17" x14ac:dyDescent="0.25">
      <c r="A3069" t="s">
        <v>3916</v>
      </c>
      <c r="B3069" t="s">
        <v>1043</v>
      </c>
      <c r="C3069">
        <v>2027</v>
      </c>
      <c r="D3069" t="s">
        <v>546</v>
      </c>
      <c r="E3069" t="s">
        <v>840</v>
      </c>
      <c r="F3069" s="32">
        <v>46458</v>
      </c>
      <c r="G3069" t="s">
        <v>514</v>
      </c>
      <c r="H3069">
        <v>47128633</v>
      </c>
      <c r="I3069" t="s">
        <v>1164</v>
      </c>
      <c r="J3069" t="s">
        <v>1163</v>
      </c>
      <c r="K3069" t="s">
        <v>530</v>
      </c>
      <c r="N3069">
        <v>0</v>
      </c>
      <c r="O3069">
        <v>0</v>
      </c>
      <c r="P3069" t="str">
        <f t="shared" si="47"/>
        <v>N</v>
      </c>
      <c r="Q3069" t="s">
        <v>8799</v>
      </c>
    </row>
    <row r="3070" spans="1:17" x14ac:dyDescent="0.25">
      <c r="A3070" t="s">
        <v>3917</v>
      </c>
      <c r="B3070" t="s">
        <v>1043</v>
      </c>
      <c r="C3070">
        <v>2027</v>
      </c>
      <c r="D3070" t="s">
        <v>546</v>
      </c>
      <c r="E3070" t="s">
        <v>840</v>
      </c>
      <c r="F3070" s="32">
        <v>46458</v>
      </c>
      <c r="G3070" t="s">
        <v>514</v>
      </c>
      <c r="H3070">
        <v>47128046</v>
      </c>
      <c r="I3070" t="s">
        <v>1389</v>
      </c>
      <c r="J3070" t="s">
        <v>1388</v>
      </c>
      <c r="K3070" t="s">
        <v>530</v>
      </c>
      <c r="N3070">
        <v>0</v>
      </c>
      <c r="O3070">
        <v>0</v>
      </c>
      <c r="P3070" t="str">
        <f t="shared" si="47"/>
        <v>N</v>
      </c>
      <c r="Q3070" t="s">
        <v>8800</v>
      </c>
    </row>
    <row r="3071" spans="1:17" x14ac:dyDescent="0.25">
      <c r="A3071" t="s">
        <v>3918</v>
      </c>
      <c r="B3071" t="s">
        <v>1043</v>
      </c>
      <c r="C3071">
        <v>2027</v>
      </c>
      <c r="D3071" t="s">
        <v>546</v>
      </c>
      <c r="E3071" t="s">
        <v>840</v>
      </c>
      <c r="F3071" s="32">
        <v>46458</v>
      </c>
      <c r="G3071" t="s">
        <v>514</v>
      </c>
      <c r="H3071">
        <v>47128706</v>
      </c>
      <c r="I3071" t="s">
        <v>1201</v>
      </c>
      <c r="J3071" t="s">
        <v>1200</v>
      </c>
      <c r="K3071" t="s">
        <v>530</v>
      </c>
      <c r="N3071">
        <v>16</v>
      </c>
      <c r="O3071">
        <v>16</v>
      </c>
      <c r="P3071" t="str">
        <f t="shared" si="47"/>
        <v>N</v>
      </c>
      <c r="Q3071" t="s">
        <v>8801</v>
      </c>
    </row>
    <row r="3072" spans="1:17" x14ac:dyDescent="0.25">
      <c r="A3072" t="s">
        <v>4105</v>
      </c>
      <c r="B3072" t="s">
        <v>1489</v>
      </c>
      <c r="C3072">
        <v>2027</v>
      </c>
      <c r="D3072" t="s">
        <v>546</v>
      </c>
      <c r="E3072" t="s">
        <v>840</v>
      </c>
      <c r="F3072" s="32">
        <v>46458</v>
      </c>
      <c r="G3072" t="s">
        <v>514</v>
      </c>
      <c r="H3072">
        <v>47128337</v>
      </c>
      <c r="I3072" t="s">
        <v>1120</v>
      </c>
      <c r="J3072" t="s">
        <v>1119</v>
      </c>
      <c r="K3072" t="s">
        <v>530</v>
      </c>
      <c r="N3072">
        <v>20</v>
      </c>
      <c r="O3072">
        <v>20</v>
      </c>
      <c r="P3072" t="str">
        <f t="shared" si="47"/>
        <v>N</v>
      </c>
      <c r="Q3072" t="s">
        <v>8802</v>
      </c>
    </row>
    <row r="3073" spans="1:17" x14ac:dyDescent="0.25">
      <c r="A3073" t="s">
        <v>4106</v>
      </c>
      <c r="B3073" t="s">
        <v>1489</v>
      </c>
      <c r="C3073">
        <v>2027</v>
      </c>
      <c r="D3073" t="s">
        <v>546</v>
      </c>
      <c r="E3073" t="s">
        <v>840</v>
      </c>
      <c r="F3073" s="32">
        <v>46458</v>
      </c>
      <c r="G3073" t="s">
        <v>514</v>
      </c>
      <c r="H3073">
        <v>47128977</v>
      </c>
      <c r="I3073" t="s">
        <v>1449</v>
      </c>
      <c r="J3073" t="s">
        <v>1448</v>
      </c>
      <c r="K3073" t="s">
        <v>530</v>
      </c>
      <c r="N3073">
        <v>0</v>
      </c>
      <c r="O3073">
        <v>0</v>
      </c>
      <c r="P3073" t="str">
        <f t="shared" si="47"/>
        <v>N</v>
      </c>
      <c r="Q3073" t="s">
        <v>8803</v>
      </c>
    </row>
    <row r="3074" spans="1:17" x14ac:dyDescent="0.25">
      <c r="A3074" t="s">
        <v>4345</v>
      </c>
      <c r="B3074" t="s">
        <v>916</v>
      </c>
      <c r="C3074">
        <v>2027</v>
      </c>
      <c r="D3074" t="s">
        <v>546</v>
      </c>
      <c r="E3074" t="s">
        <v>840</v>
      </c>
      <c r="F3074" s="32">
        <v>46458</v>
      </c>
      <c r="G3074" t="s">
        <v>514</v>
      </c>
      <c r="H3074">
        <v>47128046</v>
      </c>
      <c r="I3074" t="s">
        <v>1389</v>
      </c>
      <c r="J3074" t="s">
        <v>1388</v>
      </c>
      <c r="K3074" t="s">
        <v>530</v>
      </c>
      <c r="N3074">
        <v>0</v>
      </c>
      <c r="O3074">
        <v>0</v>
      </c>
      <c r="P3074" t="str">
        <f t="shared" si="47"/>
        <v>N</v>
      </c>
      <c r="Q3074" t="s">
        <v>8804</v>
      </c>
    </row>
    <row r="3075" spans="1:17" x14ac:dyDescent="0.25">
      <c r="A3075" t="s">
        <v>4346</v>
      </c>
      <c r="B3075" t="s">
        <v>916</v>
      </c>
      <c r="C3075">
        <v>2027</v>
      </c>
      <c r="D3075" t="s">
        <v>546</v>
      </c>
      <c r="E3075" t="s">
        <v>840</v>
      </c>
      <c r="F3075" s="32">
        <v>46458</v>
      </c>
      <c r="G3075" t="s">
        <v>514</v>
      </c>
      <c r="H3075">
        <v>47128364</v>
      </c>
      <c r="I3075" t="s">
        <v>1264</v>
      </c>
      <c r="J3075" t="s">
        <v>1263</v>
      </c>
      <c r="K3075" t="s">
        <v>530</v>
      </c>
      <c r="N3075">
        <v>21</v>
      </c>
      <c r="O3075">
        <v>21</v>
      </c>
      <c r="P3075" t="str">
        <f t="shared" ref="P3075:P3138" si="48">IF(N3075=O3075,"N","Y")</f>
        <v>N</v>
      </c>
      <c r="Q3075" t="s">
        <v>8805</v>
      </c>
    </row>
    <row r="3076" spans="1:17" x14ac:dyDescent="0.25">
      <c r="A3076" t="s">
        <v>4347</v>
      </c>
      <c r="B3076" t="s">
        <v>916</v>
      </c>
      <c r="C3076">
        <v>2027</v>
      </c>
      <c r="D3076" t="s">
        <v>546</v>
      </c>
      <c r="E3076" t="s">
        <v>840</v>
      </c>
      <c r="F3076" s="32">
        <v>46458</v>
      </c>
      <c r="G3076" t="s">
        <v>514</v>
      </c>
      <c r="H3076">
        <v>47128706</v>
      </c>
      <c r="I3076" t="s">
        <v>1201</v>
      </c>
      <c r="J3076" t="s">
        <v>1200</v>
      </c>
      <c r="K3076" t="s">
        <v>530</v>
      </c>
      <c r="N3076">
        <v>70</v>
      </c>
      <c r="O3076">
        <v>70</v>
      </c>
      <c r="P3076" t="str">
        <f t="shared" si="48"/>
        <v>N</v>
      </c>
      <c r="Q3076" t="s">
        <v>8806</v>
      </c>
    </row>
    <row r="3077" spans="1:17" x14ac:dyDescent="0.25">
      <c r="A3077" t="s">
        <v>4348</v>
      </c>
      <c r="B3077" t="s">
        <v>916</v>
      </c>
      <c r="C3077">
        <v>2027</v>
      </c>
      <c r="D3077" t="s">
        <v>546</v>
      </c>
      <c r="E3077" t="s">
        <v>840</v>
      </c>
      <c r="F3077" s="32">
        <v>46458</v>
      </c>
      <c r="G3077" t="s">
        <v>514</v>
      </c>
      <c r="H3077">
        <v>47128633</v>
      </c>
      <c r="I3077" t="s">
        <v>1164</v>
      </c>
      <c r="J3077" t="s">
        <v>1163</v>
      </c>
      <c r="K3077" t="s">
        <v>530</v>
      </c>
      <c r="N3077">
        <v>0</v>
      </c>
      <c r="O3077">
        <v>0</v>
      </c>
      <c r="P3077" t="str">
        <f t="shared" si="48"/>
        <v>N</v>
      </c>
      <c r="Q3077" t="s">
        <v>8807</v>
      </c>
    </row>
    <row r="3078" spans="1:17" x14ac:dyDescent="0.25">
      <c r="A3078" t="s">
        <v>4349</v>
      </c>
      <c r="B3078" t="s">
        <v>916</v>
      </c>
      <c r="C3078">
        <v>2027</v>
      </c>
      <c r="D3078" t="s">
        <v>546</v>
      </c>
      <c r="E3078" t="s">
        <v>840</v>
      </c>
      <c r="F3078" s="32">
        <v>46458</v>
      </c>
      <c r="G3078" t="s">
        <v>514</v>
      </c>
      <c r="H3078">
        <v>47128355</v>
      </c>
      <c r="I3078" t="s">
        <v>964</v>
      </c>
      <c r="J3078" t="s">
        <v>963</v>
      </c>
      <c r="K3078" t="s">
        <v>530</v>
      </c>
      <c r="N3078">
        <v>0</v>
      </c>
      <c r="O3078">
        <v>0</v>
      </c>
      <c r="P3078" t="str">
        <f t="shared" si="48"/>
        <v>N</v>
      </c>
      <c r="Q3078" t="s">
        <v>8808</v>
      </c>
    </row>
    <row r="3079" spans="1:17" x14ac:dyDescent="0.25">
      <c r="A3079" t="s">
        <v>4350</v>
      </c>
      <c r="B3079" t="s">
        <v>916</v>
      </c>
      <c r="C3079">
        <v>2027</v>
      </c>
      <c r="D3079" t="s">
        <v>546</v>
      </c>
      <c r="E3079" t="s">
        <v>840</v>
      </c>
      <c r="F3079" s="32">
        <v>46458</v>
      </c>
      <c r="G3079" t="s">
        <v>514</v>
      </c>
      <c r="H3079">
        <v>47129548</v>
      </c>
      <c r="I3079" t="s">
        <v>1340</v>
      </c>
      <c r="J3079" t="s">
        <v>1339</v>
      </c>
      <c r="K3079" t="s">
        <v>530</v>
      </c>
      <c r="N3079">
        <v>0</v>
      </c>
      <c r="O3079">
        <v>0</v>
      </c>
      <c r="P3079" t="str">
        <f t="shared" si="48"/>
        <v>N</v>
      </c>
      <c r="Q3079" t="s">
        <v>8809</v>
      </c>
    </row>
    <row r="3080" spans="1:17" x14ac:dyDescent="0.25">
      <c r="A3080" t="s">
        <v>4351</v>
      </c>
      <c r="B3080" t="s">
        <v>916</v>
      </c>
      <c r="C3080">
        <v>2027</v>
      </c>
      <c r="D3080" t="s">
        <v>546</v>
      </c>
      <c r="E3080" t="s">
        <v>840</v>
      </c>
      <c r="F3080" s="32">
        <v>46458</v>
      </c>
      <c r="G3080" t="s">
        <v>514</v>
      </c>
      <c r="H3080">
        <v>47128835</v>
      </c>
      <c r="I3080" t="s">
        <v>998</v>
      </c>
      <c r="J3080" t="s">
        <v>997</v>
      </c>
      <c r="K3080" t="s">
        <v>530</v>
      </c>
      <c r="N3080">
        <v>0</v>
      </c>
      <c r="O3080">
        <v>0</v>
      </c>
      <c r="P3080" t="str">
        <f t="shared" si="48"/>
        <v>N</v>
      </c>
      <c r="Q3080" t="s">
        <v>8810</v>
      </c>
    </row>
    <row r="3081" spans="1:17" x14ac:dyDescent="0.25">
      <c r="A3081" t="s">
        <v>4352</v>
      </c>
      <c r="B3081" t="s">
        <v>916</v>
      </c>
      <c r="C3081">
        <v>2027</v>
      </c>
      <c r="D3081" t="s">
        <v>546</v>
      </c>
      <c r="E3081" t="s">
        <v>840</v>
      </c>
      <c r="F3081" s="32">
        <v>46458</v>
      </c>
      <c r="G3081" t="s">
        <v>514</v>
      </c>
      <c r="H3081">
        <v>47128788</v>
      </c>
      <c r="I3081" t="s">
        <v>4188</v>
      </c>
      <c r="J3081" t="s">
        <v>4189</v>
      </c>
      <c r="K3081" t="s">
        <v>530</v>
      </c>
      <c r="N3081">
        <v>0</v>
      </c>
      <c r="O3081">
        <v>0</v>
      </c>
      <c r="P3081" t="str">
        <f t="shared" si="48"/>
        <v>N</v>
      </c>
      <c r="Q3081" t="s">
        <v>8811</v>
      </c>
    </row>
    <row r="3082" spans="1:17" x14ac:dyDescent="0.25">
      <c r="A3082" t="s">
        <v>4353</v>
      </c>
      <c r="B3082" t="s">
        <v>916</v>
      </c>
      <c r="C3082">
        <v>2027</v>
      </c>
      <c r="D3082" t="s">
        <v>546</v>
      </c>
      <c r="E3082" t="s">
        <v>840</v>
      </c>
      <c r="F3082" s="32">
        <v>46458</v>
      </c>
      <c r="G3082" t="s">
        <v>514</v>
      </c>
      <c r="H3082">
        <v>47136348</v>
      </c>
      <c r="I3082" t="s">
        <v>1025</v>
      </c>
      <c r="J3082" t="s">
        <v>1024</v>
      </c>
      <c r="K3082" t="s">
        <v>530</v>
      </c>
      <c r="N3082">
        <v>40</v>
      </c>
      <c r="O3082">
        <v>40</v>
      </c>
      <c r="P3082" t="str">
        <f t="shared" si="48"/>
        <v>N</v>
      </c>
      <c r="Q3082" t="s">
        <v>8812</v>
      </c>
    </row>
    <row r="3083" spans="1:17" x14ac:dyDescent="0.25">
      <c r="A3083" t="s">
        <v>4354</v>
      </c>
      <c r="B3083" t="s">
        <v>916</v>
      </c>
      <c r="C3083">
        <v>2027</v>
      </c>
      <c r="D3083" t="s">
        <v>546</v>
      </c>
      <c r="E3083" t="s">
        <v>840</v>
      </c>
      <c r="F3083" s="32">
        <v>46458</v>
      </c>
      <c r="G3083" t="s">
        <v>514</v>
      </c>
      <c r="H3083">
        <v>47135083</v>
      </c>
      <c r="I3083" t="s">
        <v>4192</v>
      </c>
      <c r="J3083" t="s">
        <v>4193</v>
      </c>
      <c r="K3083" t="s">
        <v>530</v>
      </c>
      <c r="N3083">
        <v>0</v>
      </c>
      <c r="O3083">
        <v>0</v>
      </c>
      <c r="P3083" t="str">
        <f t="shared" si="48"/>
        <v>N</v>
      </c>
      <c r="Q3083" t="s">
        <v>8813</v>
      </c>
    </row>
    <row r="3084" spans="1:17" x14ac:dyDescent="0.25">
      <c r="A3084" t="s">
        <v>4355</v>
      </c>
      <c r="B3084" t="s">
        <v>916</v>
      </c>
      <c r="C3084">
        <v>2027</v>
      </c>
      <c r="D3084" t="s">
        <v>546</v>
      </c>
      <c r="E3084" t="s">
        <v>840</v>
      </c>
      <c r="F3084" s="32">
        <v>46458</v>
      </c>
      <c r="G3084" t="s">
        <v>514</v>
      </c>
      <c r="H3084">
        <v>47128684</v>
      </c>
      <c r="I3084" t="s">
        <v>1005</v>
      </c>
      <c r="J3084" t="s">
        <v>1004</v>
      </c>
      <c r="K3084" t="s">
        <v>530</v>
      </c>
      <c r="N3084">
        <v>37</v>
      </c>
      <c r="O3084">
        <v>37</v>
      </c>
      <c r="P3084" t="str">
        <f t="shared" si="48"/>
        <v>N</v>
      </c>
      <c r="Q3084" t="s">
        <v>8814</v>
      </c>
    </row>
    <row r="3085" spans="1:17" x14ac:dyDescent="0.25">
      <c r="A3085" t="s">
        <v>4356</v>
      </c>
      <c r="B3085" t="s">
        <v>916</v>
      </c>
      <c r="C3085">
        <v>2027</v>
      </c>
      <c r="D3085" t="s">
        <v>546</v>
      </c>
      <c r="E3085" t="s">
        <v>840</v>
      </c>
      <c r="F3085" s="32">
        <v>46458</v>
      </c>
      <c r="G3085" t="s">
        <v>514</v>
      </c>
      <c r="H3085">
        <v>47128469</v>
      </c>
      <c r="I3085" t="s">
        <v>928</v>
      </c>
      <c r="J3085" t="s">
        <v>927</v>
      </c>
      <c r="K3085" t="s">
        <v>530</v>
      </c>
      <c r="N3085">
        <v>0</v>
      </c>
      <c r="O3085">
        <v>0</v>
      </c>
      <c r="P3085" t="str">
        <f t="shared" si="48"/>
        <v>N</v>
      </c>
      <c r="Q3085" t="s">
        <v>8815</v>
      </c>
    </row>
    <row r="3086" spans="1:17" x14ac:dyDescent="0.25">
      <c r="A3086" t="s">
        <v>4357</v>
      </c>
      <c r="B3086" t="s">
        <v>916</v>
      </c>
      <c r="C3086">
        <v>2027</v>
      </c>
      <c r="D3086" t="s">
        <v>546</v>
      </c>
      <c r="E3086" t="s">
        <v>840</v>
      </c>
      <c r="F3086" s="32">
        <v>46458</v>
      </c>
      <c r="G3086" t="s">
        <v>514</v>
      </c>
      <c r="H3086">
        <v>47128359</v>
      </c>
      <c r="I3086" t="s">
        <v>961</v>
      </c>
      <c r="J3086" t="s">
        <v>960</v>
      </c>
      <c r="K3086" t="s">
        <v>530</v>
      </c>
      <c r="N3086">
        <v>0</v>
      </c>
      <c r="O3086">
        <v>0</v>
      </c>
      <c r="P3086" t="str">
        <f t="shared" si="48"/>
        <v>N</v>
      </c>
      <c r="Q3086" t="s">
        <v>8816</v>
      </c>
    </row>
    <row r="3087" spans="1:17" x14ac:dyDescent="0.25">
      <c r="A3087" t="s">
        <v>4358</v>
      </c>
      <c r="B3087" t="s">
        <v>916</v>
      </c>
      <c r="C3087">
        <v>2027</v>
      </c>
      <c r="D3087" t="s">
        <v>546</v>
      </c>
      <c r="E3087" t="s">
        <v>840</v>
      </c>
      <c r="F3087" s="32">
        <v>46458</v>
      </c>
      <c r="G3087" t="s">
        <v>514</v>
      </c>
      <c r="H3087">
        <v>47128202</v>
      </c>
      <c r="I3087" t="s">
        <v>967</v>
      </c>
      <c r="J3087" t="s">
        <v>966</v>
      </c>
      <c r="K3087" t="s">
        <v>530</v>
      </c>
      <c r="N3087">
        <v>40</v>
      </c>
      <c r="O3087">
        <v>40</v>
      </c>
      <c r="P3087" t="str">
        <f t="shared" si="48"/>
        <v>N</v>
      </c>
      <c r="Q3087" t="s">
        <v>8817</v>
      </c>
    </row>
    <row r="3088" spans="1:17" x14ac:dyDescent="0.25">
      <c r="A3088" t="s">
        <v>4359</v>
      </c>
      <c r="B3088" t="s">
        <v>916</v>
      </c>
      <c r="C3088">
        <v>2027</v>
      </c>
      <c r="D3088" t="s">
        <v>546</v>
      </c>
      <c r="E3088" t="s">
        <v>840</v>
      </c>
      <c r="F3088" s="32">
        <v>46458</v>
      </c>
      <c r="G3088" t="s">
        <v>514</v>
      </c>
      <c r="H3088">
        <v>47128154</v>
      </c>
      <c r="I3088" t="s">
        <v>933</v>
      </c>
      <c r="J3088" t="s">
        <v>932</v>
      </c>
      <c r="K3088" t="s">
        <v>530</v>
      </c>
      <c r="N3088">
        <v>0</v>
      </c>
      <c r="O3088">
        <v>0</v>
      </c>
      <c r="P3088" t="str">
        <f t="shared" si="48"/>
        <v>N</v>
      </c>
      <c r="Q3088" t="s">
        <v>8818</v>
      </c>
    </row>
    <row r="3089" spans="1:17" x14ac:dyDescent="0.25">
      <c r="A3089" t="s">
        <v>4360</v>
      </c>
      <c r="B3089" t="s">
        <v>916</v>
      </c>
      <c r="C3089">
        <v>2027</v>
      </c>
      <c r="D3089" t="s">
        <v>546</v>
      </c>
      <c r="E3089" t="s">
        <v>840</v>
      </c>
      <c r="F3089" s="32">
        <v>46458</v>
      </c>
      <c r="G3089" t="s">
        <v>514</v>
      </c>
      <c r="H3089">
        <v>47128108</v>
      </c>
      <c r="I3089" t="s">
        <v>1011</v>
      </c>
      <c r="J3089" t="s">
        <v>1010</v>
      </c>
      <c r="K3089" t="s">
        <v>530</v>
      </c>
      <c r="N3089">
        <v>0</v>
      </c>
      <c r="O3089">
        <v>0</v>
      </c>
      <c r="P3089" t="str">
        <f t="shared" si="48"/>
        <v>N</v>
      </c>
      <c r="Q3089" t="s">
        <v>8819</v>
      </c>
    </row>
    <row r="3090" spans="1:17" x14ac:dyDescent="0.25">
      <c r="A3090" t="s">
        <v>4361</v>
      </c>
      <c r="B3090" t="s">
        <v>916</v>
      </c>
      <c r="C3090">
        <v>2027</v>
      </c>
      <c r="D3090" t="s">
        <v>546</v>
      </c>
      <c r="E3090" t="s">
        <v>840</v>
      </c>
      <c r="F3090" s="32">
        <v>46458</v>
      </c>
      <c r="G3090" t="s">
        <v>514</v>
      </c>
      <c r="H3090">
        <v>47129069</v>
      </c>
      <c r="I3090" t="s">
        <v>1325</v>
      </c>
      <c r="J3090" t="s">
        <v>1324</v>
      </c>
      <c r="K3090" t="s">
        <v>530</v>
      </c>
      <c r="N3090">
        <v>0</v>
      </c>
      <c r="O3090">
        <v>0</v>
      </c>
      <c r="P3090" t="str">
        <f t="shared" si="48"/>
        <v>N</v>
      </c>
      <c r="Q3090" t="s">
        <v>8820</v>
      </c>
    </row>
    <row r="3091" spans="1:17" x14ac:dyDescent="0.25">
      <c r="A3091" t="s">
        <v>4440</v>
      </c>
      <c r="B3091" t="s">
        <v>4428</v>
      </c>
      <c r="C3091">
        <v>2027</v>
      </c>
      <c r="D3091" t="s">
        <v>546</v>
      </c>
      <c r="E3091" t="s">
        <v>840</v>
      </c>
      <c r="F3091" s="32">
        <v>46458</v>
      </c>
      <c r="G3091" t="s">
        <v>514</v>
      </c>
      <c r="H3091">
        <v>47128132</v>
      </c>
      <c r="I3091" t="s">
        <v>4429</v>
      </c>
      <c r="J3091" t="s">
        <v>4430</v>
      </c>
      <c r="K3091" t="s">
        <v>530</v>
      </c>
      <c r="N3091">
        <v>0</v>
      </c>
      <c r="O3091">
        <v>0</v>
      </c>
      <c r="P3091" t="str">
        <f t="shared" si="48"/>
        <v>N</v>
      </c>
      <c r="Q3091" t="s">
        <v>8821</v>
      </c>
    </row>
    <row r="3092" spans="1:17" x14ac:dyDescent="0.25">
      <c r="A3092" t="s">
        <v>4492</v>
      </c>
      <c r="B3092" t="s">
        <v>4445</v>
      </c>
      <c r="C3092">
        <v>2027</v>
      </c>
      <c r="D3092" t="s">
        <v>546</v>
      </c>
      <c r="E3092" t="s">
        <v>840</v>
      </c>
      <c r="F3092" s="32">
        <v>46458</v>
      </c>
      <c r="G3092" t="s">
        <v>514</v>
      </c>
      <c r="H3092">
        <v>47129711</v>
      </c>
      <c r="I3092" t="s">
        <v>4446</v>
      </c>
      <c r="J3092" t="s">
        <v>4447</v>
      </c>
      <c r="K3092" t="s">
        <v>530</v>
      </c>
      <c r="N3092">
        <v>20</v>
      </c>
      <c r="O3092">
        <v>20</v>
      </c>
      <c r="P3092" t="str">
        <f t="shared" si="48"/>
        <v>N</v>
      </c>
      <c r="Q3092" t="s">
        <v>8822</v>
      </c>
    </row>
    <row r="3093" spans="1:17" x14ac:dyDescent="0.25">
      <c r="A3093" t="s">
        <v>4493</v>
      </c>
      <c r="B3093" t="s">
        <v>4445</v>
      </c>
      <c r="C3093">
        <v>2027</v>
      </c>
      <c r="D3093" t="s">
        <v>546</v>
      </c>
      <c r="E3093" t="s">
        <v>840</v>
      </c>
      <c r="F3093" s="32">
        <v>46458</v>
      </c>
      <c r="G3093" t="s">
        <v>514</v>
      </c>
      <c r="H3093">
        <v>47129228</v>
      </c>
      <c r="I3093" t="s">
        <v>4449</v>
      </c>
      <c r="J3093" t="s">
        <v>4450</v>
      </c>
      <c r="K3093" t="s">
        <v>530</v>
      </c>
      <c r="N3093">
        <v>32</v>
      </c>
      <c r="O3093">
        <v>32</v>
      </c>
      <c r="P3093" t="str">
        <f t="shared" si="48"/>
        <v>N</v>
      </c>
      <c r="Q3093" t="s">
        <v>8823</v>
      </c>
    </row>
    <row r="3094" spans="1:17" x14ac:dyDescent="0.25">
      <c r="A3094" t="s">
        <v>4687</v>
      </c>
      <c r="B3094" t="s">
        <v>1044</v>
      </c>
      <c r="C3094">
        <v>2027</v>
      </c>
      <c r="D3094" t="s">
        <v>546</v>
      </c>
      <c r="E3094" t="s">
        <v>840</v>
      </c>
      <c r="F3094" s="32">
        <v>46458</v>
      </c>
      <c r="G3094" t="s">
        <v>514</v>
      </c>
      <c r="H3094">
        <v>47128572</v>
      </c>
      <c r="I3094" t="s">
        <v>1197</v>
      </c>
      <c r="J3094" t="s">
        <v>1196</v>
      </c>
      <c r="K3094" t="s">
        <v>530</v>
      </c>
      <c r="N3094">
        <v>0</v>
      </c>
      <c r="O3094">
        <v>0</v>
      </c>
      <c r="P3094" t="str">
        <f t="shared" si="48"/>
        <v>N</v>
      </c>
      <c r="Q3094" t="s">
        <v>8824</v>
      </c>
    </row>
    <row r="3095" spans="1:17" x14ac:dyDescent="0.25">
      <c r="A3095" t="s">
        <v>4688</v>
      </c>
      <c r="B3095" t="s">
        <v>1044</v>
      </c>
      <c r="C3095">
        <v>2027</v>
      </c>
      <c r="D3095" t="s">
        <v>546</v>
      </c>
      <c r="E3095" t="s">
        <v>840</v>
      </c>
      <c r="F3095" s="32">
        <v>46458</v>
      </c>
      <c r="G3095" t="s">
        <v>514</v>
      </c>
      <c r="H3095">
        <v>47128481</v>
      </c>
      <c r="I3095" t="s">
        <v>1379</v>
      </c>
      <c r="J3095" t="s">
        <v>1378</v>
      </c>
      <c r="K3095" t="s">
        <v>530</v>
      </c>
      <c r="N3095">
        <v>0</v>
      </c>
      <c r="O3095">
        <v>0</v>
      </c>
      <c r="P3095" t="str">
        <f t="shared" si="48"/>
        <v>N</v>
      </c>
      <c r="Q3095" t="s">
        <v>8825</v>
      </c>
    </row>
    <row r="3096" spans="1:17" x14ac:dyDescent="0.25">
      <c r="A3096" t="s">
        <v>4689</v>
      </c>
      <c r="B3096" t="s">
        <v>1044</v>
      </c>
      <c r="C3096">
        <v>2027</v>
      </c>
      <c r="D3096" t="s">
        <v>546</v>
      </c>
      <c r="E3096" t="s">
        <v>840</v>
      </c>
      <c r="F3096" s="32">
        <v>46458</v>
      </c>
      <c r="G3096" t="s">
        <v>514</v>
      </c>
      <c r="H3096">
        <v>47128482</v>
      </c>
      <c r="I3096" t="s">
        <v>1393</v>
      </c>
      <c r="J3096" t="s">
        <v>1392</v>
      </c>
      <c r="K3096" t="s">
        <v>530</v>
      </c>
      <c r="N3096">
        <v>0</v>
      </c>
      <c r="O3096">
        <v>0</v>
      </c>
      <c r="P3096" t="str">
        <f t="shared" si="48"/>
        <v>N</v>
      </c>
      <c r="Q3096" t="s">
        <v>8826</v>
      </c>
    </row>
    <row r="3097" spans="1:17" x14ac:dyDescent="0.25">
      <c r="A3097" t="s">
        <v>4690</v>
      </c>
      <c r="B3097" t="s">
        <v>1044</v>
      </c>
      <c r="C3097">
        <v>2027</v>
      </c>
      <c r="D3097" t="s">
        <v>546</v>
      </c>
      <c r="E3097" t="s">
        <v>840</v>
      </c>
      <c r="F3097" s="32">
        <v>46458</v>
      </c>
      <c r="G3097" t="s">
        <v>514</v>
      </c>
      <c r="H3097">
        <v>47128337</v>
      </c>
      <c r="I3097" t="s">
        <v>1120</v>
      </c>
      <c r="J3097" t="s">
        <v>1119</v>
      </c>
      <c r="K3097" t="s">
        <v>530</v>
      </c>
      <c r="N3097">
        <v>20</v>
      </c>
      <c r="O3097">
        <v>20</v>
      </c>
      <c r="P3097" t="str">
        <f t="shared" si="48"/>
        <v>N</v>
      </c>
      <c r="Q3097" t="s">
        <v>8827</v>
      </c>
    </row>
    <row r="3098" spans="1:17" x14ac:dyDescent="0.25">
      <c r="A3098" t="s">
        <v>4691</v>
      </c>
      <c r="B3098" t="s">
        <v>1044</v>
      </c>
      <c r="C3098">
        <v>2027</v>
      </c>
      <c r="D3098" t="s">
        <v>546</v>
      </c>
      <c r="E3098" t="s">
        <v>840</v>
      </c>
      <c r="F3098" s="32">
        <v>46458</v>
      </c>
      <c r="G3098" t="s">
        <v>514</v>
      </c>
      <c r="H3098">
        <v>47136340</v>
      </c>
      <c r="I3098" t="s">
        <v>1213</v>
      </c>
      <c r="J3098" t="s">
        <v>1212</v>
      </c>
      <c r="K3098" t="s">
        <v>530</v>
      </c>
      <c r="N3098">
        <v>0</v>
      </c>
      <c r="O3098">
        <v>0</v>
      </c>
      <c r="P3098" t="str">
        <f t="shared" si="48"/>
        <v>N</v>
      </c>
      <c r="Q3098" t="s">
        <v>8828</v>
      </c>
    </row>
    <row r="3099" spans="1:17" x14ac:dyDescent="0.25">
      <c r="A3099" t="s">
        <v>4692</v>
      </c>
      <c r="B3099" t="s">
        <v>1044</v>
      </c>
      <c r="C3099">
        <v>2027</v>
      </c>
      <c r="D3099" t="s">
        <v>546</v>
      </c>
      <c r="E3099" t="s">
        <v>840</v>
      </c>
      <c r="F3099" s="32">
        <v>46458</v>
      </c>
      <c r="G3099" t="s">
        <v>514</v>
      </c>
      <c r="H3099">
        <v>47128169</v>
      </c>
      <c r="I3099" t="s">
        <v>1205</v>
      </c>
      <c r="J3099" t="s">
        <v>1204</v>
      </c>
      <c r="K3099" t="s">
        <v>530</v>
      </c>
      <c r="N3099">
        <v>0</v>
      </c>
      <c r="O3099">
        <v>0</v>
      </c>
      <c r="P3099" t="str">
        <f t="shared" si="48"/>
        <v>N</v>
      </c>
      <c r="Q3099" t="s">
        <v>8829</v>
      </c>
    </row>
    <row r="3100" spans="1:17" x14ac:dyDescent="0.25">
      <c r="A3100" t="s">
        <v>4693</v>
      </c>
      <c r="B3100" t="s">
        <v>1044</v>
      </c>
      <c r="C3100">
        <v>2027</v>
      </c>
      <c r="D3100" t="s">
        <v>546</v>
      </c>
      <c r="E3100" t="s">
        <v>840</v>
      </c>
      <c r="F3100" s="32">
        <v>46458</v>
      </c>
      <c r="G3100" t="s">
        <v>514</v>
      </c>
      <c r="H3100">
        <v>47128022</v>
      </c>
      <c r="I3100" t="s">
        <v>1104</v>
      </c>
      <c r="J3100" t="s">
        <v>1103</v>
      </c>
      <c r="K3100" t="s">
        <v>530</v>
      </c>
      <c r="N3100">
        <v>0</v>
      </c>
      <c r="O3100">
        <v>0</v>
      </c>
      <c r="P3100" t="str">
        <f t="shared" si="48"/>
        <v>N</v>
      </c>
      <c r="Q3100" t="s">
        <v>8830</v>
      </c>
    </row>
    <row r="3101" spans="1:17" x14ac:dyDescent="0.25">
      <c r="A3101" t="s">
        <v>4694</v>
      </c>
      <c r="B3101" t="s">
        <v>1044</v>
      </c>
      <c r="C3101">
        <v>2027</v>
      </c>
      <c r="D3101" t="s">
        <v>546</v>
      </c>
      <c r="E3101" t="s">
        <v>840</v>
      </c>
      <c r="F3101" s="32">
        <v>46458</v>
      </c>
      <c r="G3101" t="s">
        <v>514</v>
      </c>
      <c r="H3101">
        <v>47127948</v>
      </c>
      <c r="I3101" t="s">
        <v>1247</v>
      </c>
      <c r="J3101" t="s">
        <v>1246</v>
      </c>
      <c r="K3101" t="s">
        <v>530</v>
      </c>
      <c r="N3101">
        <v>30</v>
      </c>
      <c r="O3101">
        <v>30</v>
      </c>
      <c r="P3101" t="str">
        <f t="shared" si="48"/>
        <v>N</v>
      </c>
      <c r="Q3101" t="s">
        <v>8831</v>
      </c>
    </row>
    <row r="3102" spans="1:17" x14ac:dyDescent="0.25">
      <c r="A3102" t="s">
        <v>4695</v>
      </c>
      <c r="B3102" t="s">
        <v>1044</v>
      </c>
      <c r="C3102">
        <v>2027</v>
      </c>
      <c r="D3102" t="s">
        <v>546</v>
      </c>
      <c r="E3102" t="s">
        <v>840</v>
      </c>
      <c r="F3102" s="32">
        <v>46458</v>
      </c>
      <c r="G3102" t="s">
        <v>514</v>
      </c>
      <c r="H3102">
        <v>47129473</v>
      </c>
      <c r="I3102" t="s">
        <v>1430</v>
      </c>
      <c r="J3102" t="s">
        <v>1429</v>
      </c>
      <c r="K3102" t="s">
        <v>530</v>
      </c>
      <c r="N3102">
        <v>20</v>
      </c>
      <c r="O3102">
        <v>20</v>
      </c>
      <c r="P3102" t="str">
        <f t="shared" si="48"/>
        <v>N</v>
      </c>
      <c r="Q3102" t="s">
        <v>8832</v>
      </c>
    </row>
    <row r="3103" spans="1:17" x14ac:dyDescent="0.25">
      <c r="A3103" t="s">
        <v>4696</v>
      </c>
      <c r="B3103" t="s">
        <v>1044</v>
      </c>
      <c r="C3103">
        <v>2027</v>
      </c>
      <c r="D3103" t="s">
        <v>546</v>
      </c>
      <c r="E3103" t="s">
        <v>840</v>
      </c>
      <c r="F3103" s="32">
        <v>46458</v>
      </c>
      <c r="G3103" t="s">
        <v>514</v>
      </c>
      <c r="H3103">
        <v>47133720</v>
      </c>
      <c r="I3103" t="s">
        <v>1217</v>
      </c>
      <c r="J3103" t="s">
        <v>1216</v>
      </c>
      <c r="K3103" t="s">
        <v>530</v>
      </c>
      <c r="N3103">
        <v>20</v>
      </c>
      <c r="O3103">
        <v>20</v>
      </c>
      <c r="P3103" t="str">
        <f t="shared" si="48"/>
        <v>N</v>
      </c>
      <c r="Q3103" t="s">
        <v>8833</v>
      </c>
    </row>
    <row r="3104" spans="1:17" x14ac:dyDescent="0.25">
      <c r="A3104" t="s">
        <v>4697</v>
      </c>
      <c r="B3104" t="s">
        <v>1044</v>
      </c>
      <c r="C3104">
        <v>2027</v>
      </c>
      <c r="D3104" t="s">
        <v>546</v>
      </c>
      <c r="E3104" t="s">
        <v>840</v>
      </c>
      <c r="F3104" s="32">
        <v>46458</v>
      </c>
      <c r="G3104" t="s">
        <v>514</v>
      </c>
      <c r="H3104">
        <v>47128429</v>
      </c>
      <c r="I3104" t="s">
        <v>1371</v>
      </c>
      <c r="J3104" t="s">
        <v>1370</v>
      </c>
      <c r="K3104" t="s">
        <v>530</v>
      </c>
      <c r="N3104">
        <v>0</v>
      </c>
      <c r="O3104">
        <v>0</v>
      </c>
      <c r="P3104" t="str">
        <f t="shared" si="48"/>
        <v>N</v>
      </c>
      <c r="Q3104" t="s">
        <v>8834</v>
      </c>
    </row>
    <row r="3105" spans="1:17" x14ac:dyDescent="0.25">
      <c r="A3105" t="s">
        <v>4698</v>
      </c>
      <c r="B3105" t="s">
        <v>1044</v>
      </c>
      <c r="C3105">
        <v>2027</v>
      </c>
      <c r="D3105" t="s">
        <v>546</v>
      </c>
      <c r="E3105" t="s">
        <v>840</v>
      </c>
      <c r="F3105" s="32">
        <v>46458</v>
      </c>
      <c r="G3105" t="s">
        <v>514</v>
      </c>
      <c r="H3105">
        <v>47128181</v>
      </c>
      <c r="I3105" t="s">
        <v>1301</v>
      </c>
      <c r="J3105" t="s">
        <v>1300</v>
      </c>
      <c r="K3105" t="s">
        <v>530</v>
      </c>
      <c r="N3105">
        <v>0</v>
      </c>
      <c r="O3105">
        <v>0</v>
      </c>
      <c r="P3105" t="str">
        <f t="shared" si="48"/>
        <v>N</v>
      </c>
      <c r="Q3105" t="s">
        <v>8835</v>
      </c>
    </row>
    <row r="3106" spans="1:17" x14ac:dyDescent="0.25">
      <c r="A3106" t="s">
        <v>5110</v>
      </c>
      <c r="B3106" t="s">
        <v>1090</v>
      </c>
      <c r="C3106">
        <v>2027</v>
      </c>
      <c r="D3106" t="s">
        <v>546</v>
      </c>
      <c r="E3106" t="s">
        <v>840</v>
      </c>
      <c r="F3106" s="32">
        <v>46458</v>
      </c>
      <c r="G3106" t="s">
        <v>514</v>
      </c>
      <c r="H3106">
        <v>47128939</v>
      </c>
      <c r="I3106" t="s">
        <v>1224</v>
      </c>
      <c r="J3106" t="s">
        <v>1223</v>
      </c>
      <c r="K3106" t="s">
        <v>530</v>
      </c>
      <c r="N3106">
        <v>0</v>
      </c>
      <c r="O3106">
        <v>0</v>
      </c>
      <c r="P3106" t="str">
        <f t="shared" si="48"/>
        <v>N</v>
      </c>
      <c r="Q3106" t="s">
        <v>8836</v>
      </c>
    </row>
    <row r="3107" spans="1:17" x14ac:dyDescent="0.25">
      <c r="A3107" t="s">
        <v>5111</v>
      </c>
      <c r="B3107" t="s">
        <v>1090</v>
      </c>
      <c r="C3107">
        <v>2027</v>
      </c>
      <c r="D3107" t="s">
        <v>546</v>
      </c>
      <c r="E3107" t="s">
        <v>840</v>
      </c>
      <c r="F3107" s="32">
        <v>46458</v>
      </c>
      <c r="G3107" t="s">
        <v>514</v>
      </c>
      <c r="H3107">
        <v>47128449</v>
      </c>
      <c r="I3107" t="s">
        <v>1364</v>
      </c>
      <c r="J3107" t="s">
        <v>1363</v>
      </c>
      <c r="K3107" t="s">
        <v>530</v>
      </c>
      <c r="N3107">
        <v>0</v>
      </c>
      <c r="O3107">
        <v>0</v>
      </c>
      <c r="P3107" t="str">
        <f t="shared" si="48"/>
        <v>N</v>
      </c>
      <c r="Q3107" t="s">
        <v>8837</v>
      </c>
    </row>
    <row r="3108" spans="1:17" x14ac:dyDescent="0.25">
      <c r="A3108" t="s">
        <v>5112</v>
      </c>
      <c r="B3108" t="s">
        <v>1090</v>
      </c>
      <c r="C3108">
        <v>2027</v>
      </c>
      <c r="D3108" t="s">
        <v>546</v>
      </c>
      <c r="E3108" t="s">
        <v>840</v>
      </c>
      <c r="F3108" s="32">
        <v>46458</v>
      </c>
      <c r="G3108" t="s">
        <v>514</v>
      </c>
      <c r="H3108">
        <v>47128902</v>
      </c>
      <c r="I3108" t="s">
        <v>1243</v>
      </c>
      <c r="J3108" t="s">
        <v>1242</v>
      </c>
      <c r="K3108" t="s">
        <v>530</v>
      </c>
      <c r="N3108">
        <v>0</v>
      </c>
      <c r="O3108">
        <v>0</v>
      </c>
      <c r="P3108" t="str">
        <f t="shared" si="48"/>
        <v>N</v>
      </c>
      <c r="Q3108" t="s">
        <v>8838</v>
      </c>
    </row>
    <row r="3109" spans="1:17" x14ac:dyDescent="0.25">
      <c r="A3109" t="s">
        <v>5113</v>
      </c>
      <c r="B3109" t="s">
        <v>1090</v>
      </c>
      <c r="C3109">
        <v>2027</v>
      </c>
      <c r="D3109" t="s">
        <v>546</v>
      </c>
      <c r="E3109" t="s">
        <v>840</v>
      </c>
      <c r="F3109" s="32">
        <v>46458</v>
      </c>
      <c r="G3109" t="s">
        <v>514</v>
      </c>
      <c r="H3109">
        <v>47128417</v>
      </c>
      <c r="I3109" t="s">
        <v>1069</v>
      </c>
      <c r="J3109" t="s">
        <v>1068</v>
      </c>
      <c r="K3109" t="s">
        <v>530</v>
      </c>
      <c r="N3109">
        <v>0</v>
      </c>
      <c r="O3109">
        <v>0</v>
      </c>
      <c r="P3109" t="str">
        <f t="shared" si="48"/>
        <v>N</v>
      </c>
      <c r="Q3109" t="s">
        <v>8839</v>
      </c>
    </row>
    <row r="3110" spans="1:17" x14ac:dyDescent="0.25">
      <c r="A3110" t="s">
        <v>5114</v>
      </c>
      <c r="B3110" t="s">
        <v>1090</v>
      </c>
      <c r="C3110">
        <v>2027</v>
      </c>
      <c r="D3110" t="s">
        <v>546</v>
      </c>
      <c r="E3110" t="s">
        <v>840</v>
      </c>
      <c r="F3110" s="32">
        <v>46458</v>
      </c>
      <c r="G3110" t="s">
        <v>514</v>
      </c>
      <c r="H3110">
        <v>47129017</v>
      </c>
      <c r="I3110" t="s">
        <v>1073</v>
      </c>
      <c r="J3110" t="s">
        <v>1072</v>
      </c>
      <c r="K3110" t="s">
        <v>530</v>
      </c>
      <c r="N3110">
        <v>0</v>
      </c>
      <c r="O3110">
        <v>0</v>
      </c>
      <c r="P3110" t="str">
        <f t="shared" si="48"/>
        <v>N</v>
      </c>
      <c r="Q3110" t="s">
        <v>8840</v>
      </c>
    </row>
    <row r="3111" spans="1:17" x14ac:dyDescent="0.25">
      <c r="A3111" t="s">
        <v>5115</v>
      </c>
      <c r="B3111" t="s">
        <v>1090</v>
      </c>
      <c r="C3111">
        <v>2027</v>
      </c>
      <c r="D3111" t="s">
        <v>546</v>
      </c>
      <c r="E3111" t="s">
        <v>840</v>
      </c>
      <c r="F3111" s="32">
        <v>46458</v>
      </c>
      <c r="G3111" t="s">
        <v>514</v>
      </c>
      <c r="H3111">
        <v>47128936</v>
      </c>
      <c r="I3111" t="s">
        <v>1173</v>
      </c>
      <c r="J3111" t="s">
        <v>1172</v>
      </c>
      <c r="K3111" t="s">
        <v>530</v>
      </c>
      <c r="N3111">
        <v>0</v>
      </c>
      <c r="O3111">
        <v>0</v>
      </c>
      <c r="P3111" t="str">
        <f t="shared" si="48"/>
        <v>N</v>
      </c>
      <c r="Q3111" t="s">
        <v>8841</v>
      </c>
    </row>
    <row r="3112" spans="1:17" x14ac:dyDescent="0.25">
      <c r="A3112" t="s">
        <v>5116</v>
      </c>
      <c r="B3112" t="s">
        <v>1090</v>
      </c>
      <c r="C3112">
        <v>2027</v>
      </c>
      <c r="D3112" t="s">
        <v>546</v>
      </c>
      <c r="E3112" t="s">
        <v>840</v>
      </c>
      <c r="F3112" s="32">
        <v>46458</v>
      </c>
      <c r="G3112" t="s">
        <v>514</v>
      </c>
      <c r="H3112">
        <v>47129715</v>
      </c>
      <c r="I3112" t="s">
        <v>1272</v>
      </c>
      <c r="J3112" t="s">
        <v>1271</v>
      </c>
      <c r="K3112" t="s">
        <v>530</v>
      </c>
      <c r="N3112">
        <v>0</v>
      </c>
      <c r="O3112">
        <v>0</v>
      </c>
      <c r="P3112" t="str">
        <f t="shared" si="48"/>
        <v>N</v>
      </c>
      <c r="Q3112" t="s">
        <v>8842</v>
      </c>
    </row>
    <row r="3113" spans="1:17" x14ac:dyDescent="0.25">
      <c r="A3113" t="s">
        <v>5117</v>
      </c>
      <c r="B3113" t="s">
        <v>1090</v>
      </c>
      <c r="C3113">
        <v>2027</v>
      </c>
      <c r="D3113" t="s">
        <v>546</v>
      </c>
      <c r="E3113" t="s">
        <v>840</v>
      </c>
      <c r="F3113" s="32">
        <v>46458</v>
      </c>
      <c r="G3113" t="s">
        <v>514</v>
      </c>
      <c r="H3113">
        <v>47129702</v>
      </c>
      <c r="I3113" t="s">
        <v>1309</v>
      </c>
      <c r="J3113" t="s">
        <v>1308</v>
      </c>
      <c r="K3113" t="s">
        <v>530</v>
      </c>
      <c r="N3113">
        <v>0</v>
      </c>
      <c r="O3113">
        <v>0</v>
      </c>
      <c r="P3113" t="str">
        <f t="shared" si="48"/>
        <v>N</v>
      </c>
      <c r="Q3113" t="s">
        <v>8843</v>
      </c>
    </row>
    <row r="3114" spans="1:17" x14ac:dyDescent="0.25">
      <c r="A3114" t="s">
        <v>5118</v>
      </c>
      <c r="B3114" t="s">
        <v>1090</v>
      </c>
      <c r="C3114">
        <v>2027</v>
      </c>
      <c r="D3114" t="s">
        <v>546</v>
      </c>
      <c r="E3114" t="s">
        <v>840</v>
      </c>
      <c r="F3114" s="32">
        <v>46458</v>
      </c>
      <c r="G3114" t="s">
        <v>514</v>
      </c>
      <c r="H3114">
        <v>47128777</v>
      </c>
      <c r="I3114" t="s">
        <v>1329</v>
      </c>
      <c r="J3114" t="s">
        <v>1328</v>
      </c>
      <c r="K3114" t="s">
        <v>530</v>
      </c>
      <c r="N3114">
        <v>0</v>
      </c>
      <c r="O3114">
        <v>0</v>
      </c>
      <c r="P3114" t="str">
        <f t="shared" si="48"/>
        <v>N</v>
      </c>
      <c r="Q3114" t="s">
        <v>8844</v>
      </c>
    </row>
    <row r="3115" spans="1:17" x14ac:dyDescent="0.25">
      <c r="A3115" t="s">
        <v>5119</v>
      </c>
      <c r="B3115" t="s">
        <v>1090</v>
      </c>
      <c r="C3115">
        <v>2027</v>
      </c>
      <c r="D3115" t="s">
        <v>546</v>
      </c>
      <c r="E3115" t="s">
        <v>840</v>
      </c>
      <c r="F3115" s="32">
        <v>46458</v>
      </c>
      <c r="G3115" t="s">
        <v>514</v>
      </c>
      <c r="H3115">
        <v>47148880</v>
      </c>
      <c r="I3115" t="s">
        <v>1305</v>
      </c>
      <c r="J3115" t="s">
        <v>1304</v>
      </c>
      <c r="K3115" t="s">
        <v>530</v>
      </c>
      <c r="N3115">
        <v>0</v>
      </c>
      <c r="O3115">
        <v>0</v>
      </c>
      <c r="P3115" t="str">
        <f t="shared" si="48"/>
        <v>N</v>
      </c>
      <c r="Q3115" t="s">
        <v>8845</v>
      </c>
    </row>
    <row r="3116" spans="1:17" x14ac:dyDescent="0.25">
      <c r="A3116" t="s">
        <v>5120</v>
      </c>
      <c r="B3116" t="s">
        <v>1090</v>
      </c>
      <c r="C3116">
        <v>2027</v>
      </c>
      <c r="D3116" t="s">
        <v>546</v>
      </c>
      <c r="E3116" t="s">
        <v>840</v>
      </c>
      <c r="F3116" s="32">
        <v>46458</v>
      </c>
      <c r="G3116" t="s">
        <v>514</v>
      </c>
      <c r="H3116">
        <v>47128467</v>
      </c>
      <c r="I3116" t="s">
        <v>1292</v>
      </c>
      <c r="J3116" t="s">
        <v>1291</v>
      </c>
      <c r="K3116" t="s">
        <v>530</v>
      </c>
      <c r="N3116">
        <v>0</v>
      </c>
      <c r="O3116">
        <v>0</v>
      </c>
      <c r="P3116" t="str">
        <f t="shared" si="48"/>
        <v>N</v>
      </c>
      <c r="Q3116" t="s">
        <v>8846</v>
      </c>
    </row>
    <row r="3117" spans="1:17" x14ac:dyDescent="0.25">
      <c r="A3117" t="s">
        <v>5121</v>
      </c>
      <c r="B3117" t="s">
        <v>1090</v>
      </c>
      <c r="C3117">
        <v>2027</v>
      </c>
      <c r="D3117" t="s">
        <v>546</v>
      </c>
      <c r="E3117" t="s">
        <v>840</v>
      </c>
      <c r="F3117" s="32">
        <v>46458</v>
      </c>
      <c r="G3117" t="s">
        <v>514</v>
      </c>
      <c r="H3117">
        <v>47128643</v>
      </c>
      <c r="I3117" t="s">
        <v>1367</v>
      </c>
      <c r="J3117" t="s">
        <v>1366</v>
      </c>
      <c r="K3117" t="s">
        <v>530</v>
      </c>
      <c r="N3117">
        <v>0</v>
      </c>
      <c r="O3117">
        <v>0</v>
      </c>
      <c r="P3117" t="str">
        <f t="shared" si="48"/>
        <v>N</v>
      </c>
      <c r="Q3117" t="s">
        <v>8847</v>
      </c>
    </row>
    <row r="3118" spans="1:17" x14ac:dyDescent="0.25">
      <c r="A3118" t="s">
        <v>5122</v>
      </c>
      <c r="B3118" t="s">
        <v>1090</v>
      </c>
      <c r="C3118">
        <v>2027</v>
      </c>
      <c r="D3118" t="s">
        <v>546</v>
      </c>
      <c r="E3118" t="s">
        <v>840</v>
      </c>
      <c r="F3118" s="32">
        <v>46458</v>
      </c>
      <c r="G3118" t="s">
        <v>514</v>
      </c>
      <c r="H3118">
        <v>47151576</v>
      </c>
      <c r="I3118" t="s">
        <v>1506</v>
      </c>
      <c r="J3118" t="s">
        <v>1505</v>
      </c>
      <c r="K3118" t="s">
        <v>530</v>
      </c>
      <c r="N3118">
        <v>0</v>
      </c>
      <c r="O3118">
        <v>0</v>
      </c>
      <c r="P3118" t="str">
        <f t="shared" si="48"/>
        <v>N</v>
      </c>
      <c r="Q3118" t="s">
        <v>8848</v>
      </c>
    </row>
    <row r="3119" spans="1:17" x14ac:dyDescent="0.25">
      <c r="A3119" t="s">
        <v>5123</v>
      </c>
      <c r="B3119" t="s">
        <v>1090</v>
      </c>
      <c r="C3119">
        <v>2027</v>
      </c>
      <c r="D3119" t="s">
        <v>546</v>
      </c>
      <c r="E3119" t="s">
        <v>840</v>
      </c>
      <c r="F3119" s="32">
        <v>46458</v>
      </c>
      <c r="G3119" t="s">
        <v>514</v>
      </c>
      <c r="H3119">
        <v>47129459</v>
      </c>
      <c r="I3119" t="s">
        <v>1321</v>
      </c>
      <c r="J3119" t="s">
        <v>1320</v>
      </c>
      <c r="K3119" t="s">
        <v>530</v>
      </c>
      <c r="N3119">
        <v>0</v>
      </c>
      <c r="O3119">
        <v>0</v>
      </c>
      <c r="P3119" t="str">
        <f t="shared" si="48"/>
        <v>N</v>
      </c>
      <c r="Q3119" t="s">
        <v>8849</v>
      </c>
    </row>
    <row r="3120" spans="1:17" x14ac:dyDescent="0.25">
      <c r="A3120" t="s">
        <v>5124</v>
      </c>
      <c r="B3120" t="s">
        <v>1090</v>
      </c>
      <c r="C3120">
        <v>2027</v>
      </c>
      <c r="D3120" t="s">
        <v>546</v>
      </c>
      <c r="E3120" t="s">
        <v>840</v>
      </c>
      <c r="F3120" s="32">
        <v>46458</v>
      </c>
      <c r="G3120" t="s">
        <v>514</v>
      </c>
      <c r="H3120">
        <v>47129130</v>
      </c>
      <c r="I3120" t="s">
        <v>1434</v>
      </c>
      <c r="J3120" t="s">
        <v>1433</v>
      </c>
      <c r="K3120" t="s">
        <v>530</v>
      </c>
      <c r="N3120">
        <v>0</v>
      </c>
      <c r="O3120">
        <v>0</v>
      </c>
      <c r="P3120" t="str">
        <f t="shared" si="48"/>
        <v>N</v>
      </c>
      <c r="Q3120" t="s">
        <v>8850</v>
      </c>
    </row>
    <row r="3121" spans="1:17" x14ac:dyDescent="0.25">
      <c r="A3121" t="s">
        <v>5125</v>
      </c>
      <c r="B3121" t="s">
        <v>1090</v>
      </c>
      <c r="C3121">
        <v>2027</v>
      </c>
      <c r="D3121" t="s">
        <v>546</v>
      </c>
      <c r="E3121" t="s">
        <v>840</v>
      </c>
      <c r="F3121" s="32">
        <v>46458</v>
      </c>
      <c r="G3121" t="s">
        <v>514</v>
      </c>
      <c r="H3121">
        <v>47129692</v>
      </c>
      <c r="I3121" t="s">
        <v>1475</v>
      </c>
      <c r="J3121" t="s">
        <v>1474</v>
      </c>
      <c r="K3121" t="s">
        <v>530</v>
      </c>
      <c r="N3121">
        <v>0</v>
      </c>
      <c r="O3121">
        <v>0</v>
      </c>
      <c r="P3121" t="str">
        <f t="shared" si="48"/>
        <v>N</v>
      </c>
      <c r="Q3121" t="s">
        <v>8851</v>
      </c>
    </row>
    <row r="3122" spans="1:17" x14ac:dyDescent="0.25">
      <c r="A3122" t="s">
        <v>5126</v>
      </c>
      <c r="B3122" t="s">
        <v>1090</v>
      </c>
      <c r="C3122">
        <v>2027</v>
      </c>
      <c r="D3122" t="s">
        <v>546</v>
      </c>
      <c r="E3122" t="s">
        <v>840</v>
      </c>
      <c r="F3122" s="32">
        <v>46458</v>
      </c>
      <c r="G3122" t="s">
        <v>514</v>
      </c>
      <c r="H3122">
        <v>47153262</v>
      </c>
      <c r="I3122" t="s">
        <v>1502</v>
      </c>
      <c r="J3122" t="s">
        <v>1501</v>
      </c>
      <c r="K3122" t="s">
        <v>530</v>
      </c>
      <c r="N3122">
        <v>40</v>
      </c>
      <c r="O3122">
        <v>40</v>
      </c>
      <c r="P3122" t="str">
        <f t="shared" si="48"/>
        <v>N</v>
      </c>
      <c r="Q3122" t="s">
        <v>8852</v>
      </c>
    </row>
    <row r="3123" spans="1:17" x14ac:dyDescent="0.25">
      <c r="A3123" t="s">
        <v>5127</v>
      </c>
      <c r="B3123" t="s">
        <v>1090</v>
      </c>
      <c r="C3123">
        <v>2027</v>
      </c>
      <c r="D3123" t="s">
        <v>546</v>
      </c>
      <c r="E3123" t="s">
        <v>840</v>
      </c>
      <c r="F3123" s="32">
        <v>46458</v>
      </c>
      <c r="G3123" t="s">
        <v>514</v>
      </c>
      <c r="H3123">
        <v>47146895</v>
      </c>
      <c r="I3123" t="s">
        <v>1375</v>
      </c>
      <c r="J3123" t="s">
        <v>1374</v>
      </c>
      <c r="K3123" t="s">
        <v>530</v>
      </c>
      <c r="N3123">
        <v>43</v>
      </c>
      <c r="O3123">
        <v>43</v>
      </c>
      <c r="P3123" t="str">
        <f t="shared" si="48"/>
        <v>N</v>
      </c>
      <c r="Q3123" t="s">
        <v>8853</v>
      </c>
    </row>
    <row r="3124" spans="1:17" x14ac:dyDescent="0.25">
      <c r="A3124" t="s">
        <v>5128</v>
      </c>
      <c r="B3124" t="s">
        <v>1090</v>
      </c>
      <c r="C3124">
        <v>2027</v>
      </c>
      <c r="D3124" t="s">
        <v>546</v>
      </c>
      <c r="E3124" t="s">
        <v>840</v>
      </c>
      <c r="F3124" s="32">
        <v>46458</v>
      </c>
      <c r="G3124" t="s">
        <v>514</v>
      </c>
      <c r="H3124">
        <v>47128115</v>
      </c>
      <c r="I3124" t="s">
        <v>1260</v>
      </c>
      <c r="J3124" t="s">
        <v>1499</v>
      </c>
      <c r="K3124" t="s">
        <v>530</v>
      </c>
      <c r="N3124">
        <v>0</v>
      </c>
      <c r="O3124">
        <v>0</v>
      </c>
      <c r="P3124" t="str">
        <f t="shared" si="48"/>
        <v>N</v>
      </c>
      <c r="Q3124" t="s">
        <v>8854</v>
      </c>
    </row>
    <row r="3125" spans="1:17" x14ac:dyDescent="0.25">
      <c r="A3125" t="s">
        <v>5129</v>
      </c>
      <c r="B3125" t="s">
        <v>1090</v>
      </c>
      <c r="C3125">
        <v>2027</v>
      </c>
      <c r="D3125" t="s">
        <v>546</v>
      </c>
      <c r="E3125" t="s">
        <v>840</v>
      </c>
      <c r="F3125" s="32">
        <v>46458</v>
      </c>
      <c r="G3125" t="s">
        <v>514</v>
      </c>
      <c r="H3125">
        <v>47129679</v>
      </c>
      <c r="I3125" t="s">
        <v>1422</v>
      </c>
      <c r="J3125" t="s">
        <v>1421</v>
      </c>
      <c r="K3125" t="s">
        <v>530</v>
      </c>
      <c r="N3125">
        <v>0</v>
      </c>
      <c r="O3125">
        <v>0</v>
      </c>
      <c r="P3125" t="str">
        <f t="shared" si="48"/>
        <v>N</v>
      </c>
      <c r="Q3125" t="s">
        <v>8855</v>
      </c>
    </row>
    <row r="3126" spans="1:17" x14ac:dyDescent="0.25">
      <c r="A3126" t="s">
        <v>5130</v>
      </c>
      <c r="B3126" t="s">
        <v>1090</v>
      </c>
      <c r="C3126">
        <v>2027</v>
      </c>
      <c r="D3126" t="s">
        <v>546</v>
      </c>
      <c r="E3126" t="s">
        <v>840</v>
      </c>
      <c r="F3126" s="32">
        <v>46458</v>
      </c>
      <c r="G3126" t="s">
        <v>514</v>
      </c>
      <c r="H3126">
        <v>47129432</v>
      </c>
      <c r="I3126" t="s">
        <v>1468</v>
      </c>
      <c r="J3126" t="s">
        <v>1467</v>
      </c>
      <c r="K3126" t="s">
        <v>530</v>
      </c>
      <c r="N3126">
        <v>17</v>
      </c>
      <c r="O3126">
        <v>17</v>
      </c>
      <c r="P3126" t="str">
        <f t="shared" si="48"/>
        <v>N</v>
      </c>
      <c r="Q3126" t="s">
        <v>8856</v>
      </c>
    </row>
    <row r="3127" spans="1:17" x14ac:dyDescent="0.25">
      <c r="A3127" t="s">
        <v>5131</v>
      </c>
      <c r="B3127" t="s">
        <v>1090</v>
      </c>
      <c r="C3127">
        <v>2027</v>
      </c>
      <c r="D3127" t="s">
        <v>546</v>
      </c>
      <c r="E3127" t="s">
        <v>840</v>
      </c>
      <c r="F3127" s="32">
        <v>46458</v>
      </c>
      <c r="G3127" t="s">
        <v>514</v>
      </c>
      <c r="H3127">
        <v>47129050</v>
      </c>
      <c r="I3127" t="s">
        <v>1482</v>
      </c>
      <c r="J3127" t="s">
        <v>1481</v>
      </c>
      <c r="K3127" t="s">
        <v>530</v>
      </c>
      <c r="N3127">
        <v>0</v>
      </c>
      <c r="O3127">
        <v>0</v>
      </c>
      <c r="P3127" t="str">
        <f t="shared" si="48"/>
        <v>N</v>
      </c>
      <c r="Q3127" t="s">
        <v>8857</v>
      </c>
    </row>
    <row r="3128" spans="1:17" x14ac:dyDescent="0.25">
      <c r="A3128" t="s">
        <v>5371</v>
      </c>
      <c r="B3128" t="s">
        <v>1089</v>
      </c>
      <c r="C3128">
        <v>2027</v>
      </c>
      <c r="D3128" t="s">
        <v>546</v>
      </c>
      <c r="E3128" t="s">
        <v>840</v>
      </c>
      <c r="F3128" s="32">
        <v>46458</v>
      </c>
      <c r="G3128" t="s">
        <v>514</v>
      </c>
      <c r="H3128">
        <v>47128046</v>
      </c>
      <c r="I3128" t="s">
        <v>1389</v>
      </c>
      <c r="J3128" t="s">
        <v>1388</v>
      </c>
      <c r="K3128" t="s">
        <v>530</v>
      </c>
      <c r="N3128">
        <v>0</v>
      </c>
      <c r="O3128">
        <v>0</v>
      </c>
      <c r="P3128" t="str">
        <f t="shared" si="48"/>
        <v>N</v>
      </c>
      <c r="Q3128" t="s">
        <v>8858</v>
      </c>
    </row>
    <row r="3129" spans="1:17" x14ac:dyDescent="0.25">
      <c r="A3129" t="s">
        <v>5372</v>
      </c>
      <c r="B3129" t="s">
        <v>1089</v>
      </c>
      <c r="C3129">
        <v>2027</v>
      </c>
      <c r="D3129" t="s">
        <v>546</v>
      </c>
      <c r="E3129" t="s">
        <v>840</v>
      </c>
      <c r="F3129" s="32">
        <v>46458</v>
      </c>
      <c r="G3129" t="s">
        <v>514</v>
      </c>
      <c r="H3129">
        <v>47128364</v>
      </c>
      <c r="I3129" t="s">
        <v>1264</v>
      </c>
      <c r="J3129" t="s">
        <v>1263</v>
      </c>
      <c r="K3129" t="s">
        <v>530</v>
      </c>
      <c r="N3129">
        <v>65</v>
      </c>
      <c r="O3129">
        <v>65</v>
      </c>
      <c r="P3129" t="str">
        <f t="shared" si="48"/>
        <v>N</v>
      </c>
      <c r="Q3129" t="s">
        <v>8859</v>
      </c>
    </row>
    <row r="3130" spans="1:17" x14ac:dyDescent="0.25">
      <c r="A3130" t="s">
        <v>5373</v>
      </c>
      <c r="B3130" t="s">
        <v>1089</v>
      </c>
      <c r="C3130">
        <v>2027</v>
      </c>
      <c r="D3130" t="s">
        <v>546</v>
      </c>
      <c r="E3130" t="s">
        <v>840</v>
      </c>
      <c r="F3130" s="32">
        <v>46458</v>
      </c>
      <c r="G3130" t="s">
        <v>514</v>
      </c>
      <c r="H3130">
        <v>47128706</v>
      </c>
      <c r="I3130" t="s">
        <v>1201</v>
      </c>
      <c r="J3130" t="s">
        <v>1200</v>
      </c>
      <c r="K3130" t="s">
        <v>530</v>
      </c>
      <c r="N3130">
        <v>70</v>
      </c>
      <c r="O3130">
        <v>70</v>
      </c>
      <c r="P3130" t="str">
        <f t="shared" si="48"/>
        <v>N</v>
      </c>
      <c r="Q3130" t="s">
        <v>8860</v>
      </c>
    </row>
    <row r="3131" spans="1:17" x14ac:dyDescent="0.25">
      <c r="A3131" t="s">
        <v>5374</v>
      </c>
      <c r="B3131" t="s">
        <v>1089</v>
      </c>
      <c r="C3131">
        <v>2027</v>
      </c>
      <c r="D3131" t="s">
        <v>546</v>
      </c>
      <c r="E3131" t="s">
        <v>840</v>
      </c>
      <c r="F3131" s="32">
        <v>46458</v>
      </c>
      <c r="G3131" t="s">
        <v>514</v>
      </c>
      <c r="H3131">
        <v>47128633</v>
      </c>
      <c r="I3131" t="s">
        <v>1164</v>
      </c>
      <c r="J3131" t="s">
        <v>1163</v>
      </c>
      <c r="K3131" t="s">
        <v>530</v>
      </c>
      <c r="N3131">
        <v>0</v>
      </c>
      <c r="O3131">
        <v>0</v>
      </c>
      <c r="P3131" t="str">
        <f t="shared" si="48"/>
        <v>N</v>
      </c>
      <c r="Q3131" t="s">
        <v>8861</v>
      </c>
    </row>
    <row r="3132" spans="1:17" x14ac:dyDescent="0.25">
      <c r="A3132" t="s">
        <v>5375</v>
      </c>
      <c r="B3132" t="s">
        <v>1089</v>
      </c>
      <c r="C3132">
        <v>2027</v>
      </c>
      <c r="D3132" t="s">
        <v>546</v>
      </c>
      <c r="E3132" t="s">
        <v>840</v>
      </c>
      <c r="F3132" s="32">
        <v>46458</v>
      </c>
      <c r="G3132" t="s">
        <v>514</v>
      </c>
      <c r="H3132">
        <v>47129548</v>
      </c>
      <c r="I3132" t="s">
        <v>1340</v>
      </c>
      <c r="J3132" t="s">
        <v>1339</v>
      </c>
      <c r="K3132" t="s">
        <v>530</v>
      </c>
      <c r="N3132">
        <v>0</v>
      </c>
      <c r="O3132">
        <v>0</v>
      </c>
      <c r="P3132" t="str">
        <f t="shared" si="48"/>
        <v>N</v>
      </c>
      <c r="Q3132" t="s">
        <v>8862</v>
      </c>
    </row>
    <row r="3133" spans="1:17" x14ac:dyDescent="0.25">
      <c r="A3133" t="s">
        <v>5376</v>
      </c>
      <c r="B3133" t="s">
        <v>1089</v>
      </c>
      <c r="C3133">
        <v>2027</v>
      </c>
      <c r="D3133" t="s">
        <v>546</v>
      </c>
      <c r="E3133" t="s">
        <v>840</v>
      </c>
      <c r="F3133" s="32">
        <v>46458</v>
      </c>
      <c r="G3133" t="s">
        <v>514</v>
      </c>
      <c r="H3133">
        <v>47128835</v>
      </c>
      <c r="I3133" t="s">
        <v>998</v>
      </c>
      <c r="J3133" t="s">
        <v>997</v>
      </c>
      <c r="K3133" t="s">
        <v>530</v>
      </c>
      <c r="N3133">
        <v>0</v>
      </c>
      <c r="O3133">
        <v>0</v>
      </c>
      <c r="P3133" t="str">
        <f t="shared" si="48"/>
        <v>N</v>
      </c>
      <c r="Q3133" t="s">
        <v>8863</v>
      </c>
    </row>
    <row r="3134" spans="1:17" x14ac:dyDescent="0.25">
      <c r="A3134" t="s">
        <v>5377</v>
      </c>
      <c r="B3134" t="s">
        <v>1089</v>
      </c>
      <c r="C3134">
        <v>2027</v>
      </c>
      <c r="D3134" t="s">
        <v>546</v>
      </c>
      <c r="E3134" t="s">
        <v>840</v>
      </c>
      <c r="F3134" s="32">
        <v>46458</v>
      </c>
      <c r="G3134" t="s">
        <v>514</v>
      </c>
      <c r="H3134">
        <v>47128788</v>
      </c>
      <c r="I3134" t="s">
        <v>4188</v>
      </c>
      <c r="J3134" t="s">
        <v>4189</v>
      </c>
      <c r="K3134" t="s">
        <v>530</v>
      </c>
      <c r="N3134">
        <v>0</v>
      </c>
      <c r="O3134">
        <v>0</v>
      </c>
      <c r="P3134" t="str">
        <f t="shared" si="48"/>
        <v>N</v>
      </c>
      <c r="Q3134" t="s">
        <v>8864</v>
      </c>
    </row>
    <row r="3135" spans="1:17" x14ac:dyDescent="0.25">
      <c r="A3135" t="s">
        <v>5378</v>
      </c>
      <c r="B3135" t="s">
        <v>1089</v>
      </c>
      <c r="C3135">
        <v>2027</v>
      </c>
      <c r="D3135" t="s">
        <v>546</v>
      </c>
      <c r="E3135" t="s">
        <v>840</v>
      </c>
      <c r="F3135" s="32">
        <v>46458</v>
      </c>
      <c r="G3135" t="s">
        <v>514</v>
      </c>
      <c r="H3135">
        <v>47136348</v>
      </c>
      <c r="I3135" t="s">
        <v>1025</v>
      </c>
      <c r="J3135" t="s">
        <v>1024</v>
      </c>
      <c r="K3135" t="s">
        <v>530</v>
      </c>
      <c r="N3135">
        <v>40</v>
      </c>
      <c r="O3135">
        <v>40</v>
      </c>
      <c r="P3135" t="str">
        <f t="shared" si="48"/>
        <v>N</v>
      </c>
      <c r="Q3135" t="s">
        <v>8865</v>
      </c>
    </row>
    <row r="3136" spans="1:17" x14ac:dyDescent="0.25">
      <c r="A3136" t="s">
        <v>5379</v>
      </c>
      <c r="B3136" t="s">
        <v>1089</v>
      </c>
      <c r="C3136">
        <v>2027</v>
      </c>
      <c r="D3136" t="s">
        <v>546</v>
      </c>
      <c r="E3136" t="s">
        <v>840</v>
      </c>
      <c r="F3136" s="32">
        <v>46458</v>
      </c>
      <c r="G3136" t="s">
        <v>514</v>
      </c>
      <c r="H3136">
        <v>47135083</v>
      </c>
      <c r="I3136" t="s">
        <v>4192</v>
      </c>
      <c r="J3136" t="s">
        <v>4193</v>
      </c>
      <c r="K3136" t="s">
        <v>530</v>
      </c>
      <c r="N3136">
        <v>0</v>
      </c>
      <c r="O3136">
        <v>0</v>
      </c>
      <c r="P3136" t="str">
        <f t="shared" si="48"/>
        <v>N</v>
      </c>
      <c r="Q3136" t="s">
        <v>8866</v>
      </c>
    </row>
    <row r="3137" spans="1:17" x14ac:dyDescent="0.25">
      <c r="A3137" t="s">
        <v>5380</v>
      </c>
      <c r="B3137" t="s">
        <v>1089</v>
      </c>
      <c r="C3137">
        <v>2027</v>
      </c>
      <c r="D3137" t="s">
        <v>546</v>
      </c>
      <c r="E3137" t="s">
        <v>840</v>
      </c>
      <c r="F3137" s="32">
        <v>46458</v>
      </c>
      <c r="G3137" t="s">
        <v>514</v>
      </c>
      <c r="H3137">
        <v>47128515</v>
      </c>
      <c r="I3137" t="s">
        <v>1185</v>
      </c>
      <c r="J3137" t="s">
        <v>1184</v>
      </c>
      <c r="K3137" t="s">
        <v>530</v>
      </c>
      <c r="N3137">
        <v>0</v>
      </c>
      <c r="O3137">
        <v>0</v>
      </c>
      <c r="P3137" t="str">
        <f t="shared" si="48"/>
        <v>N</v>
      </c>
      <c r="Q3137" t="s">
        <v>8867</v>
      </c>
    </row>
    <row r="3138" spans="1:17" x14ac:dyDescent="0.25">
      <c r="A3138" t="s">
        <v>5381</v>
      </c>
      <c r="B3138" t="s">
        <v>1089</v>
      </c>
      <c r="C3138">
        <v>2027</v>
      </c>
      <c r="D3138" t="s">
        <v>546</v>
      </c>
      <c r="E3138" t="s">
        <v>840</v>
      </c>
      <c r="F3138" s="32">
        <v>46458</v>
      </c>
      <c r="G3138" t="s">
        <v>514</v>
      </c>
      <c r="H3138">
        <v>47128472</v>
      </c>
      <c r="I3138" t="s">
        <v>995</v>
      </c>
      <c r="J3138" t="s">
        <v>994</v>
      </c>
      <c r="K3138" t="s">
        <v>530</v>
      </c>
      <c r="N3138">
        <v>0</v>
      </c>
      <c r="O3138">
        <v>0</v>
      </c>
      <c r="P3138" t="str">
        <f t="shared" si="48"/>
        <v>N</v>
      </c>
      <c r="Q3138" t="s">
        <v>8868</v>
      </c>
    </row>
    <row r="3139" spans="1:17" x14ac:dyDescent="0.25">
      <c r="A3139" t="s">
        <v>5382</v>
      </c>
      <c r="B3139" t="s">
        <v>1089</v>
      </c>
      <c r="C3139">
        <v>2027</v>
      </c>
      <c r="D3139" t="s">
        <v>546</v>
      </c>
      <c r="E3139" t="s">
        <v>840</v>
      </c>
      <c r="F3139" s="32">
        <v>46458</v>
      </c>
      <c r="G3139" t="s">
        <v>514</v>
      </c>
      <c r="H3139">
        <v>47128202</v>
      </c>
      <c r="I3139" t="s">
        <v>967</v>
      </c>
      <c r="J3139" t="s">
        <v>966</v>
      </c>
      <c r="K3139" t="s">
        <v>530</v>
      </c>
      <c r="N3139">
        <v>40</v>
      </c>
      <c r="O3139">
        <v>40</v>
      </c>
      <c r="P3139" t="str">
        <f t="shared" ref="P3139:P3202" si="49">IF(N3139=O3139,"N","Y")</f>
        <v>N</v>
      </c>
      <c r="Q3139" t="s">
        <v>8869</v>
      </c>
    </row>
    <row r="3140" spans="1:17" x14ac:dyDescent="0.25">
      <c r="A3140" t="s">
        <v>5383</v>
      </c>
      <c r="B3140" t="s">
        <v>1089</v>
      </c>
      <c r="C3140">
        <v>2027</v>
      </c>
      <c r="D3140" t="s">
        <v>546</v>
      </c>
      <c r="E3140" t="s">
        <v>840</v>
      </c>
      <c r="F3140" s="32">
        <v>46458</v>
      </c>
      <c r="G3140" t="s">
        <v>514</v>
      </c>
      <c r="H3140">
        <v>47128132</v>
      </c>
      <c r="I3140" t="s">
        <v>4429</v>
      </c>
      <c r="J3140" t="s">
        <v>4430</v>
      </c>
      <c r="K3140" t="s">
        <v>530</v>
      </c>
      <c r="N3140">
        <v>0</v>
      </c>
      <c r="O3140">
        <v>0</v>
      </c>
      <c r="P3140" t="str">
        <f t="shared" si="49"/>
        <v>N</v>
      </c>
      <c r="Q3140" t="s">
        <v>8870</v>
      </c>
    </row>
    <row r="3141" spans="1:17" x14ac:dyDescent="0.25">
      <c r="A3141" t="s">
        <v>5384</v>
      </c>
      <c r="B3141" t="s">
        <v>1089</v>
      </c>
      <c r="C3141">
        <v>2027</v>
      </c>
      <c r="D3141" t="s">
        <v>546</v>
      </c>
      <c r="E3141" t="s">
        <v>840</v>
      </c>
      <c r="F3141" s="32">
        <v>46458</v>
      </c>
      <c r="G3141" t="s">
        <v>514</v>
      </c>
      <c r="H3141">
        <v>47127971</v>
      </c>
      <c r="I3141" t="s">
        <v>991</v>
      </c>
      <c r="J3141" t="s">
        <v>990</v>
      </c>
      <c r="K3141" t="s">
        <v>530</v>
      </c>
      <c r="N3141">
        <v>40</v>
      </c>
      <c r="O3141">
        <v>40</v>
      </c>
      <c r="P3141" t="str">
        <f t="shared" si="49"/>
        <v>N</v>
      </c>
      <c r="Q3141" t="s">
        <v>8871</v>
      </c>
    </row>
    <row r="3142" spans="1:17" x14ac:dyDescent="0.25">
      <c r="A3142" t="s">
        <v>5620</v>
      </c>
      <c r="B3142" t="s">
        <v>5437</v>
      </c>
      <c r="C3142">
        <v>2027</v>
      </c>
      <c r="D3142" t="s">
        <v>546</v>
      </c>
      <c r="E3142" t="s">
        <v>840</v>
      </c>
      <c r="F3142" s="32">
        <v>46458</v>
      </c>
      <c r="G3142" t="s">
        <v>514</v>
      </c>
      <c r="H3142">
        <v>47128481</v>
      </c>
      <c r="I3142" t="s">
        <v>1379</v>
      </c>
      <c r="J3142" t="s">
        <v>1378</v>
      </c>
      <c r="K3142" t="s">
        <v>530</v>
      </c>
      <c r="N3142">
        <v>0</v>
      </c>
      <c r="O3142">
        <v>0</v>
      </c>
      <c r="P3142" t="str">
        <f t="shared" si="49"/>
        <v>N</v>
      </c>
      <c r="Q3142" t="s">
        <v>8872</v>
      </c>
    </row>
    <row r="3143" spans="1:17" x14ac:dyDescent="0.25">
      <c r="A3143" t="s">
        <v>5621</v>
      </c>
      <c r="B3143" t="s">
        <v>5437</v>
      </c>
      <c r="C3143">
        <v>2027</v>
      </c>
      <c r="D3143" t="s">
        <v>546</v>
      </c>
      <c r="E3143" t="s">
        <v>840</v>
      </c>
      <c r="F3143" s="32">
        <v>46458</v>
      </c>
      <c r="G3143" t="s">
        <v>514</v>
      </c>
      <c r="H3143">
        <v>47128572</v>
      </c>
      <c r="I3143" t="s">
        <v>1197</v>
      </c>
      <c r="J3143" t="s">
        <v>1196</v>
      </c>
      <c r="K3143" t="s">
        <v>530</v>
      </c>
      <c r="N3143">
        <v>0</v>
      </c>
      <c r="O3143">
        <v>0</v>
      </c>
      <c r="P3143" t="str">
        <f t="shared" si="49"/>
        <v>N</v>
      </c>
      <c r="Q3143" t="s">
        <v>8873</v>
      </c>
    </row>
    <row r="3144" spans="1:17" x14ac:dyDescent="0.25">
      <c r="A3144" t="s">
        <v>5622</v>
      </c>
      <c r="B3144" t="s">
        <v>5437</v>
      </c>
      <c r="C3144">
        <v>2027</v>
      </c>
      <c r="D3144" t="s">
        <v>546</v>
      </c>
      <c r="E3144" t="s">
        <v>840</v>
      </c>
      <c r="F3144" s="32">
        <v>46458</v>
      </c>
      <c r="G3144" t="s">
        <v>514</v>
      </c>
      <c r="H3144">
        <v>47128482</v>
      </c>
      <c r="I3144" t="s">
        <v>1393</v>
      </c>
      <c r="J3144" t="s">
        <v>1392</v>
      </c>
      <c r="K3144" t="s">
        <v>530</v>
      </c>
      <c r="N3144">
        <v>0</v>
      </c>
      <c r="O3144">
        <v>0</v>
      </c>
      <c r="P3144" t="str">
        <f t="shared" si="49"/>
        <v>N</v>
      </c>
      <c r="Q3144" t="s">
        <v>8874</v>
      </c>
    </row>
    <row r="3145" spans="1:17" x14ac:dyDescent="0.25">
      <c r="A3145" t="s">
        <v>5623</v>
      </c>
      <c r="B3145" t="s">
        <v>5437</v>
      </c>
      <c r="C3145">
        <v>2027</v>
      </c>
      <c r="D3145" t="s">
        <v>546</v>
      </c>
      <c r="E3145" t="s">
        <v>840</v>
      </c>
      <c r="F3145" s="32">
        <v>46458</v>
      </c>
      <c r="G3145" t="s">
        <v>514</v>
      </c>
      <c r="H3145">
        <v>47128337</v>
      </c>
      <c r="I3145" t="s">
        <v>1120</v>
      </c>
      <c r="J3145" t="s">
        <v>1119</v>
      </c>
      <c r="K3145" t="s">
        <v>530</v>
      </c>
      <c r="N3145">
        <v>20</v>
      </c>
      <c r="O3145">
        <v>20</v>
      </c>
      <c r="P3145" t="str">
        <f t="shared" si="49"/>
        <v>N</v>
      </c>
      <c r="Q3145" t="s">
        <v>8875</v>
      </c>
    </row>
    <row r="3146" spans="1:17" x14ac:dyDescent="0.25">
      <c r="A3146" t="s">
        <v>5624</v>
      </c>
      <c r="B3146" t="s">
        <v>5437</v>
      </c>
      <c r="C3146">
        <v>2027</v>
      </c>
      <c r="D3146" t="s">
        <v>546</v>
      </c>
      <c r="E3146" t="s">
        <v>840</v>
      </c>
      <c r="F3146" s="32">
        <v>46458</v>
      </c>
      <c r="G3146" t="s">
        <v>514</v>
      </c>
      <c r="H3146">
        <v>47136340</v>
      </c>
      <c r="I3146" t="s">
        <v>1213</v>
      </c>
      <c r="J3146" t="s">
        <v>1212</v>
      </c>
      <c r="K3146" t="s">
        <v>530</v>
      </c>
      <c r="N3146">
        <v>0</v>
      </c>
      <c r="O3146">
        <v>0</v>
      </c>
      <c r="P3146" t="str">
        <f t="shared" si="49"/>
        <v>N</v>
      </c>
      <c r="Q3146" t="s">
        <v>8876</v>
      </c>
    </row>
    <row r="3147" spans="1:17" x14ac:dyDescent="0.25">
      <c r="A3147" t="s">
        <v>5625</v>
      </c>
      <c r="B3147" t="s">
        <v>5437</v>
      </c>
      <c r="C3147">
        <v>2027</v>
      </c>
      <c r="D3147" t="s">
        <v>546</v>
      </c>
      <c r="E3147" t="s">
        <v>840</v>
      </c>
      <c r="F3147" s="32">
        <v>46458</v>
      </c>
      <c r="G3147" t="s">
        <v>514</v>
      </c>
      <c r="H3147">
        <v>47128169</v>
      </c>
      <c r="I3147" t="s">
        <v>1205</v>
      </c>
      <c r="J3147" t="s">
        <v>1204</v>
      </c>
      <c r="K3147" t="s">
        <v>530</v>
      </c>
      <c r="N3147">
        <v>0</v>
      </c>
      <c r="O3147">
        <v>0</v>
      </c>
      <c r="P3147" t="str">
        <f t="shared" si="49"/>
        <v>N</v>
      </c>
      <c r="Q3147" t="s">
        <v>8877</v>
      </c>
    </row>
    <row r="3148" spans="1:17" x14ac:dyDescent="0.25">
      <c r="A3148" t="s">
        <v>5626</v>
      </c>
      <c r="B3148" t="s">
        <v>5437</v>
      </c>
      <c r="C3148">
        <v>2027</v>
      </c>
      <c r="D3148" t="s">
        <v>546</v>
      </c>
      <c r="E3148" t="s">
        <v>840</v>
      </c>
      <c r="F3148" s="32">
        <v>46458</v>
      </c>
      <c r="G3148" t="s">
        <v>514</v>
      </c>
      <c r="H3148">
        <v>47128022</v>
      </c>
      <c r="I3148" t="s">
        <v>1104</v>
      </c>
      <c r="J3148" t="s">
        <v>1103</v>
      </c>
      <c r="K3148" t="s">
        <v>530</v>
      </c>
      <c r="N3148">
        <v>0</v>
      </c>
      <c r="O3148">
        <v>0</v>
      </c>
      <c r="P3148" t="str">
        <f t="shared" si="49"/>
        <v>N</v>
      </c>
      <c r="Q3148" t="s">
        <v>8878</v>
      </c>
    </row>
    <row r="3149" spans="1:17" x14ac:dyDescent="0.25">
      <c r="A3149" t="s">
        <v>5627</v>
      </c>
      <c r="B3149" t="s">
        <v>5437</v>
      </c>
      <c r="C3149">
        <v>2027</v>
      </c>
      <c r="D3149" t="s">
        <v>546</v>
      </c>
      <c r="E3149" t="s">
        <v>840</v>
      </c>
      <c r="F3149" s="32">
        <v>46458</v>
      </c>
      <c r="G3149" t="s">
        <v>514</v>
      </c>
      <c r="H3149">
        <v>47127948</v>
      </c>
      <c r="I3149" t="s">
        <v>1247</v>
      </c>
      <c r="J3149" t="s">
        <v>1246</v>
      </c>
      <c r="K3149" t="s">
        <v>530</v>
      </c>
      <c r="N3149">
        <v>60</v>
      </c>
      <c r="O3149">
        <v>60</v>
      </c>
      <c r="P3149" t="str">
        <f t="shared" si="49"/>
        <v>N</v>
      </c>
      <c r="Q3149" t="s">
        <v>8879</v>
      </c>
    </row>
    <row r="3150" spans="1:17" x14ac:dyDescent="0.25">
      <c r="A3150" t="s">
        <v>5628</v>
      </c>
      <c r="B3150" t="s">
        <v>5437</v>
      </c>
      <c r="C3150">
        <v>2027</v>
      </c>
      <c r="D3150" t="s">
        <v>546</v>
      </c>
      <c r="E3150" t="s">
        <v>840</v>
      </c>
      <c r="F3150" s="32">
        <v>46458</v>
      </c>
      <c r="G3150" t="s">
        <v>514</v>
      </c>
      <c r="H3150">
        <v>47129473</v>
      </c>
      <c r="I3150" t="s">
        <v>1430</v>
      </c>
      <c r="J3150" t="s">
        <v>1429</v>
      </c>
      <c r="K3150" t="s">
        <v>530</v>
      </c>
      <c r="N3150">
        <v>40</v>
      </c>
      <c r="O3150">
        <v>40</v>
      </c>
      <c r="P3150" t="str">
        <f t="shared" si="49"/>
        <v>N</v>
      </c>
      <c r="Q3150" t="s">
        <v>8880</v>
      </c>
    </row>
    <row r="3151" spans="1:17" x14ac:dyDescent="0.25">
      <c r="A3151" t="s">
        <v>5629</v>
      </c>
      <c r="B3151" t="s">
        <v>5437</v>
      </c>
      <c r="C3151">
        <v>2027</v>
      </c>
      <c r="D3151" t="s">
        <v>546</v>
      </c>
      <c r="E3151" t="s">
        <v>840</v>
      </c>
      <c r="F3151" s="32">
        <v>46458</v>
      </c>
      <c r="G3151" t="s">
        <v>514</v>
      </c>
      <c r="H3151">
        <v>47133720</v>
      </c>
      <c r="I3151" t="s">
        <v>1217</v>
      </c>
      <c r="J3151" t="s">
        <v>1216</v>
      </c>
      <c r="K3151" t="s">
        <v>530</v>
      </c>
      <c r="N3151">
        <v>0</v>
      </c>
      <c r="O3151">
        <v>0</v>
      </c>
      <c r="P3151" t="str">
        <f t="shared" si="49"/>
        <v>N</v>
      </c>
      <c r="Q3151" t="s">
        <v>8881</v>
      </c>
    </row>
    <row r="3152" spans="1:17" x14ac:dyDescent="0.25">
      <c r="A3152" t="s">
        <v>5630</v>
      </c>
      <c r="B3152" t="s">
        <v>5437</v>
      </c>
      <c r="C3152">
        <v>2027</v>
      </c>
      <c r="D3152" t="s">
        <v>546</v>
      </c>
      <c r="E3152" t="s">
        <v>840</v>
      </c>
      <c r="F3152" s="32">
        <v>46458</v>
      </c>
      <c r="G3152" t="s">
        <v>514</v>
      </c>
      <c r="H3152">
        <v>47128429</v>
      </c>
      <c r="I3152" t="s">
        <v>1371</v>
      </c>
      <c r="J3152" t="s">
        <v>1370</v>
      </c>
      <c r="K3152" t="s">
        <v>530</v>
      </c>
      <c r="N3152">
        <v>0</v>
      </c>
      <c r="O3152">
        <v>0</v>
      </c>
      <c r="P3152" t="str">
        <f t="shared" si="49"/>
        <v>N</v>
      </c>
      <c r="Q3152" t="s">
        <v>8882</v>
      </c>
    </row>
    <row r="3153" spans="1:17" x14ac:dyDescent="0.25">
      <c r="A3153" t="s">
        <v>5631</v>
      </c>
      <c r="B3153" t="s">
        <v>5437</v>
      </c>
      <c r="C3153">
        <v>2027</v>
      </c>
      <c r="D3153" t="s">
        <v>546</v>
      </c>
      <c r="E3153" t="s">
        <v>840</v>
      </c>
      <c r="F3153" s="32">
        <v>46458</v>
      </c>
      <c r="G3153" t="s">
        <v>514</v>
      </c>
      <c r="H3153">
        <v>47128181</v>
      </c>
      <c r="I3153" t="s">
        <v>1301</v>
      </c>
      <c r="J3153" t="s">
        <v>1300</v>
      </c>
      <c r="K3153" t="s">
        <v>530</v>
      </c>
      <c r="N3153">
        <v>0</v>
      </c>
      <c r="O3153">
        <v>0</v>
      </c>
      <c r="P3153" t="str">
        <f t="shared" si="49"/>
        <v>N</v>
      </c>
      <c r="Q3153" t="s">
        <v>8883</v>
      </c>
    </row>
    <row r="3154" spans="1:17" x14ac:dyDescent="0.25">
      <c r="A3154" t="s">
        <v>1652</v>
      </c>
      <c r="B3154" t="s">
        <v>1520</v>
      </c>
      <c r="C3154">
        <v>2027</v>
      </c>
      <c r="D3154" t="s">
        <v>548</v>
      </c>
      <c r="E3154" t="s">
        <v>841</v>
      </c>
      <c r="F3154" s="32">
        <v>46465</v>
      </c>
      <c r="G3154" t="s">
        <v>514</v>
      </c>
      <c r="H3154">
        <v>47128204</v>
      </c>
      <c r="I3154" t="s">
        <v>1531</v>
      </c>
      <c r="J3154" t="s">
        <v>1532</v>
      </c>
      <c r="K3154" t="s">
        <v>530</v>
      </c>
      <c r="N3154">
        <v>0</v>
      </c>
      <c r="O3154">
        <v>0</v>
      </c>
      <c r="P3154" t="str">
        <f t="shared" si="49"/>
        <v>N</v>
      </c>
      <c r="Q3154" t="s">
        <v>8884</v>
      </c>
    </row>
    <row r="3155" spans="1:17" x14ac:dyDescent="0.25">
      <c r="A3155" t="s">
        <v>1653</v>
      </c>
      <c r="B3155" t="s">
        <v>1520</v>
      </c>
      <c r="C3155">
        <v>2027</v>
      </c>
      <c r="D3155" t="s">
        <v>548</v>
      </c>
      <c r="E3155" t="s">
        <v>841</v>
      </c>
      <c r="F3155" s="32">
        <v>46465</v>
      </c>
      <c r="G3155" t="s">
        <v>514</v>
      </c>
      <c r="H3155">
        <v>47128207</v>
      </c>
      <c r="I3155" t="s">
        <v>1522</v>
      </c>
      <c r="J3155" t="s">
        <v>1534</v>
      </c>
      <c r="K3155" t="s">
        <v>530</v>
      </c>
      <c r="N3155">
        <v>0</v>
      </c>
      <c r="O3155">
        <v>0</v>
      </c>
      <c r="P3155" t="str">
        <f t="shared" si="49"/>
        <v>N</v>
      </c>
      <c r="Q3155" t="s">
        <v>8885</v>
      </c>
    </row>
    <row r="3156" spans="1:17" x14ac:dyDescent="0.25">
      <c r="A3156" t="s">
        <v>1654</v>
      </c>
      <c r="B3156" t="s">
        <v>1520</v>
      </c>
      <c r="C3156">
        <v>2027</v>
      </c>
      <c r="D3156" t="s">
        <v>548</v>
      </c>
      <c r="E3156" t="s">
        <v>841</v>
      </c>
      <c r="F3156" s="32">
        <v>46465</v>
      </c>
      <c r="G3156" t="s">
        <v>514</v>
      </c>
      <c r="H3156">
        <v>47128581</v>
      </c>
      <c r="I3156" t="s">
        <v>1525</v>
      </c>
      <c r="J3156" t="s">
        <v>1526</v>
      </c>
      <c r="K3156" t="s">
        <v>530</v>
      </c>
      <c r="N3156">
        <v>60</v>
      </c>
      <c r="O3156">
        <v>60</v>
      </c>
      <c r="P3156" t="str">
        <f t="shared" si="49"/>
        <v>N</v>
      </c>
      <c r="Q3156" t="s">
        <v>8886</v>
      </c>
    </row>
    <row r="3157" spans="1:17" x14ac:dyDescent="0.25">
      <c r="A3157" t="s">
        <v>1655</v>
      </c>
      <c r="B3157" t="s">
        <v>1520</v>
      </c>
      <c r="C3157">
        <v>2027</v>
      </c>
      <c r="D3157" t="s">
        <v>548</v>
      </c>
      <c r="E3157" t="s">
        <v>841</v>
      </c>
      <c r="F3157" s="32">
        <v>46465</v>
      </c>
      <c r="G3157" t="s">
        <v>514</v>
      </c>
      <c r="H3157">
        <v>47127959</v>
      </c>
      <c r="I3157" t="s">
        <v>1528</v>
      </c>
      <c r="J3157" t="s">
        <v>1529</v>
      </c>
      <c r="K3157" t="s">
        <v>530</v>
      </c>
      <c r="N3157">
        <v>0</v>
      </c>
      <c r="O3157">
        <v>0</v>
      </c>
      <c r="P3157" t="str">
        <f t="shared" si="49"/>
        <v>N</v>
      </c>
      <c r="Q3157" t="s">
        <v>8887</v>
      </c>
    </row>
    <row r="3158" spans="1:17" x14ac:dyDescent="0.25">
      <c r="A3158" t="s">
        <v>1656</v>
      </c>
      <c r="B3158" t="s">
        <v>1520</v>
      </c>
      <c r="C3158">
        <v>2027</v>
      </c>
      <c r="D3158" t="s">
        <v>548</v>
      </c>
      <c r="E3158" t="s">
        <v>841</v>
      </c>
      <c r="F3158" s="32">
        <v>46465</v>
      </c>
      <c r="G3158" t="s">
        <v>563</v>
      </c>
      <c r="H3158">
        <v>10000015</v>
      </c>
      <c r="I3158" t="s">
        <v>562</v>
      </c>
      <c r="K3158" t="s">
        <v>530</v>
      </c>
      <c r="N3158">
        <v>0</v>
      </c>
      <c r="O3158">
        <v>0</v>
      </c>
      <c r="P3158" t="str">
        <f t="shared" si="49"/>
        <v>N</v>
      </c>
      <c r="Q3158" t="s">
        <v>8888</v>
      </c>
    </row>
    <row r="3159" spans="1:17" x14ac:dyDescent="0.25">
      <c r="A3159" t="s">
        <v>1657</v>
      </c>
      <c r="B3159" t="s">
        <v>1520</v>
      </c>
      <c r="C3159">
        <v>2027</v>
      </c>
      <c r="D3159" t="s">
        <v>548</v>
      </c>
      <c r="E3159" t="s">
        <v>841</v>
      </c>
      <c r="F3159" s="32">
        <v>46465</v>
      </c>
      <c r="G3159" t="s">
        <v>514</v>
      </c>
      <c r="H3159">
        <v>47127959</v>
      </c>
      <c r="I3159" t="s">
        <v>1528</v>
      </c>
      <c r="J3159" t="s">
        <v>1537</v>
      </c>
      <c r="K3159" t="s">
        <v>530</v>
      </c>
      <c r="N3159">
        <v>0</v>
      </c>
      <c r="O3159">
        <v>0</v>
      </c>
      <c r="P3159" t="str">
        <f t="shared" si="49"/>
        <v>N</v>
      </c>
      <c r="Q3159" t="s">
        <v>8889</v>
      </c>
    </row>
    <row r="3160" spans="1:17" x14ac:dyDescent="0.25">
      <c r="A3160" t="s">
        <v>1658</v>
      </c>
      <c r="B3160" t="s">
        <v>1520</v>
      </c>
      <c r="C3160">
        <v>2027</v>
      </c>
      <c r="D3160" t="s">
        <v>548</v>
      </c>
      <c r="E3160" t="s">
        <v>841</v>
      </c>
      <c r="F3160" s="32">
        <v>46465</v>
      </c>
      <c r="G3160" t="s">
        <v>514</v>
      </c>
      <c r="H3160">
        <v>47128581</v>
      </c>
      <c r="I3160" t="s">
        <v>1525</v>
      </c>
      <c r="J3160" t="s">
        <v>1539</v>
      </c>
      <c r="K3160" t="s">
        <v>530</v>
      </c>
      <c r="N3160">
        <v>0</v>
      </c>
      <c r="O3160">
        <v>0</v>
      </c>
      <c r="P3160" t="str">
        <f t="shared" si="49"/>
        <v>N</v>
      </c>
      <c r="Q3160" t="s">
        <v>8890</v>
      </c>
    </row>
    <row r="3161" spans="1:17" x14ac:dyDescent="0.25">
      <c r="A3161" t="s">
        <v>1659</v>
      </c>
      <c r="B3161" t="s">
        <v>1520</v>
      </c>
      <c r="C3161">
        <v>2027</v>
      </c>
      <c r="D3161" t="s">
        <v>548</v>
      </c>
      <c r="E3161" t="s">
        <v>841</v>
      </c>
      <c r="F3161" s="32">
        <v>46465</v>
      </c>
      <c r="G3161" t="s">
        <v>514</v>
      </c>
      <c r="H3161">
        <v>47128781</v>
      </c>
      <c r="I3161" t="s">
        <v>1251</v>
      </c>
      <c r="J3161" t="s">
        <v>1250</v>
      </c>
      <c r="K3161" t="s">
        <v>530</v>
      </c>
      <c r="N3161">
        <v>0</v>
      </c>
      <c r="O3161">
        <v>0</v>
      </c>
      <c r="P3161" t="str">
        <f t="shared" si="49"/>
        <v>N</v>
      </c>
      <c r="Q3161" t="s">
        <v>8891</v>
      </c>
    </row>
    <row r="3162" spans="1:17" x14ac:dyDescent="0.25">
      <c r="A3162" t="s">
        <v>2140</v>
      </c>
      <c r="B3162" t="s">
        <v>1135</v>
      </c>
      <c r="C3162">
        <v>2027</v>
      </c>
      <c r="D3162" t="s">
        <v>548</v>
      </c>
      <c r="E3162" t="s">
        <v>841</v>
      </c>
      <c r="F3162" s="32">
        <v>46465</v>
      </c>
      <c r="G3162" t="s">
        <v>514</v>
      </c>
      <c r="H3162">
        <v>47128168</v>
      </c>
      <c r="I3162" t="s">
        <v>1100</v>
      </c>
      <c r="J3162" t="s">
        <v>1099</v>
      </c>
      <c r="K3162" t="s">
        <v>530</v>
      </c>
      <c r="N3162">
        <v>0</v>
      </c>
      <c r="O3162">
        <v>0</v>
      </c>
      <c r="P3162" t="str">
        <f t="shared" si="49"/>
        <v>N</v>
      </c>
      <c r="Q3162" t="s">
        <v>8892</v>
      </c>
    </row>
    <row r="3163" spans="1:17" x14ac:dyDescent="0.25">
      <c r="A3163" t="s">
        <v>2141</v>
      </c>
      <c r="B3163" t="s">
        <v>1135</v>
      </c>
      <c r="C3163">
        <v>2027</v>
      </c>
      <c r="D3163" t="s">
        <v>548</v>
      </c>
      <c r="E3163" t="s">
        <v>841</v>
      </c>
      <c r="F3163" s="32">
        <v>46465</v>
      </c>
      <c r="G3163" t="s">
        <v>514</v>
      </c>
      <c r="H3163">
        <v>47128906</v>
      </c>
      <c r="I3163" t="s">
        <v>1349</v>
      </c>
      <c r="J3163" t="s">
        <v>1348</v>
      </c>
      <c r="K3163" t="s">
        <v>530</v>
      </c>
      <c r="N3163">
        <v>0</v>
      </c>
      <c r="O3163">
        <v>0</v>
      </c>
      <c r="P3163" t="str">
        <f t="shared" si="49"/>
        <v>N</v>
      </c>
      <c r="Q3163" t="s">
        <v>8893</v>
      </c>
    </row>
    <row r="3164" spans="1:17" x14ac:dyDescent="0.25">
      <c r="A3164" t="s">
        <v>2142</v>
      </c>
      <c r="B3164" t="s">
        <v>1135</v>
      </c>
      <c r="C3164">
        <v>2027</v>
      </c>
      <c r="D3164" t="s">
        <v>548</v>
      </c>
      <c r="E3164" t="s">
        <v>841</v>
      </c>
      <c r="F3164" s="32">
        <v>46465</v>
      </c>
      <c r="G3164" t="s">
        <v>514</v>
      </c>
      <c r="H3164">
        <v>47128783</v>
      </c>
      <c r="I3164" t="s">
        <v>1280</v>
      </c>
      <c r="J3164" t="s">
        <v>1279</v>
      </c>
      <c r="K3164" t="s">
        <v>530</v>
      </c>
      <c r="N3164">
        <v>0</v>
      </c>
      <c r="O3164">
        <v>0</v>
      </c>
      <c r="P3164" t="str">
        <f t="shared" si="49"/>
        <v>N</v>
      </c>
      <c r="Q3164" t="s">
        <v>8894</v>
      </c>
    </row>
    <row r="3165" spans="1:17" x14ac:dyDescent="0.25">
      <c r="A3165" t="s">
        <v>2143</v>
      </c>
      <c r="B3165" t="s">
        <v>1135</v>
      </c>
      <c r="C3165">
        <v>2027</v>
      </c>
      <c r="D3165" t="s">
        <v>548</v>
      </c>
      <c r="E3165" t="s">
        <v>841</v>
      </c>
      <c r="F3165" s="32">
        <v>46465</v>
      </c>
      <c r="G3165" t="s">
        <v>514</v>
      </c>
      <c r="H3165">
        <v>47128944</v>
      </c>
      <c r="I3165" t="s">
        <v>1137</v>
      </c>
      <c r="J3165" t="s">
        <v>1136</v>
      </c>
      <c r="K3165" t="s">
        <v>530</v>
      </c>
      <c r="N3165">
        <v>0</v>
      </c>
      <c r="O3165">
        <v>0</v>
      </c>
      <c r="P3165" t="str">
        <f t="shared" si="49"/>
        <v>N</v>
      </c>
      <c r="Q3165" t="s">
        <v>8895</v>
      </c>
    </row>
    <row r="3166" spans="1:17" x14ac:dyDescent="0.25">
      <c r="A3166" t="s">
        <v>2144</v>
      </c>
      <c r="B3166" t="s">
        <v>1135</v>
      </c>
      <c r="C3166">
        <v>2027</v>
      </c>
      <c r="D3166" t="s">
        <v>548</v>
      </c>
      <c r="E3166" t="s">
        <v>841</v>
      </c>
      <c r="F3166" s="32">
        <v>46465</v>
      </c>
      <c r="G3166" t="s">
        <v>514</v>
      </c>
      <c r="H3166">
        <v>47128729</v>
      </c>
      <c r="I3166" t="s">
        <v>1149</v>
      </c>
      <c r="J3166" t="s">
        <v>1148</v>
      </c>
      <c r="K3166" t="s">
        <v>530</v>
      </c>
      <c r="N3166">
        <v>0</v>
      </c>
      <c r="O3166">
        <v>0</v>
      </c>
      <c r="P3166" t="str">
        <f t="shared" si="49"/>
        <v>N</v>
      </c>
      <c r="Q3166" t="s">
        <v>8896</v>
      </c>
    </row>
    <row r="3167" spans="1:17" x14ac:dyDescent="0.25">
      <c r="A3167" t="s">
        <v>2145</v>
      </c>
      <c r="B3167" t="s">
        <v>1135</v>
      </c>
      <c r="C3167">
        <v>2027</v>
      </c>
      <c r="D3167" t="s">
        <v>548</v>
      </c>
      <c r="E3167" t="s">
        <v>841</v>
      </c>
      <c r="F3167" s="32">
        <v>46465</v>
      </c>
      <c r="G3167" t="s">
        <v>514</v>
      </c>
      <c r="H3167">
        <v>47128585</v>
      </c>
      <c r="I3167" t="s">
        <v>1141</v>
      </c>
      <c r="J3167" t="s">
        <v>1140</v>
      </c>
      <c r="K3167" t="s">
        <v>530</v>
      </c>
      <c r="N3167">
        <v>0</v>
      </c>
      <c r="O3167">
        <v>0</v>
      </c>
      <c r="P3167" t="str">
        <f t="shared" si="49"/>
        <v>N</v>
      </c>
      <c r="Q3167" t="s">
        <v>8897</v>
      </c>
    </row>
    <row r="3168" spans="1:17" x14ac:dyDescent="0.25">
      <c r="A3168" t="s">
        <v>2146</v>
      </c>
      <c r="B3168" t="s">
        <v>1135</v>
      </c>
      <c r="C3168">
        <v>2027</v>
      </c>
      <c r="D3168" t="s">
        <v>548</v>
      </c>
      <c r="E3168" t="s">
        <v>841</v>
      </c>
      <c r="F3168" s="32">
        <v>46465</v>
      </c>
      <c r="G3168" t="s">
        <v>514</v>
      </c>
      <c r="H3168">
        <v>47128680</v>
      </c>
      <c r="I3168" t="s">
        <v>1284</v>
      </c>
      <c r="J3168" t="s">
        <v>1283</v>
      </c>
      <c r="K3168" t="s">
        <v>530</v>
      </c>
      <c r="N3168">
        <v>0</v>
      </c>
      <c r="O3168">
        <v>0</v>
      </c>
      <c r="P3168" t="str">
        <f t="shared" si="49"/>
        <v>N</v>
      </c>
      <c r="Q3168" t="s">
        <v>8898</v>
      </c>
    </row>
    <row r="3169" spans="1:17" x14ac:dyDescent="0.25">
      <c r="A3169" t="s">
        <v>2147</v>
      </c>
      <c r="B3169" t="s">
        <v>1135</v>
      </c>
      <c r="C3169">
        <v>2027</v>
      </c>
      <c r="D3169" t="s">
        <v>548</v>
      </c>
      <c r="E3169" t="s">
        <v>841</v>
      </c>
      <c r="F3169" s="32">
        <v>46465</v>
      </c>
      <c r="G3169" t="s">
        <v>514</v>
      </c>
      <c r="H3169">
        <v>47128585</v>
      </c>
      <c r="I3169" t="s">
        <v>1141</v>
      </c>
      <c r="J3169" t="s">
        <v>1408</v>
      </c>
      <c r="K3169" t="s">
        <v>530</v>
      </c>
      <c r="N3169">
        <v>0</v>
      </c>
      <c r="O3169">
        <v>0</v>
      </c>
      <c r="P3169" t="str">
        <f t="shared" si="49"/>
        <v>N</v>
      </c>
      <c r="Q3169" t="s">
        <v>8899</v>
      </c>
    </row>
    <row r="3170" spans="1:17" x14ac:dyDescent="0.25">
      <c r="A3170" t="s">
        <v>2148</v>
      </c>
      <c r="B3170" t="s">
        <v>1135</v>
      </c>
      <c r="C3170">
        <v>2027</v>
      </c>
      <c r="D3170" t="s">
        <v>548</v>
      </c>
      <c r="E3170" t="s">
        <v>841</v>
      </c>
      <c r="F3170" s="32">
        <v>46465</v>
      </c>
      <c r="G3170" t="s">
        <v>514</v>
      </c>
      <c r="H3170">
        <v>47128039</v>
      </c>
      <c r="I3170" t="s">
        <v>1405</v>
      </c>
      <c r="J3170" t="s">
        <v>1404</v>
      </c>
      <c r="K3170" t="s">
        <v>530</v>
      </c>
      <c r="N3170">
        <v>0</v>
      </c>
      <c r="O3170">
        <v>0</v>
      </c>
      <c r="P3170" t="str">
        <f t="shared" si="49"/>
        <v>N</v>
      </c>
      <c r="Q3170" t="s">
        <v>8900</v>
      </c>
    </row>
    <row r="3171" spans="1:17" x14ac:dyDescent="0.25">
      <c r="A3171" t="s">
        <v>2149</v>
      </c>
      <c r="B3171" t="s">
        <v>1135</v>
      </c>
      <c r="C3171">
        <v>2027</v>
      </c>
      <c r="D3171" t="s">
        <v>548</v>
      </c>
      <c r="E3171" t="s">
        <v>841</v>
      </c>
      <c r="F3171" s="32">
        <v>46465</v>
      </c>
      <c r="G3171" t="s">
        <v>514</v>
      </c>
      <c r="H3171">
        <v>47128024</v>
      </c>
      <c r="I3171" t="s">
        <v>1108</v>
      </c>
      <c r="J3171" t="s">
        <v>1107</v>
      </c>
      <c r="K3171" t="s">
        <v>530</v>
      </c>
      <c r="N3171">
        <v>0</v>
      </c>
      <c r="O3171">
        <v>0</v>
      </c>
      <c r="P3171" t="str">
        <f t="shared" si="49"/>
        <v>N</v>
      </c>
      <c r="Q3171" t="s">
        <v>8901</v>
      </c>
    </row>
    <row r="3172" spans="1:17" x14ac:dyDescent="0.25">
      <c r="A3172" t="s">
        <v>2150</v>
      </c>
      <c r="B3172" t="s">
        <v>1135</v>
      </c>
      <c r="C3172">
        <v>2027</v>
      </c>
      <c r="D3172" t="s">
        <v>548</v>
      </c>
      <c r="E3172" t="s">
        <v>841</v>
      </c>
      <c r="F3172" s="32">
        <v>46465</v>
      </c>
      <c r="G3172" t="s">
        <v>514</v>
      </c>
      <c r="H3172">
        <v>47128430</v>
      </c>
      <c r="I3172" t="s">
        <v>1401</v>
      </c>
      <c r="J3172" t="s">
        <v>1400</v>
      </c>
      <c r="K3172" t="s">
        <v>530</v>
      </c>
      <c r="N3172">
        <v>0</v>
      </c>
      <c r="O3172">
        <v>0</v>
      </c>
      <c r="P3172" t="str">
        <f t="shared" si="49"/>
        <v>N</v>
      </c>
      <c r="Q3172" t="s">
        <v>8902</v>
      </c>
    </row>
    <row r="3173" spans="1:17" x14ac:dyDescent="0.25">
      <c r="A3173" t="s">
        <v>2151</v>
      </c>
      <c r="B3173" t="s">
        <v>1135</v>
      </c>
      <c r="C3173">
        <v>2027</v>
      </c>
      <c r="D3173" t="s">
        <v>548</v>
      </c>
      <c r="E3173" t="s">
        <v>841</v>
      </c>
      <c r="F3173" s="32">
        <v>46465</v>
      </c>
      <c r="G3173" t="s">
        <v>514</v>
      </c>
      <c r="H3173">
        <v>47128555</v>
      </c>
      <c r="I3173" t="s">
        <v>1209</v>
      </c>
      <c r="J3173" t="s">
        <v>1208</v>
      </c>
      <c r="K3173" t="s">
        <v>530</v>
      </c>
      <c r="N3173">
        <v>0</v>
      </c>
      <c r="O3173">
        <v>0</v>
      </c>
      <c r="P3173" t="str">
        <f t="shared" si="49"/>
        <v>N</v>
      </c>
      <c r="Q3173" t="s">
        <v>8903</v>
      </c>
    </row>
    <row r="3174" spans="1:17" x14ac:dyDescent="0.25">
      <c r="A3174" t="s">
        <v>2152</v>
      </c>
      <c r="B3174" t="s">
        <v>1135</v>
      </c>
      <c r="C3174">
        <v>2027</v>
      </c>
      <c r="D3174" t="s">
        <v>548</v>
      </c>
      <c r="E3174" t="s">
        <v>841</v>
      </c>
      <c r="F3174" s="32">
        <v>46465</v>
      </c>
      <c r="G3174" t="s">
        <v>514</v>
      </c>
      <c r="H3174">
        <v>47128522</v>
      </c>
      <c r="I3174" t="s">
        <v>1092</v>
      </c>
      <c r="J3174" t="s">
        <v>1091</v>
      </c>
      <c r="K3174" t="s">
        <v>530</v>
      </c>
      <c r="N3174">
        <v>0</v>
      </c>
      <c r="O3174">
        <v>0</v>
      </c>
      <c r="P3174" t="str">
        <f t="shared" si="49"/>
        <v>N</v>
      </c>
      <c r="Q3174" t="s">
        <v>8904</v>
      </c>
    </row>
    <row r="3175" spans="1:17" x14ac:dyDescent="0.25">
      <c r="A3175" t="s">
        <v>2153</v>
      </c>
      <c r="B3175" t="s">
        <v>1135</v>
      </c>
      <c r="C3175">
        <v>2027</v>
      </c>
      <c r="D3175" t="s">
        <v>548</v>
      </c>
      <c r="E3175" t="s">
        <v>841</v>
      </c>
      <c r="F3175" s="32">
        <v>46465</v>
      </c>
      <c r="G3175" t="s">
        <v>514</v>
      </c>
      <c r="H3175">
        <v>47147546</v>
      </c>
      <c r="I3175" t="s">
        <v>1077</v>
      </c>
      <c r="J3175" t="s">
        <v>1076</v>
      </c>
      <c r="K3175" t="s">
        <v>530</v>
      </c>
      <c r="N3175">
        <v>0</v>
      </c>
      <c r="O3175">
        <v>0</v>
      </c>
      <c r="P3175" t="str">
        <f t="shared" si="49"/>
        <v>N</v>
      </c>
      <c r="Q3175" t="s">
        <v>8905</v>
      </c>
    </row>
    <row r="3176" spans="1:17" x14ac:dyDescent="0.25">
      <c r="A3176" t="s">
        <v>2154</v>
      </c>
      <c r="B3176" t="s">
        <v>1135</v>
      </c>
      <c r="C3176">
        <v>2027</v>
      </c>
      <c r="D3176" t="s">
        <v>548</v>
      </c>
      <c r="E3176" t="s">
        <v>841</v>
      </c>
      <c r="F3176" s="32">
        <v>46465</v>
      </c>
      <c r="G3176" t="s">
        <v>514</v>
      </c>
      <c r="H3176">
        <v>47128597</v>
      </c>
      <c r="I3176" t="s">
        <v>1510</v>
      </c>
      <c r="J3176" t="s">
        <v>1509</v>
      </c>
      <c r="K3176" t="s">
        <v>530</v>
      </c>
      <c r="N3176">
        <v>0</v>
      </c>
      <c r="O3176">
        <v>0</v>
      </c>
      <c r="P3176" t="str">
        <f t="shared" si="49"/>
        <v>N</v>
      </c>
      <c r="Q3176" t="s">
        <v>8906</v>
      </c>
    </row>
    <row r="3177" spans="1:17" x14ac:dyDescent="0.25">
      <c r="A3177" t="s">
        <v>2155</v>
      </c>
      <c r="B3177" t="s">
        <v>1135</v>
      </c>
      <c r="C3177">
        <v>2027</v>
      </c>
      <c r="D3177" t="s">
        <v>548</v>
      </c>
      <c r="E3177" t="s">
        <v>841</v>
      </c>
      <c r="F3177" s="32">
        <v>46465</v>
      </c>
      <c r="G3177" t="s">
        <v>514</v>
      </c>
      <c r="H3177">
        <v>47128257</v>
      </c>
      <c r="I3177" t="s">
        <v>979</v>
      </c>
      <c r="J3177" t="s">
        <v>978</v>
      </c>
      <c r="K3177" t="s">
        <v>530</v>
      </c>
      <c r="N3177">
        <v>0</v>
      </c>
      <c r="O3177">
        <v>0</v>
      </c>
      <c r="P3177" t="str">
        <f t="shared" si="49"/>
        <v>N</v>
      </c>
      <c r="Q3177" t="s">
        <v>8907</v>
      </c>
    </row>
    <row r="3178" spans="1:17" x14ac:dyDescent="0.25">
      <c r="A3178" t="s">
        <v>2156</v>
      </c>
      <c r="B3178" t="s">
        <v>1135</v>
      </c>
      <c r="C3178">
        <v>2027</v>
      </c>
      <c r="D3178" t="s">
        <v>548</v>
      </c>
      <c r="E3178" t="s">
        <v>841</v>
      </c>
      <c r="F3178" s="32">
        <v>46465</v>
      </c>
      <c r="G3178" t="s">
        <v>514</v>
      </c>
      <c r="H3178">
        <v>47128880</v>
      </c>
      <c r="I3178" t="s">
        <v>1014</v>
      </c>
      <c r="J3178" t="s">
        <v>1013</v>
      </c>
      <c r="K3178" t="s">
        <v>530</v>
      </c>
      <c r="N3178">
        <v>0</v>
      </c>
      <c r="O3178">
        <v>0</v>
      </c>
      <c r="P3178" t="str">
        <f t="shared" si="49"/>
        <v>N</v>
      </c>
      <c r="Q3178" t="s">
        <v>8908</v>
      </c>
    </row>
    <row r="3179" spans="1:17" x14ac:dyDescent="0.25">
      <c r="A3179" t="s">
        <v>2157</v>
      </c>
      <c r="B3179" t="s">
        <v>1135</v>
      </c>
      <c r="C3179">
        <v>2027</v>
      </c>
      <c r="D3179" t="s">
        <v>548</v>
      </c>
      <c r="E3179" t="s">
        <v>841</v>
      </c>
      <c r="F3179" s="32">
        <v>46465</v>
      </c>
      <c r="G3179" t="s">
        <v>514</v>
      </c>
      <c r="H3179">
        <v>47128879</v>
      </c>
      <c r="I3179" t="s">
        <v>1132</v>
      </c>
      <c r="J3179" t="s">
        <v>1131</v>
      </c>
      <c r="K3179" t="s">
        <v>530</v>
      </c>
      <c r="N3179">
        <v>0</v>
      </c>
      <c r="O3179">
        <v>0</v>
      </c>
      <c r="P3179" t="str">
        <f t="shared" si="49"/>
        <v>N</v>
      </c>
      <c r="Q3179" t="s">
        <v>8909</v>
      </c>
    </row>
    <row r="3180" spans="1:17" x14ac:dyDescent="0.25">
      <c r="A3180" t="s">
        <v>2158</v>
      </c>
      <c r="B3180" t="s">
        <v>1135</v>
      </c>
      <c r="C3180">
        <v>2027</v>
      </c>
      <c r="D3180" t="s">
        <v>548</v>
      </c>
      <c r="E3180" t="s">
        <v>841</v>
      </c>
      <c r="F3180" s="32">
        <v>46465</v>
      </c>
      <c r="G3180" t="s">
        <v>514</v>
      </c>
      <c r="H3180">
        <v>47128413</v>
      </c>
      <c r="I3180" t="s">
        <v>1397</v>
      </c>
      <c r="J3180" t="s">
        <v>1396</v>
      </c>
      <c r="K3180" t="s">
        <v>530</v>
      </c>
      <c r="N3180">
        <v>0</v>
      </c>
      <c r="O3180">
        <v>0</v>
      </c>
      <c r="P3180" t="str">
        <f t="shared" si="49"/>
        <v>N</v>
      </c>
      <c r="Q3180" t="s">
        <v>8910</v>
      </c>
    </row>
    <row r="3181" spans="1:17" x14ac:dyDescent="0.25">
      <c r="A3181" t="s">
        <v>2159</v>
      </c>
      <c r="B3181" t="s">
        <v>1135</v>
      </c>
      <c r="C3181">
        <v>2027</v>
      </c>
      <c r="D3181" t="s">
        <v>548</v>
      </c>
      <c r="E3181" t="s">
        <v>841</v>
      </c>
      <c r="F3181" s="32">
        <v>46465</v>
      </c>
      <c r="G3181" t="s">
        <v>514</v>
      </c>
      <c r="H3181">
        <v>47146464</v>
      </c>
      <c r="I3181" t="s">
        <v>1438</v>
      </c>
      <c r="J3181" t="s">
        <v>1437</v>
      </c>
      <c r="K3181" t="s">
        <v>530</v>
      </c>
      <c r="N3181">
        <v>0</v>
      </c>
      <c r="O3181">
        <v>0</v>
      </c>
      <c r="P3181" t="str">
        <f t="shared" si="49"/>
        <v>N</v>
      </c>
      <c r="Q3181" t="s">
        <v>8911</v>
      </c>
    </row>
    <row r="3182" spans="1:17" x14ac:dyDescent="0.25">
      <c r="A3182" t="s">
        <v>2160</v>
      </c>
      <c r="B3182" t="s">
        <v>1135</v>
      </c>
      <c r="C3182">
        <v>2027</v>
      </c>
      <c r="D3182" t="s">
        <v>548</v>
      </c>
      <c r="E3182" t="s">
        <v>841</v>
      </c>
      <c r="F3182" s="32">
        <v>46465</v>
      </c>
      <c r="G3182" t="s">
        <v>514</v>
      </c>
      <c r="H3182">
        <v>47147546</v>
      </c>
      <c r="I3182" t="s">
        <v>1077</v>
      </c>
      <c r="J3182" t="s">
        <v>1381</v>
      </c>
      <c r="K3182" t="s">
        <v>530</v>
      </c>
      <c r="N3182">
        <v>0</v>
      </c>
      <c r="O3182">
        <v>0</v>
      </c>
      <c r="P3182" t="str">
        <f t="shared" si="49"/>
        <v>N</v>
      </c>
      <c r="Q3182" t="s">
        <v>8912</v>
      </c>
    </row>
    <row r="3183" spans="1:17" x14ac:dyDescent="0.25">
      <c r="A3183" t="s">
        <v>2161</v>
      </c>
      <c r="B3183" t="s">
        <v>1135</v>
      </c>
      <c r="C3183">
        <v>2027</v>
      </c>
      <c r="D3183" t="s">
        <v>548</v>
      </c>
      <c r="E3183" t="s">
        <v>841</v>
      </c>
      <c r="F3183" s="32">
        <v>46465</v>
      </c>
      <c r="G3183" t="s">
        <v>514</v>
      </c>
      <c r="H3183">
        <v>47128800</v>
      </c>
      <c r="I3183" t="s">
        <v>1145</v>
      </c>
      <c r="J3183" t="s">
        <v>1144</v>
      </c>
      <c r="K3183" t="s">
        <v>530</v>
      </c>
      <c r="N3183">
        <v>0</v>
      </c>
      <c r="O3183">
        <v>0</v>
      </c>
      <c r="P3183" t="str">
        <f t="shared" si="49"/>
        <v>N</v>
      </c>
      <c r="Q3183" t="s">
        <v>8913</v>
      </c>
    </row>
    <row r="3184" spans="1:17" x14ac:dyDescent="0.25">
      <c r="A3184" t="s">
        <v>2162</v>
      </c>
      <c r="B3184" t="s">
        <v>1135</v>
      </c>
      <c r="C3184">
        <v>2027</v>
      </c>
      <c r="D3184" t="s">
        <v>548</v>
      </c>
      <c r="E3184" t="s">
        <v>841</v>
      </c>
      <c r="F3184" s="32">
        <v>46465</v>
      </c>
      <c r="G3184" t="s">
        <v>514</v>
      </c>
      <c r="H3184">
        <v>47128109</v>
      </c>
      <c r="I3184" t="s">
        <v>1336</v>
      </c>
      <c r="J3184" t="s">
        <v>1335</v>
      </c>
      <c r="K3184" t="s">
        <v>530</v>
      </c>
      <c r="N3184">
        <v>0</v>
      </c>
      <c r="O3184">
        <v>0</v>
      </c>
      <c r="P3184" t="str">
        <f t="shared" si="49"/>
        <v>N</v>
      </c>
      <c r="Q3184" t="s">
        <v>8914</v>
      </c>
    </row>
    <row r="3185" spans="1:17" x14ac:dyDescent="0.25">
      <c r="A3185" t="s">
        <v>2163</v>
      </c>
      <c r="B3185" t="s">
        <v>1135</v>
      </c>
      <c r="C3185">
        <v>2027</v>
      </c>
      <c r="D3185" t="s">
        <v>548</v>
      </c>
      <c r="E3185" t="s">
        <v>841</v>
      </c>
      <c r="F3185" s="32">
        <v>46465</v>
      </c>
      <c r="G3185" t="s">
        <v>514</v>
      </c>
      <c r="H3185">
        <v>47128346</v>
      </c>
      <c r="I3185" t="s">
        <v>1157</v>
      </c>
      <c r="J3185" t="s">
        <v>1156</v>
      </c>
      <c r="K3185" t="s">
        <v>530</v>
      </c>
      <c r="N3185">
        <v>0</v>
      </c>
      <c r="O3185">
        <v>0</v>
      </c>
      <c r="P3185" t="str">
        <f t="shared" si="49"/>
        <v>N</v>
      </c>
      <c r="Q3185" t="s">
        <v>8915</v>
      </c>
    </row>
    <row r="3186" spans="1:17" x14ac:dyDescent="0.25">
      <c r="A3186" t="s">
        <v>2164</v>
      </c>
      <c r="B3186" t="s">
        <v>1135</v>
      </c>
      <c r="C3186">
        <v>2027</v>
      </c>
      <c r="D3186" t="s">
        <v>548</v>
      </c>
      <c r="E3186" t="s">
        <v>841</v>
      </c>
      <c r="F3186" s="32">
        <v>46465</v>
      </c>
      <c r="G3186" t="s">
        <v>514</v>
      </c>
      <c r="H3186">
        <v>47128518</v>
      </c>
      <c r="I3186" t="s">
        <v>1232</v>
      </c>
      <c r="J3186" t="s">
        <v>1231</v>
      </c>
      <c r="K3186" t="s">
        <v>530</v>
      </c>
      <c r="N3186">
        <v>0</v>
      </c>
      <c r="O3186">
        <v>0</v>
      </c>
      <c r="P3186" t="str">
        <f t="shared" si="49"/>
        <v>N</v>
      </c>
      <c r="Q3186" t="s">
        <v>8916</v>
      </c>
    </row>
    <row r="3187" spans="1:17" x14ac:dyDescent="0.25">
      <c r="A3187" t="s">
        <v>2165</v>
      </c>
      <c r="B3187" t="s">
        <v>1135</v>
      </c>
      <c r="C3187">
        <v>2027</v>
      </c>
      <c r="D3187" t="s">
        <v>548</v>
      </c>
      <c r="E3187" t="s">
        <v>841</v>
      </c>
      <c r="F3187" s="32">
        <v>46465</v>
      </c>
      <c r="G3187" t="s">
        <v>514</v>
      </c>
      <c r="H3187">
        <v>47128418</v>
      </c>
      <c r="I3187" t="s">
        <v>1082</v>
      </c>
      <c r="J3187" t="s">
        <v>1081</v>
      </c>
      <c r="K3187" t="s">
        <v>530</v>
      </c>
      <c r="N3187">
        <v>0</v>
      </c>
      <c r="O3187">
        <v>0</v>
      </c>
      <c r="P3187" t="str">
        <f t="shared" si="49"/>
        <v>N</v>
      </c>
      <c r="Q3187" t="s">
        <v>8917</v>
      </c>
    </row>
    <row r="3188" spans="1:17" x14ac:dyDescent="0.25">
      <c r="A3188" t="s">
        <v>2166</v>
      </c>
      <c r="B3188" t="s">
        <v>1135</v>
      </c>
      <c r="C3188">
        <v>2027</v>
      </c>
      <c r="D3188" t="s">
        <v>548</v>
      </c>
      <c r="E3188" t="s">
        <v>841</v>
      </c>
      <c r="F3188" s="32">
        <v>46465</v>
      </c>
      <c r="G3188" t="s">
        <v>514</v>
      </c>
      <c r="H3188">
        <v>47128968</v>
      </c>
      <c r="I3188" t="s">
        <v>947</v>
      </c>
      <c r="J3188" t="s">
        <v>946</v>
      </c>
      <c r="K3188" t="s">
        <v>530</v>
      </c>
      <c r="N3188">
        <v>0</v>
      </c>
      <c r="O3188">
        <v>0</v>
      </c>
      <c r="P3188" t="str">
        <f t="shared" si="49"/>
        <v>N</v>
      </c>
      <c r="Q3188" t="s">
        <v>8918</v>
      </c>
    </row>
    <row r="3189" spans="1:17" x14ac:dyDescent="0.25">
      <c r="A3189" t="s">
        <v>2167</v>
      </c>
      <c r="B3189" t="s">
        <v>1135</v>
      </c>
      <c r="C3189">
        <v>2027</v>
      </c>
      <c r="D3189" t="s">
        <v>548</v>
      </c>
      <c r="E3189" t="s">
        <v>841</v>
      </c>
      <c r="F3189" s="32">
        <v>46465</v>
      </c>
      <c r="G3189" t="s">
        <v>514</v>
      </c>
      <c r="H3189">
        <v>47147658</v>
      </c>
      <c r="I3189" t="s">
        <v>1276</v>
      </c>
      <c r="J3189" t="s">
        <v>1275</v>
      </c>
      <c r="K3189" t="s">
        <v>530</v>
      </c>
      <c r="N3189">
        <v>0</v>
      </c>
      <c r="O3189">
        <v>0</v>
      </c>
      <c r="P3189" t="str">
        <f t="shared" si="49"/>
        <v>N</v>
      </c>
      <c r="Q3189" t="s">
        <v>8919</v>
      </c>
    </row>
    <row r="3190" spans="1:17" x14ac:dyDescent="0.25">
      <c r="A3190" t="s">
        <v>2168</v>
      </c>
      <c r="B3190" t="s">
        <v>1135</v>
      </c>
      <c r="C3190">
        <v>2027</v>
      </c>
      <c r="D3190" t="s">
        <v>548</v>
      </c>
      <c r="E3190" t="s">
        <v>841</v>
      </c>
      <c r="F3190" s="32">
        <v>46465</v>
      </c>
      <c r="G3190" t="s">
        <v>514</v>
      </c>
      <c r="H3190">
        <v>47128781</v>
      </c>
      <c r="I3190" t="s">
        <v>1251</v>
      </c>
      <c r="J3190" t="s">
        <v>1250</v>
      </c>
      <c r="K3190" t="s">
        <v>530</v>
      </c>
      <c r="N3190">
        <v>0</v>
      </c>
      <c r="O3190">
        <v>0</v>
      </c>
      <c r="P3190" t="str">
        <f t="shared" si="49"/>
        <v>N</v>
      </c>
      <c r="Q3190" t="s">
        <v>8920</v>
      </c>
    </row>
    <row r="3191" spans="1:17" x14ac:dyDescent="0.25">
      <c r="A3191" t="s">
        <v>2719</v>
      </c>
      <c r="B3191" t="s">
        <v>2444</v>
      </c>
      <c r="C3191">
        <v>2027</v>
      </c>
      <c r="D3191" t="s">
        <v>548</v>
      </c>
      <c r="E3191" t="s">
        <v>841</v>
      </c>
      <c r="F3191" s="32">
        <v>46465</v>
      </c>
      <c r="G3191" t="s">
        <v>514</v>
      </c>
      <c r="H3191">
        <v>47128006</v>
      </c>
      <c r="I3191" t="s">
        <v>2447</v>
      </c>
      <c r="J3191" t="s">
        <v>2448</v>
      </c>
      <c r="K3191" t="s">
        <v>530</v>
      </c>
      <c r="N3191">
        <v>0</v>
      </c>
      <c r="O3191">
        <v>0</v>
      </c>
      <c r="P3191" t="str">
        <f t="shared" si="49"/>
        <v>N</v>
      </c>
      <c r="Q3191" t="s">
        <v>8921</v>
      </c>
    </row>
    <row r="3192" spans="1:17" x14ac:dyDescent="0.25">
      <c r="A3192" t="s">
        <v>2720</v>
      </c>
      <c r="B3192" t="s">
        <v>2444</v>
      </c>
      <c r="C3192">
        <v>2027</v>
      </c>
      <c r="D3192" t="s">
        <v>548</v>
      </c>
      <c r="E3192" t="s">
        <v>841</v>
      </c>
      <c r="F3192" s="32">
        <v>46465</v>
      </c>
      <c r="G3192" t="s">
        <v>514</v>
      </c>
      <c r="H3192">
        <v>47128300</v>
      </c>
      <c r="I3192" t="s">
        <v>2471</v>
      </c>
      <c r="J3192" t="s">
        <v>2472</v>
      </c>
      <c r="K3192" t="s">
        <v>530</v>
      </c>
      <c r="N3192">
        <v>0</v>
      </c>
      <c r="O3192">
        <v>0</v>
      </c>
      <c r="P3192" t="str">
        <f t="shared" si="49"/>
        <v>N</v>
      </c>
      <c r="Q3192" t="s">
        <v>8922</v>
      </c>
    </row>
    <row r="3193" spans="1:17" x14ac:dyDescent="0.25">
      <c r="A3193" t="s">
        <v>2721</v>
      </c>
      <c r="B3193" t="s">
        <v>2444</v>
      </c>
      <c r="C3193">
        <v>2027</v>
      </c>
      <c r="D3193" t="s">
        <v>548</v>
      </c>
      <c r="E3193" t="s">
        <v>841</v>
      </c>
      <c r="F3193" s="32">
        <v>46465</v>
      </c>
      <c r="G3193" t="s">
        <v>514</v>
      </c>
      <c r="H3193">
        <v>47128213</v>
      </c>
      <c r="I3193" t="s">
        <v>2456</v>
      </c>
      <c r="J3193" t="s">
        <v>2457</v>
      </c>
      <c r="K3193" t="s">
        <v>530</v>
      </c>
      <c r="N3193">
        <v>0</v>
      </c>
      <c r="O3193">
        <v>0</v>
      </c>
      <c r="P3193" t="str">
        <f t="shared" si="49"/>
        <v>N</v>
      </c>
      <c r="Q3193" t="s">
        <v>8923</v>
      </c>
    </row>
    <row r="3194" spans="1:17" x14ac:dyDescent="0.25">
      <c r="A3194" t="s">
        <v>2722</v>
      </c>
      <c r="B3194" t="s">
        <v>2444</v>
      </c>
      <c r="C3194">
        <v>2027</v>
      </c>
      <c r="D3194" t="s">
        <v>548</v>
      </c>
      <c r="E3194" t="s">
        <v>841</v>
      </c>
      <c r="F3194" s="32">
        <v>46465</v>
      </c>
      <c r="G3194" t="s">
        <v>514</v>
      </c>
      <c r="H3194">
        <v>47128667</v>
      </c>
      <c r="I3194" t="s">
        <v>2450</v>
      </c>
      <c r="J3194" t="s">
        <v>2451</v>
      </c>
      <c r="K3194" t="s">
        <v>530</v>
      </c>
      <c r="N3194">
        <v>0</v>
      </c>
      <c r="O3194">
        <v>0</v>
      </c>
      <c r="P3194" t="str">
        <f t="shared" si="49"/>
        <v>N</v>
      </c>
      <c r="Q3194" t="s">
        <v>8924</v>
      </c>
    </row>
    <row r="3195" spans="1:17" x14ac:dyDescent="0.25">
      <c r="A3195" t="s">
        <v>2723</v>
      </c>
      <c r="B3195" t="s">
        <v>2444</v>
      </c>
      <c r="C3195">
        <v>2027</v>
      </c>
      <c r="D3195" t="s">
        <v>548</v>
      </c>
      <c r="E3195" t="s">
        <v>841</v>
      </c>
      <c r="F3195" s="32">
        <v>46465</v>
      </c>
      <c r="G3195" t="s">
        <v>514</v>
      </c>
      <c r="H3195">
        <v>47128179</v>
      </c>
      <c r="I3195" t="s">
        <v>2477</v>
      </c>
      <c r="J3195" t="s">
        <v>2478</v>
      </c>
      <c r="K3195" t="s">
        <v>530</v>
      </c>
      <c r="N3195">
        <v>0</v>
      </c>
      <c r="O3195">
        <v>0</v>
      </c>
      <c r="P3195" t="str">
        <f t="shared" si="49"/>
        <v>N</v>
      </c>
      <c r="Q3195" t="s">
        <v>8925</v>
      </c>
    </row>
    <row r="3196" spans="1:17" x14ac:dyDescent="0.25">
      <c r="A3196" t="s">
        <v>2724</v>
      </c>
      <c r="B3196" t="s">
        <v>2444</v>
      </c>
      <c r="C3196">
        <v>2027</v>
      </c>
      <c r="D3196" t="s">
        <v>548</v>
      </c>
      <c r="E3196" t="s">
        <v>841</v>
      </c>
      <c r="F3196" s="32">
        <v>46465</v>
      </c>
      <c r="G3196" t="s">
        <v>514</v>
      </c>
      <c r="H3196">
        <v>47128655</v>
      </c>
      <c r="I3196" t="s">
        <v>2474</v>
      </c>
      <c r="J3196" t="s">
        <v>2475</v>
      </c>
      <c r="K3196" t="s">
        <v>530</v>
      </c>
      <c r="N3196">
        <v>0</v>
      </c>
      <c r="O3196">
        <v>0</v>
      </c>
      <c r="P3196" t="str">
        <f t="shared" si="49"/>
        <v>N</v>
      </c>
      <c r="Q3196" t="s">
        <v>8926</v>
      </c>
    </row>
    <row r="3197" spans="1:17" x14ac:dyDescent="0.25">
      <c r="A3197" t="s">
        <v>2725</v>
      </c>
      <c r="B3197" t="s">
        <v>2444</v>
      </c>
      <c r="C3197">
        <v>2027</v>
      </c>
      <c r="D3197" t="s">
        <v>548</v>
      </c>
      <c r="E3197" t="s">
        <v>841</v>
      </c>
      <c r="F3197" s="32">
        <v>46465</v>
      </c>
      <c r="G3197" t="s">
        <v>514</v>
      </c>
      <c r="H3197">
        <v>47129222</v>
      </c>
      <c r="I3197" t="s">
        <v>2459</v>
      </c>
      <c r="J3197" t="s">
        <v>2460</v>
      </c>
      <c r="K3197" t="s">
        <v>530</v>
      </c>
      <c r="N3197">
        <v>0</v>
      </c>
      <c r="O3197">
        <v>0</v>
      </c>
      <c r="P3197" t="str">
        <f t="shared" si="49"/>
        <v>N</v>
      </c>
      <c r="Q3197" t="s">
        <v>8927</v>
      </c>
    </row>
    <row r="3198" spans="1:17" x14ac:dyDescent="0.25">
      <c r="A3198" t="s">
        <v>2726</v>
      </c>
      <c r="B3198" t="s">
        <v>2444</v>
      </c>
      <c r="C3198">
        <v>2027</v>
      </c>
      <c r="D3198" t="s">
        <v>548</v>
      </c>
      <c r="E3198" t="s">
        <v>841</v>
      </c>
      <c r="F3198" s="32">
        <v>46465</v>
      </c>
      <c r="G3198" t="s">
        <v>514</v>
      </c>
      <c r="H3198">
        <v>47132096</v>
      </c>
      <c r="I3198" t="s">
        <v>2468</v>
      </c>
      <c r="J3198" t="s">
        <v>2469</v>
      </c>
      <c r="K3198" t="s">
        <v>530</v>
      </c>
      <c r="N3198">
        <v>0</v>
      </c>
      <c r="O3198">
        <v>0</v>
      </c>
      <c r="P3198" t="str">
        <f t="shared" si="49"/>
        <v>N</v>
      </c>
      <c r="Q3198" t="s">
        <v>8928</v>
      </c>
    </row>
    <row r="3199" spans="1:17" x14ac:dyDescent="0.25">
      <c r="A3199" t="s">
        <v>2727</v>
      </c>
      <c r="B3199" t="s">
        <v>2444</v>
      </c>
      <c r="C3199">
        <v>2027</v>
      </c>
      <c r="D3199" t="s">
        <v>548</v>
      </c>
      <c r="E3199" t="s">
        <v>841</v>
      </c>
      <c r="F3199" s="32">
        <v>46465</v>
      </c>
      <c r="G3199" t="s">
        <v>514</v>
      </c>
      <c r="H3199">
        <v>47128561</v>
      </c>
      <c r="I3199" t="s">
        <v>2462</v>
      </c>
      <c r="J3199" t="s">
        <v>2463</v>
      </c>
      <c r="K3199" t="s">
        <v>530</v>
      </c>
      <c r="N3199">
        <v>0</v>
      </c>
      <c r="O3199">
        <v>0</v>
      </c>
      <c r="P3199" t="str">
        <f t="shared" si="49"/>
        <v>N</v>
      </c>
      <c r="Q3199" t="s">
        <v>8929</v>
      </c>
    </row>
    <row r="3200" spans="1:17" x14ac:dyDescent="0.25">
      <c r="A3200" t="s">
        <v>2728</v>
      </c>
      <c r="B3200" t="s">
        <v>2444</v>
      </c>
      <c r="C3200">
        <v>2027</v>
      </c>
      <c r="D3200" t="s">
        <v>548</v>
      </c>
      <c r="E3200" t="s">
        <v>841</v>
      </c>
      <c r="F3200" s="32">
        <v>46465</v>
      </c>
      <c r="G3200" t="s">
        <v>514</v>
      </c>
      <c r="H3200">
        <v>47129274</v>
      </c>
      <c r="I3200" t="s">
        <v>2486</v>
      </c>
      <c r="J3200" t="s">
        <v>2487</v>
      </c>
      <c r="K3200" t="s">
        <v>530</v>
      </c>
      <c r="N3200">
        <v>0</v>
      </c>
      <c r="O3200">
        <v>0</v>
      </c>
      <c r="P3200" t="str">
        <f t="shared" si="49"/>
        <v>N</v>
      </c>
      <c r="Q3200" t="s">
        <v>8930</v>
      </c>
    </row>
    <row r="3201" spans="1:17" x14ac:dyDescent="0.25">
      <c r="A3201" t="s">
        <v>2729</v>
      </c>
      <c r="B3201" t="s">
        <v>2444</v>
      </c>
      <c r="C3201">
        <v>2027</v>
      </c>
      <c r="D3201" t="s">
        <v>548</v>
      </c>
      <c r="E3201" t="s">
        <v>841</v>
      </c>
      <c r="F3201" s="32">
        <v>46465</v>
      </c>
      <c r="G3201" t="s">
        <v>514</v>
      </c>
      <c r="H3201">
        <v>47129262</v>
      </c>
      <c r="I3201" t="s">
        <v>2453</v>
      </c>
      <c r="J3201" t="s">
        <v>2454</v>
      </c>
      <c r="K3201" t="s">
        <v>530</v>
      </c>
      <c r="N3201">
        <v>60</v>
      </c>
      <c r="O3201">
        <v>60</v>
      </c>
      <c r="P3201" t="str">
        <f t="shared" si="49"/>
        <v>N</v>
      </c>
      <c r="Q3201" t="s">
        <v>8931</v>
      </c>
    </row>
    <row r="3202" spans="1:17" x14ac:dyDescent="0.25">
      <c r="A3202" t="s">
        <v>2730</v>
      </c>
      <c r="B3202" t="s">
        <v>2444</v>
      </c>
      <c r="C3202">
        <v>2027</v>
      </c>
      <c r="D3202" t="s">
        <v>548</v>
      </c>
      <c r="E3202" t="s">
        <v>841</v>
      </c>
      <c r="F3202" s="32">
        <v>46465</v>
      </c>
      <c r="G3202" t="s">
        <v>514</v>
      </c>
      <c r="H3202">
        <v>47129558</v>
      </c>
      <c r="I3202" t="s">
        <v>2480</v>
      </c>
      <c r="J3202" t="s">
        <v>2481</v>
      </c>
      <c r="K3202" t="s">
        <v>530</v>
      </c>
      <c r="N3202">
        <v>0</v>
      </c>
      <c r="O3202">
        <v>0</v>
      </c>
      <c r="P3202" t="str">
        <f t="shared" si="49"/>
        <v>N</v>
      </c>
      <c r="Q3202" t="s">
        <v>8932</v>
      </c>
    </row>
    <row r="3203" spans="1:17" x14ac:dyDescent="0.25">
      <c r="A3203" t="s">
        <v>2731</v>
      </c>
      <c r="B3203" t="s">
        <v>2444</v>
      </c>
      <c r="C3203">
        <v>2027</v>
      </c>
      <c r="D3203" t="s">
        <v>548</v>
      </c>
      <c r="E3203" t="s">
        <v>841</v>
      </c>
      <c r="F3203" s="32">
        <v>46465</v>
      </c>
      <c r="G3203" t="s">
        <v>514</v>
      </c>
      <c r="H3203">
        <v>47129727</v>
      </c>
      <c r="I3203" t="s">
        <v>2465</v>
      </c>
      <c r="J3203" t="s">
        <v>2466</v>
      </c>
      <c r="K3203" t="s">
        <v>530</v>
      </c>
      <c r="N3203">
        <v>8</v>
      </c>
      <c r="O3203">
        <v>8</v>
      </c>
      <c r="P3203" t="str">
        <f t="shared" ref="P3203:P3266" si="50">IF(N3203=O3203,"N","Y")</f>
        <v>N</v>
      </c>
      <c r="Q3203" t="s">
        <v>8933</v>
      </c>
    </row>
    <row r="3204" spans="1:17" x14ac:dyDescent="0.25">
      <c r="A3204" t="s">
        <v>2732</v>
      </c>
      <c r="B3204" t="s">
        <v>2444</v>
      </c>
      <c r="C3204">
        <v>2027</v>
      </c>
      <c r="D3204" t="s">
        <v>548</v>
      </c>
      <c r="E3204" t="s">
        <v>841</v>
      </c>
      <c r="F3204" s="32">
        <v>46465</v>
      </c>
      <c r="G3204" t="s">
        <v>514</v>
      </c>
      <c r="H3204">
        <v>47129273</v>
      </c>
      <c r="I3204" t="s">
        <v>2483</v>
      </c>
      <c r="J3204" t="s">
        <v>2484</v>
      </c>
      <c r="K3204" t="s">
        <v>530</v>
      </c>
      <c r="N3204">
        <v>0</v>
      </c>
      <c r="O3204">
        <v>0</v>
      </c>
      <c r="P3204" t="str">
        <f t="shared" si="50"/>
        <v>N</v>
      </c>
      <c r="Q3204" t="s">
        <v>8934</v>
      </c>
    </row>
    <row r="3205" spans="1:17" x14ac:dyDescent="0.25">
      <c r="A3205" t="s">
        <v>2733</v>
      </c>
      <c r="B3205" t="s">
        <v>2444</v>
      </c>
      <c r="C3205">
        <v>2027</v>
      </c>
      <c r="D3205" t="s">
        <v>548</v>
      </c>
      <c r="E3205" t="s">
        <v>841</v>
      </c>
      <c r="F3205" s="32">
        <v>46465</v>
      </c>
      <c r="G3205" t="s">
        <v>514</v>
      </c>
      <c r="H3205">
        <v>47128247</v>
      </c>
      <c r="I3205" t="s">
        <v>2492</v>
      </c>
      <c r="J3205" t="s">
        <v>2493</v>
      </c>
      <c r="K3205" t="s">
        <v>530</v>
      </c>
      <c r="N3205">
        <v>0</v>
      </c>
      <c r="O3205">
        <v>0</v>
      </c>
      <c r="P3205" t="str">
        <f t="shared" si="50"/>
        <v>N</v>
      </c>
      <c r="Q3205" t="s">
        <v>8935</v>
      </c>
    </row>
    <row r="3206" spans="1:17" x14ac:dyDescent="0.25">
      <c r="A3206" t="s">
        <v>2734</v>
      </c>
      <c r="B3206" t="s">
        <v>2444</v>
      </c>
      <c r="C3206">
        <v>2027</v>
      </c>
      <c r="D3206" t="s">
        <v>548</v>
      </c>
      <c r="E3206" t="s">
        <v>841</v>
      </c>
      <c r="F3206" s="32">
        <v>46465</v>
      </c>
      <c r="G3206" t="s">
        <v>514</v>
      </c>
      <c r="H3206">
        <v>47128587</v>
      </c>
      <c r="I3206" t="s">
        <v>2489</v>
      </c>
      <c r="J3206" t="s">
        <v>2490</v>
      </c>
      <c r="K3206" t="s">
        <v>530</v>
      </c>
      <c r="N3206">
        <v>0</v>
      </c>
      <c r="O3206">
        <v>0</v>
      </c>
      <c r="P3206" t="str">
        <f t="shared" si="50"/>
        <v>N</v>
      </c>
      <c r="Q3206" t="s">
        <v>8936</v>
      </c>
    </row>
    <row r="3207" spans="1:17" x14ac:dyDescent="0.25">
      <c r="A3207" t="s">
        <v>2735</v>
      </c>
      <c r="B3207" t="s">
        <v>2444</v>
      </c>
      <c r="C3207">
        <v>2027</v>
      </c>
      <c r="D3207" t="s">
        <v>548</v>
      </c>
      <c r="E3207" t="s">
        <v>841</v>
      </c>
      <c r="F3207" s="32">
        <v>46465</v>
      </c>
      <c r="G3207" t="s">
        <v>514</v>
      </c>
      <c r="H3207">
        <v>47128781</v>
      </c>
      <c r="I3207" t="s">
        <v>1251</v>
      </c>
      <c r="J3207" t="s">
        <v>1250</v>
      </c>
      <c r="K3207" t="s">
        <v>530</v>
      </c>
      <c r="N3207">
        <v>0</v>
      </c>
      <c r="O3207">
        <v>0</v>
      </c>
      <c r="P3207" t="str">
        <f t="shared" si="50"/>
        <v>N</v>
      </c>
      <c r="Q3207" t="s">
        <v>8937</v>
      </c>
    </row>
    <row r="3208" spans="1:17" x14ac:dyDescent="0.25">
      <c r="A3208" t="s">
        <v>3025</v>
      </c>
      <c r="B3208" t="s">
        <v>2783</v>
      </c>
      <c r="C3208">
        <v>2027</v>
      </c>
      <c r="D3208" t="s">
        <v>548</v>
      </c>
      <c r="E3208" t="s">
        <v>841</v>
      </c>
      <c r="F3208" s="32">
        <v>46465</v>
      </c>
      <c r="G3208" t="s">
        <v>514</v>
      </c>
      <c r="H3208">
        <v>47128006</v>
      </c>
      <c r="I3208" t="s">
        <v>2447</v>
      </c>
      <c r="J3208" t="s">
        <v>2448</v>
      </c>
      <c r="K3208" t="s">
        <v>530</v>
      </c>
      <c r="N3208">
        <v>0</v>
      </c>
      <c r="O3208">
        <v>0</v>
      </c>
      <c r="P3208" t="str">
        <f t="shared" si="50"/>
        <v>N</v>
      </c>
      <c r="Q3208" t="s">
        <v>8938</v>
      </c>
    </row>
    <row r="3209" spans="1:17" x14ac:dyDescent="0.25">
      <c r="A3209" t="s">
        <v>3026</v>
      </c>
      <c r="B3209" t="s">
        <v>2783</v>
      </c>
      <c r="C3209">
        <v>2027</v>
      </c>
      <c r="D3209" t="s">
        <v>548</v>
      </c>
      <c r="E3209" t="s">
        <v>841</v>
      </c>
      <c r="F3209" s="32">
        <v>46465</v>
      </c>
      <c r="G3209" t="s">
        <v>514</v>
      </c>
      <c r="H3209">
        <v>47128300</v>
      </c>
      <c r="I3209" t="s">
        <v>2471</v>
      </c>
      <c r="J3209" t="s">
        <v>2472</v>
      </c>
      <c r="K3209" t="s">
        <v>530</v>
      </c>
      <c r="N3209">
        <v>0</v>
      </c>
      <c r="O3209">
        <v>0</v>
      </c>
      <c r="P3209" t="str">
        <f t="shared" si="50"/>
        <v>N</v>
      </c>
      <c r="Q3209" t="s">
        <v>8939</v>
      </c>
    </row>
    <row r="3210" spans="1:17" x14ac:dyDescent="0.25">
      <c r="A3210" t="s">
        <v>3027</v>
      </c>
      <c r="B3210" t="s">
        <v>2783</v>
      </c>
      <c r="C3210">
        <v>2027</v>
      </c>
      <c r="D3210" t="s">
        <v>548</v>
      </c>
      <c r="E3210" t="s">
        <v>841</v>
      </c>
      <c r="F3210" s="32">
        <v>46465</v>
      </c>
      <c r="G3210" t="s">
        <v>514</v>
      </c>
      <c r="H3210">
        <v>47128213</v>
      </c>
      <c r="I3210" t="s">
        <v>2456</v>
      </c>
      <c r="J3210" t="s">
        <v>2457</v>
      </c>
      <c r="K3210" t="s">
        <v>530</v>
      </c>
      <c r="N3210">
        <v>0</v>
      </c>
      <c r="O3210">
        <v>0</v>
      </c>
      <c r="P3210" t="str">
        <f t="shared" si="50"/>
        <v>N</v>
      </c>
      <c r="Q3210" t="s">
        <v>8940</v>
      </c>
    </row>
    <row r="3211" spans="1:17" x14ac:dyDescent="0.25">
      <c r="A3211" t="s">
        <v>3028</v>
      </c>
      <c r="B3211" t="s">
        <v>2783</v>
      </c>
      <c r="C3211">
        <v>2027</v>
      </c>
      <c r="D3211" t="s">
        <v>548</v>
      </c>
      <c r="E3211" t="s">
        <v>841</v>
      </c>
      <c r="F3211" s="32">
        <v>46465</v>
      </c>
      <c r="G3211" t="s">
        <v>514</v>
      </c>
      <c r="H3211">
        <v>47128667</v>
      </c>
      <c r="I3211" t="s">
        <v>2450</v>
      </c>
      <c r="J3211" t="s">
        <v>2451</v>
      </c>
      <c r="K3211" t="s">
        <v>530</v>
      </c>
      <c r="N3211">
        <v>0</v>
      </c>
      <c r="O3211">
        <v>0</v>
      </c>
      <c r="P3211" t="str">
        <f t="shared" si="50"/>
        <v>N</v>
      </c>
      <c r="Q3211" t="s">
        <v>8941</v>
      </c>
    </row>
    <row r="3212" spans="1:17" x14ac:dyDescent="0.25">
      <c r="A3212" t="s">
        <v>3029</v>
      </c>
      <c r="B3212" t="s">
        <v>2783</v>
      </c>
      <c r="C3212">
        <v>2027</v>
      </c>
      <c r="D3212" t="s">
        <v>548</v>
      </c>
      <c r="E3212" t="s">
        <v>841</v>
      </c>
      <c r="F3212" s="32">
        <v>46465</v>
      </c>
      <c r="G3212" t="s">
        <v>514</v>
      </c>
      <c r="H3212">
        <v>47128179</v>
      </c>
      <c r="I3212" t="s">
        <v>2477</v>
      </c>
      <c r="J3212" t="s">
        <v>2478</v>
      </c>
      <c r="K3212" t="s">
        <v>530</v>
      </c>
      <c r="N3212">
        <v>0</v>
      </c>
      <c r="O3212">
        <v>0</v>
      </c>
      <c r="P3212" t="str">
        <f t="shared" si="50"/>
        <v>N</v>
      </c>
      <c r="Q3212" t="s">
        <v>8942</v>
      </c>
    </row>
    <row r="3213" spans="1:17" x14ac:dyDescent="0.25">
      <c r="A3213" t="s">
        <v>3030</v>
      </c>
      <c r="B3213" t="s">
        <v>2783</v>
      </c>
      <c r="C3213">
        <v>2027</v>
      </c>
      <c r="D3213" t="s">
        <v>548</v>
      </c>
      <c r="E3213" t="s">
        <v>841</v>
      </c>
      <c r="F3213" s="32">
        <v>46465</v>
      </c>
      <c r="G3213" t="s">
        <v>514</v>
      </c>
      <c r="H3213">
        <v>47128655</v>
      </c>
      <c r="I3213" t="s">
        <v>2474</v>
      </c>
      <c r="J3213" t="s">
        <v>2475</v>
      </c>
      <c r="K3213" t="s">
        <v>530</v>
      </c>
      <c r="N3213">
        <v>0</v>
      </c>
      <c r="O3213">
        <v>0</v>
      </c>
      <c r="P3213" t="str">
        <f t="shared" si="50"/>
        <v>N</v>
      </c>
      <c r="Q3213" t="s">
        <v>8943</v>
      </c>
    </row>
    <row r="3214" spans="1:17" x14ac:dyDescent="0.25">
      <c r="A3214" t="s">
        <v>3031</v>
      </c>
      <c r="B3214" t="s">
        <v>2783</v>
      </c>
      <c r="C3214">
        <v>2027</v>
      </c>
      <c r="D3214" t="s">
        <v>548</v>
      </c>
      <c r="E3214" t="s">
        <v>841</v>
      </c>
      <c r="F3214" s="32">
        <v>46465</v>
      </c>
      <c r="G3214" t="s">
        <v>514</v>
      </c>
      <c r="H3214">
        <v>47132096</v>
      </c>
      <c r="I3214" t="s">
        <v>2468</v>
      </c>
      <c r="J3214" t="s">
        <v>2469</v>
      </c>
      <c r="K3214" t="s">
        <v>530</v>
      </c>
      <c r="N3214">
        <v>0</v>
      </c>
      <c r="O3214">
        <v>0</v>
      </c>
      <c r="P3214" t="str">
        <f t="shared" si="50"/>
        <v>N</v>
      </c>
      <c r="Q3214" t="s">
        <v>8944</v>
      </c>
    </row>
    <row r="3215" spans="1:17" x14ac:dyDescent="0.25">
      <c r="A3215" t="s">
        <v>3032</v>
      </c>
      <c r="B3215" t="s">
        <v>2783</v>
      </c>
      <c r="C3215">
        <v>2027</v>
      </c>
      <c r="D3215" t="s">
        <v>548</v>
      </c>
      <c r="E3215" t="s">
        <v>841</v>
      </c>
      <c r="F3215" s="32">
        <v>46465</v>
      </c>
      <c r="G3215" t="s">
        <v>514</v>
      </c>
      <c r="H3215">
        <v>47129222</v>
      </c>
      <c r="I3215" t="s">
        <v>2459</v>
      </c>
      <c r="J3215" t="s">
        <v>2460</v>
      </c>
      <c r="K3215" t="s">
        <v>530</v>
      </c>
      <c r="N3215">
        <v>0</v>
      </c>
      <c r="O3215">
        <v>0</v>
      </c>
      <c r="P3215" t="str">
        <f t="shared" si="50"/>
        <v>N</v>
      </c>
      <c r="Q3215" t="s">
        <v>8945</v>
      </c>
    </row>
    <row r="3216" spans="1:17" x14ac:dyDescent="0.25">
      <c r="A3216" t="s">
        <v>3033</v>
      </c>
      <c r="B3216" t="s">
        <v>2783</v>
      </c>
      <c r="C3216">
        <v>2027</v>
      </c>
      <c r="D3216" t="s">
        <v>548</v>
      </c>
      <c r="E3216" t="s">
        <v>841</v>
      </c>
      <c r="F3216" s="32">
        <v>46465</v>
      </c>
      <c r="G3216" t="s">
        <v>514</v>
      </c>
      <c r="H3216">
        <v>47128561</v>
      </c>
      <c r="I3216" t="s">
        <v>2462</v>
      </c>
      <c r="J3216" t="s">
        <v>2463</v>
      </c>
      <c r="K3216" t="s">
        <v>530</v>
      </c>
      <c r="N3216">
        <v>0</v>
      </c>
      <c r="O3216">
        <v>0</v>
      </c>
      <c r="P3216" t="str">
        <f t="shared" si="50"/>
        <v>N</v>
      </c>
      <c r="Q3216" t="s">
        <v>8946</v>
      </c>
    </row>
    <row r="3217" spans="1:17" x14ac:dyDescent="0.25">
      <c r="A3217" t="s">
        <v>3034</v>
      </c>
      <c r="B3217" t="s">
        <v>2783</v>
      </c>
      <c r="C3217">
        <v>2027</v>
      </c>
      <c r="D3217" t="s">
        <v>548</v>
      </c>
      <c r="E3217" t="s">
        <v>841</v>
      </c>
      <c r="F3217" s="32">
        <v>46465</v>
      </c>
      <c r="G3217" t="s">
        <v>514</v>
      </c>
      <c r="H3217">
        <v>47129274</v>
      </c>
      <c r="I3217" t="s">
        <v>2486</v>
      </c>
      <c r="J3217" t="s">
        <v>2487</v>
      </c>
      <c r="K3217" t="s">
        <v>530</v>
      </c>
      <c r="N3217">
        <v>0</v>
      </c>
      <c r="O3217">
        <v>0</v>
      </c>
      <c r="P3217" t="str">
        <f t="shared" si="50"/>
        <v>N</v>
      </c>
      <c r="Q3217" t="s">
        <v>8947</v>
      </c>
    </row>
    <row r="3218" spans="1:17" x14ac:dyDescent="0.25">
      <c r="A3218" t="s">
        <v>3035</v>
      </c>
      <c r="B3218" t="s">
        <v>2783</v>
      </c>
      <c r="C3218">
        <v>2027</v>
      </c>
      <c r="D3218" t="s">
        <v>548</v>
      </c>
      <c r="E3218" t="s">
        <v>841</v>
      </c>
      <c r="F3218" s="32">
        <v>46465</v>
      </c>
      <c r="G3218" t="s">
        <v>514</v>
      </c>
      <c r="H3218">
        <v>47129262</v>
      </c>
      <c r="I3218" t="s">
        <v>2453</v>
      </c>
      <c r="J3218" t="s">
        <v>2454</v>
      </c>
      <c r="K3218" t="s">
        <v>530</v>
      </c>
      <c r="N3218">
        <v>60</v>
      </c>
      <c r="O3218">
        <v>60</v>
      </c>
      <c r="P3218" t="str">
        <f t="shared" si="50"/>
        <v>N</v>
      </c>
      <c r="Q3218" t="s">
        <v>8948</v>
      </c>
    </row>
    <row r="3219" spans="1:17" x14ac:dyDescent="0.25">
      <c r="A3219" t="s">
        <v>3036</v>
      </c>
      <c r="B3219" t="s">
        <v>2783</v>
      </c>
      <c r="C3219">
        <v>2027</v>
      </c>
      <c r="D3219" t="s">
        <v>548</v>
      </c>
      <c r="E3219" t="s">
        <v>841</v>
      </c>
      <c r="F3219" s="32">
        <v>46465</v>
      </c>
      <c r="G3219" t="s">
        <v>514</v>
      </c>
      <c r="H3219">
        <v>47129558</v>
      </c>
      <c r="I3219" t="s">
        <v>2480</v>
      </c>
      <c r="J3219" t="s">
        <v>2481</v>
      </c>
      <c r="K3219" t="s">
        <v>530</v>
      </c>
      <c r="N3219">
        <v>0</v>
      </c>
      <c r="O3219">
        <v>0</v>
      </c>
      <c r="P3219" t="str">
        <f t="shared" si="50"/>
        <v>N</v>
      </c>
      <c r="Q3219" t="s">
        <v>8949</v>
      </c>
    </row>
    <row r="3220" spans="1:17" x14ac:dyDescent="0.25">
      <c r="A3220" t="s">
        <v>3037</v>
      </c>
      <c r="B3220" t="s">
        <v>2783</v>
      </c>
      <c r="C3220">
        <v>2027</v>
      </c>
      <c r="D3220" t="s">
        <v>548</v>
      </c>
      <c r="E3220" t="s">
        <v>841</v>
      </c>
      <c r="F3220" s="32">
        <v>46465</v>
      </c>
      <c r="G3220" t="s">
        <v>514</v>
      </c>
      <c r="H3220">
        <v>47129727</v>
      </c>
      <c r="I3220" t="s">
        <v>2465</v>
      </c>
      <c r="J3220" t="s">
        <v>2466</v>
      </c>
      <c r="K3220" t="s">
        <v>530</v>
      </c>
      <c r="N3220">
        <v>0</v>
      </c>
      <c r="O3220">
        <v>0</v>
      </c>
      <c r="P3220" t="str">
        <f t="shared" si="50"/>
        <v>N</v>
      </c>
      <c r="Q3220" t="s">
        <v>8950</v>
      </c>
    </row>
    <row r="3221" spans="1:17" x14ac:dyDescent="0.25">
      <c r="A3221" t="s">
        <v>3038</v>
      </c>
      <c r="B3221" t="s">
        <v>2783</v>
      </c>
      <c r="C3221">
        <v>2027</v>
      </c>
      <c r="D3221" t="s">
        <v>548</v>
      </c>
      <c r="E3221" t="s">
        <v>841</v>
      </c>
      <c r="F3221" s="32">
        <v>46465</v>
      </c>
      <c r="G3221" t="s">
        <v>514</v>
      </c>
      <c r="H3221">
        <v>47129273</v>
      </c>
      <c r="I3221" t="s">
        <v>2483</v>
      </c>
      <c r="J3221" t="s">
        <v>2484</v>
      </c>
      <c r="K3221" t="s">
        <v>530</v>
      </c>
      <c r="N3221">
        <v>0</v>
      </c>
      <c r="O3221">
        <v>0</v>
      </c>
      <c r="P3221" t="str">
        <f t="shared" si="50"/>
        <v>N</v>
      </c>
      <c r="Q3221" t="s">
        <v>8951</v>
      </c>
    </row>
    <row r="3222" spans="1:17" x14ac:dyDescent="0.25">
      <c r="A3222" t="s">
        <v>3039</v>
      </c>
      <c r="B3222" t="s">
        <v>2783</v>
      </c>
      <c r="C3222">
        <v>2027</v>
      </c>
      <c r="D3222" t="s">
        <v>548</v>
      </c>
      <c r="E3222" t="s">
        <v>841</v>
      </c>
      <c r="F3222" s="32">
        <v>46465</v>
      </c>
      <c r="G3222" t="s">
        <v>514</v>
      </c>
      <c r="H3222">
        <v>47128247</v>
      </c>
      <c r="I3222" t="s">
        <v>2492</v>
      </c>
      <c r="J3222" t="s">
        <v>2493</v>
      </c>
      <c r="K3222" t="s">
        <v>530</v>
      </c>
      <c r="N3222">
        <v>0</v>
      </c>
      <c r="O3222">
        <v>0</v>
      </c>
      <c r="P3222" t="str">
        <f t="shared" si="50"/>
        <v>N</v>
      </c>
      <c r="Q3222" t="s">
        <v>8952</v>
      </c>
    </row>
    <row r="3223" spans="1:17" x14ac:dyDescent="0.25">
      <c r="A3223" t="s">
        <v>3040</v>
      </c>
      <c r="B3223" t="s">
        <v>2783</v>
      </c>
      <c r="C3223">
        <v>2027</v>
      </c>
      <c r="D3223" t="s">
        <v>548</v>
      </c>
      <c r="E3223" t="s">
        <v>841</v>
      </c>
      <c r="F3223" s="32">
        <v>46465</v>
      </c>
      <c r="G3223" t="s">
        <v>514</v>
      </c>
      <c r="H3223">
        <v>47128587</v>
      </c>
      <c r="I3223" t="s">
        <v>2489</v>
      </c>
      <c r="J3223" t="s">
        <v>2490</v>
      </c>
      <c r="K3223" t="s">
        <v>530</v>
      </c>
      <c r="N3223">
        <v>0</v>
      </c>
      <c r="O3223">
        <v>0</v>
      </c>
      <c r="P3223" t="str">
        <f t="shared" si="50"/>
        <v>N</v>
      </c>
      <c r="Q3223" t="s">
        <v>8953</v>
      </c>
    </row>
    <row r="3224" spans="1:17" x14ac:dyDescent="0.25">
      <c r="A3224" t="s">
        <v>3041</v>
      </c>
      <c r="B3224" t="s">
        <v>2783</v>
      </c>
      <c r="C3224">
        <v>2027</v>
      </c>
      <c r="D3224" t="s">
        <v>548</v>
      </c>
      <c r="E3224" t="s">
        <v>841</v>
      </c>
      <c r="F3224" s="32">
        <v>46465</v>
      </c>
      <c r="G3224" t="s">
        <v>514</v>
      </c>
      <c r="H3224">
        <v>47128781</v>
      </c>
      <c r="I3224" t="s">
        <v>1251</v>
      </c>
      <c r="J3224" t="s">
        <v>1250</v>
      </c>
      <c r="K3224" t="s">
        <v>530</v>
      </c>
      <c r="N3224">
        <v>0</v>
      </c>
      <c r="O3224">
        <v>0</v>
      </c>
      <c r="P3224" t="str">
        <f t="shared" si="50"/>
        <v>N</v>
      </c>
      <c r="Q3224" t="s">
        <v>8954</v>
      </c>
    </row>
    <row r="3225" spans="1:17" x14ac:dyDescent="0.25">
      <c r="A3225" t="s">
        <v>3575</v>
      </c>
      <c r="B3225" t="s">
        <v>1080</v>
      </c>
      <c r="C3225">
        <v>2027</v>
      </c>
      <c r="D3225" t="s">
        <v>548</v>
      </c>
      <c r="E3225" t="s">
        <v>841</v>
      </c>
      <c r="F3225" s="32">
        <v>46465</v>
      </c>
      <c r="G3225" t="s">
        <v>514</v>
      </c>
      <c r="H3225">
        <v>47128168</v>
      </c>
      <c r="I3225" t="s">
        <v>1100</v>
      </c>
      <c r="J3225" t="s">
        <v>1099</v>
      </c>
      <c r="K3225" t="s">
        <v>530</v>
      </c>
      <c r="N3225">
        <v>0</v>
      </c>
      <c r="O3225">
        <v>0</v>
      </c>
      <c r="P3225" t="str">
        <f t="shared" si="50"/>
        <v>N</v>
      </c>
      <c r="Q3225" t="s">
        <v>8955</v>
      </c>
    </row>
    <row r="3226" spans="1:17" x14ac:dyDescent="0.25">
      <c r="A3226" t="s">
        <v>3576</v>
      </c>
      <c r="B3226" t="s">
        <v>1080</v>
      </c>
      <c r="C3226">
        <v>2027</v>
      </c>
      <c r="D3226" t="s">
        <v>548</v>
      </c>
      <c r="E3226" t="s">
        <v>841</v>
      </c>
      <c r="F3226" s="32">
        <v>46465</v>
      </c>
      <c r="G3226" t="s">
        <v>514</v>
      </c>
      <c r="H3226">
        <v>47128906</v>
      </c>
      <c r="I3226" t="s">
        <v>1349</v>
      </c>
      <c r="J3226" t="s">
        <v>1348</v>
      </c>
      <c r="K3226" t="s">
        <v>530</v>
      </c>
      <c r="N3226">
        <v>0</v>
      </c>
      <c r="O3226">
        <v>0</v>
      </c>
      <c r="P3226" t="str">
        <f t="shared" si="50"/>
        <v>N</v>
      </c>
      <c r="Q3226" t="s">
        <v>8956</v>
      </c>
    </row>
    <row r="3227" spans="1:17" x14ac:dyDescent="0.25">
      <c r="A3227" t="s">
        <v>3577</v>
      </c>
      <c r="B3227" t="s">
        <v>1080</v>
      </c>
      <c r="C3227">
        <v>2027</v>
      </c>
      <c r="D3227" t="s">
        <v>548</v>
      </c>
      <c r="E3227" t="s">
        <v>841</v>
      </c>
      <c r="F3227" s="32">
        <v>46465</v>
      </c>
      <c r="G3227" t="s">
        <v>514</v>
      </c>
      <c r="H3227">
        <v>47128783</v>
      </c>
      <c r="I3227" t="s">
        <v>1280</v>
      </c>
      <c r="J3227" t="s">
        <v>1279</v>
      </c>
      <c r="K3227" t="s">
        <v>530</v>
      </c>
      <c r="N3227">
        <v>0</v>
      </c>
      <c r="O3227">
        <v>0</v>
      </c>
      <c r="P3227" t="str">
        <f t="shared" si="50"/>
        <v>N</v>
      </c>
      <c r="Q3227" t="s">
        <v>8957</v>
      </c>
    </row>
    <row r="3228" spans="1:17" x14ac:dyDescent="0.25">
      <c r="A3228" t="s">
        <v>3578</v>
      </c>
      <c r="B3228" t="s">
        <v>1080</v>
      </c>
      <c r="C3228">
        <v>2027</v>
      </c>
      <c r="D3228" t="s">
        <v>548</v>
      </c>
      <c r="E3228" t="s">
        <v>841</v>
      </c>
      <c r="F3228" s="32">
        <v>46465</v>
      </c>
      <c r="G3228" t="s">
        <v>514</v>
      </c>
      <c r="H3228">
        <v>47128944</v>
      </c>
      <c r="I3228" t="s">
        <v>1137</v>
      </c>
      <c r="J3228" t="s">
        <v>1136</v>
      </c>
      <c r="K3228" t="s">
        <v>530</v>
      </c>
      <c r="N3228">
        <v>0</v>
      </c>
      <c r="O3228">
        <v>0</v>
      </c>
      <c r="P3228" t="str">
        <f t="shared" si="50"/>
        <v>N</v>
      </c>
      <c r="Q3228" t="s">
        <v>8958</v>
      </c>
    </row>
    <row r="3229" spans="1:17" x14ac:dyDescent="0.25">
      <c r="A3229" t="s">
        <v>3579</v>
      </c>
      <c r="B3229" t="s">
        <v>1080</v>
      </c>
      <c r="C3229">
        <v>2027</v>
      </c>
      <c r="D3229" t="s">
        <v>548</v>
      </c>
      <c r="E3229" t="s">
        <v>841</v>
      </c>
      <c r="F3229" s="32">
        <v>46465</v>
      </c>
      <c r="G3229" t="s">
        <v>514</v>
      </c>
      <c r="H3229">
        <v>47128729</v>
      </c>
      <c r="I3229" t="s">
        <v>1149</v>
      </c>
      <c r="J3229" t="s">
        <v>1148</v>
      </c>
      <c r="K3229" t="s">
        <v>530</v>
      </c>
      <c r="N3229">
        <v>0</v>
      </c>
      <c r="O3229">
        <v>0</v>
      </c>
      <c r="P3229" t="str">
        <f t="shared" si="50"/>
        <v>N</v>
      </c>
      <c r="Q3229" t="s">
        <v>8959</v>
      </c>
    </row>
    <row r="3230" spans="1:17" x14ac:dyDescent="0.25">
      <c r="A3230" t="s">
        <v>3580</v>
      </c>
      <c r="B3230" t="s">
        <v>1080</v>
      </c>
      <c r="C3230">
        <v>2027</v>
      </c>
      <c r="D3230" t="s">
        <v>548</v>
      </c>
      <c r="E3230" t="s">
        <v>841</v>
      </c>
      <c r="F3230" s="32">
        <v>46465</v>
      </c>
      <c r="G3230" t="s">
        <v>514</v>
      </c>
      <c r="H3230">
        <v>47128585</v>
      </c>
      <c r="I3230" t="s">
        <v>1141</v>
      </c>
      <c r="J3230" t="s">
        <v>1140</v>
      </c>
      <c r="K3230" t="s">
        <v>530</v>
      </c>
      <c r="N3230">
        <v>0</v>
      </c>
      <c r="O3230">
        <v>0</v>
      </c>
      <c r="P3230" t="str">
        <f t="shared" si="50"/>
        <v>N</v>
      </c>
      <c r="Q3230" t="s">
        <v>8960</v>
      </c>
    </row>
    <row r="3231" spans="1:17" x14ac:dyDescent="0.25">
      <c r="A3231" t="s">
        <v>3581</v>
      </c>
      <c r="B3231" t="s">
        <v>1080</v>
      </c>
      <c r="C3231">
        <v>2027</v>
      </c>
      <c r="D3231" t="s">
        <v>548</v>
      </c>
      <c r="E3231" t="s">
        <v>841</v>
      </c>
      <c r="F3231" s="32">
        <v>46465</v>
      </c>
      <c r="G3231" t="s">
        <v>514</v>
      </c>
      <c r="H3231">
        <v>47128680</v>
      </c>
      <c r="I3231" t="s">
        <v>1284</v>
      </c>
      <c r="J3231" t="s">
        <v>1283</v>
      </c>
      <c r="K3231" t="s">
        <v>530</v>
      </c>
      <c r="N3231">
        <v>0</v>
      </c>
      <c r="O3231">
        <v>0</v>
      </c>
      <c r="P3231" t="str">
        <f t="shared" si="50"/>
        <v>N</v>
      </c>
      <c r="Q3231" t="s">
        <v>8961</v>
      </c>
    </row>
    <row r="3232" spans="1:17" x14ac:dyDescent="0.25">
      <c r="A3232" t="s">
        <v>3582</v>
      </c>
      <c r="B3232" t="s">
        <v>1080</v>
      </c>
      <c r="C3232">
        <v>2027</v>
      </c>
      <c r="D3232" t="s">
        <v>548</v>
      </c>
      <c r="E3232" t="s">
        <v>841</v>
      </c>
      <c r="F3232" s="32">
        <v>46465</v>
      </c>
      <c r="G3232" t="s">
        <v>514</v>
      </c>
      <c r="H3232">
        <v>47128585</v>
      </c>
      <c r="I3232" t="s">
        <v>1141</v>
      </c>
      <c r="J3232" t="s">
        <v>1408</v>
      </c>
      <c r="K3232" t="s">
        <v>530</v>
      </c>
      <c r="N3232">
        <v>0</v>
      </c>
      <c r="O3232">
        <v>0</v>
      </c>
      <c r="P3232" t="str">
        <f t="shared" si="50"/>
        <v>N</v>
      </c>
      <c r="Q3232" t="s">
        <v>8962</v>
      </c>
    </row>
    <row r="3233" spans="1:17" x14ac:dyDescent="0.25">
      <c r="A3233" t="s">
        <v>3583</v>
      </c>
      <c r="B3233" t="s">
        <v>1080</v>
      </c>
      <c r="C3233">
        <v>2027</v>
      </c>
      <c r="D3233" t="s">
        <v>548</v>
      </c>
      <c r="E3233" t="s">
        <v>841</v>
      </c>
      <c r="F3233" s="32">
        <v>46465</v>
      </c>
      <c r="G3233" t="s">
        <v>514</v>
      </c>
      <c r="H3233">
        <v>47128039</v>
      </c>
      <c r="I3233" t="s">
        <v>1405</v>
      </c>
      <c r="J3233" t="s">
        <v>1404</v>
      </c>
      <c r="K3233" t="s">
        <v>530</v>
      </c>
      <c r="N3233">
        <v>0</v>
      </c>
      <c r="O3233">
        <v>0</v>
      </c>
      <c r="P3233" t="str">
        <f t="shared" si="50"/>
        <v>N</v>
      </c>
      <c r="Q3233" t="s">
        <v>8963</v>
      </c>
    </row>
    <row r="3234" spans="1:17" x14ac:dyDescent="0.25">
      <c r="A3234" t="s">
        <v>3584</v>
      </c>
      <c r="B3234" t="s">
        <v>1080</v>
      </c>
      <c r="C3234">
        <v>2027</v>
      </c>
      <c r="D3234" t="s">
        <v>548</v>
      </c>
      <c r="E3234" t="s">
        <v>841</v>
      </c>
      <c r="F3234" s="32">
        <v>46465</v>
      </c>
      <c r="G3234" t="s">
        <v>514</v>
      </c>
      <c r="H3234">
        <v>47128024</v>
      </c>
      <c r="I3234" t="s">
        <v>1108</v>
      </c>
      <c r="J3234" t="s">
        <v>1107</v>
      </c>
      <c r="K3234" t="s">
        <v>530</v>
      </c>
      <c r="N3234">
        <v>0</v>
      </c>
      <c r="O3234">
        <v>0</v>
      </c>
      <c r="P3234" t="str">
        <f t="shared" si="50"/>
        <v>N</v>
      </c>
      <c r="Q3234" t="s">
        <v>8964</v>
      </c>
    </row>
    <row r="3235" spans="1:17" x14ac:dyDescent="0.25">
      <c r="A3235" t="s">
        <v>3585</v>
      </c>
      <c r="B3235" t="s">
        <v>1080</v>
      </c>
      <c r="C3235">
        <v>2027</v>
      </c>
      <c r="D3235" t="s">
        <v>548</v>
      </c>
      <c r="E3235" t="s">
        <v>841</v>
      </c>
      <c r="F3235" s="32">
        <v>46465</v>
      </c>
      <c r="G3235" t="s">
        <v>514</v>
      </c>
      <c r="H3235">
        <v>47128430</v>
      </c>
      <c r="I3235" t="s">
        <v>1401</v>
      </c>
      <c r="J3235" t="s">
        <v>1400</v>
      </c>
      <c r="K3235" t="s">
        <v>530</v>
      </c>
      <c r="N3235">
        <v>0</v>
      </c>
      <c r="O3235">
        <v>0</v>
      </c>
      <c r="P3235" t="str">
        <f t="shared" si="50"/>
        <v>N</v>
      </c>
      <c r="Q3235" t="s">
        <v>8965</v>
      </c>
    </row>
    <row r="3236" spans="1:17" x14ac:dyDescent="0.25">
      <c r="A3236" t="s">
        <v>3586</v>
      </c>
      <c r="B3236" t="s">
        <v>1080</v>
      </c>
      <c r="C3236">
        <v>2027</v>
      </c>
      <c r="D3236" t="s">
        <v>548</v>
      </c>
      <c r="E3236" t="s">
        <v>841</v>
      </c>
      <c r="F3236" s="32">
        <v>46465</v>
      </c>
      <c r="G3236" t="s">
        <v>514</v>
      </c>
      <c r="H3236">
        <v>47128555</v>
      </c>
      <c r="I3236" t="s">
        <v>1209</v>
      </c>
      <c r="J3236" t="s">
        <v>1208</v>
      </c>
      <c r="K3236" t="s">
        <v>530</v>
      </c>
      <c r="N3236">
        <v>0</v>
      </c>
      <c r="O3236">
        <v>0</v>
      </c>
      <c r="P3236" t="str">
        <f t="shared" si="50"/>
        <v>N</v>
      </c>
      <c r="Q3236" t="s">
        <v>8966</v>
      </c>
    </row>
    <row r="3237" spans="1:17" x14ac:dyDescent="0.25">
      <c r="A3237" t="s">
        <v>3587</v>
      </c>
      <c r="B3237" t="s">
        <v>1080</v>
      </c>
      <c r="C3237">
        <v>2027</v>
      </c>
      <c r="D3237" t="s">
        <v>548</v>
      </c>
      <c r="E3237" t="s">
        <v>841</v>
      </c>
      <c r="F3237" s="32">
        <v>46465</v>
      </c>
      <c r="G3237" t="s">
        <v>514</v>
      </c>
      <c r="H3237">
        <v>47128522</v>
      </c>
      <c r="I3237" t="s">
        <v>1092</v>
      </c>
      <c r="J3237" t="s">
        <v>1091</v>
      </c>
      <c r="K3237" t="s">
        <v>530</v>
      </c>
      <c r="N3237">
        <v>0</v>
      </c>
      <c r="O3237">
        <v>0</v>
      </c>
      <c r="P3237" t="str">
        <f t="shared" si="50"/>
        <v>N</v>
      </c>
      <c r="Q3237" t="s">
        <v>8967</v>
      </c>
    </row>
    <row r="3238" spans="1:17" x14ac:dyDescent="0.25">
      <c r="A3238" t="s">
        <v>3588</v>
      </c>
      <c r="B3238" t="s">
        <v>1080</v>
      </c>
      <c r="C3238">
        <v>2027</v>
      </c>
      <c r="D3238" t="s">
        <v>548</v>
      </c>
      <c r="E3238" t="s">
        <v>841</v>
      </c>
      <c r="F3238" s="32">
        <v>46465</v>
      </c>
      <c r="G3238" t="s">
        <v>514</v>
      </c>
      <c r="H3238">
        <v>47147546</v>
      </c>
      <c r="I3238" t="s">
        <v>1077</v>
      </c>
      <c r="J3238" t="s">
        <v>1076</v>
      </c>
      <c r="K3238" t="s">
        <v>530</v>
      </c>
      <c r="N3238">
        <v>0</v>
      </c>
      <c r="O3238">
        <v>0</v>
      </c>
      <c r="P3238" t="str">
        <f t="shared" si="50"/>
        <v>N</v>
      </c>
      <c r="Q3238" t="s">
        <v>8968</v>
      </c>
    </row>
    <row r="3239" spans="1:17" x14ac:dyDescent="0.25">
      <c r="A3239" t="s">
        <v>3589</v>
      </c>
      <c r="B3239" t="s">
        <v>1080</v>
      </c>
      <c r="C3239">
        <v>2027</v>
      </c>
      <c r="D3239" t="s">
        <v>548</v>
      </c>
      <c r="E3239" t="s">
        <v>841</v>
      </c>
      <c r="F3239" s="32">
        <v>46465</v>
      </c>
      <c r="G3239" t="s">
        <v>514</v>
      </c>
      <c r="H3239">
        <v>47128597</v>
      </c>
      <c r="I3239" t="s">
        <v>1510</v>
      </c>
      <c r="J3239" t="s">
        <v>1509</v>
      </c>
      <c r="K3239" t="s">
        <v>530</v>
      </c>
      <c r="N3239">
        <v>0</v>
      </c>
      <c r="O3239">
        <v>0</v>
      </c>
      <c r="P3239" t="str">
        <f t="shared" si="50"/>
        <v>N</v>
      </c>
      <c r="Q3239" t="s">
        <v>8969</v>
      </c>
    </row>
    <row r="3240" spans="1:17" x14ac:dyDescent="0.25">
      <c r="A3240" t="s">
        <v>3590</v>
      </c>
      <c r="B3240" t="s">
        <v>1080</v>
      </c>
      <c r="C3240">
        <v>2027</v>
      </c>
      <c r="D3240" t="s">
        <v>548</v>
      </c>
      <c r="E3240" t="s">
        <v>841</v>
      </c>
      <c r="F3240" s="32">
        <v>46465</v>
      </c>
      <c r="G3240" t="s">
        <v>514</v>
      </c>
      <c r="H3240">
        <v>47128257</v>
      </c>
      <c r="I3240" t="s">
        <v>979</v>
      </c>
      <c r="J3240" t="s">
        <v>978</v>
      </c>
      <c r="K3240" t="s">
        <v>530</v>
      </c>
      <c r="N3240">
        <v>0</v>
      </c>
      <c r="O3240">
        <v>0</v>
      </c>
      <c r="P3240" t="str">
        <f t="shared" si="50"/>
        <v>N</v>
      </c>
      <c r="Q3240" t="s">
        <v>8970</v>
      </c>
    </row>
    <row r="3241" spans="1:17" x14ac:dyDescent="0.25">
      <c r="A3241" t="s">
        <v>3591</v>
      </c>
      <c r="B3241" t="s">
        <v>1080</v>
      </c>
      <c r="C3241">
        <v>2027</v>
      </c>
      <c r="D3241" t="s">
        <v>548</v>
      </c>
      <c r="E3241" t="s">
        <v>841</v>
      </c>
      <c r="F3241" s="32">
        <v>46465</v>
      </c>
      <c r="G3241" t="s">
        <v>514</v>
      </c>
      <c r="H3241">
        <v>47128880</v>
      </c>
      <c r="I3241" t="s">
        <v>1014</v>
      </c>
      <c r="J3241" t="s">
        <v>1013</v>
      </c>
      <c r="K3241" t="s">
        <v>530</v>
      </c>
      <c r="N3241">
        <v>0</v>
      </c>
      <c r="O3241">
        <v>0</v>
      </c>
      <c r="P3241" t="str">
        <f t="shared" si="50"/>
        <v>N</v>
      </c>
      <c r="Q3241" t="s">
        <v>8971</v>
      </c>
    </row>
    <row r="3242" spans="1:17" x14ac:dyDescent="0.25">
      <c r="A3242" t="s">
        <v>3592</v>
      </c>
      <c r="B3242" t="s">
        <v>1080</v>
      </c>
      <c r="C3242">
        <v>2027</v>
      </c>
      <c r="D3242" t="s">
        <v>548</v>
      </c>
      <c r="E3242" t="s">
        <v>841</v>
      </c>
      <c r="F3242" s="32">
        <v>46465</v>
      </c>
      <c r="G3242" t="s">
        <v>514</v>
      </c>
      <c r="H3242">
        <v>47128879</v>
      </c>
      <c r="I3242" t="s">
        <v>1132</v>
      </c>
      <c r="J3242" t="s">
        <v>1131</v>
      </c>
      <c r="K3242" t="s">
        <v>530</v>
      </c>
      <c r="N3242">
        <v>0</v>
      </c>
      <c r="O3242">
        <v>0</v>
      </c>
      <c r="P3242" t="str">
        <f t="shared" si="50"/>
        <v>N</v>
      </c>
      <c r="Q3242" t="s">
        <v>8972</v>
      </c>
    </row>
    <row r="3243" spans="1:17" x14ac:dyDescent="0.25">
      <c r="A3243" t="s">
        <v>3593</v>
      </c>
      <c r="B3243" t="s">
        <v>1080</v>
      </c>
      <c r="C3243">
        <v>2027</v>
      </c>
      <c r="D3243" t="s">
        <v>548</v>
      </c>
      <c r="E3243" t="s">
        <v>841</v>
      </c>
      <c r="F3243" s="32">
        <v>46465</v>
      </c>
      <c r="G3243" t="s">
        <v>514</v>
      </c>
      <c r="H3243">
        <v>47128413</v>
      </c>
      <c r="I3243" t="s">
        <v>1397</v>
      </c>
      <c r="J3243" t="s">
        <v>1396</v>
      </c>
      <c r="K3243" t="s">
        <v>530</v>
      </c>
      <c r="N3243">
        <v>0</v>
      </c>
      <c r="O3243">
        <v>0</v>
      </c>
      <c r="P3243" t="str">
        <f t="shared" si="50"/>
        <v>N</v>
      </c>
      <c r="Q3243" t="s">
        <v>8973</v>
      </c>
    </row>
    <row r="3244" spans="1:17" x14ac:dyDescent="0.25">
      <c r="A3244" t="s">
        <v>3594</v>
      </c>
      <c r="B3244" t="s">
        <v>1080</v>
      </c>
      <c r="C3244">
        <v>2027</v>
      </c>
      <c r="D3244" t="s">
        <v>548</v>
      </c>
      <c r="E3244" t="s">
        <v>841</v>
      </c>
      <c r="F3244" s="32">
        <v>46465</v>
      </c>
      <c r="G3244" t="s">
        <v>514</v>
      </c>
      <c r="H3244">
        <v>47146464</v>
      </c>
      <c r="I3244" t="s">
        <v>1438</v>
      </c>
      <c r="J3244" t="s">
        <v>1437</v>
      </c>
      <c r="K3244" t="s">
        <v>530</v>
      </c>
      <c r="N3244">
        <v>0</v>
      </c>
      <c r="O3244">
        <v>0</v>
      </c>
      <c r="P3244" t="str">
        <f t="shared" si="50"/>
        <v>N</v>
      </c>
      <c r="Q3244" t="s">
        <v>8974</v>
      </c>
    </row>
    <row r="3245" spans="1:17" x14ac:dyDescent="0.25">
      <c r="A3245" t="s">
        <v>3595</v>
      </c>
      <c r="B3245" t="s">
        <v>1080</v>
      </c>
      <c r="C3245">
        <v>2027</v>
      </c>
      <c r="D3245" t="s">
        <v>548</v>
      </c>
      <c r="E3245" t="s">
        <v>841</v>
      </c>
      <c r="F3245" s="32">
        <v>46465</v>
      </c>
      <c r="G3245" t="s">
        <v>514</v>
      </c>
      <c r="H3245">
        <v>47147546</v>
      </c>
      <c r="I3245" t="s">
        <v>1077</v>
      </c>
      <c r="J3245" t="s">
        <v>1381</v>
      </c>
      <c r="K3245" t="s">
        <v>530</v>
      </c>
      <c r="N3245">
        <v>0</v>
      </c>
      <c r="O3245">
        <v>0</v>
      </c>
      <c r="P3245" t="str">
        <f t="shared" si="50"/>
        <v>N</v>
      </c>
      <c r="Q3245" t="s">
        <v>8975</v>
      </c>
    </row>
    <row r="3246" spans="1:17" x14ac:dyDescent="0.25">
      <c r="A3246" t="s">
        <v>3596</v>
      </c>
      <c r="B3246" t="s">
        <v>1080</v>
      </c>
      <c r="C3246">
        <v>2027</v>
      </c>
      <c r="D3246" t="s">
        <v>548</v>
      </c>
      <c r="E3246" t="s">
        <v>841</v>
      </c>
      <c r="F3246" s="32">
        <v>46465</v>
      </c>
      <c r="G3246" t="s">
        <v>514</v>
      </c>
      <c r="H3246">
        <v>47128800</v>
      </c>
      <c r="I3246" t="s">
        <v>1145</v>
      </c>
      <c r="J3246" t="s">
        <v>1144</v>
      </c>
      <c r="K3246" t="s">
        <v>530</v>
      </c>
      <c r="N3246">
        <v>0</v>
      </c>
      <c r="O3246">
        <v>0</v>
      </c>
      <c r="P3246" t="str">
        <f t="shared" si="50"/>
        <v>N</v>
      </c>
      <c r="Q3246" t="s">
        <v>8976</v>
      </c>
    </row>
    <row r="3247" spans="1:17" x14ac:dyDescent="0.25">
      <c r="A3247" t="s">
        <v>3597</v>
      </c>
      <c r="B3247" t="s">
        <v>1080</v>
      </c>
      <c r="C3247">
        <v>2027</v>
      </c>
      <c r="D3247" t="s">
        <v>548</v>
      </c>
      <c r="E3247" t="s">
        <v>841</v>
      </c>
      <c r="F3247" s="32">
        <v>46465</v>
      </c>
      <c r="G3247" t="s">
        <v>514</v>
      </c>
      <c r="H3247">
        <v>47128109</v>
      </c>
      <c r="I3247" t="s">
        <v>1336</v>
      </c>
      <c r="J3247" t="s">
        <v>1335</v>
      </c>
      <c r="K3247" t="s">
        <v>530</v>
      </c>
      <c r="N3247">
        <v>0</v>
      </c>
      <c r="O3247">
        <v>0</v>
      </c>
      <c r="P3247" t="str">
        <f t="shared" si="50"/>
        <v>N</v>
      </c>
      <c r="Q3247" t="s">
        <v>8977</v>
      </c>
    </row>
    <row r="3248" spans="1:17" x14ac:dyDescent="0.25">
      <c r="A3248" t="s">
        <v>3598</v>
      </c>
      <c r="B3248" t="s">
        <v>1080</v>
      </c>
      <c r="C3248">
        <v>2027</v>
      </c>
      <c r="D3248" t="s">
        <v>548</v>
      </c>
      <c r="E3248" t="s">
        <v>841</v>
      </c>
      <c r="F3248" s="32">
        <v>46465</v>
      </c>
      <c r="G3248" t="s">
        <v>514</v>
      </c>
      <c r="H3248">
        <v>47128346</v>
      </c>
      <c r="I3248" t="s">
        <v>1157</v>
      </c>
      <c r="J3248" t="s">
        <v>1156</v>
      </c>
      <c r="K3248" t="s">
        <v>530</v>
      </c>
      <c r="N3248">
        <v>0</v>
      </c>
      <c r="O3248">
        <v>0</v>
      </c>
      <c r="P3248" t="str">
        <f t="shared" si="50"/>
        <v>N</v>
      </c>
      <c r="Q3248" t="s">
        <v>8978</v>
      </c>
    </row>
    <row r="3249" spans="1:17" x14ac:dyDescent="0.25">
      <c r="A3249" t="s">
        <v>3599</v>
      </c>
      <c r="B3249" t="s">
        <v>1080</v>
      </c>
      <c r="C3249">
        <v>2027</v>
      </c>
      <c r="D3249" t="s">
        <v>548</v>
      </c>
      <c r="E3249" t="s">
        <v>841</v>
      </c>
      <c r="F3249" s="32">
        <v>46465</v>
      </c>
      <c r="G3249" t="s">
        <v>514</v>
      </c>
      <c r="H3249">
        <v>47128518</v>
      </c>
      <c r="I3249" t="s">
        <v>1232</v>
      </c>
      <c r="J3249" t="s">
        <v>1231</v>
      </c>
      <c r="K3249" t="s">
        <v>530</v>
      </c>
      <c r="N3249">
        <v>0</v>
      </c>
      <c r="O3249">
        <v>0</v>
      </c>
      <c r="P3249" t="str">
        <f t="shared" si="50"/>
        <v>N</v>
      </c>
      <c r="Q3249" t="s">
        <v>8979</v>
      </c>
    </row>
    <row r="3250" spans="1:17" x14ac:dyDescent="0.25">
      <c r="A3250" t="s">
        <v>3600</v>
      </c>
      <c r="B3250" t="s">
        <v>1080</v>
      </c>
      <c r="C3250">
        <v>2027</v>
      </c>
      <c r="D3250" t="s">
        <v>548</v>
      </c>
      <c r="E3250" t="s">
        <v>841</v>
      </c>
      <c r="F3250" s="32">
        <v>46465</v>
      </c>
      <c r="G3250" t="s">
        <v>514</v>
      </c>
      <c r="H3250">
        <v>47128418</v>
      </c>
      <c r="I3250" t="s">
        <v>1082</v>
      </c>
      <c r="J3250" t="s">
        <v>1081</v>
      </c>
      <c r="K3250" t="s">
        <v>530</v>
      </c>
      <c r="N3250">
        <v>68</v>
      </c>
      <c r="O3250">
        <v>68</v>
      </c>
      <c r="P3250" t="str">
        <f t="shared" si="50"/>
        <v>N</v>
      </c>
      <c r="Q3250" t="s">
        <v>8980</v>
      </c>
    </row>
    <row r="3251" spans="1:17" x14ac:dyDescent="0.25">
      <c r="A3251" t="s">
        <v>3601</v>
      </c>
      <c r="B3251" t="s">
        <v>1080</v>
      </c>
      <c r="C3251">
        <v>2027</v>
      </c>
      <c r="D3251" t="s">
        <v>548</v>
      </c>
      <c r="E3251" t="s">
        <v>841</v>
      </c>
      <c r="F3251" s="32">
        <v>46465</v>
      </c>
      <c r="G3251" t="s">
        <v>514</v>
      </c>
      <c r="H3251">
        <v>47128968</v>
      </c>
      <c r="I3251" t="s">
        <v>947</v>
      </c>
      <c r="J3251" t="s">
        <v>946</v>
      </c>
      <c r="K3251" t="s">
        <v>530</v>
      </c>
      <c r="N3251">
        <v>0</v>
      </c>
      <c r="O3251">
        <v>0</v>
      </c>
      <c r="P3251" t="str">
        <f t="shared" si="50"/>
        <v>N</v>
      </c>
      <c r="Q3251" t="s">
        <v>8981</v>
      </c>
    </row>
    <row r="3252" spans="1:17" x14ac:dyDescent="0.25">
      <c r="A3252" t="s">
        <v>3602</v>
      </c>
      <c r="B3252" t="s">
        <v>1080</v>
      </c>
      <c r="C3252">
        <v>2027</v>
      </c>
      <c r="D3252" t="s">
        <v>548</v>
      </c>
      <c r="E3252" t="s">
        <v>841</v>
      </c>
      <c r="F3252" s="32">
        <v>46465</v>
      </c>
      <c r="G3252" t="s">
        <v>514</v>
      </c>
      <c r="H3252">
        <v>47147658</v>
      </c>
      <c r="I3252" t="s">
        <v>1276</v>
      </c>
      <c r="J3252" t="s">
        <v>1275</v>
      </c>
      <c r="K3252" t="s">
        <v>530</v>
      </c>
      <c r="N3252">
        <v>0</v>
      </c>
      <c r="O3252">
        <v>0</v>
      </c>
      <c r="P3252" t="str">
        <f t="shared" si="50"/>
        <v>N</v>
      </c>
      <c r="Q3252" t="s">
        <v>8982</v>
      </c>
    </row>
    <row r="3253" spans="1:17" x14ac:dyDescent="0.25">
      <c r="A3253" t="s">
        <v>3603</v>
      </c>
      <c r="B3253" t="s">
        <v>1080</v>
      </c>
      <c r="C3253">
        <v>2027</v>
      </c>
      <c r="D3253" t="s">
        <v>548</v>
      </c>
      <c r="E3253" t="s">
        <v>841</v>
      </c>
      <c r="F3253" s="32">
        <v>46465</v>
      </c>
      <c r="G3253" t="s">
        <v>514</v>
      </c>
      <c r="H3253">
        <v>47128977</v>
      </c>
      <c r="I3253" t="s">
        <v>1449</v>
      </c>
      <c r="J3253" t="s">
        <v>1448</v>
      </c>
      <c r="K3253" t="s">
        <v>530</v>
      </c>
      <c r="N3253">
        <v>0</v>
      </c>
      <c r="O3253">
        <v>0</v>
      </c>
      <c r="P3253" t="str">
        <f t="shared" si="50"/>
        <v>N</v>
      </c>
      <c r="Q3253" t="s">
        <v>8983</v>
      </c>
    </row>
    <row r="3254" spans="1:17" x14ac:dyDescent="0.25">
      <c r="A3254" t="s">
        <v>3604</v>
      </c>
      <c r="B3254" t="s">
        <v>1080</v>
      </c>
      <c r="C3254">
        <v>2027</v>
      </c>
      <c r="D3254" t="s">
        <v>548</v>
      </c>
      <c r="E3254" t="s">
        <v>841</v>
      </c>
      <c r="F3254" s="32">
        <v>46465</v>
      </c>
      <c r="G3254" t="s">
        <v>514</v>
      </c>
      <c r="H3254">
        <v>47128781</v>
      </c>
      <c r="I3254" t="s">
        <v>1251</v>
      </c>
      <c r="J3254" t="s">
        <v>1250</v>
      </c>
      <c r="K3254" t="s">
        <v>530</v>
      </c>
      <c r="N3254">
        <v>0</v>
      </c>
      <c r="O3254">
        <v>0</v>
      </c>
      <c r="P3254" t="str">
        <f t="shared" si="50"/>
        <v>N</v>
      </c>
      <c r="Q3254" t="s">
        <v>8984</v>
      </c>
    </row>
    <row r="3255" spans="1:17" x14ac:dyDescent="0.25">
      <c r="A3255" t="s">
        <v>3919</v>
      </c>
      <c r="B3255" t="s">
        <v>1043</v>
      </c>
      <c r="C3255">
        <v>2027</v>
      </c>
      <c r="D3255" t="s">
        <v>548</v>
      </c>
      <c r="E3255" t="s">
        <v>841</v>
      </c>
      <c r="F3255" s="32">
        <v>46465</v>
      </c>
      <c r="G3255" t="s">
        <v>514</v>
      </c>
      <c r="H3255">
        <v>47128633</v>
      </c>
      <c r="I3255" t="s">
        <v>1164</v>
      </c>
      <c r="J3255" t="s">
        <v>1163</v>
      </c>
      <c r="K3255" t="s">
        <v>530</v>
      </c>
      <c r="N3255">
        <v>0</v>
      </c>
      <c r="O3255">
        <v>0</v>
      </c>
      <c r="P3255" t="str">
        <f t="shared" si="50"/>
        <v>N</v>
      </c>
      <c r="Q3255" t="s">
        <v>8985</v>
      </c>
    </row>
    <row r="3256" spans="1:17" x14ac:dyDescent="0.25">
      <c r="A3256" t="s">
        <v>3920</v>
      </c>
      <c r="B3256" t="s">
        <v>1043</v>
      </c>
      <c r="C3256">
        <v>2027</v>
      </c>
      <c r="D3256" t="s">
        <v>548</v>
      </c>
      <c r="E3256" t="s">
        <v>841</v>
      </c>
      <c r="F3256" s="32">
        <v>46465</v>
      </c>
      <c r="G3256" t="s">
        <v>514</v>
      </c>
      <c r="H3256">
        <v>47128046</v>
      </c>
      <c r="I3256" t="s">
        <v>1389</v>
      </c>
      <c r="J3256" t="s">
        <v>1388</v>
      </c>
      <c r="K3256" t="s">
        <v>530</v>
      </c>
      <c r="N3256">
        <v>0</v>
      </c>
      <c r="O3256">
        <v>0</v>
      </c>
      <c r="P3256" t="str">
        <f t="shared" si="50"/>
        <v>N</v>
      </c>
      <c r="Q3256" t="s">
        <v>8986</v>
      </c>
    </row>
    <row r="3257" spans="1:17" x14ac:dyDescent="0.25">
      <c r="A3257" t="s">
        <v>3921</v>
      </c>
      <c r="B3257" t="s">
        <v>1043</v>
      </c>
      <c r="C3257">
        <v>2027</v>
      </c>
      <c r="D3257" t="s">
        <v>548</v>
      </c>
      <c r="E3257" t="s">
        <v>841</v>
      </c>
      <c r="F3257" s="32">
        <v>46465</v>
      </c>
      <c r="G3257" t="s">
        <v>514</v>
      </c>
      <c r="H3257">
        <v>47128706</v>
      </c>
      <c r="I3257" t="s">
        <v>1201</v>
      </c>
      <c r="J3257" t="s">
        <v>1200</v>
      </c>
      <c r="K3257" t="s">
        <v>530</v>
      </c>
      <c r="N3257">
        <v>16</v>
      </c>
      <c r="O3257">
        <v>16</v>
      </c>
      <c r="P3257" t="str">
        <f t="shared" si="50"/>
        <v>N</v>
      </c>
      <c r="Q3257" t="s">
        <v>8987</v>
      </c>
    </row>
    <row r="3258" spans="1:17" x14ac:dyDescent="0.25">
      <c r="A3258" t="s">
        <v>4107</v>
      </c>
      <c r="B3258" t="s">
        <v>1489</v>
      </c>
      <c r="C3258">
        <v>2027</v>
      </c>
      <c r="D3258" t="s">
        <v>548</v>
      </c>
      <c r="E3258" t="s">
        <v>841</v>
      </c>
      <c r="F3258" s="32">
        <v>46465</v>
      </c>
      <c r="G3258" t="s">
        <v>514</v>
      </c>
      <c r="H3258">
        <v>47128337</v>
      </c>
      <c r="I3258" t="s">
        <v>1120</v>
      </c>
      <c r="J3258" t="s">
        <v>1119</v>
      </c>
      <c r="K3258" t="s">
        <v>530</v>
      </c>
      <c r="N3258">
        <v>30</v>
      </c>
      <c r="O3258">
        <v>30</v>
      </c>
      <c r="P3258" t="str">
        <f t="shared" si="50"/>
        <v>N</v>
      </c>
      <c r="Q3258" t="s">
        <v>8988</v>
      </c>
    </row>
    <row r="3259" spans="1:17" x14ac:dyDescent="0.25">
      <c r="A3259" t="s">
        <v>4108</v>
      </c>
      <c r="B3259" t="s">
        <v>1489</v>
      </c>
      <c r="C3259">
        <v>2027</v>
      </c>
      <c r="D3259" t="s">
        <v>548</v>
      </c>
      <c r="E3259" t="s">
        <v>841</v>
      </c>
      <c r="F3259" s="32">
        <v>46465</v>
      </c>
      <c r="G3259" t="s">
        <v>514</v>
      </c>
      <c r="H3259">
        <v>47128977</v>
      </c>
      <c r="I3259" t="s">
        <v>1449</v>
      </c>
      <c r="J3259" t="s">
        <v>1448</v>
      </c>
      <c r="K3259" t="s">
        <v>530</v>
      </c>
      <c r="N3259">
        <v>0</v>
      </c>
      <c r="O3259">
        <v>0</v>
      </c>
      <c r="P3259" t="str">
        <f t="shared" si="50"/>
        <v>N</v>
      </c>
      <c r="Q3259" t="s">
        <v>8989</v>
      </c>
    </row>
    <row r="3260" spans="1:17" x14ac:dyDescent="0.25">
      <c r="A3260" t="s">
        <v>4362</v>
      </c>
      <c r="B3260" t="s">
        <v>916</v>
      </c>
      <c r="C3260">
        <v>2027</v>
      </c>
      <c r="D3260" t="s">
        <v>548</v>
      </c>
      <c r="E3260" t="s">
        <v>841</v>
      </c>
      <c r="F3260" s="32">
        <v>46465</v>
      </c>
      <c r="G3260" t="s">
        <v>514</v>
      </c>
      <c r="H3260">
        <v>47128046</v>
      </c>
      <c r="I3260" t="s">
        <v>1389</v>
      </c>
      <c r="J3260" t="s">
        <v>1388</v>
      </c>
      <c r="K3260" t="s">
        <v>530</v>
      </c>
      <c r="N3260">
        <v>0</v>
      </c>
      <c r="O3260">
        <v>0</v>
      </c>
      <c r="P3260" t="str">
        <f t="shared" si="50"/>
        <v>N</v>
      </c>
      <c r="Q3260" t="s">
        <v>8990</v>
      </c>
    </row>
    <row r="3261" spans="1:17" x14ac:dyDescent="0.25">
      <c r="A3261" t="s">
        <v>4363</v>
      </c>
      <c r="B3261" t="s">
        <v>916</v>
      </c>
      <c r="C3261">
        <v>2027</v>
      </c>
      <c r="D3261" t="s">
        <v>548</v>
      </c>
      <c r="E3261" t="s">
        <v>841</v>
      </c>
      <c r="F3261" s="32">
        <v>46465</v>
      </c>
      <c r="G3261" t="s">
        <v>514</v>
      </c>
      <c r="H3261">
        <v>47128364</v>
      </c>
      <c r="I3261" t="s">
        <v>1264</v>
      </c>
      <c r="J3261" t="s">
        <v>1263</v>
      </c>
      <c r="K3261" t="s">
        <v>530</v>
      </c>
      <c r="N3261">
        <v>0</v>
      </c>
      <c r="O3261">
        <v>0</v>
      </c>
      <c r="P3261" t="str">
        <f t="shared" si="50"/>
        <v>N</v>
      </c>
      <c r="Q3261" t="s">
        <v>8991</v>
      </c>
    </row>
    <row r="3262" spans="1:17" x14ac:dyDescent="0.25">
      <c r="A3262" t="s">
        <v>4364</v>
      </c>
      <c r="B3262" t="s">
        <v>916</v>
      </c>
      <c r="C3262">
        <v>2027</v>
      </c>
      <c r="D3262" t="s">
        <v>548</v>
      </c>
      <c r="E3262" t="s">
        <v>841</v>
      </c>
      <c r="F3262" s="32">
        <v>46465</v>
      </c>
      <c r="G3262" t="s">
        <v>514</v>
      </c>
      <c r="H3262">
        <v>47128706</v>
      </c>
      <c r="I3262" t="s">
        <v>1201</v>
      </c>
      <c r="J3262" t="s">
        <v>1200</v>
      </c>
      <c r="K3262" t="s">
        <v>530</v>
      </c>
      <c r="N3262">
        <v>70</v>
      </c>
      <c r="O3262">
        <v>70</v>
      </c>
      <c r="P3262" t="str">
        <f t="shared" si="50"/>
        <v>N</v>
      </c>
      <c r="Q3262" t="s">
        <v>8992</v>
      </c>
    </row>
    <row r="3263" spans="1:17" x14ac:dyDescent="0.25">
      <c r="A3263" t="s">
        <v>4365</v>
      </c>
      <c r="B3263" t="s">
        <v>916</v>
      </c>
      <c r="C3263">
        <v>2027</v>
      </c>
      <c r="D3263" t="s">
        <v>548</v>
      </c>
      <c r="E3263" t="s">
        <v>841</v>
      </c>
      <c r="F3263" s="32">
        <v>46465</v>
      </c>
      <c r="G3263" t="s">
        <v>514</v>
      </c>
      <c r="H3263">
        <v>47128633</v>
      </c>
      <c r="I3263" t="s">
        <v>1164</v>
      </c>
      <c r="J3263" t="s">
        <v>1163</v>
      </c>
      <c r="K3263" t="s">
        <v>530</v>
      </c>
      <c r="N3263">
        <v>0</v>
      </c>
      <c r="O3263">
        <v>0</v>
      </c>
      <c r="P3263" t="str">
        <f t="shared" si="50"/>
        <v>N</v>
      </c>
      <c r="Q3263" t="s">
        <v>8993</v>
      </c>
    </row>
    <row r="3264" spans="1:17" x14ac:dyDescent="0.25">
      <c r="A3264" t="s">
        <v>4366</v>
      </c>
      <c r="B3264" t="s">
        <v>916</v>
      </c>
      <c r="C3264">
        <v>2027</v>
      </c>
      <c r="D3264" t="s">
        <v>548</v>
      </c>
      <c r="E3264" t="s">
        <v>841</v>
      </c>
      <c r="F3264" s="32">
        <v>46465</v>
      </c>
      <c r="G3264" t="s">
        <v>514</v>
      </c>
      <c r="H3264">
        <v>47128355</v>
      </c>
      <c r="I3264" t="s">
        <v>964</v>
      </c>
      <c r="J3264" t="s">
        <v>963</v>
      </c>
      <c r="K3264" t="s">
        <v>530</v>
      </c>
      <c r="N3264">
        <v>0</v>
      </c>
      <c r="O3264">
        <v>0</v>
      </c>
      <c r="P3264" t="str">
        <f t="shared" si="50"/>
        <v>N</v>
      </c>
      <c r="Q3264" t="s">
        <v>8994</v>
      </c>
    </row>
    <row r="3265" spans="1:17" x14ac:dyDescent="0.25">
      <c r="A3265" t="s">
        <v>4367</v>
      </c>
      <c r="B3265" t="s">
        <v>916</v>
      </c>
      <c r="C3265">
        <v>2027</v>
      </c>
      <c r="D3265" t="s">
        <v>548</v>
      </c>
      <c r="E3265" t="s">
        <v>841</v>
      </c>
      <c r="F3265" s="32">
        <v>46465</v>
      </c>
      <c r="G3265" t="s">
        <v>514</v>
      </c>
      <c r="H3265">
        <v>47129548</v>
      </c>
      <c r="I3265" t="s">
        <v>1340</v>
      </c>
      <c r="J3265" t="s">
        <v>1339</v>
      </c>
      <c r="K3265" t="s">
        <v>530</v>
      </c>
      <c r="N3265">
        <v>0</v>
      </c>
      <c r="O3265">
        <v>0</v>
      </c>
      <c r="P3265" t="str">
        <f t="shared" si="50"/>
        <v>N</v>
      </c>
      <c r="Q3265" t="s">
        <v>8995</v>
      </c>
    </row>
    <row r="3266" spans="1:17" x14ac:dyDescent="0.25">
      <c r="A3266" t="s">
        <v>4368</v>
      </c>
      <c r="B3266" t="s">
        <v>916</v>
      </c>
      <c r="C3266">
        <v>2027</v>
      </c>
      <c r="D3266" t="s">
        <v>548</v>
      </c>
      <c r="E3266" t="s">
        <v>841</v>
      </c>
      <c r="F3266" s="32">
        <v>46465</v>
      </c>
      <c r="G3266" t="s">
        <v>514</v>
      </c>
      <c r="H3266">
        <v>47128835</v>
      </c>
      <c r="I3266" t="s">
        <v>998</v>
      </c>
      <c r="J3266" t="s">
        <v>997</v>
      </c>
      <c r="K3266" t="s">
        <v>530</v>
      </c>
      <c r="N3266">
        <v>0</v>
      </c>
      <c r="O3266">
        <v>0</v>
      </c>
      <c r="P3266" t="str">
        <f t="shared" si="50"/>
        <v>N</v>
      </c>
      <c r="Q3266" t="s">
        <v>8996</v>
      </c>
    </row>
    <row r="3267" spans="1:17" x14ac:dyDescent="0.25">
      <c r="A3267" t="s">
        <v>4369</v>
      </c>
      <c r="B3267" t="s">
        <v>916</v>
      </c>
      <c r="C3267">
        <v>2027</v>
      </c>
      <c r="D3267" t="s">
        <v>548</v>
      </c>
      <c r="E3267" t="s">
        <v>841</v>
      </c>
      <c r="F3267" s="32">
        <v>46465</v>
      </c>
      <c r="G3267" t="s">
        <v>514</v>
      </c>
      <c r="H3267">
        <v>47128788</v>
      </c>
      <c r="I3267" t="s">
        <v>4188</v>
      </c>
      <c r="J3267" t="s">
        <v>4189</v>
      </c>
      <c r="K3267" t="s">
        <v>530</v>
      </c>
      <c r="N3267">
        <v>0</v>
      </c>
      <c r="O3267">
        <v>0</v>
      </c>
      <c r="P3267" t="str">
        <f t="shared" ref="P3267:P3330" si="51">IF(N3267=O3267,"N","Y")</f>
        <v>N</v>
      </c>
      <c r="Q3267" t="s">
        <v>8997</v>
      </c>
    </row>
    <row r="3268" spans="1:17" x14ac:dyDescent="0.25">
      <c r="A3268" t="s">
        <v>4370</v>
      </c>
      <c r="B3268" t="s">
        <v>916</v>
      </c>
      <c r="C3268">
        <v>2027</v>
      </c>
      <c r="D3268" t="s">
        <v>548</v>
      </c>
      <c r="E3268" t="s">
        <v>841</v>
      </c>
      <c r="F3268" s="32">
        <v>46465</v>
      </c>
      <c r="G3268" t="s">
        <v>514</v>
      </c>
      <c r="H3268">
        <v>47136348</v>
      </c>
      <c r="I3268" t="s">
        <v>1025</v>
      </c>
      <c r="J3268" t="s">
        <v>1024</v>
      </c>
      <c r="K3268" t="s">
        <v>530</v>
      </c>
      <c r="N3268">
        <v>34</v>
      </c>
      <c r="O3268">
        <v>34</v>
      </c>
      <c r="P3268" t="str">
        <f t="shared" si="51"/>
        <v>N</v>
      </c>
      <c r="Q3268" t="s">
        <v>8998</v>
      </c>
    </row>
    <row r="3269" spans="1:17" x14ac:dyDescent="0.25">
      <c r="A3269" t="s">
        <v>4371</v>
      </c>
      <c r="B3269" t="s">
        <v>916</v>
      </c>
      <c r="C3269">
        <v>2027</v>
      </c>
      <c r="D3269" t="s">
        <v>548</v>
      </c>
      <c r="E3269" t="s">
        <v>841</v>
      </c>
      <c r="F3269" s="32">
        <v>46465</v>
      </c>
      <c r="G3269" t="s">
        <v>514</v>
      </c>
      <c r="H3269">
        <v>47135083</v>
      </c>
      <c r="I3269" t="s">
        <v>4192</v>
      </c>
      <c r="J3269" t="s">
        <v>4193</v>
      </c>
      <c r="K3269" t="s">
        <v>530</v>
      </c>
      <c r="N3269">
        <v>0</v>
      </c>
      <c r="O3269">
        <v>0</v>
      </c>
      <c r="P3269" t="str">
        <f t="shared" si="51"/>
        <v>N</v>
      </c>
      <c r="Q3269" t="s">
        <v>8999</v>
      </c>
    </row>
    <row r="3270" spans="1:17" x14ac:dyDescent="0.25">
      <c r="A3270" t="s">
        <v>4372</v>
      </c>
      <c r="B3270" t="s">
        <v>916</v>
      </c>
      <c r="C3270">
        <v>2027</v>
      </c>
      <c r="D3270" t="s">
        <v>548</v>
      </c>
      <c r="E3270" t="s">
        <v>841</v>
      </c>
      <c r="F3270" s="32">
        <v>46465</v>
      </c>
      <c r="G3270" t="s">
        <v>514</v>
      </c>
      <c r="H3270">
        <v>47128684</v>
      </c>
      <c r="I3270" t="s">
        <v>1005</v>
      </c>
      <c r="J3270" t="s">
        <v>1004</v>
      </c>
      <c r="K3270" t="s">
        <v>530</v>
      </c>
      <c r="N3270">
        <v>0</v>
      </c>
      <c r="O3270">
        <v>0</v>
      </c>
      <c r="P3270" t="str">
        <f t="shared" si="51"/>
        <v>N</v>
      </c>
      <c r="Q3270" t="s">
        <v>9000</v>
      </c>
    </row>
    <row r="3271" spans="1:17" x14ac:dyDescent="0.25">
      <c r="A3271" t="s">
        <v>4373</v>
      </c>
      <c r="B3271" t="s">
        <v>916</v>
      </c>
      <c r="C3271">
        <v>2027</v>
      </c>
      <c r="D3271" t="s">
        <v>548</v>
      </c>
      <c r="E3271" t="s">
        <v>841</v>
      </c>
      <c r="F3271" s="32">
        <v>46465</v>
      </c>
      <c r="G3271" t="s">
        <v>514</v>
      </c>
      <c r="H3271">
        <v>47128469</v>
      </c>
      <c r="I3271" t="s">
        <v>928</v>
      </c>
      <c r="J3271" t="s">
        <v>927</v>
      </c>
      <c r="K3271" t="s">
        <v>530</v>
      </c>
      <c r="N3271">
        <v>0</v>
      </c>
      <c r="O3271">
        <v>0</v>
      </c>
      <c r="P3271" t="str">
        <f t="shared" si="51"/>
        <v>N</v>
      </c>
      <c r="Q3271" t="s">
        <v>9001</v>
      </c>
    </row>
    <row r="3272" spans="1:17" x14ac:dyDescent="0.25">
      <c r="A3272" t="s">
        <v>4374</v>
      </c>
      <c r="B3272" t="s">
        <v>916</v>
      </c>
      <c r="C3272">
        <v>2027</v>
      </c>
      <c r="D3272" t="s">
        <v>548</v>
      </c>
      <c r="E3272" t="s">
        <v>841</v>
      </c>
      <c r="F3272" s="32">
        <v>46465</v>
      </c>
      <c r="G3272" t="s">
        <v>514</v>
      </c>
      <c r="H3272">
        <v>47128359</v>
      </c>
      <c r="I3272" t="s">
        <v>961</v>
      </c>
      <c r="J3272" t="s">
        <v>960</v>
      </c>
      <c r="K3272" t="s">
        <v>530</v>
      </c>
      <c r="N3272">
        <v>0</v>
      </c>
      <c r="O3272">
        <v>0</v>
      </c>
      <c r="P3272" t="str">
        <f t="shared" si="51"/>
        <v>N</v>
      </c>
      <c r="Q3272" t="s">
        <v>9002</v>
      </c>
    </row>
    <row r="3273" spans="1:17" x14ac:dyDescent="0.25">
      <c r="A3273" t="s">
        <v>4375</v>
      </c>
      <c r="B3273" t="s">
        <v>916</v>
      </c>
      <c r="C3273">
        <v>2027</v>
      </c>
      <c r="D3273" t="s">
        <v>548</v>
      </c>
      <c r="E3273" t="s">
        <v>841</v>
      </c>
      <c r="F3273" s="32">
        <v>46465</v>
      </c>
      <c r="G3273" t="s">
        <v>514</v>
      </c>
      <c r="H3273">
        <v>47128202</v>
      </c>
      <c r="I3273" t="s">
        <v>967</v>
      </c>
      <c r="J3273" t="s">
        <v>966</v>
      </c>
      <c r="K3273" t="s">
        <v>530</v>
      </c>
      <c r="N3273">
        <v>11</v>
      </c>
      <c r="O3273">
        <v>11</v>
      </c>
      <c r="P3273" t="str">
        <f t="shared" si="51"/>
        <v>N</v>
      </c>
      <c r="Q3273" t="s">
        <v>9003</v>
      </c>
    </row>
    <row r="3274" spans="1:17" x14ac:dyDescent="0.25">
      <c r="A3274" t="s">
        <v>4376</v>
      </c>
      <c r="B3274" t="s">
        <v>916</v>
      </c>
      <c r="C3274">
        <v>2027</v>
      </c>
      <c r="D3274" t="s">
        <v>548</v>
      </c>
      <c r="E3274" t="s">
        <v>841</v>
      </c>
      <c r="F3274" s="32">
        <v>46465</v>
      </c>
      <c r="G3274" t="s">
        <v>514</v>
      </c>
      <c r="H3274">
        <v>47128154</v>
      </c>
      <c r="I3274" t="s">
        <v>933</v>
      </c>
      <c r="J3274" t="s">
        <v>932</v>
      </c>
      <c r="K3274" t="s">
        <v>530</v>
      </c>
      <c r="N3274">
        <v>0</v>
      </c>
      <c r="O3274">
        <v>0</v>
      </c>
      <c r="P3274" t="str">
        <f t="shared" si="51"/>
        <v>N</v>
      </c>
      <c r="Q3274" t="s">
        <v>9004</v>
      </c>
    </row>
    <row r="3275" spans="1:17" x14ac:dyDescent="0.25">
      <c r="A3275" t="s">
        <v>4377</v>
      </c>
      <c r="B3275" t="s">
        <v>916</v>
      </c>
      <c r="C3275">
        <v>2027</v>
      </c>
      <c r="D3275" t="s">
        <v>548</v>
      </c>
      <c r="E3275" t="s">
        <v>841</v>
      </c>
      <c r="F3275" s="32">
        <v>46465</v>
      </c>
      <c r="G3275" t="s">
        <v>514</v>
      </c>
      <c r="H3275">
        <v>47128108</v>
      </c>
      <c r="I3275" t="s">
        <v>1011</v>
      </c>
      <c r="J3275" t="s">
        <v>1010</v>
      </c>
      <c r="K3275" t="s">
        <v>530</v>
      </c>
      <c r="N3275">
        <v>0</v>
      </c>
      <c r="O3275">
        <v>0</v>
      </c>
      <c r="P3275" t="str">
        <f t="shared" si="51"/>
        <v>N</v>
      </c>
      <c r="Q3275" t="s">
        <v>9005</v>
      </c>
    </row>
    <row r="3276" spans="1:17" x14ac:dyDescent="0.25">
      <c r="A3276" t="s">
        <v>4378</v>
      </c>
      <c r="B3276" t="s">
        <v>916</v>
      </c>
      <c r="C3276">
        <v>2027</v>
      </c>
      <c r="D3276" t="s">
        <v>548</v>
      </c>
      <c r="E3276" t="s">
        <v>841</v>
      </c>
      <c r="F3276" s="32">
        <v>46465</v>
      </c>
      <c r="G3276" t="s">
        <v>514</v>
      </c>
      <c r="H3276">
        <v>47129069</v>
      </c>
      <c r="I3276" t="s">
        <v>1325</v>
      </c>
      <c r="J3276" t="s">
        <v>1324</v>
      </c>
      <c r="K3276" t="s">
        <v>530</v>
      </c>
      <c r="N3276">
        <v>40</v>
      </c>
      <c r="O3276">
        <v>40</v>
      </c>
      <c r="P3276" t="str">
        <f t="shared" si="51"/>
        <v>N</v>
      </c>
      <c r="Q3276" t="s">
        <v>9006</v>
      </c>
    </row>
    <row r="3277" spans="1:17" x14ac:dyDescent="0.25">
      <c r="A3277" t="s">
        <v>4441</v>
      </c>
      <c r="B3277" t="s">
        <v>4428</v>
      </c>
      <c r="C3277">
        <v>2027</v>
      </c>
      <c r="D3277" t="s">
        <v>548</v>
      </c>
      <c r="E3277" t="s">
        <v>841</v>
      </c>
      <c r="F3277" s="32">
        <v>46465</v>
      </c>
      <c r="G3277" t="s">
        <v>514</v>
      </c>
      <c r="H3277">
        <v>47128132</v>
      </c>
      <c r="I3277" t="s">
        <v>4429</v>
      </c>
      <c r="J3277" t="s">
        <v>4430</v>
      </c>
      <c r="K3277" t="s">
        <v>530</v>
      </c>
      <c r="N3277">
        <v>0</v>
      </c>
      <c r="O3277">
        <v>0</v>
      </c>
      <c r="P3277" t="str">
        <f t="shared" si="51"/>
        <v>N</v>
      </c>
      <c r="Q3277" t="s">
        <v>9007</v>
      </c>
    </row>
    <row r="3278" spans="1:17" x14ac:dyDescent="0.25">
      <c r="A3278" t="s">
        <v>4494</v>
      </c>
      <c r="B3278" t="s">
        <v>4445</v>
      </c>
      <c r="C3278">
        <v>2027</v>
      </c>
      <c r="D3278" t="s">
        <v>548</v>
      </c>
      <c r="E3278" t="s">
        <v>841</v>
      </c>
      <c r="F3278" s="32">
        <v>46465</v>
      </c>
      <c r="G3278" t="s">
        <v>514</v>
      </c>
      <c r="H3278">
        <v>47129711</v>
      </c>
      <c r="I3278" t="s">
        <v>4446</v>
      </c>
      <c r="J3278" t="s">
        <v>4447</v>
      </c>
      <c r="K3278" t="s">
        <v>530</v>
      </c>
      <c r="N3278">
        <v>20</v>
      </c>
      <c r="O3278">
        <v>20</v>
      </c>
      <c r="P3278" t="str">
        <f t="shared" si="51"/>
        <v>N</v>
      </c>
      <c r="Q3278" t="s">
        <v>9008</v>
      </c>
    </row>
    <row r="3279" spans="1:17" x14ac:dyDescent="0.25">
      <c r="A3279" t="s">
        <v>4495</v>
      </c>
      <c r="B3279" t="s">
        <v>4445</v>
      </c>
      <c r="C3279">
        <v>2027</v>
      </c>
      <c r="D3279" t="s">
        <v>548</v>
      </c>
      <c r="E3279" t="s">
        <v>841</v>
      </c>
      <c r="F3279" s="32">
        <v>46465</v>
      </c>
      <c r="G3279" t="s">
        <v>514</v>
      </c>
      <c r="H3279">
        <v>47129228</v>
      </c>
      <c r="I3279" t="s">
        <v>4449</v>
      </c>
      <c r="J3279" t="s">
        <v>4450</v>
      </c>
      <c r="K3279" t="s">
        <v>530</v>
      </c>
      <c r="N3279">
        <v>32</v>
      </c>
      <c r="O3279">
        <v>32</v>
      </c>
      <c r="P3279" t="str">
        <f t="shared" si="51"/>
        <v>N</v>
      </c>
      <c r="Q3279" t="s">
        <v>9009</v>
      </c>
    </row>
    <row r="3280" spans="1:17" x14ac:dyDescent="0.25">
      <c r="A3280" t="s">
        <v>4699</v>
      </c>
      <c r="B3280" t="s">
        <v>1044</v>
      </c>
      <c r="C3280">
        <v>2027</v>
      </c>
      <c r="D3280" t="s">
        <v>548</v>
      </c>
      <c r="E3280" t="s">
        <v>841</v>
      </c>
      <c r="F3280" s="32">
        <v>46465</v>
      </c>
      <c r="G3280" t="s">
        <v>514</v>
      </c>
      <c r="H3280">
        <v>47128572</v>
      </c>
      <c r="I3280" t="s">
        <v>1197</v>
      </c>
      <c r="J3280" t="s">
        <v>1196</v>
      </c>
      <c r="K3280" t="s">
        <v>530</v>
      </c>
      <c r="N3280">
        <v>0</v>
      </c>
      <c r="O3280">
        <v>0</v>
      </c>
      <c r="P3280" t="str">
        <f t="shared" si="51"/>
        <v>N</v>
      </c>
      <c r="Q3280" t="s">
        <v>9010</v>
      </c>
    </row>
    <row r="3281" spans="1:17" x14ac:dyDescent="0.25">
      <c r="A3281" t="s">
        <v>4700</v>
      </c>
      <c r="B3281" t="s">
        <v>1044</v>
      </c>
      <c r="C3281">
        <v>2027</v>
      </c>
      <c r="D3281" t="s">
        <v>548</v>
      </c>
      <c r="E3281" t="s">
        <v>841</v>
      </c>
      <c r="F3281" s="32">
        <v>46465</v>
      </c>
      <c r="G3281" t="s">
        <v>514</v>
      </c>
      <c r="H3281">
        <v>47128481</v>
      </c>
      <c r="I3281" t="s">
        <v>1379</v>
      </c>
      <c r="J3281" t="s">
        <v>1378</v>
      </c>
      <c r="K3281" t="s">
        <v>530</v>
      </c>
      <c r="N3281">
        <v>20</v>
      </c>
      <c r="O3281">
        <v>20</v>
      </c>
      <c r="P3281" t="str">
        <f t="shared" si="51"/>
        <v>N</v>
      </c>
      <c r="Q3281" t="s">
        <v>9011</v>
      </c>
    </row>
    <row r="3282" spans="1:17" x14ac:dyDescent="0.25">
      <c r="A3282" t="s">
        <v>4701</v>
      </c>
      <c r="B3282" t="s">
        <v>1044</v>
      </c>
      <c r="C3282">
        <v>2027</v>
      </c>
      <c r="D3282" t="s">
        <v>548</v>
      </c>
      <c r="E3282" t="s">
        <v>841</v>
      </c>
      <c r="F3282" s="32">
        <v>46465</v>
      </c>
      <c r="G3282" t="s">
        <v>514</v>
      </c>
      <c r="H3282">
        <v>47128482</v>
      </c>
      <c r="I3282" t="s">
        <v>1393</v>
      </c>
      <c r="J3282" t="s">
        <v>1392</v>
      </c>
      <c r="K3282" t="s">
        <v>530</v>
      </c>
      <c r="N3282">
        <v>0</v>
      </c>
      <c r="O3282">
        <v>0</v>
      </c>
      <c r="P3282" t="str">
        <f t="shared" si="51"/>
        <v>N</v>
      </c>
      <c r="Q3282" t="s">
        <v>9012</v>
      </c>
    </row>
    <row r="3283" spans="1:17" x14ac:dyDescent="0.25">
      <c r="A3283" t="s">
        <v>4702</v>
      </c>
      <c r="B3283" t="s">
        <v>1044</v>
      </c>
      <c r="C3283">
        <v>2027</v>
      </c>
      <c r="D3283" t="s">
        <v>548</v>
      </c>
      <c r="E3283" t="s">
        <v>841</v>
      </c>
      <c r="F3283" s="32">
        <v>46465</v>
      </c>
      <c r="G3283" t="s">
        <v>514</v>
      </c>
      <c r="H3283">
        <v>47128337</v>
      </c>
      <c r="I3283" t="s">
        <v>1120</v>
      </c>
      <c r="J3283" t="s">
        <v>1119</v>
      </c>
      <c r="K3283" t="s">
        <v>530</v>
      </c>
      <c r="N3283">
        <v>30</v>
      </c>
      <c r="O3283">
        <v>30</v>
      </c>
      <c r="P3283" t="str">
        <f t="shared" si="51"/>
        <v>N</v>
      </c>
      <c r="Q3283" t="s">
        <v>9013</v>
      </c>
    </row>
    <row r="3284" spans="1:17" x14ac:dyDescent="0.25">
      <c r="A3284" t="s">
        <v>4703</v>
      </c>
      <c r="B3284" t="s">
        <v>1044</v>
      </c>
      <c r="C3284">
        <v>2027</v>
      </c>
      <c r="D3284" t="s">
        <v>548</v>
      </c>
      <c r="E3284" t="s">
        <v>841</v>
      </c>
      <c r="F3284" s="32">
        <v>46465</v>
      </c>
      <c r="G3284" t="s">
        <v>514</v>
      </c>
      <c r="H3284">
        <v>47136340</v>
      </c>
      <c r="I3284" t="s">
        <v>1213</v>
      </c>
      <c r="J3284" t="s">
        <v>1212</v>
      </c>
      <c r="K3284" t="s">
        <v>530</v>
      </c>
      <c r="N3284">
        <v>0</v>
      </c>
      <c r="O3284">
        <v>0</v>
      </c>
      <c r="P3284" t="str">
        <f t="shared" si="51"/>
        <v>N</v>
      </c>
      <c r="Q3284" t="s">
        <v>9014</v>
      </c>
    </row>
    <row r="3285" spans="1:17" x14ac:dyDescent="0.25">
      <c r="A3285" t="s">
        <v>4704</v>
      </c>
      <c r="B3285" t="s">
        <v>1044</v>
      </c>
      <c r="C3285">
        <v>2027</v>
      </c>
      <c r="D3285" t="s">
        <v>548</v>
      </c>
      <c r="E3285" t="s">
        <v>841</v>
      </c>
      <c r="F3285" s="32">
        <v>46465</v>
      </c>
      <c r="G3285" t="s">
        <v>514</v>
      </c>
      <c r="H3285">
        <v>47128169</v>
      </c>
      <c r="I3285" t="s">
        <v>1205</v>
      </c>
      <c r="J3285" t="s">
        <v>1204</v>
      </c>
      <c r="K3285" t="s">
        <v>530</v>
      </c>
      <c r="N3285">
        <v>0</v>
      </c>
      <c r="O3285">
        <v>0</v>
      </c>
      <c r="P3285" t="str">
        <f t="shared" si="51"/>
        <v>N</v>
      </c>
      <c r="Q3285" t="s">
        <v>9015</v>
      </c>
    </row>
    <row r="3286" spans="1:17" x14ac:dyDescent="0.25">
      <c r="A3286" t="s">
        <v>4705</v>
      </c>
      <c r="B3286" t="s">
        <v>1044</v>
      </c>
      <c r="C3286">
        <v>2027</v>
      </c>
      <c r="D3286" t="s">
        <v>548</v>
      </c>
      <c r="E3286" t="s">
        <v>841</v>
      </c>
      <c r="F3286" s="32">
        <v>46465</v>
      </c>
      <c r="G3286" t="s">
        <v>514</v>
      </c>
      <c r="H3286">
        <v>47128022</v>
      </c>
      <c r="I3286" t="s">
        <v>1104</v>
      </c>
      <c r="J3286" t="s">
        <v>1103</v>
      </c>
      <c r="K3286" t="s">
        <v>530</v>
      </c>
      <c r="N3286">
        <v>0</v>
      </c>
      <c r="O3286">
        <v>0</v>
      </c>
      <c r="P3286" t="str">
        <f t="shared" si="51"/>
        <v>N</v>
      </c>
      <c r="Q3286" t="s">
        <v>9016</v>
      </c>
    </row>
    <row r="3287" spans="1:17" x14ac:dyDescent="0.25">
      <c r="A3287" t="s">
        <v>4706</v>
      </c>
      <c r="B3287" t="s">
        <v>1044</v>
      </c>
      <c r="C3287">
        <v>2027</v>
      </c>
      <c r="D3287" t="s">
        <v>548</v>
      </c>
      <c r="E3287" t="s">
        <v>841</v>
      </c>
      <c r="F3287" s="32">
        <v>46465</v>
      </c>
      <c r="G3287" t="s">
        <v>514</v>
      </c>
      <c r="H3287">
        <v>47127948</v>
      </c>
      <c r="I3287" t="s">
        <v>1247</v>
      </c>
      <c r="J3287" t="s">
        <v>1246</v>
      </c>
      <c r="K3287" t="s">
        <v>530</v>
      </c>
      <c r="N3287">
        <v>20</v>
      </c>
      <c r="O3287">
        <v>20</v>
      </c>
      <c r="P3287" t="str">
        <f t="shared" si="51"/>
        <v>N</v>
      </c>
      <c r="Q3287" t="s">
        <v>9017</v>
      </c>
    </row>
    <row r="3288" spans="1:17" x14ac:dyDescent="0.25">
      <c r="A3288" t="s">
        <v>4707</v>
      </c>
      <c r="B3288" t="s">
        <v>1044</v>
      </c>
      <c r="C3288">
        <v>2027</v>
      </c>
      <c r="D3288" t="s">
        <v>548</v>
      </c>
      <c r="E3288" t="s">
        <v>841</v>
      </c>
      <c r="F3288" s="32">
        <v>46465</v>
      </c>
      <c r="G3288" t="s">
        <v>514</v>
      </c>
      <c r="H3288">
        <v>47129473</v>
      </c>
      <c r="I3288" t="s">
        <v>1430</v>
      </c>
      <c r="J3288" t="s">
        <v>1429</v>
      </c>
      <c r="K3288" t="s">
        <v>530</v>
      </c>
      <c r="N3288">
        <v>20</v>
      </c>
      <c r="O3288">
        <v>20</v>
      </c>
      <c r="P3288" t="str">
        <f t="shared" si="51"/>
        <v>N</v>
      </c>
      <c r="Q3288" t="s">
        <v>9018</v>
      </c>
    </row>
    <row r="3289" spans="1:17" x14ac:dyDescent="0.25">
      <c r="A3289" t="s">
        <v>4708</v>
      </c>
      <c r="B3289" t="s">
        <v>1044</v>
      </c>
      <c r="C3289">
        <v>2027</v>
      </c>
      <c r="D3289" t="s">
        <v>548</v>
      </c>
      <c r="E3289" t="s">
        <v>841</v>
      </c>
      <c r="F3289" s="32">
        <v>46465</v>
      </c>
      <c r="G3289" t="s">
        <v>514</v>
      </c>
      <c r="H3289">
        <v>47133720</v>
      </c>
      <c r="I3289" t="s">
        <v>1217</v>
      </c>
      <c r="J3289" t="s">
        <v>1216</v>
      </c>
      <c r="K3289" t="s">
        <v>530</v>
      </c>
      <c r="N3289">
        <v>20</v>
      </c>
      <c r="O3289">
        <v>20</v>
      </c>
      <c r="P3289" t="str">
        <f t="shared" si="51"/>
        <v>N</v>
      </c>
      <c r="Q3289" t="s">
        <v>9019</v>
      </c>
    </row>
    <row r="3290" spans="1:17" x14ac:dyDescent="0.25">
      <c r="A3290" t="s">
        <v>4709</v>
      </c>
      <c r="B3290" t="s">
        <v>1044</v>
      </c>
      <c r="C3290">
        <v>2027</v>
      </c>
      <c r="D3290" t="s">
        <v>548</v>
      </c>
      <c r="E3290" t="s">
        <v>841</v>
      </c>
      <c r="F3290" s="32">
        <v>46465</v>
      </c>
      <c r="G3290" t="s">
        <v>514</v>
      </c>
      <c r="H3290">
        <v>47128429</v>
      </c>
      <c r="I3290" t="s">
        <v>1371</v>
      </c>
      <c r="J3290" t="s">
        <v>1370</v>
      </c>
      <c r="K3290" t="s">
        <v>530</v>
      </c>
      <c r="N3290">
        <v>0</v>
      </c>
      <c r="O3290">
        <v>0</v>
      </c>
      <c r="P3290" t="str">
        <f t="shared" si="51"/>
        <v>N</v>
      </c>
      <c r="Q3290" t="s">
        <v>9020</v>
      </c>
    </row>
    <row r="3291" spans="1:17" x14ac:dyDescent="0.25">
      <c r="A3291" t="s">
        <v>4710</v>
      </c>
      <c r="B3291" t="s">
        <v>1044</v>
      </c>
      <c r="C3291">
        <v>2027</v>
      </c>
      <c r="D3291" t="s">
        <v>548</v>
      </c>
      <c r="E3291" t="s">
        <v>841</v>
      </c>
      <c r="F3291" s="32">
        <v>46465</v>
      </c>
      <c r="G3291" t="s">
        <v>514</v>
      </c>
      <c r="H3291">
        <v>47128181</v>
      </c>
      <c r="I3291" t="s">
        <v>1301</v>
      </c>
      <c r="J3291" t="s">
        <v>1300</v>
      </c>
      <c r="K3291" t="s">
        <v>530</v>
      </c>
      <c r="N3291">
        <v>0</v>
      </c>
      <c r="O3291">
        <v>0</v>
      </c>
      <c r="P3291" t="str">
        <f t="shared" si="51"/>
        <v>N</v>
      </c>
      <c r="Q3291" t="s">
        <v>9021</v>
      </c>
    </row>
    <row r="3292" spans="1:17" x14ac:dyDescent="0.25">
      <c r="A3292" t="s">
        <v>5132</v>
      </c>
      <c r="B3292" t="s">
        <v>1090</v>
      </c>
      <c r="C3292">
        <v>2027</v>
      </c>
      <c r="D3292" t="s">
        <v>548</v>
      </c>
      <c r="E3292" t="s">
        <v>841</v>
      </c>
      <c r="F3292" s="32">
        <v>46465</v>
      </c>
      <c r="G3292" t="s">
        <v>514</v>
      </c>
      <c r="H3292">
        <v>47128939</v>
      </c>
      <c r="I3292" t="s">
        <v>1224</v>
      </c>
      <c r="J3292" t="s">
        <v>1223</v>
      </c>
      <c r="K3292" t="s">
        <v>530</v>
      </c>
      <c r="N3292">
        <v>0</v>
      </c>
      <c r="O3292">
        <v>0</v>
      </c>
      <c r="P3292" t="str">
        <f t="shared" si="51"/>
        <v>N</v>
      </c>
      <c r="Q3292" t="s">
        <v>9022</v>
      </c>
    </row>
    <row r="3293" spans="1:17" x14ac:dyDescent="0.25">
      <c r="A3293" t="s">
        <v>5133</v>
      </c>
      <c r="B3293" t="s">
        <v>1090</v>
      </c>
      <c r="C3293">
        <v>2027</v>
      </c>
      <c r="D3293" t="s">
        <v>548</v>
      </c>
      <c r="E3293" t="s">
        <v>841</v>
      </c>
      <c r="F3293" s="32">
        <v>46465</v>
      </c>
      <c r="G3293" t="s">
        <v>514</v>
      </c>
      <c r="H3293">
        <v>47128449</v>
      </c>
      <c r="I3293" t="s">
        <v>1364</v>
      </c>
      <c r="J3293" t="s">
        <v>1363</v>
      </c>
      <c r="K3293" t="s">
        <v>530</v>
      </c>
      <c r="N3293">
        <v>0</v>
      </c>
      <c r="O3293">
        <v>0</v>
      </c>
      <c r="P3293" t="str">
        <f t="shared" si="51"/>
        <v>N</v>
      </c>
      <c r="Q3293" t="s">
        <v>9023</v>
      </c>
    </row>
    <row r="3294" spans="1:17" x14ac:dyDescent="0.25">
      <c r="A3294" t="s">
        <v>5134</v>
      </c>
      <c r="B3294" t="s">
        <v>1090</v>
      </c>
      <c r="C3294">
        <v>2027</v>
      </c>
      <c r="D3294" t="s">
        <v>548</v>
      </c>
      <c r="E3294" t="s">
        <v>841</v>
      </c>
      <c r="F3294" s="32">
        <v>46465</v>
      </c>
      <c r="G3294" t="s">
        <v>514</v>
      </c>
      <c r="H3294">
        <v>47128902</v>
      </c>
      <c r="I3294" t="s">
        <v>1243</v>
      </c>
      <c r="J3294" t="s">
        <v>1242</v>
      </c>
      <c r="K3294" t="s">
        <v>530</v>
      </c>
      <c r="N3294">
        <v>0</v>
      </c>
      <c r="O3294">
        <v>0</v>
      </c>
      <c r="P3294" t="str">
        <f t="shared" si="51"/>
        <v>N</v>
      </c>
      <c r="Q3294" t="s">
        <v>9024</v>
      </c>
    </row>
    <row r="3295" spans="1:17" x14ac:dyDescent="0.25">
      <c r="A3295" t="s">
        <v>5135</v>
      </c>
      <c r="B3295" t="s">
        <v>1090</v>
      </c>
      <c r="C3295">
        <v>2027</v>
      </c>
      <c r="D3295" t="s">
        <v>548</v>
      </c>
      <c r="E3295" t="s">
        <v>841</v>
      </c>
      <c r="F3295" s="32">
        <v>46465</v>
      </c>
      <c r="G3295" t="s">
        <v>514</v>
      </c>
      <c r="H3295">
        <v>47128417</v>
      </c>
      <c r="I3295" t="s">
        <v>1069</v>
      </c>
      <c r="J3295" t="s">
        <v>1068</v>
      </c>
      <c r="K3295" t="s">
        <v>530</v>
      </c>
      <c r="N3295">
        <v>0</v>
      </c>
      <c r="O3295">
        <v>0</v>
      </c>
      <c r="P3295" t="str">
        <f t="shared" si="51"/>
        <v>N</v>
      </c>
      <c r="Q3295" t="s">
        <v>9025</v>
      </c>
    </row>
    <row r="3296" spans="1:17" x14ac:dyDescent="0.25">
      <c r="A3296" t="s">
        <v>5136</v>
      </c>
      <c r="B3296" t="s">
        <v>1090</v>
      </c>
      <c r="C3296">
        <v>2027</v>
      </c>
      <c r="D3296" t="s">
        <v>548</v>
      </c>
      <c r="E3296" t="s">
        <v>841</v>
      </c>
      <c r="F3296" s="32">
        <v>46465</v>
      </c>
      <c r="G3296" t="s">
        <v>514</v>
      </c>
      <c r="H3296">
        <v>47129017</v>
      </c>
      <c r="I3296" t="s">
        <v>1073</v>
      </c>
      <c r="J3296" t="s">
        <v>1072</v>
      </c>
      <c r="K3296" t="s">
        <v>530</v>
      </c>
      <c r="N3296">
        <v>0</v>
      </c>
      <c r="O3296">
        <v>0</v>
      </c>
      <c r="P3296" t="str">
        <f t="shared" si="51"/>
        <v>N</v>
      </c>
      <c r="Q3296" t="s">
        <v>9026</v>
      </c>
    </row>
    <row r="3297" spans="1:17" x14ac:dyDescent="0.25">
      <c r="A3297" t="s">
        <v>5137</v>
      </c>
      <c r="B3297" t="s">
        <v>1090</v>
      </c>
      <c r="C3297">
        <v>2027</v>
      </c>
      <c r="D3297" t="s">
        <v>548</v>
      </c>
      <c r="E3297" t="s">
        <v>841</v>
      </c>
      <c r="F3297" s="32">
        <v>46465</v>
      </c>
      <c r="G3297" t="s">
        <v>514</v>
      </c>
      <c r="H3297">
        <v>47128936</v>
      </c>
      <c r="I3297" t="s">
        <v>1173</v>
      </c>
      <c r="J3297" t="s">
        <v>1172</v>
      </c>
      <c r="K3297" t="s">
        <v>530</v>
      </c>
      <c r="N3297">
        <v>0</v>
      </c>
      <c r="O3297">
        <v>0</v>
      </c>
      <c r="P3297" t="str">
        <f t="shared" si="51"/>
        <v>N</v>
      </c>
      <c r="Q3297" t="s">
        <v>9027</v>
      </c>
    </row>
    <row r="3298" spans="1:17" x14ac:dyDescent="0.25">
      <c r="A3298" t="s">
        <v>5138</v>
      </c>
      <c r="B3298" t="s">
        <v>1090</v>
      </c>
      <c r="C3298">
        <v>2027</v>
      </c>
      <c r="D3298" t="s">
        <v>548</v>
      </c>
      <c r="E3298" t="s">
        <v>841</v>
      </c>
      <c r="F3298" s="32">
        <v>46465</v>
      </c>
      <c r="G3298" t="s">
        <v>514</v>
      </c>
      <c r="H3298">
        <v>47129715</v>
      </c>
      <c r="I3298" t="s">
        <v>1272</v>
      </c>
      <c r="J3298" t="s">
        <v>1271</v>
      </c>
      <c r="K3298" t="s">
        <v>530</v>
      </c>
      <c r="N3298">
        <v>0</v>
      </c>
      <c r="O3298">
        <v>0</v>
      </c>
      <c r="P3298" t="str">
        <f t="shared" si="51"/>
        <v>N</v>
      </c>
      <c r="Q3298" t="s">
        <v>9028</v>
      </c>
    </row>
    <row r="3299" spans="1:17" x14ac:dyDescent="0.25">
      <c r="A3299" t="s">
        <v>5139</v>
      </c>
      <c r="B3299" t="s">
        <v>1090</v>
      </c>
      <c r="C3299">
        <v>2027</v>
      </c>
      <c r="D3299" t="s">
        <v>548</v>
      </c>
      <c r="E3299" t="s">
        <v>841</v>
      </c>
      <c r="F3299" s="32">
        <v>46465</v>
      </c>
      <c r="G3299" t="s">
        <v>514</v>
      </c>
      <c r="H3299">
        <v>47129702</v>
      </c>
      <c r="I3299" t="s">
        <v>1309</v>
      </c>
      <c r="J3299" t="s">
        <v>1308</v>
      </c>
      <c r="K3299" t="s">
        <v>530</v>
      </c>
      <c r="N3299">
        <v>0</v>
      </c>
      <c r="O3299">
        <v>0</v>
      </c>
      <c r="P3299" t="str">
        <f t="shared" si="51"/>
        <v>N</v>
      </c>
      <c r="Q3299" t="s">
        <v>9029</v>
      </c>
    </row>
    <row r="3300" spans="1:17" x14ac:dyDescent="0.25">
      <c r="A3300" t="s">
        <v>5140</v>
      </c>
      <c r="B3300" t="s">
        <v>1090</v>
      </c>
      <c r="C3300">
        <v>2027</v>
      </c>
      <c r="D3300" t="s">
        <v>548</v>
      </c>
      <c r="E3300" t="s">
        <v>841</v>
      </c>
      <c r="F3300" s="32">
        <v>46465</v>
      </c>
      <c r="G3300" t="s">
        <v>514</v>
      </c>
      <c r="H3300">
        <v>47128777</v>
      </c>
      <c r="I3300" t="s">
        <v>1329</v>
      </c>
      <c r="J3300" t="s">
        <v>1328</v>
      </c>
      <c r="K3300" t="s">
        <v>530</v>
      </c>
      <c r="N3300">
        <v>0</v>
      </c>
      <c r="O3300">
        <v>0</v>
      </c>
      <c r="P3300" t="str">
        <f t="shared" si="51"/>
        <v>N</v>
      </c>
      <c r="Q3300" t="s">
        <v>9030</v>
      </c>
    </row>
    <row r="3301" spans="1:17" x14ac:dyDescent="0.25">
      <c r="A3301" t="s">
        <v>5141</v>
      </c>
      <c r="B3301" t="s">
        <v>1090</v>
      </c>
      <c r="C3301">
        <v>2027</v>
      </c>
      <c r="D3301" t="s">
        <v>548</v>
      </c>
      <c r="E3301" t="s">
        <v>841</v>
      </c>
      <c r="F3301" s="32">
        <v>46465</v>
      </c>
      <c r="G3301" t="s">
        <v>514</v>
      </c>
      <c r="H3301">
        <v>47148880</v>
      </c>
      <c r="I3301" t="s">
        <v>1305</v>
      </c>
      <c r="J3301" t="s">
        <v>1304</v>
      </c>
      <c r="K3301" t="s">
        <v>530</v>
      </c>
      <c r="N3301">
        <v>0</v>
      </c>
      <c r="O3301">
        <v>0</v>
      </c>
      <c r="P3301" t="str">
        <f t="shared" si="51"/>
        <v>N</v>
      </c>
      <c r="Q3301" t="s">
        <v>9031</v>
      </c>
    </row>
    <row r="3302" spans="1:17" x14ac:dyDescent="0.25">
      <c r="A3302" t="s">
        <v>5142</v>
      </c>
      <c r="B3302" t="s">
        <v>1090</v>
      </c>
      <c r="C3302">
        <v>2027</v>
      </c>
      <c r="D3302" t="s">
        <v>548</v>
      </c>
      <c r="E3302" t="s">
        <v>841</v>
      </c>
      <c r="F3302" s="32">
        <v>46465</v>
      </c>
      <c r="G3302" t="s">
        <v>514</v>
      </c>
      <c r="H3302">
        <v>47128467</v>
      </c>
      <c r="I3302" t="s">
        <v>1292</v>
      </c>
      <c r="J3302" t="s">
        <v>1291</v>
      </c>
      <c r="K3302" t="s">
        <v>530</v>
      </c>
      <c r="N3302">
        <v>0</v>
      </c>
      <c r="O3302">
        <v>0</v>
      </c>
      <c r="P3302" t="str">
        <f t="shared" si="51"/>
        <v>N</v>
      </c>
      <c r="Q3302" t="s">
        <v>9032</v>
      </c>
    </row>
    <row r="3303" spans="1:17" x14ac:dyDescent="0.25">
      <c r="A3303" t="s">
        <v>5143</v>
      </c>
      <c r="B3303" t="s">
        <v>1090</v>
      </c>
      <c r="C3303">
        <v>2027</v>
      </c>
      <c r="D3303" t="s">
        <v>548</v>
      </c>
      <c r="E3303" t="s">
        <v>841</v>
      </c>
      <c r="F3303" s="32">
        <v>46465</v>
      </c>
      <c r="G3303" t="s">
        <v>514</v>
      </c>
      <c r="H3303">
        <v>47128643</v>
      </c>
      <c r="I3303" t="s">
        <v>1367</v>
      </c>
      <c r="J3303" t="s">
        <v>1366</v>
      </c>
      <c r="K3303" t="s">
        <v>530</v>
      </c>
      <c r="N3303">
        <v>0</v>
      </c>
      <c r="O3303">
        <v>0</v>
      </c>
      <c r="P3303" t="str">
        <f t="shared" si="51"/>
        <v>N</v>
      </c>
      <c r="Q3303" t="s">
        <v>9033</v>
      </c>
    </row>
    <row r="3304" spans="1:17" x14ac:dyDescent="0.25">
      <c r="A3304" t="s">
        <v>5144</v>
      </c>
      <c r="B3304" t="s">
        <v>1090</v>
      </c>
      <c r="C3304">
        <v>2027</v>
      </c>
      <c r="D3304" t="s">
        <v>548</v>
      </c>
      <c r="E3304" t="s">
        <v>841</v>
      </c>
      <c r="F3304" s="32">
        <v>46465</v>
      </c>
      <c r="G3304" t="s">
        <v>514</v>
      </c>
      <c r="H3304">
        <v>47151576</v>
      </c>
      <c r="I3304" t="s">
        <v>1506</v>
      </c>
      <c r="J3304" t="s">
        <v>1505</v>
      </c>
      <c r="K3304" t="s">
        <v>530</v>
      </c>
      <c r="N3304">
        <v>0</v>
      </c>
      <c r="O3304">
        <v>0</v>
      </c>
      <c r="P3304" t="str">
        <f t="shared" si="51"/>
        <v>N</v>
      </c>
      <c r="Q3304" t="s">
        <v>9034</v>
      </c>
    </row>
    <row r="3305" spans="1:17" x14ac:dyDescent="0.25">
      <c r="A3305" t="s">
        <v>5145</v>
      </c>
      <c r="B3305" t="s">
        <v>1090</v>
      </c>
      <c r="C3305">
        <v>2027</v>
      </c>
      <c r="D3305" t="s">
        <v>548</v>
      </c>
      <c r="E3305" t="s">
        <v>841</v>
      </c>
      <c r="F3305" s="32">
        <v>46465</v>
      </c>
      <c r="G3305" t="s">
        <v>514</v>
      </c>
      <c r="H3305">
        <v>47129459</v>
      </c>
      <c r="I3305" t="s">
        <v>1321</v>
      </c>
      <c r="J3305" t="s">
        <v>1320</v>
      </c>
      <c r="K3305" t="s">
        <v>530</v>
      </c>
      <c r="N3305">
        <v>0</v>
      </c>
      <c r="O3305">
        <v>0</v>
      </c>
      <c r="P3305" t="str">
        <f t="shared" si="51"/>
        <v>N</v>
      </c>
      <c r="Q3305" t="s">
        <v>9035</v>
      </c>
    </row>
    <row r="3306" spans="1:17" x14ac:dyDescent="0.25">
      <c r="A3306" t="s">
        <v>5146</v>
      </c>
      <c r="B3306" t="s">
        <v>1090</v>
      </c>
      <c r="C3306">
        <v>2027</v>
      </c>
      <c r="D3306" t="s">
        <v>548</v>
      </c>
      <c r="E3306" t="s">
        <v>841</v>
      </c>
      <c r="F3306" s="32">
        <v>46465</v>
      </c>
      <c r="G3306" t="s">
        <v>514</v>
      </c>
      <c r="H3306">
        <v>47129130</v>
      </c>
      <c r="I3306" t="s">
        <v>1434</v>
      </c>
      <c r="J3306" t="s">
        <v>1433</v>
      </c>
      <c r="K3306" t="s">
        <v>530</v>
      </c>
      <c r="N3306">
        <v>0</v>
      </c>
      <c r="O3306">
        <v>0</v>
      </c>
      <c r="P3306" t="str">
        <f t="shared" si="51"/>
        <v>N</v>
      </c>
      <c r="Q3306" t="s">
        <v>9036</v>
      </c>
    </row>
    <row r="3307" spans="1:17" x14ac:dyDescent="0.25">
      <c r="A3307" t="s">
        <v>5147</v>
      </c>
      <c r="B3307" t="s">
        <v>1090</v>
      </c>
      <c r="C3307">
        <v>2027</v>
      </c>
      <c r="D3307" t="s">
        <v>548</v>
      </c>
      <c r="E3307" t="s">
        <v>841</v>
      </c>
      <c r="F3307" s="32">
        <v>46465</v>
      </c>
      <c r="G3307" t="s">
        <v>514</v>
      </c>
      <c r="H3307">
        <v>47129692</v>
      </c>
      <c r="I3307" t="s">
        <v>1475</v>
      </c>
      <c r="J3307" t="s">
        <v>1474</v>
      </c>
      <c r="K3307" t="s">
        <v>530</v>
      </c>
      <c r="N3307">
        <v>0</v>
      </c>
      <c r="O3307">
        <v>0</v>
      </c>
      <c r="P3307" t="str">
        <f t="shared" si="51"/>
        <v>N</v>
      </c>
      <c r="Q3307" t="s">
        <v>9037</v>
      </c>
    </row>
    <row r="3308" spans="1:17" x14ac:dyDescent="0.25">
      <c r="A3308" t="s">
        <v>5148</v>
      </c>
      <c r="B3308" t="s">
        <v>1090</v>
      </c>
      <c r="C3308">
        <v>2027</v>
      </c>
      <c r="D3308" t="s">
        <v>548</v>
      </c>
      <c r="E3308" t="s">
        <v>841</v>
      </c>
      <c r="F3308" s="32">
        <v>46465</v>
      </c>
      <c r="G3308" t="s">
        <v>514</v>
      </c>
      <c r="H3308">
        <v>47153262</v>
      </c>
      <c r="I3308" t="s">
        <v>1502</v>
      </c>
      <c r="J3308" t="s">
        <v>1501</v>
      </c>
      <c r="K3308" t="s">
        <v>530</v>
      </c>
      <c r="N3308">
        <v>20</v>
      </c>
      <c r="O3308">
        <v>20</v>
      </c>
      <c r="P3308" t="str">
        <f t="shared" si="51"/>
        <v>N</v>
      </c>
      <c r="Q3308" t="s">
        <v>9038</v>
      </c>
    </row>
    <row r="3309" spans="1:17" x14ac:dyDescent="0.25">
      <c r="A3309" t="s">
        <v>5149</v>
      </c>
      <c r="B3309" t="s">
        <v>1090</v>
      </c>
      <c r="C3309">
        <v>2027</v>
      </c>
      <c r="D3309" t="s">
        <v>548</v>
      </c>
      <c r="E3309" t="s">
        <v>841</v>
      </c>
      <c r="F3309" s="32">
        <v>46465</v>
      </c>
      <c r="G3309" t="s">
        <v>514</v>
      </c>
      <c r="H3309">
        <v>47146895</v>
      </c>
      <c r="I3309" t="s">
        <v>1375</v>
      </c>
      <c r="J3309" t="s">
        <v>1374</v>
      </c>
      <c r="K3309" t="s">
        <v>530</v>
      </c>
      <c r="N3309">
        <v>0</v>
      </c>
      <c r="O3309">
        <v>0</v>
      </c>
      <c r="P3309" t="str">
        <f t="shared" si="51"/>
        <v>N</v>
      </c>
      <c r="Q3309" t="s">
        <v>9039</v>
      </c>
    </row>
    <row r="3310" spans="1:17" x14ac:dyDescent="0.25">
      <c r="A3310" t="s">
        <v>5150</v>
      </c>
      <c r="B3310" t="s">
        <v>1090</v>
      </c>
      <c r="C3310">
        <v>2027</v>
      </c>
      <c r="D3310" t="s">
        <v>548</v>
      </c>
      <c r="E3310" t="s">
        <v>841</v>
      </c>
      <c r="F3310" s="32">
        <v>46465</v>
      </c>
      <c r="G3310" t="s">
        <v>514</v>
      </c>
      <c r="H3310">
        <v>47128115</v>
      </c>
      <c r="I3310" t="s">
        <v>1260</v>
      </c>
      <c r="J3310" t="s">
        <v>1499</v>
      </c>
      <c r="K3310" t="s">
        <v>530</v>
      </c>
      <c r="N3310">
        <v>39</v>
      </c>
      <c r="O3310">
        <v>39</v>
      </c>
      <c r="P3310" t="str">
        <f t="shared" si="51"/>
        <v>N</v>
      </c>
      <c r="Q3310" t="s">
        <v>9040</v>
      </c>
    </row>
    <row r="3311" spans="1:17" x14ac:dyDescent="0.25">
      <c r="A3311" t="s">
        <v>5151</v>
      </c>
      <c r="B3311" t="s">
        <v>1090</v>
      </c>
      <c r="C3311">
        <v>2027</v>
      </c>
      <c r="D3311" t="s">
        <v>548</v>
      </c>
      <c r="E3311" t="s">
        <v>841</v>
      </c>
      <c r="F3311" s="32">
        <v>46465</v>
      </c>
      <c r="G3311" t="s">
        <v>514</v>
      </c>
      <c r="H3311">
        <v>47129679</v>
      </c>
      <c r="I3311" t="s">
        <v>1422</v>
      </c>
      <c r="J3311" t="s">
        <v>1421</v>
      </c>
      <c r="K3311" t="s">
        <v>530</v>
      </c>
      <c r="N3311">
        <v>0</v>
      </c>
      <c r="O3311">
        <v>0</v>
      </c>
      <c r="P3311" t="str">
        <f t="shared" si="51"/>
        <v>N</v>
      </c>
      <c r="Q3311" t="s">
        <v>9041</v>
      </c>
    </row>
    <row r="3312" spans="1:17" x14ac:dyDescent="0.25">
      <c r="A3312" t="s">
        <v>5152</v>
      </c>
      <c r="B3312" t="s">
        <v>1090</v>
      </c>
      <c r="C3312">
        <v>2027</v>
      </c>
      <c r="D3312" t="s">
        <v>548</v>
      </c>
      <c r="E3312" t="s">
        <v>841</v>
      </c>
      <c r="F3312" s="32">
        <v>46465</v>
      </c>
      <c r="G3312" t="s">
        <v>514</v>
      </c>
      <c r="H3312">
        <v>47129432</v>
      </c>
      <c r="I3312" t="s">
        <v>1468</v>
      </c>
      <c r="J3312" t="s">
        <v>1467</v>
      </c>
      <c r="K3312" t="s">
        <v>530</v>
      </c>
      <c r="N3312">
        <v>0</v>
      </c>
      <c r="O3312">
        <v>0</v>
      </c>
      <c r="P3312" t="str">
        <f t="shared" si="51"/>
        <v>N</v>
      </c>
      <c r="Q3312" t="s">
        <v>9042</v>
      </c>
    </row>
    <row r="3313" spans="1:17" x14ac:dyDescent="0.25">
      <c r="A3313" t="s">
        <v>5153</v>
      </c>
      <c r="B3313" t="s">
        <v>1090</v>
      </c>
      <c r="C3313">
        <v>2027</v>
      </c>
      <c r="D3313" t="s">
        <v>548</v>
      </c>
      <c r="E3313" t="s">
        <v>841</v>
      </c>
      <c r="F3313" s="32">
        <v>46465</v>
      </c>
      <c r="G3313" t="s">
        <v>514</v>
      </c>
      <c r="H3313">
        <v>47129050</v>
      </c>
      <c r="I3313" t="s">
        <v>1482</v>
      </c>
      <c r="J3313" t="s">
        <v>1481</v>
      </c>
      <c r="K3313" t="s">
        <v>530</v>
      </c>
      <c r="N3313">
        <v>0</v>
      </c>
      <c r="O3313">
        <v>0</v>
      </c>
      <c r="P3313" t="str">
        <f t="shared" si="51"/>
        <v>N</v>
      </c>
      <c r="Q3313" t="s">
        <v>9043</v>
      </c>
    </row>
    <row r="3314" spans="1:17" x14ac:dyDescent="0.25">
      <c r="A3314" t="s">
        <v>5385</v>
      </c>
      <c r="B3314" t="s">
        <v>1089</v>
      </c>
      <c r="C3314">
        <v>2027</v>
      </c>
      <c r="D3314" t="s">
        <v>548</v>
      </c>
      <c r="E3314" t="s">
        <v>841</v>
      </c>
      <c r="F3314" s="32">
        <v>46465</v>
      </c>
      <c r="G3314" t="s">
        <v>514</v>
      </c>
      <c r="H3314">
        <v>47128046</v>
      </c>
      <c r="I3314" t="s">
        <v>1389</v>
      </c>
      <c r="J3314" t="s">
        <v>1388</v>
      </c>
      <c r="K3314" t="s">
        <v>530</v>
      </c>
      <c r="N3314">
        <v>0</v>
      </c>
      <c r="O3314">
        <v>0</v>
      </c>
      <c r="P3314" t="str">
        <f t="shared" si="51"/>
        <v>N</v>
      </c>
      <c r="Q3314" t="s">
        <v>9044</v>
      </c>
    </row>
    <row r="3315" spans="1:17" x14ac:dyDescent="0.25">
      <c r="A3315" t="s">
        <v>5386</v>
      </c>
      <c r="B3315" t="s">
        <v>1089</v>
      </c>
      <c r="C3315">
        <v>2027</v>
      </c>
      <c r="D3315" t="s">
        <v>548</v>
      </c>
      <c r="E3315" t="s">
        <v>841</v>
      </c>
      <c r="F3315" s="32">
        <v>46465</v>
      </c>
      <c r="G3315" t="s">
        <v>514</v>
      </c>
      <c r="H3315">
        <v>47128364</v>
      </c>
      <c r="I3315" t="s">
        <v>1264</v>
      </c>
      <c r="J3315" t="s">
        <v>1263</v>
      </c>
      <c r="K3315" t="s">
        <v>530</v>
      </c>
      <c r="N3315">
        <v>0</v>
      </c>
      <c r="O3315">
        <v>0</v>
      </c>
      <c r="P3315" t="str">
        <f t="shared" si="51"/>
        <v>N</v>
      </c>
      <c r="Q3315" t="s">
        <v>9045</v>
      </c>
    </row>
    <row r="3316" spans="1:17" x14ac:dyDescent="0.25">
      <c r="A3316" t="s">
        <v>5387</v>
      </c>
      <c r="B3316" t="s">
        <v>1089</v>
      </c>
      <c r="C3316">
        <v>2027</v>
      </c>
      <c r="D3316" t="s">
        <v>548</v>
      </c>
      <c r="E3316" t="s">
        <v>841</v>
      </c>
      <c r="F3316" s="32">
        <v>46465</v>
      </c>
      <c r="G3316" t="s">
        <v>514</v>
      </c>
      <c r="H3316">
        <v>47128706</v>
      </c>
      <c r="I3316" t="s">
        <v>1201</v>
      </c>
      <c r="J3316" t="s">
        <v>1200</v>
      </c>
      <c r="K3316" t="s">
        <v>530</v>
      </c>
      <c r="N3316">
        <v>70</v>
      </c>
      <c r="O3316">
        <v>70</v>
      </c>
      <c r="P3316" t="str">
        <f t="shared" si="51"/>
        <v>N</v>
      </c>
      <c r="Q3316" t="s">
        <v>9046</v>
      </c>
    </row>
    <row r="3317" spans="1:17" x14ac:dyDescent="0.25">
      <c r="A3317" t="s">
        <v>5388</v>
      </c>
      <c r="B3317" t="s">
        <v>1089</v>
      </c>
      <c r="C3317">
        <v>2027</v>
      </c>
      <c r="D3317" t="s">
        <v>548</v>
      </c>
      <c r="E3317" t="s">
        <v>841</v>
      </c>
      <c r="F3317" s="32">
        <v>46465</v>
      </c>
      <c r="G3317" t="s">
        <v>514</v>
      </c>
      <c r="H3317">
        <v>47128633</v>
      </c>
      <c r="I3317" t="s">
        <v>1164</v>
      </c>
      <c r="J3317" t="s">
        <v>1163</v>
      </c>
      <c r="K3317" t="s">
        <v>530</v>
      </c>
      <c r="N3317">
        <v>0</v>
      </c>
      <c r="O3317">
        <v>0</v>
      </c>
      <c r="P3317" t="str">
        <f t="shared" si="51"/>
        <v>N</v>
      </c>
      <c r="Q3317" t="s">
        <v>9047</v>
      </c>
    </row>
    <row r="3318" spans="1:17" x14ac:dyDescent="0.25">
      <c r="A3318" t="s">
        <v>5389</v>
      </c>
      <c r="B3318" t="s">
        <v>1089</v>
      </c>
      <c r="C3318">
        <v>2027</v>
      </c>
      <c r="D3318" t="s">
        <v>548</v>
      </c>
      <c r="E3318" t="s">
        <v>841</v>
      </c>
      <c r="F3318" s="32">
        <v>46465</v>
      </c>
      <c r="G3318" t="s">
        <v>514</v>
      </c>
      <c r="H3318">
        <v>47129548</v>
      </c>
      <c r="I3318" t="s">
        <v>1340</v>
      </c>
      <c r="J3318" t="s">
        <v>1339</v>
      </c>
      <c r="K3318" t="s">
        <v>530</v>
      </c>
      <c r="N3318">
        <v>0</v>
      </c>
      <c r="O3318">
        <v>0</v>
      </c>
      <c r="P3318" t="str">
        <f t="shared" si="51"/>
        <v>N</v>
      </c>
      <c r="Q3318" t="s">
        <v>9048</v>
      </c>
    </row>
    <row r="3319" spans="1:17" x14ac:dyDescent="0.25">
      <c r="A3319" t="s">
        <v>5390</v>
      </c>
      <c r="B3319" t="s">
        <v>1089</v>
      </c>
      <c r="C3319">
        <v>2027</v>
      </c>
      <c r="D3319" t="s">
        <v>548</v>
      </c>
      <c r="E3319" t="s">
        <v>841</v>
      </c>
      <c r="F3319" s="32">
        <v>46465</v>
      </c>
      <c r="G3319" t="s">
        <v>514</v>
      </c>
      <c r="H3319">
        <v>47128835</v>
      </c>
      <c r="I3319" t="s">
        <v>998</v>
      </c>
      <c r="J3319" t="s">
        <v>997</v>
      </c>
      <c r="K3319" t="s">
        <v>530</v>
      </c>
      <c r="N3319">
        <v>0</v>
      </c>
      <c r="O3319">
        <v>0</v>
      </c>
      <c r="P3319" t="str">
        <f t="shared" si="51"/>
        <v>N</v>
      </c>
      <c r="Q3319" t="s">
        <v>9049</v>
      </c>
    </row>
    <row r="3320" spans="1:17" x14ac:dyDescent="0.25">
      <c r="A3320" t="s">
        <v>5391</v>
      </c>
      <c r="B3320" t="s">
        <v>1089</v>
      </c>
      <c r="C3320">
        <v>2027</v>
      </c>
      <c r="D3320" t="s">
        <v>548</v>
      </c>
      <c r="E3320" t="s">
        <v>841</v>
      </c>
      <c r="F3320" s="32">
        <v>46465</v>
      </c>
      <c r="G3320" t="s">
        <v>514</v>
      </c>
      <c r="H3320">
        <v>47128788</v>
      </c>
      <c r="I3320" t="s">
        <v>4188</v>
      </c>
      <c r="J3320" t="s">
        <v>4189</v>
      </c>
      <c r="K3320" t="s">
        <v>530</v>
      </c>
      <c r="N3320">
        <v>0</v>
      </c>
      <c r="O3320">
        <v>0</v>
      </c>
      <c r="P3320" t="str">
        <f t="shared" si="51"/>
        <v>N</v>
      </c>
      <c r="Q3320" t="s">
        <v>9050</v>
      </c>
    </row>
    <row r="3321" spans="1:17" x14ac:dyDescent="0.25">
      <c r="A3321" t="s">
        <v>5392</v>
      </c>
      <c r="B3321" t="s">
        <v>1089</v>
      </c>
      <c r="C3321">
        <v>2027</v>
      </c>
      <c r="D3321" t="s">
        <v>548</v>
      </c>
      <c r="E3321" t="s">
        <v>841</v>
      </c>
      <c r="F3321" s="32">
        <v>46465</v>
      </c>
      <c r="G3321" t="s">
        <v>514</v>
      </c>
      <c r="H3321">
        <v>47136348</v>
      </c>
      <c r="I3321" t="s">
        <v>1025</v>
      </c>
      <c r="J3321" t="s">
        <v>1024</v>
      </c>
      <c r="K3321" t="s">
        <v>530</v>
      </c>
      <c r="N3321">
        <v>34</v>
      </c>
      <c r="O3321">
        <v>34</v>
      </c>
      <c r="P3321" t="str">
        <f t="shared" si="51"/>
        <v>N</v>
      </c>
      <c r="Q3321" t="s">
        <v>9051</v>
      </c>
    </row>
    <row r="3322" spans="1:17" x14ac:dyDescent="0.25">
      <c r="A3322" t="s">
        <v>5393</v>
      </c>
      <c r="B3322" t="s">
        <v>1089</v>
      </c>
      <c r="C3322">
        <v>2027</v>
      </c>
      <c r="D3322" t="s">
        <v>548</v>
      </c>
      <c r="E3322" t="s">
        <v>841</v>
      </c>
      <c r="F3322" s="32">
        <v>46465</v>
      </c>
      <c r="G3322" t="s">
        <v>514</v>
      </c>
      <c r="H3322">
        <v>47135083</v>
      </c>
      <c r="I3322" t="s">
        <v>4192</v>
      </c>
      <c r="J3322" t="s">
        <v>4193</v>
      </c>
      <c r="K3322" t="s">
        <v>530</v>
      </c>
      <c r="N3322">
        <v>0</v>
      </c>
      <c r="O3322">
        <v>0</v>
      </c>
      <c r="P3322" t="str">
        <f t="shared" si="51"/>
        <v>N</v>
      </c>
      <c r="Q3322" t="s">
        <v>9052</v>
      </c>
    </row>
    <row r="3323" spans="1:17" x14ac:dyDescent="0.25">
      <c r="A3323" t="s">
        <v>5394</v>
      </c>
      <c r="B3323" t="s">
        <v>1089</v>
      </c>
      <c r="C3323">
        <v>2027</v>
      </c>
      <c r="D3323" t="s">
        <v>548</v>
      </c>
      <c r="E3323" t="s">
        <v>841</v>
      </c>
      <c r="F3323" s="32">
        <v>46465</v>
      </c>
      <c r="G3323" t="s">
        <v>514</v>
      </c>
      <c r="H3323">
        <v>47128515</v>
      </c>
      <c r="I3323" t="s">
        <v>1185</v>
      </c>
      <c r="J3323" t="s">
        <v>1184</v>
      </c>
      <c r="K3323" t="s">
        <v>530</v>
      </c>
      <c r="N3323">
        <v>0</v>
      </c>
      <c r="O3323">
        <v>0</v>
      </c>
      <c r="P3323" t="str">
        <f t="shared" si="51"/>
        <v>N</v>
      </c>
      <c r="Q3323" t="s">
        <v>9053</v>
      </c>
    </row>
    <row r="3324" spans="1:17" x14ac:dyDescent="0.25">
      <c r="A3324" t="s">
        <v>5395</v>
      </c>
      <c r="B3324" t="s">
        <v>1089</v>
      </c>
      <c r="C3324">
        <v>2027</v>
      </c>
      <c r="D3324" t="s">
        <v>548</v>
      </c>
      <c r="E3324" t="s">
        <v>841</v>
      </c>
      <c r="F3324" s="32">
        <v>46465</v>
      </c>
      <c r="G3324" t="s">
        <v>514</v>
      </c>
      <c r="H3324">
        <v>47128472</v>
      </c>
      <c r="I3324" t="s">
        <v>995</v>
      </c>
      <c r="J3324" t="s">
        <v>994</v>
      </c>
      <c r="K3324" t="s">
        <v>530</v>
      </c>
      <c r="N3324">
        <v>0</v>
      </c>
      <c r="O3324">
        <v>0</v>
      </c>
      <c r="P3324" t="str">
        <f t="shared" si="51"/>
        <v>N</v>
      </c>
      <c r="Q3324" t="s">
        <v>9054</v>
      </c>
    </row>
    <row r="3325" spans="1:17" x14ac:dyDescent="0.25">
      <c r="A3325" t="s">
        <v>5396</v>
      </c>
      <c r="B3325" t="s">
        <v>1089</v>
      </c>
      <c r="C3325">
        <v>2027</v>
      </c>
      <c r="D3325" t="s">
        <v>548</v>
      </c>
      <c r="E3325" t="s">
        <v>841</v>
      </c>
      <c r="F3325" s="32">
        <v>46465</v>
      </c>
      <c r="G3325" t="s">
        <v>514</v>
      </c>
      <c r="H3325">
        <v>47128202</v>
      </c>
      <c r="I3325" t="s">
        <v>967</v>
      </c>
      <c r="J3325" t="s">
        <v>966</v>
      </c>
      <c r="K3325" t="s">
        <v>530</v>
      </c>
      <c r="N3325">
        <v>0</v>
      </c>
      <c r="O3325">
        <v>0</v>
      </c>
      <c r="P3325" t="str">
        <f t="shared" si="51"/>
        <v>N</v>
      </c>
      <c r="Q3325" t="s">
        <v>9055</v>
      </c>
    </row>
    <row r="3326" spans="1:17" x14ac:dyDescent="0.25">
      <c r="A3326" t="s">
        <v>5397</v>
      </c>
      <c r="B3326" t="s">
        <v>1089</v>
      </c>
      <c r="C3326">
        <v>2027</v>
      </c>
      <c r="D3326" t="s">
        <v>548</v>
      </c>
      <c r="E3326" t="s">
        <v>841</v>
      </c>
      <c r="F3326" s="32">
        <v>46465</v>
      </c>
      <c r="G3326" t="s">
        <v>514</v>
      </c>
      <c r="H3326">
        <v>47128132</v>
      </c>
      <c r="I3326" t="s">
        <v>4429</v>
      </c>
      <c r="J3326" t="s">
        <v>4430</v>
      </c>
      <c r="K3326" t="s">
        <v>530</v>
      </c>
      <c r="N3326">
        <v>0</v>
      </c>
      <c r="O3326">
        <v>0</v>
      </c>
      <c r="P3326" t="str">
        <f t="shared" si="51"/>
        <v>N</v>
      </c>
      <c r="Q3326" t="s">
        <v>9056</v>
      </c>
    </row>
    <row r="3327" spans="1:17" x14ac:dyDescent="0.25">
      <c r="A3327" t="s">
        <v>5398</v>
      </c>
      <c r="B3327" t="s">
        <v>1089</v>
      </c>
      <c r="C3327">
        <v>2027</v>
      </c>
      <c r="D3327" t="s">
        <v>548</v>
      </c>
      <c r="E3327" t="s">
        <v>841</v>
      </c>
      <c r="F3327" s="32">
        <v>46465</v>
      </c>
      <c r="G3327" t="s">
        <v>514</v>
      </c>
      <c r="H3327">
        <v>47127971</v>
      </c>
      <c r="I3327" t="s">
        <v>991</v>
      </c>
      <c r="J3327" t="s">
        <v>990</v>
      </c>
      <c r="K3327" t="s">
        <v>530</v>
      </c>
      <c r="N3327">
        <v>9</v>
      </c>
      <c r="O3327">
        <v>9</v>
      </c>
      <c r="P3327" t="str">
        <f t="shared" si="51"/>
        <v>N</v>
      </c>
      <c r="Q3327" t="s">
        <v>9057</v>
      </c>
    </row>
    <row r="3328" spans="1:17" x14ac:dyDescent="0.25">
      <c r="A3328" t="s">
        <v>5632</v>
      </c>
      <c r="B3328" t="s">
        <v>5437</v>
      </c>
      <c r="C3328">
        <v>2027</v>
      </c>
      <c r="D3328" t="s">
        <v>548</v>
      </c>
      <c r="E3328" t="s">
        <v>841</v>
      </c>
      <c r="F3328" s="32">
        <v>46465</v>
      </c>
      <c r="G3328" t="s">
        <v>514</v>
      </c>
      <c r="H3328">
        <v>47128481</v>
      </c>
      <c r="I3328" t="s">
        <v>1379</v>
      </c>
      <c r="J3328" t="s">
        <v>1378</v>
      </c>
      <c r="K3328" t="s">
        <v>530</v>
      </c>
      <c r="N3328">
        <v>20</v>
      </c>
      <c r="O3328">
        <v>20</v>
      </c>
      <c r="P3328" t="str">
        <f t="shared" si="51"/>
        <v>N</v>
      </c>
      <c r="Q3328" t="s">
        <v>9058</v>
      </c>
    </row>
    <row r="3329" spans="1:17" x14ac:dyDescent="0.25">
      <c r="A3329" t="s">
        <v>5633</v>
      </c>
      <c r="B3329" t="s">
        <v>5437</v>
      </c>
      <c r="C3329">
        <v>2027</v>
      </c>
      <c r="D3329" t="s">
        <v>548</v>
      </c>
      <c r="E3329" t="s">
        <v>841</v>
      </c>
      <c r="F3329" s="32">
        <v>46465</v>
      </c>
      <c r="G3329" t="s">
        <v>514</v>
      </c>
      <c r="H3329">
        <v>47128572</v>
      </c>
      <c r="I3329" t="s">
        <v>1197</v>
      </c>
      <c r="J3329" t="s">
        <v>1196</v>
      </c>
      <c r="K3329" t="s">
        <v>530</v>
      </c>
      <c r="N3329">
        <v>0</v>
      </c>
      <c r="O3329">
        <v>0</v>
      </c>
      <c r="P3329" t="str">
        <f t="shared" si="51"/>
        <v>N</v>
      </c>
      <c r="Q3329" t="s">
        <v>9059</v>
      </c>
    </row>
    <row r="3330" spans="1:17" x14ac:dyDescent="0.25">
      <c r="A3330" t="s">
        <v>5634</v>
      </c>
      <c r="B3330" t="s">
        <v>5437</v>
      </c>
      <c r="C3330">
        <v>2027</v>
      </c>
      <c r="D3330" t="s">
        <v>548</v>
      </c>
      <c r="E3330" t="s">
        <v>841</v>
      </c>
      <c r="F3330" s="32">
        <v>46465</v>
      </c>
      <c r="G3330" t="s">
        <v>514</v>
      </c>
      <c r="H3330">
        <v>47128482</v>
      </c>
      <c r="I3330" t="s">
        <v>1393</v>
      </c>
      <c r="J3330" t="s">
        <v>1392</v>
      </c>
      <c r="K3330" t="s">
        <v>530</v>
      </c>
      <c r="N3330">
        <v>0</v>
      </c>
      <c r="O3330">
        <v>0</v>
      </c>
      <c r="P3330" t="str">
        <f t="shared" si="51"/>
        <v>N</v>
      </c>
      <c r="Q3330" t="s">
        <v>9060</v>
      </c>
    </row>
    <row r="3331" spans="1:17" x14ac:dyDescent="0.25">
      <c r="A3331" t="s">
        <v>5635</v>
      </c>
      <c r="B3331" t="s">
        <v>5437</v>
      </c>
      <c r="C3331">
        <v>2027</v>
      </c>
      <c r="D3331" t="s">
        <v>548</v>
      </c>
      <c r="E3331" t="s">
        <v>841</v>
      </c>
      <c r="F3331" s="32">
        <v>46465</v>
      </c>
      <c r="G3331" t="s">
        <v>514</v>
      </c>
      <c r="H3331">
        <v>47128337</v>
      </c>
      <c r="I3331" t="s">
        <v>1120</v>
      </c>
      <c r="J3331" t="s">
        <v>1119</v>
      </c>
      <c r="K3331" t="s">
        <v>530</v>
      </c>
      <c r="N3331">
        <v>30</v>
      </c>
      <c r="O3331">
        <v>30</v>
      </c>
      <c r="P3331" t="str">
        <f t="shared" ref="P3331:P3394" si="52">IF(N3331=O3331,"N","Y")</f>
        <v>N</v>
      </c>
      <c r="Q3331" t="s">
        <v>9061</v>
      </c>
    </row>
    <row r="3332" spans="1:17" x14ac:dyDescent="0.25">
      <c r="A3332" t="s">
        <v>5636</v>
      </c>
      <c r="B3332" t="s">
        <v>5437</v>
      </c>
      <c r="C3332">
        <v>2027</v>
      </c>
      <c r="D3332" t="s">
        <v>548</v>
      </c>
      <c r="E3332" t="s">
        <v>841</v>
      </c>
      <c r="F3332" s="32">
        <v>46465</v>
      </c>
      <c r="G3332" t="s">
        <v>514</v>
      </c>
      <c r="H3332">
        <v>47136340</v>
      </c>
      <c r="I3332" t="s">
        <v>1213</v>
      </c>
      <c r="J3332" t="s">
        <v>1212</v>
      </c>
      <c r="K3332" t="s">
        <v>530</v>
      </c>
      <c r="N3332">
        <v>0</v>
      </c>
      <c r="O3332">
        <v>0</v>
      </c>
      <c r="P3332" t="str">
        <f t="shared" si="52"/>
        <v>N</v>
      </c>
      <c r="Q3332" t="s">
        <v>9062</v>
      </c>
    </row>
    <row r="3333" spans="1:17" x14ac:dyDescent="0.25">
      <c r="A3333" t="s">
        <v>5637</v>
      </c>
      <c r="B3333" t="s">
        <v>5437</v>
      </c>
      <c r="C3333">
        <v>2027</v>
      </c>
      <c r="D3333" t="s">
        <v>548</v>
      </c>
      <c r="E3333" t="s">
        <v>841</v>
      </c>
      <c r="F3333" s="32">
        <v>46465</v>
      </c>
      <c r="G3333" t="s">
        <v>514</v>
      </c>
      <c r="H3333">
        <v>47128169</v>
      </c>
      <c r="I3333" t="s">
        <v>1205</v>
      </c>
      <c r="J3333" t="s">
        <v>1204</v>
      </c>
      <c r="K3333" t="s">
        <v>530</v>
      </c>
      <c r="N3333">
        <v>0</v>
      </c>
      <c r="O3333">
        <v>0</v>
      </c>
      <c r="P3333" t="str">
        <f t="shared" si="52"/>
        <v>N</v>
      </c>
      <c r="Q3333" t="s">
        <v>9063</v>
      </c>
    </row>
    <row r="3334" spans="1:17" x14ac:dyDescent="0.25">
      <c r="A3334" t="s">
        <v>5638</v>
      </c>
      <c r="B3334" t="s">
        <v>5437</v>
      </c>
      <c r="C3334">
        <v>2027</v>
      </c>
      <c r="D3334" t="s">
        <v>548</v>
      </c>
      <c r="E3334" t="s">
        <v>841</v>
      </c>
      <c r="F3334" s="32">
        <v>46465</v>
      </c>
      <c r="G3334" t="s">
        <v>514</v>
      </c>
      <c r="H3334">
        <v>47128022</v>
      </c>
      <c r="I3334" t="s">
        <v>1104</v>
      </c>
      <c r="J3334" t="s">
        <v>1103</v>
      </c>
      <c r="K3334" t="s">
        <v>530</v>
      </c>
      <c r="N3334">
        <v>0</v>
      </c>
      <c r="O3334">
        <v>0</v>
      </c>
      <c r="P3334" t="str">
        <f t="shared" si="52"/>
        <v>N</v>
      </c>
      <c r="Q3334" t="s">
        <v>9064</v>
      </c>
    </row>
    <row r="3335" spans="1:17" x14ac:dyDescent="0.25">
      <c r="A3335" t="s">
        <v>5639</v>
      </c>
      <c r="B3335" t="s">
        <v>5437</v>
      </c>
      <c r="C3335">
        <v>2027</v>
      </c>
      <c r="D3335" t="s">
        <v>548</v>
      </c>
      <c r="E3335" t="s">
        <v>841</v>
      </c>
      <c r="F3335" s="32">
        <v>46465</v>
      </c>
      <c r="G3335" t="s">
        <v>514</v>
      </c>
      <c r="H3335">
        <v>47127948</v>
      </c>
      <c r="I3335" t="s">
        <v>1247</v>
      </c>
      <c r="J3335" t="s">
        <v>1246</v>
      </c>
      <c r="K3335" t="s">
        <v>530</v>
      </c>
      <c r="N3335">
        <v>60</v>
      </c>
      <c r="O3335">
        <v>60</v>
      </c>
      <c r="P3335" t="str">
        <f t="shared" si="52"/>
        <v>N</v>
      </c>
      <c r="Q3335" t="s">
        <v>9065</v>
      </c>
    </row>
    <row r="3336" spans="1:17" x14ac:dyDescent="0.25">
      <c r="A3336" t="s">
        <v>5640</v>
      </c>
      <c r="B3336" t="s">
        <v>5437</v>
      </c>
      <c r="C3336">
        <v>2027</v>
      </c>
      <c r="D3336" t="s">
        <v>548</v>
      </c>
      <c r="E3336" t="s">
        <v>841</v>
      </c>
      <c r="F3336" s="32">
        <v>46465</v>
      </c>
      <c r="G3336" t="s">
        <v>514</v>
      </c>
      <c r="H3336">
        <v>47129473</v>
      </c>
      <c r="I3336" t="s">
        <v>1430</v>
      </c>
      <c r="J3336" t="s">
        <v>1429</v>
      </c>
      <c r="K3336" t="s">
        <v>530</v>
      </c>
      <c r="N3336">
        <v>40</v>
      </c>
      <c r="O3336">
        <v>40</v>
      </c>
      <c r="P3336" t="str">
        <f t="shared" si="52"/>
        <v>N</v>
      </c>
      <c r="Q3336" t="s">
        <v>9066</v>
      </c>
    </row>
    <row r="3337" spans="1:17" x14ac:dyDescent="0.25">
      <c r="A3337" t="s">
        <v>5641</v>
      </c>
      <c r="B3337" t="s">
        <v>5437</v>
      </c>
      <c r="C3337">
        <v>2027</v>
      </c>
      <c r="D3337" t="s">
        <v>548</v>
      </c>
      <c r="E3337" t="s">
        <v>841</v>
      </c>
      <c r="F3337" s="32">
        <v>46465</v>
      </c>
      <c r="G3337" t="s">
        <v>514</v>
      </c>
      <c r="H3337">
        <v>47133720</v>
      </c>
      <c r="I3337" t="s">
        <v>1217</v>
      </c>
      <c r="J3337" t="s">
        <v>1216</v>
      </c>
      <c r="K3337" t="s">
        <v>530</v>
      </c>
      <c r="N3337">
        <v>0</v>
      </c>
      <c r="O3337">
        <v>0</v>
      </c>
      <c r="P3337" t="str">
        <f t="shared" si="52"/>
        <v>N</v>
      </c>
      <c r="Q3337" t="s">
        <v>9067</v>
      </c>
    </row>
    <row r="3338" spans="1:17" x14ac:dyDescent="0.25">
      <c r="A3338" t="s">
        <v>5642</v>
      </c>
      <c r="B3338" t="s">
        <v>5437</v>
      </c>
      <c r="C3338">
        <v>2027</v>
      </c>
      <c r="D3338" t="s">
        <v>548</v>
      </c>
      <c r="E3338" t="s">
        <v>841</v>
      </c>
      <c r="F3338" s="32">
        <v>46465</v>
      </c>
      <c r="G3338" t="s">
        <v>514</v>
      </c>
      <c r="H3338">
        <v>47128429</v>
      </c>
      <c r="I3338" t="s">
        <v>1371</v>
      </c>
      <c r="J3338" t="s">
        <v>1370</v>
      </c>
      <c r="K3338" t="s">
        <v>530</v>
      </c>
      <c r="N3338">
        <v>0</v>
      </c>
      <c r="O3338">
        <v>0</v>
      </c>
      <c r="P3338" t="str">
        <f t="shared" si="52"/>
        <v>N</v>
      </c>
      <c r="Q3338" t="s">
        <v>9068</v>
      </c>
    </row>
    <row r="3339" spans="1:17" x14ac:dyDescent="0.25">
      <c r="A3339" t="s">
        <v>5643</v>
      </c>
      <c r="B3339" t="s">
        <v>5437</v>
      </c>
      <c r="C3339">
        <v>2027</v>
      </c>
      <c r="D3339" t="s">
        <v>548</v>
      </c>
      <c r="E3339" t="s">
        <v>841</v>
      </c>
      <c r="F3339" s="32">
        <v>46465</v>
      </c>
      <c r="G3339" t="s">
        <v>514</v>
      </c>
      <c r="H3339">
        <v>47128181</v>
      </c>
      <c r="I3339" t="s">
        <v>1301</v>
      </c>
      <c r="J3339" t="s">
        <v>1300</v>
      </c>
      <c r="K3339" t="s">
        <v>530</v>
      </c>
      <c r="N3339">
        <v>0</v>
      </c>
      <c r="O3339">
        <v>0</v>
      </c>
      <c r="P3339" t="str">
        <f t="shared" si="52"/>
        <v>N</v>
      </c>
      <c r="Q3339" t="s">
        <v>9069</v>
      </c>
    </row>
    <row r="3340" spans="1:17" x14ac:dyDescent="0.25">
      <c r="A3340" t="s">
        <v>1660</v>
      </c>
      <c r="B3340" t="s">
        <v>1520</v>
      </c>
      <c r="C3340">
        <v>2027</v>
      </c>
      <c r="D3340" t="s">
        <v>640</v>
      </c>
      <c r="E3340" t="s">
        <v>842</v>
      </c>
      <c r="F3340" s="32">
        <v>46472</v>
      </c>
      <c r="G3340" t="s">
        <v>514</v>
      </c>
      <c r="H3340">
        <v>47128204</v>
      </c>
      <c r="I3340" t="s">
        <v>1531</v>
      </c>
      <c r="J3340" t="s">
        <v>1532</v>
      </c>
      <c r="K3340" t="s">
        <v>530</v>
      </c>
      <c r="N3340">
        <v>0</v>
      </c>
      <c r="O3340">
        <v>0</v>
      </c>
      <c r="P3340" t="str">
        <f t="shared" si="52"/>
        <v>N</v>
      </c>
      <c r="Q3340" t="s">
        <v>9070</v>
      </c>
    </row>
    <row r="3341" spans="1:17" x14ac:dyDescent="0.25">
      <c r="A3341" t="s">
        <v>1661</v>
      </c>
      <c r="B3341" t="s">
        <v>1520</v>
      </c>
      <c r="C3341">
        <v>2027</v>
      </c>
      <c r="D3341" t="s">
        <v>640</v>
      </c>
      <c r="E3341" t="s">
        <v>842</v>
      </c>
      <c r="F3341" s="32">
        <v>46472</v>
      </c>
      <c r="G3341" t="s">
        <v>514</v>
      </c>
      <c r="H3341">
        <v>47128207</v>
      </c>
      <c r="I3341" t="s">
        <v>1522</v>
      </c>
      <c r="J3341" t="s">
        <v>1534</v>
      </c>
      <c r="K3341" t="s">
        <v>530</v>
      </c>
      <c r="N3341">
        <v>60</v>
      </c>
      <c r="O3341">
        <v>60</v>
      </c>
      <c r="P3341" t="str">
        <f t="shared" si="52"/>
        <v>N</v>
      </c>
      <c r="Q3341" t="s">
        <v>9071</v>
      </c>
    </row>
    <row r="3342" spans="1:17" x14ac:dyDescent="0.25">
      <c r="A3342" t="s">
        <v>1662</v>
      </c>
      <c r="B3342" t="s">
        <v>1520</v>
      </c>
      <c r="C3342">
        <v>2027</v>
      </c>
      <c r="D3342" t="s">
        <v>640</v>
      </c>
      <c r="E3342" t="s">
        <v>842</v>
      </c>
      <c r="F3342" s="32">
        <v>46472</v>
      </c>
      <c r="G3342" t="s">
        <v>514</v>
      </c>
      <c r="H3342">
        <v>47128581</v>
      </c>
      <c r="I3342" t="s">
        <v>1525</v>
      </c>
      <c r="J3342" t="s">
        <v>1526</v>
      </c>
      <c r="K3342" t="s">
        <v>530</v>
      </c>
      <c r="N3342">
        <v>0</v>
      </c>
      <c r="O3342">
        <v>0</v>
      </c>
      <c r="P3342" t="str">
        <f t="shared" si="52"/>
        <v>N</v>
      </c>
      <c r="Q3342" t="s">
        <v>9072</v>
      </c>
    </row>
    <row r="3343" spans="1:17" x14ac:dyDescent="0.25">
      <c r="A3343" t="s">
        <v>1663</v>
      </c>
      <c r="B3343" t="s">
        <v>1520</v>
      </c>
      <c r="C3343">
        <v>2027</v>
      </c>
      <c r="D3343" t="s">
        <v>640</v>
      </c>
      <c r="E3343" t="s">
        <v>842</v>
      </c>
      <c r="F3343" s="32">
        <v>46472</v>
      </c>
      <c r="G3343" t="s">
        <v>514</v>
      </c>
      <c r="H3343">
        <v>47127959</v>
      </c>
      <c r="I3343" t="s">
        <v>1528</v>
      </c>
      <c r="J3343" t="s">
        <v>1529</v>
      </c>
      <c r="K3343" t="s">
        <v>530</v>
      </c>
      <c r="N3343">
        <v>0</v>
      </c>
      <c r="O3343">
        <v>0</v>
      </c>
      <c r="P3343" t="str">
        <f t="shared" si="52"/>
        <v>N</v>
      </c>
      <c r="Q3343" t="s">
        <v>9073</v>
      </c>
    </row>
    <row r="3344" spans="1:17" x14ac:dyDescent="0.25">
      <c r="A3344" t="s">
        <v>1664</v>
      </c>
      <c r="B3344" t="s">
        <v>1520</v>
      </c>
      <c r="C3344">
        <v>2027</v>
      </c>
      <c r="D3344" t="s">
        <v>640</v>
      </c>
      <c r="E3344" t="s">
        <v>842</v>
      </c>
      <c r="F3344" s="32">
        <v>46472</v>
      </c>
      <c r="G3344" t="s">
        <v>563</v>
      </c>
      <c r="H3344">
        <v>10000015</v>
      </c>
      <c r="I3344" t="s">
        <v>562</v>
      </c>
      <c r="K3344" t="s">
        <v>530</v>
      </c>
      <c r="N3344">
        <v>0</v>
      </c>
      <c r="O3344">
        <v>0</v>
      </c>
      <c r="P3344" t="str">
        <f t="shared" si="52"/>
        <v>N</v>
      </c>
      <c r="Q3344" t="s">
        <v>9074</v>
      </c>
    </row>
    <row r="3345" spans="1:17" x14ac:dyDescent="0.25">
      <c r="A3345" t="s">
        <v>1665</v>
      </c>
      <c r="B3345" t="s">
        <v>1520</v>
      </c>
      <c r="C3345">
        <v>2027</v>
      </c>
      <c r="D3345" t="s">
        <v>640</v>
      </c>
      <c r="E3345" t="s">
        <v>842</v>
      </c>
      <c r="F3345" s="32">
        <v>46472</v>
      </c>
      <c r="G3345" t="s">
        <v>514</v>
      </c>
      <c r="H3345">
        <v>47127959</v>
      </c>
      <c r="I3345" t="s">
        <v>1528</v>
      </c>
      <c r="J3345" t="s">
        <v>1537</v>
      </c>
      <c r="K3345" t="s">
        <v>530</v>
      </c>
      <c r="N3345">
        <v>0</v>
      </c>
      <c r="O3345">
        <v>0</v>
      </c>
      <c r="P3345" t="str">
        <f t="shared" si="52"/>
        <v>N</v>
      </c>
      <c r="Q3345" t="s">
        <v>9075</v>
      </c>
    </row>
    <row r="3346" spans="1:17" x14ac:dyDescent="0.25">
      <c r="A3346" t="s">
        <v>1666</v>
      </c>
      <c r="B3346" t="s">
        <v>1520</v>
      </c>
      <c r="C3346">
        <v>2027</v>
      </c>
      <c r="D3346" t="s">
        <v>640</v>
      </c>
      <c r="E3346" t="s">
        <v>842</v>
      </c>
      <c r="F3346" s="32">
        <v>46472</v>
      </c>
      <c r="G3346" t="s">
        <v>514</v>
      </c>
      <c r="H3346">
        <v>47128581</v>
      </c>
      <c r="I3346" t="s">
        <v>1525</v>
      </c>
      <c r="J3346" t="s">
        <v>1539</v>
      </c>
      <c r="K3346" t="s">
        <v>530</v>
      </c>
      <c r="N3346">
        <v>0</v>
      </c>
      <c r="O3346">
        <v>0</v>
      </c>
      <c r="P3346" t="str">
        <f t="shared" si="52"/>
        <v>N</v>
      </c>
      <c r="Q3346" t="s">
        <v>9076</v>
      </c>
    </row>
    <row r="3347" spans="1:17" x14ac:dyDescent="0.25">
      <c r="A3347" t="s">
        <v>1667</v>
      </c>
      <c r="B3347" t="s">
        <v>1520</v>
      </c>
      <c r="C3347">
        <v>2027</v>
      </c>
      <c r="D3347" t="s">
        <v>640</v>
      </c>
      <c r="E3347" t="s">
        <v>842</v>
      </c>
      <c r="F3347" s="32">
        <v>46472</v>
      </c>
      <c r="G3347" t="s">
        <v>514</v>
      </c>
      <c r="H3347">
        <v>47128781</v>
      </c>
      <c r="I3347" t="s">
        <v>1251</v>
      </c>
      <c r="J3347" t="s">
        <v>1250</v>
      </c>
      <c r="K3347" t="s">
        <v>530</v>
      </c>
      <c r="N3347">
        <v>0</v>
      </c>
      <c r="O3347">
        <v>0</v>
      </c>
      <c r="P3347" t="str">
        <f t="shared" si="52"/>
        <v>N</v>
      </c>
      <c r="Q3347" t="s">
        <v>9077</v>
      </c>
    </row>
    <row r="3348" spans="1:17" x14ac:dyDescent="0.25">
      <c r="A3348" t="s">
        <v>2169</v>
      </c>
      <c r="B3348" t="s">
        <v>1135</v>
      </c>
      <c r="C3348">
        <v>2027</v>
      </c>
      <c r="D3348" t="s">
        <v>640</v>
      </c>
      <c r="E3348" t="s">
        <v>842</v>
      </c>
      <c r="F3348" s="32">
        <v>46472</v>
      </c>
      <c r="G3348" t="s">
        <v>514</v>
      </c>
      <c r="H3348">
        <v>47128168</v>
      </c>
      <c r="I3348" t="s">
        <v>1100</v>
      </c>
      <c r="J3348" t="s">
        <v>1099</v>
      </c>
      <c r="K3348" t="s">
        <v>530</v>
      </c>
      <c r="N3348">
        <v>0</v>
      </c>
      <c r="O3348">
        <v>0</v>
      </c>
      <c r="P3348" t="str">
        <f t="shared" si="52"/>
        <v>N</v>
      </c>
      <c r="Q3348" t="s">
        <v>9078</v>
      </c>
    </row>
    <row r="3349" spans="1:17" x14ac:dyDescent="0.25">
      <c r="A3349" t="s">
        <v>2170</v>
      </c>
      <c r="B3349" t="s">
        <v>1135</v>
      </c>
      <c r="C3349">
        <v>2027</v>
      </c>
      <c r="D3349" t="s">
        <v>640</v>
      </c>
      <c r="E3349" t="s">
        <v>842</v>
      </c>
      <c r="F3349" s="32">
        <v>46472</v>
      </c>
      <c r="G3349" t="s">
        <v>514</v>
      </c>
      <c r="H3349">
        <v>47128906</v>
      </c>
      <c r="I3349" t="s">
        <v>1349</v>
      </c>
      <c r="J3349" t="s">
        <v>1348</v>
      </c>
      <c r="K3349" t="s">
        <v>530</v>
      </c>
      <c r="N3349">
        <v>0</v>
      </c>
      <c r="O3349">
        <v>0</v>
      </c>
      <c r="P3349" t="str">
        <f t="shared" si="52"/>
        <v>N</v>
      </c>
      <c r="Q3349" t="s">
        <v>9079</v>
      </c>
    </row>
    <row r="3350" spans="1:17" x14ac:dyDescent="0.25">
      <c r="A3350" t="s">
        <v>2171</v>
      </c>
      <c r="B3350" t="s">
        <v>1135</v>
      </c>
      <c r="C3350">
        <v>2027</v>
      </c>
      <c r="D3350" t="s">
        <v>640</v>
      </c>
      <c r="E3350" t="s">
        <v>842</v>
      </c>
      <c r="F3350" s="32">
        <v>46472</v>
      </c>
      <c r="G3350" t="s">
        <v>514</v>
      </c>
      <c r="H3350">
        <v>47128783</v>
      </c>
      <c r="I3350" t="s">
        <v>1280</v>
      </c>
      <c r="J3350" t="s">
        <v>1279</v>
      </c>
      <c r="K3350" t="s">
        <v>530</v>
      </c>
      <c r="N3350">
        <v>0</v>
      </c>
      <c r="O3350">
        <v>0</v>
      </c>
      <c r="P3350" t="str">
        <f t="shared" si="52"/>
        <v>N</v>
      </c>
      <c r="Q3350" t="s">
        <v>9080</v>
      </c>
    </row>
    <row r="3351" spans="1:17" x14ac:dyDescent="0.25">
      <c r="A3351" t="s">
        <v>2172</v>
      </c>
      <c r="B3351" t="s">
        <v>1135</v>
      </c>
      <c r="C3351">
        <v>2027</v>
      </c>
      <c r="D3351" t="s">
        <v>640</v>
      </c>
      <c r="E3351" t="s">
        <v>842</v>
      </c>
      <c r="F3351" s="32">
        <v>46472</v>
      </c>
      <c r="G3351" t="s">
        <v>514</v>
      </c>
      <c r="H3351">
        <v>47128944</v>
      </c>
      <c r="I3351" t="s">
        <v>1137</v>
      </c>
      <c r="J3351" t="s">
        <v>1136</v>
      </c>
      <c r="K3351" t="s">
        <v>530</v>
      </c>
      <c r="N3351">
        <v>0</v>
      </c>
      <c r="O3351">
        <v>0</v>
      </c>
      <c r="P3351" t="str">
        <f t="shared" si="52"/>
        <v>N</v>
      </c>
      <c r="Q3351" t="s">
        <v>9081</v>
      </c>
    </row>
    <row r="3352" spans="1:17" x14ac:dyDescent="0.25">
      <c r="A3352" t="s">
        <v>2173</v>
      </c>
      <c r="B3352" t="s">
        <v>1135</v>
      </c>
      <c r="C3352">
        <v>2027</v>
      </c>
      <c r="D3352" t="s">
        <v>640</v>
      </c>
      <c r="E3352" t="s">
        <v>842</v>
      </c>
      <c r="F3352" s="32">
        <v>46472</v>
      </c>
      <c r="G3352" t="s">
        <v>514</v>
      </c>
      <c r="H3352">
        <v>47128729</v>
      </c>
      <c r="I3352" t="s">
        <v>1149</v>
      </c>
      <c r="J3352" t="s">
        <v>1148</v>
      </c>
      <c r="K3352" t="s">
        <v>530</v>
      </c>
      <c r="N3352">
        <v>0</v>
      </c>
      <c r="O3352">
        <v>0</v>
      </c>
      <c r="P3352" t="str">
        <f t="shared" si="52"/>
        <v>N</v>
      </c>
      <c r="Q3352" t="s">
        <v>9082</v>
      </c>
    </row>
    <row r="3353" spans="1:17" x14ac:dyDescent="0.25">
      <c r="A3353" t="s">
        <v>2174</v>
      </c>
      <c r="B3353" t="s">
        <v>1135</v>
      </c>
      <c r="C3353">
        <v>2027</v>
      </c>
      <c r="D3353" t="s">
        <v>640</v>
      </c>
      <c r="E3353" t="s">
        <v>842</v>
      </c>
      <c r="F3353" s="32">
        <v>46472</v>
      </c>
      <c r="G3353" t="s">
        <v>514</v>
      </c>
      <c r="H3353">
        <v>47128585</v>
      </c>
      <c r="I3353" t="s">
        <v>1141</v>
      </c>
      <c r="J3353" t="s">
        <v>1140</v>
      </c>
      <c r="K3353" t="s">
        <v>530</v>
      </c>
      <c r="N3353">
        <v>0</v>
      </c>
      <c r="O3353">
        <v>0</v>
      </c>
      <c r="P3353" t="str">
        <f t="shared" si="52"/>
        <v>N</v>
      </c>
      <c r="Q3353" t="s">
        <v>9083</v>
      </c>
    </row>
    <row r="3354" spans="1:17" x14ac:dyDescent="0.25">
      <c r="A3354" t="s">
        <v>2175</v>
      </c>
      <c r="B3354" t="s">
        <v>1135</v>
      </c>
      <c r="C3354">
        <v>2027</v>
      </c>
      <c r="D3354" t="s">
        <v>640</v>
      </c>
      <c r="E3354" t="s">
        <v>842</v>
      </c>
      <c r="F3354" s="32">
        <v>46472</v>
      </c>
      <c r="G3354" t="s">
        <v>514</v>
      </c>
      <c r="H3354">
        <v>47128680</v>
      </c>
      <c r="I3354" t="s">
        <v>1284</v>
      </c>
      <c r="J3354" t="s">
        <v>1283</v>
      </c>
      <c r="K3354" t="s">
        <v>530</v>
      </c>
      <c r="N3354">
        <v>0</v>
      </c>
      <c r="O3354">
        <v>0</v>
      </c>
      <c r="P3354" t="str">
        <f t="shared" si="52"/>
        <v>N</v>
      </c>
      <c r="Q3354" t="s">
        <v>9084</v>
      </c>
    </row>
    <row r="3355" spans="1:17" x14ac:dyDescent="0.25">
      <c r="A3355" t="s">
        <v>2176</v>
      </c>
      <c r="B3355" t="s">
        <v>1135</v>
      </c>
      <c r="C3355">
        <v>2027</v>
      </c>
      <c r="D3355" t="s">
        <v>640</v>
      </c>
      <c r="E3355" t="s">
        <v>842</v>
      </c>
      <c r="F3355" s="32">
        <v>46472</v>
      </c>
      <c r="G3355" t="s">
        <v>514</v>
      </c>
      <c r="H3355">
        <v>47128585</v>
      </c>
      <c r="I3355" t="s">
        <v>1141</v>
      </c>
      <c r="J3355" t="s">
        <v>1408</v>
      </c>
      <c r="K3355" t="s">
        <v>530</v>
      </c>
      <c r="N3355">
        <v>0</v>
      </c>
      <c r="O3355">
        <v>0</v>
      </c>
      <c r="P3355" t="str">
        <f t="shared" si="52"/>
        <v>N</v>
      </c>
      <c r="Q3355" t="s">
        <v>9085</v>
      </c>
    </row>
    <row r="3356" spans="1:17" x14ac:dyDescent="0.25">
      <c r="A3356" t="s">
        <v>2177</v>
      </c>
      <c r="B3356" t="s">
        <v>1135</v>
      </c>
      <c r="C3356">
        <v>2027</v>
      </c>
      <c r="D3356" t="s">
        <v>640</v>
      </c>
      <c r="E3356" t="s">
        <v>842</v>
      </c>
      <c r="F3356" s="32">
        <v>46472</v>
      </c>
      <c r="G3356" t="s">
        <v>514</v>
      </c>
      <c r="H3356">
        <v>47128039</v>
      </c>
      <c r="I3356" t="s">
        <v>1405</v>
      </c>
      <c r="J3356" t="s">
        <v>1404</v>
      </c>
      <c r="K3356" t="s">
        <v>530</v>
      </c>
      <c r="N3356">
        <v>0</v>
      </c>
      <c r="O3356">
        <v>0</v>
      </c>
      <c r="P3356" t="str">
        <f t="shared" si="52"/>
        <v>N</v>
      </c>
      <c r="Q3356" t="s">
        <v>9086</v>
      </c>
    </row>
    <row r="3357" spans="1:17" x14ac:dyDescent="0.25">
      <c r="A3357" t="s">
        <v>2178</v>
      </c>
      <c r="B3357" t="s">
        <v>1135</v>
      </c>
      <c r="C3357">
        <v>2027</v>
      </c>
      <c r="D3357" t="s">
        <v>640</v>
      </c>
      <c r="E3357" t="s">
        <v>842</v>
      </c>
      <c r="F3357" s="32">
        <v>46472</v>
      </c>
      <c r="G3357" t="s">
        <v>514</v>
      </c>
      <c r="H3357">
        <v>47128024</v>
      </c>
      <c r="I3357" t="s">
        <v>1108</v>
      </c>
      <c r="J3357" t="s">
        <v>1107</v>
      </c>
      <c r="K3357" t="s">
        <v>530</v>
      </c>
      <c r="N3357">
        <v>0</v>
      </c>
      <c r="O3357">
        <v>0</v>
      </c>
      <c r="P3357" t="str">
        <f t="shared" si="52"/>
        <v>N</v>
      </c>
      <c r="Q3357" t="s">
        <v>9087</v>
      </c>
    </row>
    <row r="3358" spans="1:17" x14ac:dyDescent="0.25">
      <c r="A3358" t="s">
        <v>2179</v>
      </c>
      <c r="B3358" t="s">
        <v>1135</v>
      </c>
      <c r="C3358">
        <v>2027</v>
      </c>
      <c r="D3358" t="s">
        <v>640</v>
      </c>
      <c r="E3358" t="s">
        <v>842</v>
      </c>
      <c r="F3358" s="32">
        <v>46472</v>
      </c>
      <c r="G3358" t="s">
        <v>514</v>
      </c>
      <c r="H3358">
        <v>47128430</v>
      </c>
      <c r="I3358" t="s">
        <v>1401</v>
      </c>
      <c r="J3358" t="s">
        <v>1400</v>
      </c>
      <c r="K3358" t="s">
        <v>530</v>
      </c>
      <c r="N3358">
        <v>0</v>
      </c>
      <c r="O3358">
        <v>0</v>
      </c>
      <c r="P3358" t="str">
        <f t="shared" si="52"/>
        <v>N</v>
      </c>
      <c r="Q3358" t="s">
        <v>9088</v>
      </c>
    </row>
    <row r="3359" spans="1:17" x14ac:dyDescent="0.25">
      <c r="A3359" t="s">
        <v>2180</v>
      </c>
      <c r="B3359" t="s">
        <v>1135</v>
      </c>
      <c r="C3359">
        <v>2027</v>
      </c>
      <c r="D3359" t="s">
        <v>640</v>
      </c>
      <c r="E3359" t="s">
        <v>842</v>
      </c>
      <c r="F3359" s="32">
        <v>46472</v>
      </c>
      <c r="G3359" t="s">
        <v>514</v>
      </c>
      <c r="H3359">
        <v>47128555</v>
      </c>
      <c r="I3359" t="s">
        <v>1209</v>
      </c>
      <c r="J3359" t="s">
        <v>1208</v>
      </c>
      <c r="K3359" t="s">
        <v>530</v>
      </c>
      <c r="N3359">
        <v>0</v>
      </c>
      <c r="O3359">
        <v>0</v>
      </c>
      <c r="P3359" t="str">
        <f t="shared" si="52"/>
        <v>N</v>
      </c>
      <c r="Q3359" t="s">
        <v>9089</v>
      </c>
    </row>
    <row r="3360" spans="1:17" x14ac:dyDescent="0.25">
      <c r="A3360" t="s">
        <v>2181</v>
      </c>
      <c r="B3360" t="s">
        <v>1135</v>
      </c>
      <c r="C3360">
        <v>2027</v>
      </c>
      <c r="D3360" t="s">
        <v>640</v>
      </c>
      <c r="E3360" t="s">
        <v>842</v>
      </c>
      <c r="F3360" s="32">
        <v>46472</v>
      </c>
      <c r="G3360" t="s">
        <v>514</v>
      </c>
      <c r="H3360">
        <v>47128522</v>
      </c>
      <c r="I3360" t="s">
        <v>1092</v>
      </c>
      <c r="J3360" t="s">
        <v>1091</v>
      </c>
      <c r="K3360" t="s">
        <v>530</v>
      </c>
      <c r="N3360">
        <v>0</v>
      </c>
      <c r="O3360">
        <v>0</v>
      </c>
      <c r="P3360" t="str">
        <f t="shared" si="52"/>
        <v>N</v>
      </c>
      <c r="Q3360" t="s">
        <v>9090</v>
      </c>
    </row>
    <row r="3361" spans="1:17" x14ac:dyDescent="0.25">
      <c r="A3361" t="s">
        <v>2182</v>
      </c>
      <c r="B3361" t="s">
        <v>1135</v>
      </c>
      <c r="C3361">
        <v>2027</v>
      </c>
      <c r="D3361" t="s">
        <v>640</v>
      </c>
      <c r="E3361" t="s">
        <v>842</v>
      </c>
      <c r="F3361" s="32">
        <v>46472</v>
      </c>
      <c r="G3361" t="s">
        <v>514</v>
      </c>
      <c r="H3361">
        <v>47147546</v>
      </c>
      <c r="I3361" t="s">
        <v>1077</v>
      </c>
      <c r="J3361" t="s">
        <v>1076</v>
      </c>
      <c r="K3361" t="s">
        <v>530</v>
      </c>
      <c r="N3361">
        <v>0</v>
      </c>
      <c r="O3361">
        <v>0</v>
      </c>
      <c r="P3361" t="str">
        <f t="shared" si="52"/>
        <v>N</v>
      </c>
      <c r="Q3361" t="s">
        <v>9091</v>
      </c>
    </row>
    <row r="3362" spans="1:17" x14ac:dyDescent="0.25">
      <c r="A3362" t="s">
        <v>2183</v>
      </c>
      <c r="B3362" t="s">
        <v>1135</v>
      </c>
      <c r="C3362">
        <v>2027</v>
      </c>
      <c r="D3362" t="s">
        <v>640</v>
      </c>
      <c r="E3362" t="s">
        <v>842</v>
      </c>
      <c r="F3362" s="32">
        <v>46472</v>
      </c>
      <c r="G3362" t="s">
        <v>514</v>
      </c>
      <c r="H3362">
        <v>47128597</v>
      </c>
      <c r="I3362" t="s">
        <v>1510</v>
      </c>
      <c r="J3362" t="s">
        <v>1509</v>
      </c>
      <c r="K3362" t="s">
        <v>530</v>
      </c>
      <c r="N3362">
        <v>0</v>
      </c>
      <c r="O3362">
        <v>0</v>
      </c>
      <c r="P3362" t="str">
        <f t="shared" si="52"/>
        <v>N</v>
      </c>
      <c r="Q3362" t="s">
        <v>9092</v>
      </c>
    </row>
    <row r="3363" spans="1:17" x14ac:dyDescent="0.25">
      <c r="A3363" t="s">
        <v>2184</v>
      </c>
      <c r="B3363" t="s">
        <v>1135</v>
      </c>
      <c r="C3363">
        <v>2027</v>
      </c>
      <c r="D3363" t="s">
        <v>640</v>
      </c>
      <c r="E3363" t="s">
        <v>842</v>
      </c>
      <c r="F3363" s="32">
        <v>46472</v>
      </c>
      <c r="G3363" t="s">
        <v>514</v>
      </c>
      <c r="H3363">
        <v>47128257</v>
      </c>
      <c r="I3363" t="s">
        <v>979</v>
      </c>
      <c r="J3363" t="s">
        <v>978</v>
      </c>
      <c r="K3363" t="s">
        <v>530</v>
      </c>
      <c r="N3363">
        <v>0</v>
      </c>
      <c r="O3363">
        <v>0</v>
      </c>
      <c r="P3363" t="str">
        <f t="shared" si="52"/>
        <v>N</v>
      </c>
      <c r="Q3363" t="s">
        <v>9093</v>
      </c>
    </row>
    <row r="3364" spans="1:17" x14ac:dyDescent="0.25">
      <c r="A3364" t="s">
        <v>2185</v>
      </c>
      <c r="B3364" t="s">
        <v>1135</v>
      </c>
      <c r="C3364">
        <v>2027</v>
      </c>
      <c r="D3364" t="s">
        <v>640</v>
      </c>
      <c r="E3364" t="s">
        <v>842</v>
      </c>
      <c r="F3364" s="32">
        <v>46472</v>
      </c>
      <c r="G3364" t="s">
        <v>514</v>
      </c>
      <c r="H3364">
        <v>47128880</v>
      </c>
      <c r="I3364" t="s">
        <v>1014</v>
      </c>
      <c r="J3364" t="s">
        <v>1013</v>
      </c>
      <c r="K3364" t="s">
        <v>530</v>
      </c>
      <c r="N3364">
        <v>0</v>
      </c>
      <c r="O3364">
        <v>0</v>
      </c>
      <c r="P3364" t="str">
        <f t="shared" si="52"/>
        <v>N</v>
      </c>
      <c r="Q3364" t="s">
        <v>9094</v>
      </c>
    </row>
    <row r="3365" spans="1:17" x14ac:dyDescent="0.25">
      <c r="A3365" t="s">
        <v>2186</v>
      </c>
      <c r="B3365" t="s">
        <v>1135</v>
      </c>
      <c r="C3365">
        <v>2027</v>
      </c>
      <c r="D3365" t="s">
        <v>640</v>
      </c>
      <c r="E3365" t="s">
        <v>842</v>
      </c>
      <c r="F3365" s="32">
        <v>46472</v>
      </c>
      <c r="G3365" t="s">
        <v>514</v>
      </c>
      <c r="H3365">
        <v>47128879</v>
      </c>
      <c r="I3365" t="s">
        <v>1132</v>
      </c>
      <c r="J3365" t="s">
        <v>1131</v>
      </c>
      <c r="K3365" t="s">
        <v>530</v>
      </c>
      <c r="N3365">
        <v>0</v>
      </c>
      <c r="O3365">
        <v>0</v>
      </c>
      <c r="P3365" t="str">
        <f t="shared" si="52"/>
        <v>N</v>
      </c>
      <c r="Q3365" t="s">
        <v>9095</v>
      </c>
    </row>
    <row r="3366" spans="1:17" x14ac:dyDescent="0.25">
      <c r="A3366" t="s">
        <v>2187</v>
      </c>
      <c r="B3366" t="s">
        <v>1135</v>
      </c>
      <c r="C3366">
        <v>2027</v>
      </c>
      <c r="D3366" t="s">
        <v>640</v>
      </c>
      <c r="E3366" t="s">
        <v>842</v>
      </c>
      <c r="F3366" s="32">
        <v>46472</v>
      </c>
      <c r="G3366" t="s">
        <v>514</v>
      </c>
      <c r="H3366">
        <v>47128413</v>
      </c>
      <c r="I3366" t="s">
        <v>1397</v>
      </c>
      <c r="J3366" t="s">
        <v>1396</v>
      </c>
      <c r="K3366" t="s">
        <v>530</v>
      </c>
      <c r="N3366">
        <v>0</v>
      </c>
      <c r="O3366">
        <v>0</v>
      </c>
      <c r="P3366" t="str">
        <f t="shared" si="52"/>
        <v>N</v>
      </c>
      <c r="Q3366" t="s">
        <v>9096</v>
      </c>
    </row>
    <row r="3367" spans="1:17" x14ac:dyDescent="0.25">
      <c r="A3367" t="s">
        <v>2188</v>
      </c>
      <c r="B3367" t="s">
        <v>1135</v>
      </c>
      <c r="C3367">
        <v>2027</v>
      </c>
      <c r="D3367" t="s">
        <v>640</v>
      </c>
      <c r="E3367" t="s">
        <v>842</v>
      </c>
      <c r="F3367" s="32">
        <v>46472</v>
      </c>
      <c r="G3367" t="s">
        <v>514</v>
      </c>
      <c r="H3367">
        <v>47146464</v>
      </c>
      <c r="I3367" t="s">
        <v>1438</v>
      </c>
      <c r="J3367" t="s">
        <v>1437</v>
      </c>
      <c r="K3367" t="s">
        <v>530</v>
      </c>
      <c r="N3367">
        <v>0</v>
      </c>
      <c r="O3367">
        <v>0</v>
      </c>
      <c r="P3367" t="str">
        <f t="shared" si="52"/>
        <v>N</v>
      </c>
      <c r="Q3367" t="s">
        <v>9097</v>
      </c>
    </row>
    <row r="3368" spans="1:17" x14ac:dyDescent="0.25">
      <c r="A3368" t="s">
        <v>2189</v>
      </c>
      <c r="B3368" t="s">
        <v>1135</v>
      </c>
      <c r="C3368">
        <v>2027</v>
      </c>
      <c r="D3368" t="s">
        <v>640</v>
      </c>
      <c r="E3368" t="s">
        <v>842</v>
      </c>
      <c r="F3368" s="32">
        <v>46472</v>
      </c>
      <c r="G3368" t="s">
        <v>514</v>
      </c>
      <c r="H3368">
        <v>47147546</v>
      </c>
      <c r="I3368" t="s">
        <v>1077</v>
      </c>
      <c r="J3368" t="s">
        <v>1381</v>
      </c>
      <c r="K3368" t="s">
        <v>530</v>
      </c>
      <c r="N3368">
        <v>0</v>
      </c>
      <c r="O3368">
        <v>0</v>
      </c>
      <c r="P3368" t="str">
        <f t="shared" si="52"/>
        <v>N</v>
      </c>
      <c r="Q3368" t="s">
        <v>9098</v>
      </c>
    </row>
    <row r="3369" spans="1:17" x14ac:dyDescent="0.25">
      <c r="A3369" t="s">
        <v>2190</v>
      </c>
      <c r="B3369" t="s">
        <v>1135</v>
      </c>
      <c r="C3369">
        <v>2027</v>
      </c>
      <c r="D3369" t="s">
        <v>640</v>
      </c>
      <c r="E3369" t="s">
        <v>842</v>
      </c>
      <c r="F3369" s="32">
        <v>46472</v>
      </c>
      <c r="G3369" t="s">
        <v>514</v>
      </c>
      <c r="H3369">
        <v>47128800</v>
      </c>
      <c r="I3369" t="s">
        <v>1145</v>
      </c>
      <c r="J3369" t="s">
        <v>1144</v>
      </c>
      <c r="K3369" t="s">
        <v>530</v>
      </c>
      <c r="N3369">
        <v>0</v>
      </c>
      <c r="O3369">
        <v>0</v>
      </c>
      <c r="P3369" t="str">
        <f t="shared" si="52"/>
        <v>N</v>
      </c>
      <c r="Q3369" t="s">
        <v>9099</v>
      </c>
    </row>
    <row r="3370" spans="1:17" x14ac:dyDescent="0.25">
      <c r="A3370" t="s">
        <v>2191</v>
      </c>
      <c r="B3370" t="s">
        <v>1135</v>
      </c>
      <c r="C3370">
        <v>2027</v>
      </c>
      <c r="D3370" t="s">
        <v>640</v>
      </c>
      <c r="E3370" t="s">
        <v>842</v>
      </c>
      <c r="F3370" s="32">
        <v>46472</v>
      </c>
      <c r="G3370" t="s">
        <v>514</v>
      </c>
      <c r="H3370">
        <v>47128109</v>
      </c>
      <c r="I3370" t="s">
        <v>1336</v>
      </c>
      <c r="J3370" t="s">
        <v>1335</v>
      </c>
      <c r="K3370" t="s">
        <v>530</v>
      </c>
      <c r="N3370">
        <v>0</v>
      </c>
      <c r="O3370">
        <v>0</v>
      </c>
      <c r="P3370" t="str">
        <f t="shared" si="52"/>
        <v>N</v>
      </c>
      <c r="Q3370" t="s">
        <v>9100</v>
      </c>
    </row>
    <row r="3371" spans="1:17" x14ac:dyDescent="0.25">
      <c r="A3371" t="s">
        <v>2192</v>
      </c>
      <c r="B3371" t="s">
        <v>1135</v>
      </c>
      <c r="C3371">
        <v>2027</v>
      </c>
      <c r="D3371" t="s">
        <v>640</v>
      </c>
      <c r="E3371" t="s">
        <v>842</v>
      </c>
      <c r="F3371" s="32">
        <v>46472</v>
      </c>
      <c r="G3371" t="s">
        <v>514</v>
      </c>
      <c r="H3371">
        <v>47128346</v>
      </c>
      <c r="I3371" t="s">
        <v>1157</v>
      </c>
      <c r="J3371" t="s">
        <v>1156</v>
      </c>
      <c r="K3371" t="s">
        <v>530</v>
      </c>
      <c r="N3371">
        <v>0</v>
      </c>
      <c r="O3371">
        <v>0</v>
      </c>
      <c r="P3371" t="str">
        <f t="shared" si="52"/>
        <v>N</v>
      </c>
      <c r="Q3371" t="s">
        <v>9101</v>
      </c>
    </row>
    <row r="3372" spans="1:17" x14ac:dyDescent="0.25">
      <c r="A3372" t="s">
        <v>2193</v>
      </c>
      <c r="B3372" t="s">
        <v>1135</v>
      </c>
      <c r="C3372">
        <v>2027</v>
      </c>
      <c r="D3372" t="s">
        <v>640</v>
      </c>
      <c r="E3372" t="s">
        <v>842</v>
      </c>
      <c r="F3372" s="32">
        <v>46472</v>
      </c>
      <c r="G3372" t="s">
        <v>514</v>
      </c>
      <c r="H3372">
        <v>47128518</v>
      </c>
      <c r="I3372" t="s">
        <v>1232</v>
      </c>
      <c r="J3372" t="s">
        <v>1231</v>
      </c>
      <c r="K3372" t="s">
        <v>530</v>
      </c>
      <c r="N3372">
        <v>0</v>
      </c>
      <c r="O3372">
        <v>0</v>
      </c>
      <c r="P3372" t="str">
        <f t="shared" si="52"/>
        <v>N</v>
      </c>
      <c r="Q3372" t="s">
        <v>9102</v>
      </c>
    </row>
    <row r="3373" spans="1:17" x14ac:dyDescent="0.25">
      <c r="A3373" t="s">
        <v>2194</v>
      </c>
      <c r="B3373" t="s">
        <v>1135</v>
      </c>
      <c r="C3373">
        <v>2027</v>
      </c>
      <c r="D3373" t="s">
        <v>640</v>
      </c>
      <c r="E3373" t="s">
        <v>842</v>
      </c>
      <c r="F3373" s="32">
        <v>46472</v>
      </c>
      <c r="G3373" t="s">
        <v>514</v>
      </c>
      <c r="H3373">
        <v>47128418</v>
      </c>
      <c r="I3373" t="s">
        <v>1082</v>
      </c>
      <c r="J3373" t="s">
        <v>1081</v>
      </c>
      <c r="K3373" t="s">
        <v>530</v>
      </c>
      <c r="N3373">
        <v>0</v>
      </c>
      <c r="O3373">
        <v>0</v>
      </c>
      <c r="P3373" t="str">
        <f t="shared" si="52"/>
        <v>N</v>
      </c>
      <c r="Q3373" t="s">
        <v>9103</v>
      </c>
    </row>
    <row r="3374" spans="1:17" x14ac:dyDescent="0.25">
      <c r="A3374" t="s">
        <v>2195</v>
      </c>
      <c r="B3374" t="s">
        <v>1135</v>
      </c>
      <c r="C3374">
        <v>2027</v>
      </c>
      <c r="D3374" t="s">
        <v>640</v>
      </c>
      <c r="E3374" t="s">
        <v>842</v>
      </c>
      <c r="F3374" s="32">
        <v>46472</v>
      </c>
      <c r="G3374" t="s">
        <v>514</v>
      </c>
      <c r="H3374">
        <v>47128968</v>
      </c>
      <c r="I3374" t="s">
        <v>947</v>
      </c>
      <c r="J3374" t="s">
        <v>946</v>
      </c>
      <c r="K3374" t="s">
        <v>530</v>
      </c>
      <c r="N3374">
        <v>0</v>
      </c>
      <c r="O3374">
        <v>0</v>
      </c>
      <c r="P3374" t="str">
        <f t="shared" si="52"/>
        <v>N</v>
      </c>
      <c r="Q3374" t="s">
        <v>9104</v>
      </c>
    </row>
    <row r="3375" spans="1:17" x14ac:dyDescent="0.25">
      <c r="A3375" t="s">
        <v>2196</v>
      </c>
      <c r="B3375" t="s">
        <v>1135</v>
      </c>
      <c r="C3375">
        <v>2027</v>
      </c>
      <c r="D3375" t="s">
        <v>640</v>
      </c>
      <c r="E3375" t="s">
        <v>842</v>
      </c>
      <c r="F3375" s="32">
        <v>46472</v>
      </c>
      <c r="G3375" t="s">
        <v>514</v>
      </c>
      <c r="H3375">
        <v>47147658</v>
      </c>
      <c r="I3375" t="s">
        <v>1276</v>
      </c>
      <c r="J3375" t="s">
        <v>1275</v>
      </c>
      <c r="K3375" t="s">
        <v>530</v>
      </c>
      <c r="N3375">
        <v>0</v>
      </c>
      <c r="O3375">
        <v>0</v>
      </c>
      <c r="P3375" t="str">
        <f t="shared" si="52"/>
        <v>N</v>
      </c>
      <c r="Q3375" t="s">
        <v>9105</v>
      </c>
    </row>
    <row r="3376" spans="1:17" x14ac:dyDescent="0.25">
      <c r="A3376" t="s">
        <v>2197</v>
      </c>
      <c r="B3376" t="s">
        <v>1135</v>
      </c>
      <c r="C3376">
        <v>2027</v>
      </c>
      <c r="D3376" t="s">
        <v>640</v>
      </c>
      <c r="E3376" t="s">
        <v>842</v>
      </c>
      <c r="F3376" s="32">
        <v>46472</v>
      </c>
      <c r="G3376" t="s">
        <v>514</v>
      </c>
      <c r="H3376">
        <v>47128781</v>
      </c>
      <c r="I3376" t="s">
        <v>1251</v>
      </c>
      <c r="J3376" t="s">
        <v>1250</v>
      </c>
      <c r="K3376" t="s">
        <v>530</v>
      </c>
      <c r="N3376">
        <v>0</v>
      </c>
      <c r="O3376">
        <v>0</v>
      </c>
      <c r="P3376" t="str">
        <f t="shared" si="52"/>
        <v>N</v>
      </c>
      <c r="Q3376" t="s">
        <v>9106</v>
      </c>
    </row>
    <row r="3377" spans="1:17" x14ac:dyDescent="0.25">
      <c r="A3377" t="s">
        <v>2736</v>
      </c>
      <c r="B3377" t="s">
        <v>2444</v>
      </c>
      <c r="C3377">
        <v>2027</v>
      </c>
      <c r="D3377" t="s">
        <v>640</v>
      </c>
      <c r="E3377" t="s">
        <v>842</v>
      </c>
      <c r="F3377" s="32">
        <v>46472</v>
      </c>
      <c r="G3377" t="s">
        <v>514</v>
      </c>
      <c r="H3377">
        <v>47128006</v>
      </c>
      <c r="I3377" t="s">
        <v>2447</v>
      </c>
      <c r="J3377" t="s">
        <v>2448</v>
      </c>
      <c r="K3377" t="s">
        <v>530</v>
      </c>
      <c r="N3377">
        <v>0</v>
      </c>
      <c r="O3377">
        <v>0</v>
      </c>
      <c r="P3377" t="str">
        <f t="shared" si="52"/>
        <v>N</v>
      </c>
      <c r="Q3377" t="s">
        <v>9107</v>
      </c>
    </row>
    <row r="3378" spans="1:17" x14ac:dyDescent="0.25">
      <c r="A3378" t="s">
        <v>2737</v>
      </c>
      <c r="B3378" t="s">
        <v>2444</v>
      </c>
      <c r="C3378">
        <v>2027</v>
      </c>
      <c r="D3378" t="s">
        <v>640</v>
      </c>
      <c r="E3378" t="s">
        <v>842</v>
      </c>
      <c r="F3378" s="32">
        <v>46472</v>
      </c>
      <c r="G3378" t="s">
        <v>514</v>
      </c>
      <c r="H3378">
        <v>47128300</v>
      </c>
      <c r="I3378" t="s">
        <v>2471</v>
      </c>
      <c r="J3378" t="s">
        <v>2472</v>
      </c>
      <c r="K3378" t="s">
        <v>530</v>
      </c>
      <c r="N3378">
        <v>0</v>
      </c>
      <c r="O3378">
        <v>0</v>
      </c>
      <c r="P3378" t="str">
        <f t="shared" si="52"/>
        <v>N</v>
      </c>
      <c r="Q3378" t="s">
        <v>9108</v>
      </c>
    </row>
    <row r="3379" spans="1:17" x14ac:dyDescent="0.25">
      <c r="A3379" t="s">
        <v>2738</v>
      </c>
      <c r="B3379" t="s">
        <v>2444</v>
      </c>
      <c r="C3379">
        <v>2027</v>
      </c>
      <c r="D3379" t="s">
        <v>640</v>
      </c>
      <c r="E3379" t="s">
        <v>842</v>
      </c>
      <c r="F3379" s="32">
        <v>46472</v>
      </c>
      <c r="G3379" t="s">
        <v>514</v>
      </c>
      <c r="H3379">
        <v>47128213</v>
      </c>
      <c r="I3379" t="s">
        <v>2456</v>
      </c>
      <c r="J3379" t="s">
        <v>2457</v>
      </c>
      <c r="K3379" t="s">
        <v>530</v>
      </c>
      <c r="N3379">
        <v>0</v>
      </c>
      <c r="O3379">
        <v>0</v>
      </c>
      <c r="P3379" t="str">
        <f t="shared" si="52"/>
        <v>N</v>
      </c>
      <c r="Q3379" t="s">
        <v>9109</v>
      </c>
    </row>
    <row r="3380" spans="1:17" x14ac:dyDescent="0.25">
      <c r="A3380" t="s">
        <v>2739</v>
      </c>
      <c r="B3380" t="s">
        <v>2444</v>
      </c>
      <c r="C3380">
        <v>2027</v>
      </c>
      <c r="D3380" t="s">
        <v>640</v>
      </c>
      <c r="E3380" t="s">
        <v>842</v>
      </c>
      <c r="F3380" s="32">
        <v>46472</v>
      </c>
      <c r="G3380" t="s">
        <v>514</v>
      </c>
      <c r="H3380">
        <v>47128667</v>
      </c>
      <c r="I3380" t="s">
        <v>2450</v>
      </c>
      <c r="J3380" t="s">
        <v>2451</v>
      </c>
      <c r="K3380" t="s">
        <v>530</v>
      </c>
      <c r="N3380">
        <v>0</v>
      </c>
      <c r="O3380">
        <v>0</v>
      </c>
      <c r="P3380" t="str">
        <f t="shared" si="52"/>
        <v>N</v>
      </c>
      <c r="Q3380" t="s">
        <v>9110</v>
      </c>
    </row>
    <row r="3381" spans="1:17" x14ac:dyDescent="0.25">
      <c r="A3381" t="s">
        <v>2740</v>
      </c>
      <c r="B3381" t="s">
        <v>2444</v>
      </c>
      <c r="C3381">
        <v>2027</v>
      </c>
      <c r="D3381" t="s">
        <v>640</v>
      </c>
      <c r="E3381" t="s">
        <v>842</v>
      </c>
      <c r="F3381" s="32">
        <v>46472</v>
      </c>
      <c r="G3381" t="s">
        <v>514</v>
      </c>
      <c r="H3381">
        <v>47128179</v>
      </c>
      <c r="I3381" t="s">
        <v>2477</v>
      </c>
      <c r="J3381" t="s">
        <v>2478</v>
      </c>
      <c r="K3381" t="s">
        <v>530</v>
      </c>
      <c r="N3381">
        <v>0</v>
      </c>
      <c r="O3381">
        <v>0</v>
      </c>
      <c r="P3381" t="str">
        <f t="shared" si="52"/>
        <v>N</v>
      </c>
      <c r="Q3381" t="s">
        <v>9111</v>
      </c>
    </row>
    <row r="3382" spans="1:17" x14ac:dyDescent="0.25">
      <c r="A3382" t="s">
        <v>2741</v>
      </c>
      <c r="B3382" t="s">
        <v>2444</v>
      </c>
      <c r="C3382">
        <v>2027</v>
      </c>
      <c r="D3382" t="s">
        <v>640</v>
      </c>
      <c r="E3382" t="s">
        <v>842</v>
      </c>
      <c r="F3382" s="32">
        <v>46472</v>
      </c>
      <c r="G3382" t="s">
        <v>514</v>
      </c>
      <c r="H3382">
        <v>47128655</v>
      </c>
      <c r="I3382" t="s">
        <v>2474</v>
      </c>
      <c r="J3382" t="s">
        <v>2475</v>
      </c>
      <c r="K3382" t="s">
        <v>530</v>
      </c>
      <c r="N3382">
        <v>0</v>
      </c>
      <c r="O3382">
        <v>0</v>
      </c>
      <c r="P3382" t="str">
        <f t="shared" si="52"/>
        <v>N</v>
      </c>
      <c r="Q3382" t="s">
        <v>9112</v>
      </c>
    </row>
    <row r="3383" spans="1:17" x14ac:dyDescent="0.25">
      <c r="A3383" t="s">
        <v>2742</v>
      </c>
      <c r="B3383" t="s">
        <v>2444</v>
      </c>
      <c r="C3383">
        <v>2027</v>
      </c>
      <c r="D3383" t="s">
        <v>640</v>
      </c>
      <c r="E3383" t="s">
        <v>842</v>
      </c>
      <c r="F3383" s="32">
        <v>46472</v>
      </c>
      <c r="G3383" t="s">
        <v>514</v>
      </c>
      <c r="H3383">
        <v>47129222</v>
      </c>
      <c r="I3383" t="s">
        <v>2459</v>
      </c>
      <c r="J3383" t="s">
        <v>2460</v>
      </c>
      <c r="K3383" t="s">
        <v>530</v>
      </c>
      <c r="N3383">
        <v>0</v>
      </c>
      <c r="O3383">
        <v>0</v>
      </c>
      <c r="P3383" t="str">
        <f t="shared" si="52"/>
        <v>N</v>
      </c>
      <c r="Q3383" t="s">
        <v>9113</v>
      </c>
    </row>
    <row r="3384" spans="1:17" x14ac:dyDescent="0.25">
      <c r="A3384" t="s">
        <v>2743</v>
      </c>
      <c r="B3384" t="s">
        <v>2444</v>
      </c>
      <c r="C3384">
        <v>2027</v>
      </c>
      <c r="D3384" t="s">
        <v>640</v>
      </c>
      <c r="E3384" t="s">
        <v>842</v>
      </c>
      <c r="F3384" s="32">
        <v>46472</v>
      </c>
      <c r="G3384" t="s">
        <v>514</v>
      </c>
      <c r="H3384">
        <v>47132096</v>
      </c>
      <c r="I3384" t="s">
        <v>2468</v>
      </c>
      <c r="J3384" t="s">
        <v>2469</v>
      </c>
      <c r="K3384" t="s">
        <v>530</v>
      </c>
      <c r="N3384">
        <v>0</v>
      </c>
      <c r="O3384">
        <v>0</v>
      </c>
      <c r="P3384" t="str">
        <f t="shared" si="52"/>
        <v>N</v>
      </c>
      <c r="Q3384" t="s">
        <v>9114</v>
      </c>
    </row>
    <row r="3385" spans="1:17" x14ac:dyDescent="0.25">
      <c r="A3385" t="s">
        <v>2744</v>
      </c>
      <c r="B3385" t="s">
        <v>2444</v>
      </c>
      <c r="C3385">
        <v>2027</v>
      </c>
      <c r="D3385" t="s">
        <v>640</v>
      </c>
      <c r="E3385" t="s">
        <v>842</v>
      </c>
      <c r="F3385" s="32">
        <v>46472</v>
      </c>
      <c r="G3385" t="s">
        <v>514</v>
      </c>
      <c r="H3385">
        <v>47128561</v>
      </c>
      <c r="I3385" t="s">
        <v>2462</v>
      </c>
      <c r="J3385" t="s">
        <v>2463</v>
      </c>
      <c r="K3385" t="s">
        <v>530</v>
      </c>
      <c r="N3385">
        <v>0</v>
      </c>
      <c r="O3385">
        <v>0</v>
      </c>
      <c r="P3385" t="str">
        <f t="shared" si="52"/>
        <v>N</v>
      </c>
      <c r="Q3385" t="s">
        <v>9115</v>
      </c>
    </row>
    <row r="3386" spans="1:17" x14ac:dyDescent="0.25">
      <c r="A3386" t="s">
        <v>2745</v>
      </c>
      <c r="B3386" t="s">
        <v>2444</v>
      </c>
      <c r="C3386">
        <v>2027</v>
      </c>
      <c r="D3386" t="s">
        <v>640</v>
      </c>
      <c r="E3386" t="s">
        <v>842</v>
      </c>
      <c r="F3386" s="32">
        <v>46472</v>
      </c>
      <c r="G3386" t="s">
        <v>514</v>
      </c>
      <c r="H3386">
        <v>47129274</v>
      </c>
      <c r="I3386" t="s">
        <v>2486</v>
      </c>
      <c r="J3386" t="s">
        <v>2487</v>
      </c>
      <c r="K3386" t="s">
        <v>530</v>
      </c>
      <c r="N3386">
        <v>0</v>
      </c>
      <c r="O3386">
        <v>0</v>
      </c>
      <c r="P3386" t="str">
        <f t="shared" si="52"/>
        <v>N</v>
      </c>
      <c r="Q3386" t="s">
        <v>9116</v>
      </c>
    </row>
    <row r="3387" spans="1:17" x14ac:dyDescent="0.25">
      <c r="A3387" t="s">
        <v>2746</v>
      </c>
      <c r="B3387" t="s">
        <v>2444</v>
      </c>
      <c r="C3387">
        <v>2027</v>
      </c>
      <c r="D3387" t="s">
        <v>640</v>
      </c>
      <c r="E3387" t="s">
        <v>842</v>
      </c>
      <c r="F3387" s="32">
        <v>46472</v>
      </c>
      <c r="G3387" t="s">
        <v>514</v>
      </c>
      <c r="H3387">
        <v>47129262</v>
      </c>
      <c r="I3387" t="s">
        <v>2453</v>
      </c>
      <c r="J3387" t="s">
        <v>2454</v>
      </c>
      <c r="K3387" t="s">
        <v>530</v>
      </c>
      <c r="N3387">
        <v>60</v>
      </c>
      <c r="O3387">
        <v>60</v>
      </c>
      <c r="P3387" t="str">
        <f t="shared" si="52"/>
        <v>N</v>
      </c>
      <c r="Q3387" t="s">
        <v>9117</v>
      </c>
    </row>
    <row r="3388" spans="1:17" x14ac:dyDescent="0.25">
      <c r="A3388" t="s">
        <v>2747</v>
      </c>
      <c r="B3388" t="s">
        <v>2444</v>
      </c>
      <c r="C3388">
        <v>2027</v>
      </c>
      <c r="D3388" t="s">
        <v>640</v>
      </c>
      <c r="E3388" t="s">
        <v>842</v>
      </c>
      <c r="F3388" s="32">
        <v>46472</v>
      </c>
      <c r="G3388" t="s">
        <v>514</v>
      </c>
      <c r="H3388">
        <v>47129558</v>
      </c>
      <c r="I3388" t="s">
        <v>2480</v>
      </c>
      <c r="J3388" t="s">
        <v>2481</v>
      </c>
      <c r="K3388" t="s">
        <v>530</v>
      </c>
      <c r="N3388">
        <v>0</v>
      </c>
      <c r="O3388">
        <v>0</v>
      </c>
      <c r="P3388" t="str">
        <f t="shared" si="52"/>
        <v>N</v>
      </c>
      <c r="Q3388" t="s">
        <v>9118</v>
      </c>
    </row>
    <row r="3389" spans="1:17" x14ac:dyDescent="0.25">
      <c r="A3389" t="s">
        <v>2748</v>
      </c>
      <c r="B3389" t="s">
        <v>2444</v>
      </c>
      <c r="C3389">
        <v>2027</v>
      </c>
      <c r="D3389" t="s">
        <v>640</v>
      </c>
      <c r="E3389" t="s">
        <v>842</v>
      </c>
      <c r="F3389" s="32">
        <v>46472</v>
      </c>
      <c r="G3389" t="s">
        <v>514</v>
      </c>
      <c r="H3389">
        <v>47129727</v>
      </c>
      <c r="I3389" t="s">
        <v>2465</v>
      </c>
      <c r="J3389" t="s">
        <v>2466</v>
      </c>
      <c r="K3389" t="s">
        <v>530</v>
      </c>
      <c r="N3389">
        <v>0</v>
      </c>
      <c r="O3389">
        <v>0</v>
      </c>
      <c r="P3389" t="str">
        <f t="shared" si="52"/>
        <v>N</v>
      </c>
      <c r="Q3389" t="s">
        <v>9119</v>
      </c>
    </row>
    <row r="3390" spans="1:17" x14ac:dyDescent="0.25">
      <c r="A3390" t="s">
        <v>2749</v>
      </c>
      <c r="B3390" t="s">
        <v>2444</v>
      </c>
      <c r="C3390">
        <v>2027</v>
      </c>
      <c r="D3390" t="s">
        <v>640</v>
      </c>
      <c r="E3390" t="s">
        <v>842</v>
      </c>
      <c r="F3390" s="32">
        <v>46472</v>
      </c>
      <c r="G3390" t="s">
        <v>514</v>
      </c>
      <c r="H3390">
        <v>47129273</v>
      </c>
      <c r="I3390" t="s">
        <v>2483</v>
      </c>
      <c r="J3390" t="s">
        <v>2484</v>
      </c>
      <c r="K3390" t="s">
        <v>530</v>
      </c>
      <c r="N3390">
        <v>0</v>
      </c>
      <c r="O3390">
        <v>0</v>
      </c>
      <c r="P3390" t="str">
        <f t="shared" si="52"/>
        <v>N</v>
      </c>
      <c r="Q3390" t="s">
        <v>9120</v>
      </c>
    </row>
    <row r="3391" spans="1:17" x14ac:dyDescent="0.25">
      <c r="A3391" t="s">
        <v>2750</v>
      </c>
      <c r="B3391" t="s">
        <v>2444</v>
      </c>
      <c r="C3391">
        <v>2027</v>
      </c>
      <c r="D3391" t="s">
        <v>640</v>
      </c>
      <c r="E3391" t="s">
        <v>842</v>
      </c>
      <c r="F3391" s="32">
        <v>46472</v>
      </c>
      <c r="G3391" t="s">
        <v>514</v>
      </c>
      <c r="H3391">
        <v>47128587</v>
      </c>
      <c r="I3391" t="s">
        <v>2489</v>
      </c>
      <c r="J3391" t="s">
        <v>2490</v>
      </c>
      <c r="K3391" t="s">
        <v>530</v>
      </c>
      <c r="N3391">
        <v>0</v>
      </c>
      <c r="O3391">
        <v>0</v>
      </c>
      <c r="P3391" t="str">
        <f t="shared" si="52"/>
        <v>N</v>
      </c>
      <c r="Q3391" t="s">
        <v>9121</v>
      </c>
    </row>
    <row r="3392" spans="1:17" x14ac:dyDescent="0.25">
      <c r="A3392" t="s">
        <v>2751</v>
      </c>
      <c r="B3392" t="s">
        <v>2444</v>
      </c>
      <c r="C3392">
        <v>2027</v>
      </c>
      <c r="D3392" t="s">
        <v>640</v>
      </c>
      <c r="E3392" t="s">
        <v>842</v>
      </c>
      <c r="F3392" s="32">
        <v>46472</v>
      </c>
      <c r="G3392" t="s">
        <v>514</v>
      </c>
      <c r="H3392">
        <v>47128247</v>
      </c>
      <c r="I3392" t="s">
        <v>2492</v>
      </c>
      <c r="J3392" t="s">
        <v>2493</v>
      </c>
      <c r="K3392" t="s">
        <v>530</v>
      </c>
      <c r="N3392">
        <v>0</v>
      </c>
      <c r="O3392">
        <v>0</v>
      </c>
      <c r="P3392" t="str">
        <f t="shared" si="52"/>
        <v>N</v>
      </c>
      <c r="Q3392" t="s">
        <v>9122</v>
      </c>
    </row>
    <row r="3393" spans="1:17" x14ac:dyDescent="0.25">
      <c r="A3393" t="s">
        <v>2752</v>
      </c>
      <c r="B3393" t="s">
        <v>2444</v>
      </c>
      <c r="C3393">
        <v>2027</v>
      </c>
      <c r="D3393" t="s">
        <v>640</v>
      </c>
      <c r="E3393" t="s">
        <v>842</v>
      </c>
      <c r="F3393" s="32">
        <v>46472</v>
      </c>
      <c r="G3393" t="s">
        <v>514</v>
      </c>
      <c r="H3393">
        <v>47128781</v>
      </c>
      <c r="I3393" t="s">
        <v>1251</v>
      </c>
      <c r="J3393" t="s">
        <v>1250</v>
      </c>
      <c r="K3393" t="s">
        <v>530</v>
      </c>
      <c r="N3393">
        <v>0</v>
      </c>
      <c r="O3393">
        <v>0</v>
      </c>
      <c r="P3393" t="str">
        <f t="shared" si="52"/>
        <v>N</v>
      </c>
      <c r="Q3393" t="s">
        <v>9123</v>
      </c>
    </row>
    <row r="3394" spans="1:17" x14ac:dyDescent="0.25">
      <c r="A3394" t="s">
        <v>3042</v>
      </c>
      <c r="B3394" t="s">
        <v>2783</v>
      </c>
      <c r="C3394">
        <v>2027</v>
      </c>
      <c r="D3394" t="s">
        <v>640</v>
      </c>
      <c r="E3394" t="s">
        <v>842</v>
      </c>
      <c r="F3394" s="32">
        <v>46472</v>
      </c>
      <c r="G3394" t="s">
        <v>514</v>
      </c>
      <c r="H3394">
        <v>47128006</v>
      </c>
      <c r="I3394" t="s">
        <v>2447</v>
      </c>
      <c r="J3394" t="s">
        <v>2448</v>
      </c>
      <c r="K3394" t="s">
        <v>530</v>
      </c>
      <c r="N3394">
        <v>0</v>
      </c>
      <c r="O3394">
        <v>0</v>
      </c>
      <c r="P3394" t="str">
        <f t="shared" si="52"/>
        <v>N</v>
      </c>
      <c r="Q3394" t="s">
        <v>9124</v>
      </c>
    </row>
    <row r="3395" spans="1:17" x14ac:dyDescent="0.25">
      <c r="A3395" t="s">
        <v>3043</v>
      </c>
      <c r="B3395" t="s">
        <v>2783</v>
      </c>
      <c r="C3395">
        <v>2027</v>
      </c>
      <c r="D3395" t="s">
        <v>640</v>
      </c>
      <c r="E3395" t="s">
        <v>842</v>
      </c>
      <c r="F3395" s="32">
        <v>46472</v>
      </c>
      <c r="G3395" t="s">
        <v>514</v>
      </c>
      <c r="H3395">
        <v>47128300</v>
      </c>
      <c r="I3395" t="s">
        <v>2471</v>
      </c>
      <c r="J3395" t="s">
        <v>2472</v>
      </c>
      <c r="K3395" t="s">
        <v>530</v>
      </c>
      <c r="N3395">
        <v>0</v>
      </c>
      <c r="O3395">
        <v>0</v>
      </c>
      <c r="P3395" t="str">
        <f t="shared" ref="P3395:P3458" si="53">IF(N3395=O3395,"N","Y")</f>
        <v>N</v>
      </c>
      <c r="Q3395" t="s">
        <v>9125</v>
      </c>
    </row>
    <row r="3396" spans="1:17" x14ac:dyDescent="0.25">
      <c r="A3396" t="s">
        <v>3044</v>
      </c>
      <c r="B3396" t="s">
        <v>2783</v>
      </c>
      <c r="C3396">
        <v>2027</v>
      </c>
      <c r="D3396" t="s">
        <v>640</v>
      </c>
      <c r="E3396" t="s">
        <v>842</v>
      </c>
      <c r="F3396" s="32">
        <v>46472</v>
      </c>
      <c r="G3396" t="s">
        <v>514</v>
      </c>
      <c r="H3396">
        <v>47128213</v>
      </c>
      <c r="I3396" t="s">
        <v>2456</v>
      </c>
      <c r="J3396" t="s">
        <v>2457</v>
      </c>
      <c r="K3396" t="s">
        <v>530</v>
      </c>
      <c r="N3396">
        <v>0</v>
      </c>
      <c r="O3396">
        <v>0</v>
      </c>
      <c r="P3396" t="str">
        <f t="shared" si="53"/>
        <v>N</v>
      </c>
      <c r="Q3396" t="s">
        <v>9126</v>
      </c>
    </row>
    <row r="3397" spans="1:17" x14ac:dyDescent="0.25">
      <c r="A3397" t="s">
        <v>3045</v>
      </c>
      <c r="B3397" t="s">
        <v>2783</v>
      </c>
      <c r="C3397">
        <v>2027</v>
      </c>
      <c r="D3397" t="s">
        <v>640</v>
      </c>
      <c r="E3397" t="s">
        <v>842</v>
      </c>
      <c r="F3397" s="32">
        <v>46472</v>
      </c>
      <c r="G3397" t="s">
        <v>514</v>
      </c>
      <c r="H3397">
        <v>47128667</v>
      </c>
      <c r="I3397" t="s">
        <v>2450</v>
      </c>
      <c r="J3397" t="s">
        <v>2451</v>
      </c>
      <c r="K3397" t="s">
        <v>530</v>
      </c>
      <c r="N3397">
        <v>0</v>
      </c>
      <c r="O3397">
        <v>0</v>
      </c>
      <c r="P3397" t="str">
        <f t="shared" si="53"/>
        <v>N</v>
      </c>
      <c r="Q3397" t="s">
        <v>9127</v>
      </c>
    </row>
    <row r="3398" spans="1:17" x14ac:dyDescent="0.25">
      <c r="A3398" t="s">
        <v>3046</v>
      </c>
      <c r="B3398" t="s">
        <v>2783</v>
      </c>
      <c r="C3398">
        <v>2027</v>
      </c>
      <c r="D3398" t="s">
        <v>640</v>
      </c>
      <c r="E3398" t="s">
        <v>842</v>
      </c>
      <c r="F3398" s="32">
        <v>46472</v>
      </c>
      <c r="G3398" t="s">
        <v>514</v>
      </c>
      <c r="H3398">
        <v>47128179</v>
      </c>
      <c r="I3398" t="s">
        <v>2477</v>
      </c>
      <c r="J3398" t="s">
        <v>2478</v>
      </c>
      <c r="K3398" t="s">
        <v>530</v>
      </c>
      <c r="N3398">
        <v>0</v>
      </c>
      <c r="O3398">
        <v>0</v>
      </c>
      <c r="P3398" t="str">
        <f t="shared" si="53"/>
        <v>N</v>
      </c>
      <c r="Q3398" t="s">
        <v>9128</v>
      </c>
    </row>
    <row r="3399" spans="1:17" x14ac:dyDescent="0.25">
      <c r="A3399" t="s">
        <v>3047</v>
      </c>
      <c r="B3399" t="s">
        <v>2783</v>
      </c>
      <c r="C3399">
        <v>2027</v>
      </c>
      <c r="D3399" t="s">
        <v>640</v>
      </c>
      <c r="E3399" t="s">
        <v>842</v>
      </c>
      <c r="F3399" s="32">
        <v>46472</v>
      </c>
      <c r="G3399" t="s">
        <v>514</v>
      </c>
      <c r="H3399">
        <v>47128655</v>
      </c>
      <c r="I3399" t="s">
        <v>2474</v>
      </c>
      <c r="J3399" t="s">
        <v>2475</v>
      </c>
      <c r="K3399" t="s">
        <v>530</v>
      </c>
      <c r="N3399">
        <v>0</v>
      </c>
      <c r="O3399">
        <v>0</v>
      </c>
      <c r="P3399" t="str">
        <f t="shared" si="53"/>
        <v>N</v>
      </c>
      <c r="Q3399" t="s">
        <v>9129</v>
      </c>
    </row>
    <row r="3400" spans="1:17" x14ac:dyDescent="0.25">
      <c r="A3400" t="s">
        <v>3048</v>
      </c>
      <c r="B3400" t="s">
        <v>2783</v>
      </c>
      <c r="C3400">
        <v>2027</v>
      </c>
      <c r="D3400" t="s">
        <v>640</v>
      </c>
      <c r="E3400" t="s">
        <v>842</v>
      </c>
      <c r="F3400" s="32">
        <v>46472</v>
      </c>
      <c r="G3400" t="s">
        <v>514</v>
      </c>
      <c r="H3400">
        <v>47132096</v>
      </c>
      <c r="I3400" t="s">
        <v>2468</v>
      </c>
      <c r="J3400" t="s">
        <v>2469</v>
      </c>
      <c r="K3400" t="s">
        <v>530</v>
      </c>
      <c r="N3400">
        <v>0</v>
      </c>
      <c r="O3400">
        <v>0</v>
      </c>
      <c r="P3400" t="str">
        <f t="shared" si="53"/>
        <v>N</v>
      </c>
      <c r="Q3400" t="s">
        <v>9130</v>
      </c>
    </row>
    <row r="3401" spans="1:17" x14ac:dyDescent="0.25">
      <c r="A3401" t="s">
        <v>3049</v>
      </c>
      <c r="B3401" t="s">
        <v>2783</v>
      </c>
      <c r="C3401">
        <v>2027</v>
      </c>
      <c r="D3401" t="s">
        <v>640</v>
      </c>
      <c r="E3401" t="s">
        <v>842</v>
      </c>
      <c r="F3401" s="32">
        <v>46472</v>
      </c>
      <c r="G3401" t="s">
        <v>514</v>
      </c>
      <c r="H3401">
        <v>47129222</v>
      </c>
      <c r="I3401" t="s">
        <v>2459</v>
      </c>
      <c r="J3401" t="s">
        <v>2460</v>
      </c>
      <c r="K3401" t="s">
        <v>530</v>
      </c>
      <c r="N3401">
        <v>0</v>
      </c>
      <c r="O3401">
        <v>0</v>
      </c>
      <c r="P3401" t="str">
        <f t="shared" si="53"/>
        <v>N</v>
      </c>
      <c r="Q3401" t="s">
        <v>9131</v>
      </c>
    </row>
    <row r="3402" spans="1:17" x14ac:dyDescent="0.25">
      <c r="A3402" t="s">
        <v>3050</v>
      </c>
      <c r="B3402" t="s">
        <v>2783</v>
      </c>
      <c r="C3402">
        <v>2027</v>
      </c>
      <c r="D3402" t="s">
        <v>640</v>
      </c>
      <c r="E3402" t="s">
        <v>842</v>
      </c>
      <c r="F3402" s="32">
        <v>46472</v>
      </c>
      <c r="G3402" t="s">
        <v>514</v>
      </c>
      <c r="H3402">
        <v>47128561</v>
      </c>
      <c r="I3402" t="s">
        <v>2462</v>
      </c>
      <c r="J3402" t="s">
        <v>2463</v>
      </c>
      <c r="K3402" t="s">
        <v>530</v>
      </c>
      <c r="N3402">
        <v>0</v>
      </c>
      <c r="O3402">
        <v>0</v>
      </c>
      <c r="P3402" t="str">
        <f t="shared" si="53"/>
        <v>N</v>
      </c>
      <c r="Q3402" t="s">
        <v>9132</v>
      </c>
    </row>
    <row r="3403" spans="1:17" x14ac:dyDescent="0.25">
      <c r="A3403" t="s">
        <v>3051</v>
      </c>
      <c r="B3403" t="s">
        <v>2783</v>
      </c>
      <c r="C3403">
        <v>2027</v>
      </c>
      <c r="D3403" t="s">
        <v>640</v>
      </c>
      <c r="E3403" t="s">
        <v>842</v>
      </c>
      <c r="F3403" s="32">
        <v>46472</v>
      </c>
      <c r="G3403" t="s">
        <v>514</v>
      </c>
      <c r="H3403">
        <v>47129274</v>
      </c>
      <c r="I3403" t="s">
        <v>2486</v>
      </c>
      <c r="J3403" t="s">
        <v>2487</v>
      </c>
      <c r="K3403" t="s">
        <v>530</v>
      </c>
      <c r="N3403">
        <v>0</v>
      </c>
      <c r="O3403">
        <v>0</v>
      </c>
      <c r="P3403" t="str">
        <f t="shared" si="53"/>
        <v>N</v>
      </c>
      <c r="Q3403" t="s">
        <v>9133</v>
      </c>
    </row>
    <row r="3404" spans="1:17" x14ac:dyDescent="0.25">
      <c r="A3404" t="s">
        <v>3052</v>
      </c>
      <c r="B3404" t="s">
        <v>2783</v>
      </c>
      <c r="C3404">
        <v>2027</v>
      </c>
      <c r="D3404" t="s">
        <v>640</v>
      </c>
      <c r="E3404" t="s">
        <v>842</v>
      </c>
      <c r="F3404" s="32">
        <v>46472</v>
      </c>
      <c r="G3404" t="s">
        <v>514</v>
      </c>
      <c r="H3404">
        <v>47129262</v>
      </c>
      <c r="I3404" t="s">
        <v>2453</v>
      </c>
      <c r="J3404" t="s">
        <v>2454</v>
      </c>
      <c r="K3404" t="s">
        <v>530</v>
      </c>
      <c r="N3404">
        <v>60</v>
      </c>
      <c r="O3404">
        <v>60</v>
      </c>
      <c r="P3404" t="str">
        <f t="shared" si="53"/>
        <v>N</v>
      </c>
      <c r="Q3404" t="s">
        <v>9134</v>
      </c>
    </row>
    <row r="3405" spans="1:17" x14ac:dyDescent="0.25">
      <c r="A3405" t="s">
        <v>3053</v>
      </c>
      <c r="B3405" t="s">
        <v>2783</v>
      </c>
      <c r="C3405">
        <v>2027</v>
      </c>
      <c r="D3405" t="s">
        <v>640</v>
      </c>
      <c r="E3405" t="s">
        <v>842</v>
      </c>
      <c r="F3405" s="32">
        <v>46472</v>
      </c>
      <c r="G3405" t="s">
        <v>514</v>
      </c>
      <c r="H3405">
        <v>47129558</v>
      </c>
      <c r="I3405" t="s">
        <v>2480</v>
      </c>
      <c r="J3405" t="s">
        <v>2481</v>
      </c>
      <c r="K3405" t="s">
        <v>530</v>
      </c>
      <c r="N3405">
        <v>0</v>
      </c>
      <c r="O3405">
        <v>0</v>
      </c>
      <c r="P3405" t="str">
        <f t="shared" si="53"/>
        <v>N</v>
      </c>
      <c r="Q3405" t="s">
        <v>9135</v>
      </c>
    </row>
    <row r="3406" spans="1:17" x14ac:dyDescent="0.25">
      <c r="A3406" t="s">
        <v>3054</v>
      </c>
      <c r="B3406" t="s">
        <v>2783</v>
      </c>
      <c r="C3406">
        <v>2027</v>
      </c>
      <c r="D3406" t="s">
        <v>640</v>
      </c>
      <c r="E3406" t="s">
        <v>842</v>
      </c>
      <c r="F3406" s="32">
        <v>46472</v>
      </c>
      <c r="G3406" t="s">
        <v>514</v>
      </c>
      <c r="H3406">
        <v>47129727</v>
      </c>
      <c r="I3406" t="s">
        <v>2465</v>
      </c>
      <c r="J3406" t="s">
        <v>2466</v>
      </c>
      <c r="K3406" t="s">
        <v>530</v>
      </c>
      <c r="N3406">
        <v>0</v>
      </c>
      <c r="O3406">
        <v>0</v>
      </c>
      <c r="P3406" t="str">
        <f t="shared" si="53"/>
        <v>N</v>
      </c>
      <c r="Q3406" t="s">
        <v>9136</v>
      </c>
    </row>
    <row r="3407" spans="1:17" x14ac:dyDescent="0.25">
      <c r="A3407" t="s">
        <v>3055</v>
      </c>
      <c r="B3407" t="s">
        <v>2783</v>
      </c>
      <c r="C3407">
        <v>2027</v>
      </c>
      <c r="D3407" t="s">
        <v>640</v>
      </c>
      <c r="E3407" t="s">
        <v>842</v>
      </c>
      <c r="F3407" s="32">
        <v>46472</v>
      </c>
      <c r="G3407" t="s">
        <v>514</v>
      </c>
      <c r="H3407">
        <v>47129273</v>
      </c>
      <c r="I3407" t="s">
        <v>2483</v>
      </c>
      <c r="J3407" t="s">
        <v>2484</v>
      </c>
      <c r="K3407" t="s">
        <v>530</v>
      </c>
      <c r="N3407">
        <v>0</v>
      </c>
      <c r="O3407">
        <v>0</v>
      </c>
      <c r="P3407" t="str">
        <f t="shared" si="53"/>
        <v>N</v>
      </c>
      <c r="Q3407" t="s">
        <v>9137</v>
      </c>
    </row>
    <row r="3408" spans="1:17" x14ac:dyDescent="0.25">
      <c r="A3408" t="s">
        <v>3056</v>
      </c>
      <c r="B3408" t="s">
        <v>2783</v>
      </c>
      <c r="C3408">
        <v>2027</v>
      </c>
      <c r="D3408" t="s">
        <v>640</v>
      </c>
      <c r="E3408" t="s">
        <v>842</v>
      </c>
      <c r="F3408" s="32">
        <v>46472</v>
      </c>
      <c r="G3408" t="s">
        <v>514</v>
      </c>
      <c r="H3408">
        <v>47128247</v>
      </c>
      <c r="I3408" t="s">
        <v>2492</v>
      </c>
      <c r="J3408" t="s">
        <v>2493</v>
      </c>
      <c r="K3408" t="s">
        <v>530</v>
      </c>
      <c r="N3408">
        <v>0</v>
      </c>
      <c r="O3408">
        <v>0</v>
      </c>
      <c r="P3408" t="str">
        <f t="shared" si="53"/>
        <v>N</v>
      </c>
      <c r="Q3408" t="s">
        <v>9138</v>
      </c>
    </row>
    <row r="3409" spans="1:17" x14ac:dyDescent="0.25">
      <c r="A3409" t="s">
        <v>3057</v>
      </c>
      <c r="B3409" t="s">
        <v>2783</v>
      </c>
      <c r="C3409">
        <v>2027</v>
      </c>
      <c r="D3409" t="s">
        <v>640</v>
      </c>
      <c r="E3409" t="s">
        <v>842</v>
      </c>
      <c r="F3409" s="32">
        <v>46472</v>
      </c>
      <c r="G3409" t="s">
        <v>514</v>
      </c>
      <c r="H3409">
        <v>47128587</v>
      </c>
      <c r="I3409" t="s">
        <v>2489</v>
      </c>
      <c r="J3409" t="s">
        <v>2490</v>
      </c>
      <c r="K3409" t="s">
        <v>530</v>
      </c>
      <c r="N3409">
        <v>0</v>
      </c>
      <c r="O3409">
        <v>0</v>
      </c>
      <c r="P3409" t="str">
        <f t="shared" si="53"/>
        <v>N</v>
      </c>
      <c r="Q3409" t="s">
        <v>9139</v>
      </c>
    </row>
    <row r="3410" spans="1:17" x14ac:dyDescent="0.25">
      <c r="A3410" t="s">
        <v>3058</v>
      </c>
      <c r="B3410" t="s">
        <v>2783</v>
      </c>
      <c r="C3410">
        <v>2027</v>
      </c>
      <c r="D3410" t="s">
        <v>640</v>
      </c>
      <c r="E3410" t="s">
        <v>842</v>
      </c>
      <c r="F3410" s="32">
        <v>46472</v>
      </c>
      <c r="G3410" t="s">
        <v>514</v>
      </c>
      <c r="H3410">
        <v>47128781</v>
      </c>
      <c r="I3410" t="s">
        <v>1251</v>
      </c>
      <c r="J3410" t="s">
        <v>1250</v>
      </c>
      <c r="K3410" t="s">
        <v>530</v>
      </c>
      <c r="N3410">
        <v>0</v>
      </c>
      <c r="O3410">
        <v>0</v>
      </c>
      <c r="P3410" t="str">
        <f t="shared" si="53"/>
        <v>N</v>
      </c>
      <c r="Q3410" t="s">
        <v>9140</v>
      </c>
    </row>
    <row r="3411" spans="1:17" x14ac:dyDescent="0.25">
      <c r="A3411" t="s">
        <v>3605</v>
      </c>
      <c r="B3411" t="s">
        <v>1080</v>
      </c>
      <c r="C3411">
        <v>2027</v>
      </c>
      <c r="D3411" t="s">
        <v>640</v>
      </c>
      <c r="E3411" t="s">
        <v>842</v>
      </c>
      <c r="F3411" s="32">
        <v>46472</v>
      </c>
      <c r="G3411" t="s">
        <v>514</v>
      </c>
      <c r="H3411">
        <v>47128168</v>
      </c>
      <c r="I3411" t="s">
        <v>1100</v>
      </c>
      <c r="J3411" t="s">
        <v>1099</v>
      </c>
      <c r="K3411" t="s">
        <v>530</v>
      </c>
      <c r="N3411">
        <v>0</v>
      </c>
      <c r="O3411">
        <v>0</v>
      </c>
      <c r="P3411" t="str">
        <f t="shared" si="53"/>
        <v>N</v>
      </c>
      <c r="Q3411" t="s">
        <v>9141</v>
      </c>
    </row>
    <row r="3412" spans="1:17" x14ac:dyDescent="0.25">
      <c r="A3412" t="s">
        <v>3606</v>
      </c>
      <c r="B3412" t="s">
        <v>1080</v>
      </c>
      <c r="C3412">
        <v>2027</v>
      </c>
      <c r="D3412" t="s">
        <v>640</v>
      </c>
      <c r="E3412" t="s">
        <v>842</v>
      </c>
      <c r="F3412" s="32">
        <v>46472</v>
      </c>
      <c r="G3412" t="s">
        <v>514</v>
      </c>
      <c r="H3412">
        <v>47128906</v>
      </c>
      <c r="I3412" t="s">
        <v>1349</v>
      </c>
      <c r="J3412" t="s">
        <v>1348</v>
      </c>
      <c r="K3412" t="s">
        <v>530</v>
      </c>
      <c r="N3412">
        <v>0</v>
      </c>
      <c r="O3412">
        <v>0</v>
      </c>
      <c r="P3412" t="str">
        <f t="shared" si="53"/>
        <v>N</v>
      </c>
      <c r="Q3412" t="s">
        <v>9142</v>
      </c>
    </row>
    <row r="3413" spans="1:17" x14ac:dyDescent="0.25">
      <c r="A3413" t="s">
        <v>3607</v>
      </c>
      <c r="B3413" t="s">
        <v>1080</v>
      </c>
      <c r="C3413">
        <v>2027</v>
      </c>
      <c r="D3413" t="s">
        <v>640</v>
      </c>
      <c r="E3413" t="s">
        <v>842</v>
      </c>
      <c r="F3413" s="32">
        <v>46472</v>
      </c>
      <c r="G3413" t="s">
        <v>514</v>
      </c>
      <c r="H3413">
        <v>47128783</v>
      </c>
      <c r="I3413" t="s">
        <v>1280</v>
      </c>
      <c r="J3413" t="s">
        <v>1279</v>
      </c>
      <c r="K3413" t="s">
        <v>530</v>
      </c>
      <c r="N3413">
        <v>0</v>
      </c>
      <c r="O3413">
        <v>0</v>
      </c>
      <c r="P3413" t="str">
        <f t="shared" si="53"/>
        <v>N</v>
      </c>
      <c r="Q3413" t="s">
        <v>9143</v>
      </c>
    </row>
    <row r="3414" spans="1:17" x14ac:dyDescent="0.25">
      <c r="A3414" t="s">
        <v>3608</v>
      </c>
      <c r="B3414" t="s">
        <v>1080</v>
      </c>
      <c r="C3414">
        <v>2027</v>
      </c>
      <c r="D3414" t="s">
        <v>640</v>
      </c>
      <c r="E3414" t="s">
        <v>842</v>
      </c>
      <c r="F3414" s="32">
        <v>46472</v>
      </c>
      <c r="G3414" t="s">
        <v>514</v>
      </c>
      <c r="H3414">
        <v>47128944</v>
      </c>
      <c r="I3414" t="s">
        <v>1137</v>
      </c>
      <c r="J3414" t="s">
        <v>1136</v>
      </c>
      <c r="K3414" t="s">
        <v>530</v>
      </c>
      <c r="N3414">
        <v>0</v>
      </c>
      <c r="O3414">
        <v>0</v>
      </c>
      <c r="P3414" t="str">
        <f t="shared" si="53"/>
        <v>N</v>
      </c>
      <c r="Q3414" t="s">
        <v>9144</v>
      </c>
    </row>
    <row r="3415" spans="1:17" x14ac:dyDescent="0.25">
      <c r="A3415" t="s">
        <v>3609</v>
      </c>
      <c r="B3415" t="s">
        <v>1080</v>
      </c>
      <c r="C3415">
        <v>2027</v>
      </c>
      <c r="D3415" t="s">
        <v>640</v>
      </c>
      <c r="E3415" t="s">
        <v>842</v>
      </c>
      <c r="F3415" s="32">
        <v>46472</v>
      </c>
      <c r="G3415" t="s">
        <v>514</v>
      </c>
      <c r="H3415">
        <v>47128729</v>
      </c>
      <c r="I3415" t="s">
        <v>1149</v>
      </c>
      <c r="J3415" t="s">
        <v>1148</v>
      </c>
      <c r="K3415" t="s">
        <v>530</v>
      </c>
      <c r="N3415">
        <v>0</v>
      </c>
      <c r="O3415">
        <v>0</v>
      </c>
      <c r="P3415" t="str">
        <f t="shared" si="53"/>
        <v>N</v>
      </c>
      <c r="Q3415" t="s">
        <v>9145</v>
      </c>
    </row>
    <row r="3416" spans="1:17" x14ac:dyDescent="0.25">
      <c r="A3416" t="s">
        <v>3610</v>
      </c>
      <c r="B3416" t="s">
        <v>1080</v>
      </c>
      <c r="C3416">
        <v>2027</v>
      </c>
      <c r="D3416" t="s">
        <v>640</v>
      </c>
      <c r="E3416" t="s">
        <v>842</v>
      </c>
      <c r="F3416" s="32">
        <v>46472</v>
      </c>
      <c r="G3416" t="s">
        <v>514</v>
      </c>
      <c r="H3416">
        <v>47128585</v>
      </c>
      <c r="I3416" t="s">
        <v>1141</v>
      </c>
      <c r="J3416" t="s">
        <v>1140</v>
      </c>
      <c r="K3416" t="s">
        <v>530</v>
      </c>
      <c r="N3416">
        <v>0</v>
      </c>
      <c r="O3416">
        <v>0</v>
      </c>
      <c r="P3416" t="str">
        <f t="shared" si="53"/>
        <v>N</v>
      </c>
      <c r="Q3416" t="s">
        <v>9146</v>
      </c>
    </row>
    <row r="3417" spans="1:17" x14ac:dyDescent="0.25">
      <c r="A3417" t="s">
        <v>3611</v>
      </c>
      <c r="B3417" t="s">
        <v>1080</v>
      </c>
      <c r="C3417">
        <v>2027</v>
      </c>
      <c r="D3417" t="s">
        <v>640</v>
      </c>
      <c r="E3417" t="s">
        <v>842</v>
      </c>
      <c r="F3417" s="32">
        <v>46472</v>
      </c>
      <c r="G3417" t="s">
        <v>514</v>
      </c>
      <c r="H3417">
        <v>47128680</v>
      </c>
      <c r="I3417" t="s">
        <v>1284</v>
      </c>
      <c r="J3417" t="s">
        <v>1283</v>
      </c>
      <c r="K3417" t="s">
        <v>530</v>
      </c>
      <c r="N3417">
        <v>0</v>
      </c>
      <c r="O3417">
        <v>0</v>
      </c>
      <c r="P3417" t="str">
        <f t="shared" si="53"/>
        <v>N</v>
      </c>
      <c r="Q3417" t="s">
        <v>9147</v>
      </c>
    </row>
    <row r="3418" spans="1:17" x14ac:dyDescent="0.25">
      <c r="A3418" t="s">
        <v>3612</v>
      </c>
      <c r="B3418" t="s">
        <v>1080</v>
      </c>
      <c r="C3418">
        <v>2027</v>
      </c>
      <c r="D3418" t="s">
        <v>640</v>
      </c>
      <c r="E3418" t="s">
        <v>842</v>
      </c>
      <c r="F3418" s="32">
        <v>46472</v>
      </c>
      <c r="G3418" t="s">
        <v>514</v>
      </c>
      <c r="H3418">
        <v>47128585</v>
      </c>
      <c r="I3418" t="s">
        <v>1141</v>
      </c>
      <c r="J3418" t="s">
        <v>1408</v>
      </c>
      <c r="K3418" t="s">
        <v>530</v>
      </c>
      <c r="N3418">
        <v>0</v>
      </c>
      <c r="O3418">
        <v>0</v>
      </c>
      <c r="P3418" t="str">
        <f t="shared" si="53"/>
        <v>N</v>
      </c>
      <c r="Q3418" t="s">
        <v>9148</v>
      </c>
    </row>
    <row r="3419" spans="1:17" x14ac:dyDescent="0.25">
      <c r="A3419" t="s">
        <v>3613</v>
      </c>
      <c r="B3419" t="s">
        <v>1080</v>
      </c>
      <c r="C3419">
        <v>2027</v>
      </c>
      <c r="D3419" t="s">
        <v>640</v>
      </c>
      <c r="E3419" t="s">
        <v>842</v>
      </c>
      <c r="F3419" s="32">
        <v>46472</v>
      </c>
      <c r="G3419" t="s">
        <v>514</v>
      </c>
      <c r="H3419">
        <v>47128039</v>
      </c>
      <c r="I3419" t="s">
        <v>1405</v>
      </c>
      <c r="J3419" t="s">
        <v>1404</v>
      </c>
      <c r="K3419" t="s">
        <v>530</v>
      </c>
      <c r="N3419">
        <v>0</v>
      </c>
      <c r="O3419">
        <v>0</v>
      </c>
      <c r="P3419" t="str">
        <f t="shared" si="53"/>
        <v>N</v>
      </c>
      <c r="Q3419" t="s">
        <v>9149</v>
      </c>
    </row>
    <row r="3420" spans="1:17" x14ac:dyDescent="0.25">
      <c r="A3420" t="s">
        <v>3614</v>
      </c>
      <c r="B3420" t="s">
        <v>1080</v>
      </c>
      <c r="C3420">
        <v>2027</v>
      </c>
      <c r="D3420" t="s">
        <v>640</v>
      </c>
      <c r="E3420" t="s">
        <v>842</v>
      </c>
      <c r="F3420" s="32">
        <v>46472</v>
      </c>
      <c r="G3420" t="s">
        <v>514</v>
      </c>
      <c r="H3420">
        <v>47128024</v>
      </c>
      <c r="I3420" t="s">
        <v>1108</v>
      </c>
      <c r="J3420" t="s">
        <v>1107</v>
      </c>
      <c r="K3420" t="s">
        <v>530</v>
      </c>
      <c r="N3420">
        <v>0</v>
      </c>
      <c r="O3420">
        <v>0</v>
      </c>
      <c r="P3420" t="str">
        <f t="shared" si="53"/>
        <v>N</v>
      </c>
      <c r="Q3420" t="s">
        <v>9150</v>
      </c>
    </row>
    <row r="3421" spans="1:17" x14ac:dyDescent="0.25">
      <c r="A3421" t="s">
        <v>3615</v>
      </c>
      <c r="B3421" t="s">
        <v>1080</v>
      </c>
      <c r="C3421">
        <v>2027</v>
      </c>
      <c r="D3421" t="s">
        <v>640</v>
      </c>
      <c r="E3421" t="s">
        <v>842</v>
      </c>
      <c r="F3421" s="32">
        <v>46472</v>
      </c>
      <c r="G3421" t="s">
        <v>514</v>
      </c>
      <c r="H3421">
        <v>47128430</v>
      </c>
      <c r="I3421" t="s">
        <v>1401</v>
      </c>
      <c r="J3421" t="s">
        <v>1400</v>
      </c>
      <c r="K3421" t="s">
        <v>530</v>
      </c>
      <c r="N3421">
        <v>0</v>
      </c>
      <c r="O3421">
        <v>0</v>
      </c>
      <c r="P3421" t="str">
        <f t="shared" si="53"/>
        <v>N</v>
      </c>
      <c r="Q3421" t="s">
        <v>9151</v>
      </c>
    </row>
    <row r="3422" spans="1:17" x14ac:dyDescent="0.25">
      <c r="A3422" t="s">
        <v>3616</v>
      </c>
      <c r="B3422" t="s">
        <v>1080</v>
      </c>
      <c r="C3422">
        <v>2027</v>
      </c>
      <c r="D3422" t="s">
        <v>640</v>
      </c>
      <c r="E3422" t="s">
        <v>842</v>
      </c>
      <c r="F3422" s="32">
        <v>46472</v>
      </c>
      <c r="G3422" t="s">
        <v>514</v>
      </c>
      <c r="H3422">
        <v>47128555</v>
      </c>
      <c r="I3422" t="s">
        <v>1209</v>
      </c>
      <c r="J3422" t="s">
        <v>1208</v>
      </c>
      <c r="K3422" t="s">
        <v>530</v>
      </c>
      <c r="N3422">
        <v>0</v>
      </c>
      <c r="O3422">
        <v>0</v>
      </c>
      <c r="P3422" t="str">
        <f t="shared" si="53"/>
        <v>N</v>
      </c>
      <c r="Q3422" t="s">
        <v>9152</v>
      </c>
    </row>
    <row r="3423" spans="1:17" x14ac:dyDescent="0.25">
      <c r="A3423" t="s">
        <v>3617</v>
      </c>
      <c r="B3423" t="s">
        <v>1080</v>
      </c>
      <c r="C3423">
        <v>2027</v>
      </c>
      <c r="D3423" t="s">
        <v>640</v>
      </c>
      <c r="E3423" t="s">
        <v>842</v>
      </c>
      <c r="F3423" s="32">
        <v>46472</v>
      </c>
      <c r="G3423" t="s">
        <v>514</v>
      </c>
      <c r="H3423">
        <v>47128522</v>
      </c>
      <c r="I3423" t="s">
        <v>1092</v>
      </c>
      <c r="J3423" t="s">
        <v>1091</v>
      </c>
      <c r="K3423" t="s">
        <v>530</v>
      </c>
      <c r="N3423">
        <v>0</v>
      </c>
      <c r="O3423">
        <v>0</v>
      </c>
      <c r="P3423" t="str">
        <f t="shared" si="53"/>
        <v>N</v>
      </c>
      <c r="Q3423" t="s">
        <v>9153</v>
      </c>
    </row>
    <row r="3424" spans="1:17" x14ac:dyDescent="0.25">
      <c r="A3424" t="s">
        <v>3618</v>
      </c>
      <c r="B3424" t="s">
        <v>1080</v>
      </c>
      <c r="C3424">
        <v>2027</v>
      </c>
      <c r="D3424" t="s">
        <v>640</v>
      </c>
      <c r="E3424" t="s">
        <v>842</v>
      </c>
      <c r="F3424" s="32">
        <v>46472</v>
      </c>
      <c r="G3424" t="s">
        <v>514</v>
      </c>
      <c r="H3424">
        <v>47147546</v>
      </c>
      <c r="I3424" t="s">
        <v>1077</v>
      </c>
      <c r="J3424" t="s">
        <v>1076</v>
      </c>
      <c r="K3424" t="s">
        <v>530</v>
      </c>
      <c r="N3424">
        <v>0</v>
      </c>
      <c r="O3424">
        <v>0</v>
      </c>
      <c r="P3424" t="str">
        <f t="shared" si="53"/>
        <v>N</v>
      </c>
      <c r="Q3424" t="s">
        <v>9154</v>
      </c>
    </row>
    <row r="3425" spans="1:17" x14ac:dyDescent="0.25">
      <c r="A3425" t="s">
        <v>3619</v>
      </c>
      <c r="B3425" t="s">
        <v>1080</v>
      </c>
      <c r="C3425">
        <v>2027</v>
      </c>
      <c r="D3425" t="s">
        <v>640</v>
      </c>
      <c r="E3425" t="s">
        <v>842</v>
      </c>
      <c r="F3425" s="32">
        <v>46472</v>
      </c>
      <c r="G3425" t="s">
        <v>514</v>
      </c>
      <c r="H3425">
        <v>47128597</v>
      </c>
      <c r="I3425" t="s">
        <v>1510</v>
      </c>
      <c r="J3425" t="s">
        <v>1509</v>
      </c>
      <c r="K3425" t="s">
        <v>530</v>
      </c>
      <c r="N3425">
        <v>0</v>
      </c>
      <c r="O3425">
        <v>0</v>
      </c>
      <c r="P3425" t="str">
        <f t="shared" si="53"/>
        <v>N</v>
      </c>
      <c r="Q3425" t="s">
        <v>9155</v>
      </c>
    </row>
    <row r="3426" spans="1:17" x14ac:dyDescent="0.25">
      <c r="A3426" t="s">
        <v>3620</v>
      </c>
      <c r="B3426" t="s">
        <v>1080</v>
      </c>
      <c r="C3426">
        <v>2027</v>
      </c>
      <c r="D3426" t="s">
        <v>640</v>
      </c>
      <c r="E3426" t="s">
        <v>842</v>
      </c>
      <c r="F3426" s="32">
        <v>46472</v>
      </c>
      <c r="G3426" t="s">
        <v>514</v>
      </c>
      <c r="H3426">
        <v>47128257</v>
      </c>
      <c r="I3426" t="s">
        <v>979</v>
      </c>
      <c r="J3426" t="s">
        <v>978</v>
      </c>
      <c r="K3426" t="s">
        <v>530</v>
      </c>
      <c r="N3426">
        <v>78.2</v>
      </c>
      <c r="O3426">
        <v>78.2</v>
      </c>
      <c r="P3426" t="str">
        <f t="shared" si="53"/>
        <v>N</v>
      </c>
      <c r="Q3426" t="s">
        <v>9156</v>
      </c>
    </row>
    <row r="3427" spans="1:17" x14ac:dyDescent="0.25">
      <c r="A3427" t="s">
        <v>3621</v>
      </c>
      <c r="B3427" t="s">
        <v>1080</v>
      </c>
      <c r="C3427">
        <v>2027</v>
      </c>
      <c r="D3427" t="s">
        <v>640</v>
      </c>
      <c r="E3427" t="s">
        <v>842</v>
      </c>
      <c r="F3427" s="32">
        <v>46472</v>
      </c>
      <c r="G3427" t="s">
        <v>514</v>
      </c>
      <c r="H3427">
        <v>47128880</v>
      </c>
      <c r="I3427" t="s">
        <v>1014</v>
      </c>
      <c r="J3427" t="s">
        <v>1013</v>
      </c>
      <c r="K3427" t="s">
        <v>530</v>
      </c>
      <c r="N3427">
        <v>0</v>
      </c>
      <c r="O3427">
        <v>0</v>
      </c>
      <c r="P3427" t="str">
        <f t="shared" si="53"/>
        <v>N</v>
      </c>
      <c r="Q3427" t="s">
        <v>9157</v>
      </c>
    </row>
    <row r="3428" spans="1:17" x14ac:dyDescent="0.25">
      <c r="A3428" t="s">
        <v>3622</v>
      </c>
      <c r="B3428" t="s">
        <v>1080</v>
      </c>
      <c r="C3428">
        <v>2027</v>
      </c>
      <c r="D3428" t="s">
        <v>640</v>
      </c>
      <c r="E3428" t="s">
        <v>842</v>
      </c>
      <c r="F3428" s="32">
        <v>46472</v>
      </c>
      <c r="G3428" t="s">
        <v>514</v>
      </c>
      <c r="H3428">
        <v>47128879</v>
      </c>
      <c r="I3428" t="s">
        <v>1132</v>
      </c>
      <c r="J3428" t="s">
        <v>1131</v>
      </c>
      <c r="K3428" t="s">
        <v>530</v>
      </c>
      <c r="N3428">
        <v>0</v>
      </c>
      <c r="O3428">
        <v>0</v>
      </c>
      <c r="P3428" t="str">
        <f t="shared" si="53"/>
        <v>N</v>
      </c>
      <c r="Q3428" t="s">
        <v>9158</v>
      </c>
    </row>
    <row r="3429" spans="1:17" x14ac:dyDescent="0.25">
      <c r="A3429" t="s">
        <v>3623</v>
      </c>
      <c r="B3429" t="s">
        <v>1080</v>
      </c>
      <c r="C3429">
        <v>2027</v>
      </c>
      <c r="D3429" t="s">
        <v>640</v>
      </c>
      <c r="E3429" t="s">
        <v>842</v>
      </c>
      <c r="F3429" s="32">
        <v>46472</v>
      </c>
      <c r="G3429" t="s">
        <v>514</v>
      </c>
      <c r="H3429">
        <v>47128413</v>
      </c>
      <c r="I3429" t="s">
        <v>1397</v>
      </c>
      <c r="J3429" t="s">
        <v>1396</v>
      </c>
      <c r="K3429" t="s">
        <v>530</v>
      </c>
      <c r="N3429">
        <v>0</v>
      </c>
      <c r="O3429">
        <v>0</v>
      </c>
      <c r="P3429" t="str">
        <f t="shared" si="53"/>
        <v>N</v>
      </c>
      <c r="Q3429" t="s">
        <v>9159</v>
      </c>
    </row>
    <row r="3430" spans="1:17" x14ac:dyDescent="0.25">
      <c r="A3430" t="s">
        <v>3624</v>
      </c>
      <c r="B3430" t="s">
        <v>1080</v>
      </c>
      <c r="C3430">
        <v>2027</v>
      </c>
      <c r="D3430" t="s">
        <v>640</v>
      </c>
      <c r="E3430" t="s">
        <v>842</v>
      </c>
      <c r="F3430" s="32">
        <v>46472</v>
      </c>
      <c r="G3430" t="s">
        <v>514</v>
      </c>
      <c r="H3430">
        <v>47146464</v>
      </c>
      <c r="I3430" t="s">
        <v>1438</v>
      </c>
      <c r="J3430" t="s">
        <v>1437</v>
      </c>
      <c r="K3430" t="s">
        <v>530</v>
      </c>
      <c r="N3430">
        <v>0</v>
      </c>
      <c r="O3430">
        <v>0</v>
      </c>
      <c r="P3430" t="str">
        <f t="shared" si="53"/>
        <v>N</v>
      </c>
      <c r="Q3430" t="s">
        <v>9160</v>
      </c>
    </row>
    <row r="3431" spans="1:17" x14ac:dyDescent="0.25">
      <c r="A3431" t="s">
        <v>3625</v>
      </c>
      <c r="B3431" t="s">
        <v>1080</v>
      </c>
      <c r="C3431">
        <v>2027</v>
      </c>
      <c r="D3431" t="s">
        <v>640</v>
      </c>
      <c r="E3431" t="s">
        <v>842</v>
      </c>
      <c r="F3431" s="32">
        <v>46472</v>
      </c>
      <c r="G3431" t="s">
        <v>514</v>
      </c>
      <c r="H3431">
        <v>47147546</v>
      </c>
      <c r="I3431" t="s">
        <v>1077</v>
      </c>
      <c r="J3431" t="s">
        <v>1381</v>
      </c>
      <c r="K3431" t="s">
        <v>530</v>
      </c>
      <c r="N3431">
        <v>0</v>
      </c>
      <c r="O3431">
        <v>0</v>
      </c>
      <c r="P3431" t="str">
        <f t="shared" si="53"/>
        <v>N</v>
      </c>
      <c r="Q3431" t="s">
        <v>9161</v>
      </c>
    </row>
    <row r="3432" spans="1:17" x14ac:dyDescent="0.25">
      <c r="A3432" t="s">
        <v>3626</v>
      </c>
      <c r="B3432" t="s">
        <v>1080</v>
      </c>
      <c r="C3432">
        <v>2027</v>
      </c>
      <c r="D3432" t="s">
        <v>640</v>
      </c>
      <c r="E3432" t="s">
        <v>842</v>
      </c>
      <c r="F3432" s="32">
        <v>46472</v>
      </c>
      <c r="G3432" t="s">
        <v>514</v>
      </c>
      <c r="H3432">
        <v>47128800</v>
      </c>
      <c r="I3432" t="s">
        <v>1145</v>
      </c>
      <c r="J3432" t="s">
        <v>1144</v>
      </c>
      <c r="K3432" t="s">
        <v>530</v>
      </c>
      <c r="N3432">
        <v>0</v>
      </c>
      <c r="O3432">
        <v>0</v>
      </c>
      <c r="P3432" t="str">
        <f t="shared" si="53"/>
        <v>N</v>
      </c>
      <c r="Q3432" t="s">
        <v>9162</v>
      </c>
    </row>
    <row r="3433" spans="1:17" x14ac:dyDescent="0.25">
      <c r="A3433" t="s">
        <v>3627</v>
      </c>
      <c r="B3433" t="s">
        <v>1080</v>
      </c>
      <c r="C3433">
        <v>2027</v>
      </c>
      <c r="D3433" t="s">
        <v>640</v>
      </c>
      <c r="E3433" t="s">
        <v>842</v>
      </c>
      <c r="F3433" s="32">
        <v>46472</v>
      </c>
      <c r="G3433" t="s">
        <v>514</v>
      </c>
      <c r="H3433">
        <v>47128109</v>
      </c>
      <c r="I3433" t="s">
        <v>1336</v>
      </c>
      <c r="J3433" t="s">
        <v>1335</v>
      </c>
      <c r="K3433" t="s">
        <v>530</v>
      </c>
      <c r="N3433">
        <v>0</v>
      </c>
      <c r="O3433">
        <v>0</v>
      </c>
      <c r="P3433" t="str">
        <f t="shared" si="53"/>
        <v>N</v>
      </c>
      <c r="Q3433" t="s">
        <v>9163</v>
      </c>
    </row>
    <row r="3434" spans="1:17" x14ac:dyDescent="0.25">
      <c r="A3434" t="s">
        <v>3628</v>
      </c>
      <c r="B3434" t="s">
        <v>1080</v>
      </c>
      <c r="C3434">
        <v>2027</v>
      </c>
      <c r="D3434" t="s">
        <v>640</v>
      </c>
      <c r="E3434" t="s">
        <v>842</v>
      </c>
      <c r="F3434" s="32">
        <v>46472</v>
      </c>
      <c r="G3434" t="s">
        <v>514</v>
      </c>
      <c r="H3434">
        <v>47128346</v>
      </c>
      <c r="I3434" t="s">
        <v>1157</v>
      </c>
      <c r="J3434" t="s">
        <v>1156</v>
      </c>
      <c r="K3434" t="s">
        <v>530</v>
      </c>
      <c r="N3434">
        <v>0</v>
      </c>
      <c r="O3434">
        <v>0</v>
      </c>
      <c r="P3434" t="str">
        <f t="shared" si="53"/>
        <v>N</v>
      </c>
      <c r="Q3434" t="s">
        <v>9164</v>
      </c>
    </row>
    <row r="3435" spans="1:17" x14ac:dyDescent="0.25">
      <c r="A3435" t="s">
        <v>3629</v>
      </c>
      <c r="B3435" t="s">
        <v>1080</v>
      </c>
      <c r="C3435">
        <v>2027</v>
      </c>
      <c r="D3435" t="s">
        <v>640</v>
      </c>
      <c r="E3435" t="s">
        <v>842</v>
      </c>
      <c r="F3435" s="32">
        <v>46472</v>
      </c>
      <c r="G3435" t="s">
        <v>514</v>
      </c>
      <c r="H3435">
        <v>47128518</v>
      </c>
      <c r="I3435" t="s">
        <v>1232</v>
      </c>
      <c r="J3435" t="s">
        <v>1231</v>
      </c>
      <c r="K3435" t="s">
        <v>530</v>
      </c>
      <c r="N3435">
        <v>0</v>
      </c>
      <c r="O3435">
        <v>0</v>
      </c>
      <c r="P3435" t="str">
        <f t="shared" si="53"/>
        <v>N</v>
      </c>
      <c r="Q3435" t="s">
        <v>9165</v>
      </c>
    </row>
    <row r="3436" spans="1:17" x14ac:dyDescent="0.25">
      <c r="A3436" t="s">
        <v>3630</v>
      </c>
      <c r="B3436" t="s">
        <v>1080</v>
      </c>
      <c r="C3436">
        <v>2027</v>
      </c>
      <c r="D3436" t="s">
        <v>640</v>
      </c>
      <c r="E3436" t="s">
        <v>842</v>
      </c>
      <c r="F3436" s="32">
        <v>46472</v>
      </c>
      <c r="G3436" t="s">
        <v>514</v>
      </c>
      <c r="H3436">
        <v>47128418</v>
      </c>
      <c r="I3436" t="s">
        <v>1082</v>
      </c>
      <c r="J3436" t="s">
        <v>1081</v>
      </c>
      <c r="K3436" t="s">
        <v>530</v>
      </c>
      <c r="N3436">
        <v>0</v>
      </c>
      <c r="O3436">
        <v>0</v>
      </c>
      <c r="P3436" t="str">
        <f t="shared" si="53"/>
        <v>N</v>
      </c>
      <c r="Q3436" t="s">
        <v>9166</v>
      </c>
    </row>
    <row r="3437" spans="1:17" x14ac:dyDescent="0.25">
      <c r="A3437" t="s">
        <v>3631</v>
      </c>
      <c r="B3437" t="s">
        <v>1080</v>
      </c>
      <c r="C3437">
        <v>2027</v>
      </c>
      <c r="D3437" t="s">
        <v>640</v>
      </c>
      <c r="E3437" t="s">
        <v>842</v>
      </c>
      <c r="F3437" s="32">
        <v>46472</v>
      </c>
      <c r="G3437" t="s">
        <v>514</v>
      </c>
      <c r="H3437">
        <v>47128968</v>
      </c>
      <c r="I3437" t="s">
        <v>947</v>
      </c>
      <c r="J3437" t="s">
        <v>946</v>
      </c>
      <c r="K3437" t="s">
        <v>530</v>
      </c>
      <c r="N3437">
        <v>0</v>
      </c>
      <c r="O3437">
        <v>0</v>
      </c>
      <c r="P3437" t="str">
        <f t="shared" si="53"/>
        <v>N</v>
      </c>
      <c r="Q3437" t="s">
        <v>9167</v>
      </c>
    </row>
    <row r="3438" spans="1:17" x14ac:dyDescent="0.25">
      <c r="A3438" t="s">
        <v>3632</v>
      </c>
      <c r="B3438" t="s">
        <v>1080</v>
      </c>
      <c r="C3438">
        <v>2027</v>
      </c>
      <c r="D3438" t="s">
        <v>640</v>
      </c>
      <c r="E3438" t="s">
        <v>842</v>
      </c>
      <c r="F3438" s="32">
        <v>46472</v>
      </c>
      <c r="G3438" t="s">
        <v>514</v>
      </c>
      <c r="H3438">
        <v>47147658</v>
      </c>
      <c r="I3438" t="s">
        <v>1276</v>
      </c>
      <c r="J3438" t="s">
        <v>1275</v>
      </c>
      <c r="K3438" t="s">
        <v>530</v>
      </c>
      <c r="N3438">
        <v>0</v>
      </c>
      <c r="O3438">
        <v>0</v>
      </c>
      <c r="P3438" t="str">
        <f t="shared" si="53"/>
        <v>N</v>
      </c>
      <c r="Q3438" t="s">
        <v>9168</v>
      </c>
    </row>
    <row r="3439" spans="1:17" x14ac:dyDescent="0.25">
      <c r="A3439" t="s">
        <v>3633</v>
      </c>
      <c r="B3439" t="s">
        <v>1080</v>
      </c>
      <c r="C3439">
        <v>2027</v>
      </c>
      <c r="D3439" t="s">
        <v>640</v>
      </c>
      <c r="E3439" t="s">
        <v>842</v>
      </c>
      <c r="F3439" s="32">
        <v>46472</v>
      </c>
      <c r="G3439" t="s">
        <v>514</v>
      </c>
      <c r="H3439">
        <v>47128977</v>
      </c>
      <c r="I3439" t="s">
        <v>1449</v>
      </c>
      <c r="J3439" t="s">
        <v>1448</v>
      </c>
      <c r="K3439" t="s">
        <v>530</v>
      </c>
      <c r="N3439">
        <v>0</v>
      </c>
      <c r="O3439">
        <v>0</v>
      </c>
      <c r="P3439" t="str">
        <f t="shared" si="53"/>
        <v>N</v>
      </c>
      <c r="Q3439" t="s">
        <v>9169</v>
      </c>
    </row>
    <row r="3440" spans="1:17" x14ac:dyDescent="0.25">
      <c r="A3440" t="s">
        <v>3634</v>
      </c>
      <c r="B3440" t="s">
        <v>1080</v>
      </c>
      <c r="C3440">
        <v>2027</v>
      </c>
      <c r="D3440" t="s">
        <v>640</v>
      </c>
      <c r="E3440" t="s">
        <v>842</v>
      </c>
      <c r="F3440" s="32">
        <v>46472</v>
      </c>
      <c r="G3440" t="s">
        <v>514</v>
      </c>
      <c r="H3440">
        <v>47128781</v>
      </c>
      <c r="I3440" t="s">
        <v>1251</v>
      </c>
      <c r="J3440" t="s">
        <v>1250</v>
      </c>
      <c r="K3440" t="s">
        <v>530</v>
      </c>
      <c r="N3440">
        <v>0</v>
      </c>
      <c r="O3440">
        <v>0</v>
      </c>
      <c r="P3440" t="str">
        <f t="shared" si="53"/>
        <v>N</v>
      </c>
      <c r="Q3440" t="s">
        <v>9170</v>
      </c>
    </row>
    <row r="3441" spans="1:17" x14ac:dyDescent="0.25">
      <c r="A3441" t="s">
        <v>3922</v>
      </c>
      <c r="B3441" t="s">
        <v>1043</v>
      </c>
      <c r="C3441">
        <v>2027</v>
      </c>
      <c r="D3441" t="s">
        <v>640</v>
      </c>
      <c r="E3441" t="s">
        <v>842</v>
      </c>
      <c r="F3441" s="32">
        <v>46472</v>
      </c>
      <c r="G3441" t="s">
        <v>514</v>
      </c>
      <c r="H3441">
        <v>47128633</v>
      </c>
      <c r="I3441" t="s">
        <v>1164</v>
      </c>
      <c r="J3441" t="s">
        <v>1163</v>
      </c>
      <c r="K3441" t="s">
        <v>530</v>
      </c>
      <c r="N3441">
        <v>0</v>
      </c>
      <c r="O3441">
        <v>0</v>
      </c>
      <c r="P3441" t="str">
        <f t="shared" si="53"/>
        <v>N</v>
      </c>
      <c r="Q3441" t="s">
        <v>9171</v>
      </c>
    </row>
    <row r="3442" spans="1:17" x14ac:dyDescent="0.25">
      <c r="A3442" t="s">
        <v>3923</v>
      </c>
      <c r="B3442" t="s">
        <v>1043</v>
      </c>
      <c r="C3442">
        <v>2027</v>
      </c>
      <c r="D3442" t="s">
        <v>640</v>
      </c>
      <c r="E3442" t="s">
        <v>842</v>
      </c>
      <c r="F3442" s="32">
        <v>46472</v>
      </c>
      <c r="G3442" t="s">
        <v>514</v>
      </c>
      <c r="H3442">
        <v>47128046</v>
      </c>
      <c r="I3442" t="s">
        <v>1389</v>
      </c>
      <c r="J3442" t="s">
        <v>1388</v>
      </c>
      <c r="K3442" t="s">
        <v>530</v>
      </c>
      <c r="N3442">
        <v>0</v>
      </c>
      <c r="O3442">
        <v>0</v>
      </c>
      <c r="P3442" t="str">
        <f t="shared" si="53"/>
        <v>N</v>
      </c>
      <c r="Q3442" t="s">
        <v>9172</v>
      </c>
    </row>
    <row r="3443" spans="1:17" x14ac:dyDescent="0.25">
      <c r="A3443" t="s">
        <v>3924</v>
      </c>
      <c r="B3443" t="s">
        <v>1043</v>
      </c>
      <c r="C3443">
        <v>2027</v>
      </c>
      <c r="D3443" t="s">
        <v>640</v>
      </c>
      <c r="E3443" t="s">
        <v>842</v>
      </c>
      <c r="F3443" s="32">
        <v>46472</v>
      </c>
      <c r="G3443" t="s">
        <v>514</v>
      </c>
      <c r="H3443">
        <v>47128706</v>
      </c>
      <c r="I3443" t="s">
        <v>1201</v>
      </c>
      <c r="J3443" t="s">
        <v>1200</v>
      </c>
      <c r="K3443" t="s">
        <v>530</v>
      </c>
      <c r="N3443">
        <v>0</v>
      </c>
      <c r="O3443">
        <v>0</v>
      </c>
      <c r="P3443" t="str">
        <f t="shared" si="53"/>
        <v>N</v>
      </c>
      <c r="Q3443" t="s">
        <v>9173</v>
      </c>
    </row>
    <row r="3444" spans="1:17" x14ac:dyDescent="0.25">
      <c r="A3444" t="s">
        <v>4109</v>
      </c>
      <c r="B3444" t="s">
        <v>1489</v>
      </c>
      <c r="C3444">
        <v>2027</v>
      </c>
      <c r="D3444" t="s">
        <v>640</v>
      </c>
      <c r="E3444" t="s">
        <v>842</v>
      </c>
      <c r="F3444" s="32">
        <v>46472</v>
      </c>
      <c r="G3444" t="s">
        <v>514</v>
      </c>
      <c r="H3444">
        <v>47128337</v>
      </c>
      <c r="I3444" t="s">
        <v>1120</v>
      </c>
      <c r="J3444" t="s">
        <v>1119</v>
      </c>
      <c r="K3444" t="s">
        <v>530</v>
      </c>
      <c r="N3444">
        <v>0</v>
      </c>
      <c r="O3444">
        <v>0</v>
      </c>
      <c r="P3444" t="str">
        <f t="shared" si="53"/>
        <v>N</v>
      </c>
      <c r="Q3444" t="s">
        <v>9174</v>
      </c>
    </row>
    <row r="3445" spans="1:17" x14ac:dyDescent="0.25">
      <c r="A3445" t="s">
        <v>4110</v>
      </c>
      <c r="B3445" t="s">
        <v>1489</v>
      </c>
      <c r="C3445">
        <v>2027</v>
      </c>
      <c r="D3445" t="s">
        <v>640</v>
      </c>
      <c r="E3445" t="s">
        <v>842</v>
      </c>
      <c r="F3445" s="32">
        <v>46472</v>
      </c>
      <c r="G3445" t="s">
        <v>514</v>
      </c>
      <c r="H3445">
        <v>47128977</v>
      </c>
      <c r="I3445" t="s">
        <v>1449</v>
      </c>
      <c r="J3445" t="s">
        <v>1448</v>
      </c>
      <c r="K3445" t="s">
        <v>530</v>
      </c>
      <c r="N3445">
        <v>0</v>
      </c>
      <c r="O3445">
        <v>0</v>
      </c>
      <c r="P3445" t="str">
        <f t="shared" si="53"/>
        <v>N</v>
      </c>
      <c r="Q3445" t="s">
        <v>9175</v>
      </c>
    </row>
    <row r="3446" spans="1:17" x14ac:dyDescent="0.25">
      <c r="A3446" t="s">
        <v>4379</v>
      </c>
      <c r="B3446" t="s">
        <v>916</v>
      </c>
      <c r="C3446">
        <v>2027</v>
      </c>
      <c r="D3446" t="s">
        <v>640</v>
      </c>
      <c r="E3446" t="s">
        <v>842</v>
      </c>
      <c r="F3446" s="32">
        <v>46472</v>
      </c>
      <c r="G3446" t="s">
        <v>514</v>
      </c>
      <c r="H3446">
        <v>47128046</v>
      </c>
      <c r="I3446" t="s">
        <v>1389</v>
      </c>
      <c r="J3446" t="s">
        <v>1388</v>
      </c>
      <c r="K3446" t="s">
        <v>530</v>
      </c>
      <c r="N3446">
        <v>0</v>
      </c>
      <c r="O3446">
        <v>0</v>
      </c>
      <c r="P3446" t="str">
        <f t="shared" si="53"/>
        <v>N</v>
      </c>
      <c r="Q3446" t="s">
        <v>9176</v>
      </c>
    </row>
    <row r="3447" spans="1:17" x14ac:dyDescent="0.25">
      <c r="A3447" t="s">
        <v>4380</v>
      </c>
      <c r="B3447" t="s">
        <v>916</v>
      </c>
      <c r="C3447">
        <v>2027</v>
      </c>
      <c r="D3447" t="s">
        <v>640</v>
      </c>
      <c r="E3447" t="s">
        <v>842</v>
      </c>
      <c r="F3447" s="32">
        <v>46472</v>
      </c>
      <c r="G3447" t="s">
        <v>514</v>
      </c>
      <c r="H3447">
        <v>47128364</v>
      </c>
      <c r="I3447" t="s">
        <v>1264</v>
      </c>
      <c r="J3447" t="s">
        <v>1263</v>
      </c>
      <c r="K3447" t="s">
        <v>530</v>
      </c>
      <c r="N3447">
        <v>0</v>
      </c>
      <c r="O3447">
        <v>0</v>
      </c>
      <c r="P3447" t="str">
        <f t="shared" si="53"/>
        <v>N</v>
      </c>
      <c r="Q3447" t="s">
        <v>9177</v>
      </c>
    </row>
    <row r="3448" spans="1:17" x14ac:dyDescent="0.25">
      <c r="A3448" t="s">
        <v>4381</v>
      </c>
      <c r="B3448" t="s">
        <v>916</v>
      </c>
      <c r="C3448">
        <v>2027</v>
      </c>
      <c r="D3448" t="s">
        <v>640</v>
      </c>
      <c r="E3448" t="s">
        <v>842</v>
      </c>
      <c r="F3448" s="32">
        <v>46472</v>
      </c>
      <c r="G3448" t="s">
        <v>514</v>
      </c>
      <c r="H3448">
        <v>47128706</v>
      </c>
      <c r="I3448" t="s">
        <v>1201</v>
      </c>
      <c r="J3448" t="s">
        <v>1200</v>
      </c>
      <c r="K3448" t="s">
        <v>530</v>
      </c>
      <c r="N3448">
        <v>18</v>
      </c>
      <c r="O3448">
        <v>18</v>
      </c>
      <c r="P3448" t="str">
        <f t="shared" si="53"/>
        <v>N</v>
      </c>
      <c r="Q3448" t="s">
        <v>9178</v>
      </c>
    </row>
    <row r="3449" spans="1:17" x14ac:dyDescent="0.25">
      <c r="A3449" t="s">
        <v>4382</v>
      </c>
      <c r="B3449" t="s">
        <v>916</v>
      </c>
      <c r="C3449">
        <v>2027</v>
      </c>
      <c r="D3449" t="s">
        <v>640</v>
      </c>
      <c r="E3449" t="s">
        <v>842</v>
      </c>
      <c r="F3449" s="32">
        <v>46472</v>
      </c>
      <c r="G3449" t="s">
        <v>514</v>
      </c>
      <c r="H3449">
        <v>47128633</v>
      </c>
      <c r="I3449" t="s">
        <v>1164</v>
      </c>
      <c r="J3449" t="s">
        <v>1163</v>
      </c>
      <c r="K3449" t="s">
        <v>530</v>
      </c>
      <c r="N3449">
        <v>52</v>
      </c>
      <c r="O3449">
        <v>52</v>
      </c>
      <c r="P3449" t="str">
        <f t="shared" si="53"/>
        <v>N</v>
      </c>
      <c r="Q3449" t="s">
        <v>9179</v>
      </c>
    </row>
    <row r="3450" spans="1:17" x14ac:dyDescent="0.25">
      <c r="A3450" t="s">
        <v>4383</v>
      </c>
      <c r="B3450" t="s">
        <v>916</v>
      </c>
      <c r="C3450">
        <v>2027</v>
      </c>
      <c r="D3450" t="s">
        <v>640</v>
      </c>
      <c r="E3450" t="s">
        <v>842</v>
      </c>
      <c r="F3450" s="32">
        <v>46472</v>
      </c>
      <c r="G3450" t="s">
        <v>514</v>
      </c>
      <c r="H3450">
        <v>47128355</v>
      </c>
      <c r="I3450" t="s">
        <v>964</v>
      </c>
      <c r="J3450" t="s">
        <v>963</v>
      </c>
      <c r="K3450" t="s">
        <v>530</v>
      </c>
      <c r="N3450">
        <v>0</v>
      </c>
      <c r="O3450">
        <v>0</v>
      </c>
      <c r="P3450" t="str">
        <f t="shared" si="53"/>
        <v>N</v>
      </c>
      <c r="Q3450" t="s">
        <v>9180</v>
      </c>
    </row>
    <row r="3451" spans="1:17" x14ac:dyDescent="0.25">
      <c r="A3451" t="s">
        <v>4384</v>
      </c>
      <c r="B3451" t="s">
        <v>916</v>
      </c>
      <c r="C3451">
        <v>2027</v>
      </c>
      <c r="D3451" t="s">
        <v>640</v>
      </c>
      <c r="E3451" t="s">
        <v>842</v>
      </c>
      <c r="F3451" s="32">
        <v>46472</v>
      </c>
      <c r="G3451" t="s">
        <v>514</v>
      </c>
      <c r="H3451">
        <v>47129548</v>
      </c>
      <c r="I3451" t="s">
        <v>1340</v>
      </c>
      <c r="J3451" t="s">
        <v>1339</v>
      </c>
      <c r="K3451" t="s">
        <v>530</v>
      </c>
      <c r="N3451">
        <v>0</v>
      </c>
      <c r="O3451">
        <v>0</v>
      </c>
      <c r="P3451" t="str">
        <f t="shared" si="53"/>
        <v>N</v>
      </c>
      <c r="Q3451" t="s">
        <v>9181</v>
      </c>
    </row>
    <row r="3452" spans="1:17" x14ac:dyDescent="0.25">
      <c r="A3452" t="s">
        <v>4385</v>
      </c>
      <c r="B3452" t="s">
        <v>916</v>
      </c>
      <c r="C3452">
        <v>2027</v>
      </c>
      <c r="D3452" t="s">
        <v>640</v>
      </c>
      <c r="E3452" t="s">
        <v>842</v>
      </c>
      <c r="F3452" s="32">
        <v>46472</v>
      </c>
      <c r="G3452" t="s">
        <v>514</v>
      </c>
      <c r="H3452">
        <v>47128835</v>
      </c>
      <c r="I3452" t="s">
        <v>998</v>
      </c>
      <c r="J3452" t="s">
        <v>997</v>
      </c>
      <c r="K3452" t="s">
        <v>530</v>
      </c>
      <c r="N3452">
        <v>0</v>
      </c>
      <c r="O3452">
        <v>0</v>
      </c>
      <c r="P3452" t="str">
        <f t="shared" si="53"/>
        <v>N</v>
      </c>
      <c r="Q3452" t="s">
        <v>9182</v>
      </c>
    </row>
    <row r="3453" spans="1:17" x14ac:dyDescent="0.25">
      <c r="A3453" t="s">
        <v>4386</v>
      </c>
      <c r="B3453" t="s">
        <v>916</v>
      </c>
      <c r="C3453">
        <v>2027</v>
      </c>
      <c r="D3453" t="s">
        <v>640</v>
      </c>
      <c r="E3453" t="s">
        <v>842</v>
      </c>
      <c r="F3453" s="32">
        <v>46472</v>
      </c>
      <c r="G3453" t="s">
        <v>514</v>
      </c>
      <c r="H3453">
        <v>47128788</v>
      </c>
      <c r="I3453" t="s">
        <v>4188</v>
      </c>
      <c r="J3453" t="s">
        <v>4189</v>
      </c>
      <c r="K3453" t="s">
        <v>530</v>
      </c>
      <c r="N3453">
        <v>0</v>
      </c>
      <c r="O3453">
        <v>0</v>
      </c>
      <c r="P3453" t="str">
        <f t="shared" si="53"/>
        <v>N</v>
      </c>
      <c r="Q3453" t="s">
        <v>9183</v>
      </c>
    </row>
    <row r="3454" spans="1:17" x14ac:dyDescent="0.25">
      <c r="A3454" t="s">
        <v>4387</v>
      </c>
      <c r="B3454" t="s">
        <v>916</v>
      </c>
      <c r="C3454">
        <v>2027</v>
      </c>
      <c r="D3454" t="s">
        <v>640</v>
      </c>
      <c r="E3454" t="s">
        <v>842</v>
      </c>
      <c r="F3454" s="32">
        <v>46472</v>
      </c>
      <c r="G3454" t="s">
        <v>514</v>
      </c>
      <c r="H3454">
        <v>47136348</v>
      </c>
      <c r="I3454" t="s">
        <v>1025</v>
      </c>
      <c r="J3454" t="s">
        <v>1024</v>
      </c>
      <c r="K3454" t="s">
        <v>530</v>
      </c>
      <c r="N3454">
        <v>0</v>
      </c>
      <c r="O3454">
        <v>0</v>
      </c>
      <c r="P3454" t="str">
        <f t="shared" si="53"/>
        <v>N</v>
      </c>
      <c r="Q3454" t="s">
        <v>9184</v>
      </c>
    </row>
    <row r="3455" spans="1:17" x14ac:dyDescent="0.25">
      <c r="A3455" t="s">
        <v>4388</v>
      </c>
      <c r="B3455" t="s">
        <v>916</v>
      </c>
      <c r="C3455">
        <v>2027</v>
      </c>
      <c r="D3455" t="s">
        <v>640</v>
      </c>
      <c r="E3455" t="s">
        <v>842</v>
      </c>
      <c r="F3455" s="32">
        <v>46472</v>
      </c>
      <c r="G3455" t="s">
        <v>514</v>
      </c>
      <c r="H3455">
        <v>47135083</v>
      </c>
      <c r="I3455" t="s">
        <v>4192</v>
      </c>
      <c r="J3455" t="s">
        <v>4193</v>
      </c>
      <c r="K3455" t="s">
        <v>530</v>
      </c>
      <c r="N3455">
        <v>0</v>
      </c>
      <c r="O3455">
        <v>0</v>
      </c>
      <c r="P3455" t="str">
        <f t="shared" si="53"/>
        <v>N</v>
      </c>
      <c r="Q3455" t="s">
        <v>9185</v>
      </c>
    </row>
    <row r="3456" spans="1:17" x14ac:dyDescent="0.25">
      <c r="A3456" t="s">
        <v>4389</v>
      </c>
      <c r="B3456" t="s">
        <v>916</v>
      </c>
      <c r="C3456">
        <v>2027</v>
      </c>
      <c r="D3456" t="s">
        <v>640</v>
      </c>
      <c r="E3456" t="s">
        <v>842</v>
      </c>
      <c r="F3456" s="32">
        <v>46472</v>
      </c>
      <c r="G3456" t="s">
        <v>514</v>
      </c>
      <c r="H3456">
        <v>47128684</v>
      </c>
      <c r="I3456" t="s">
        <v>1005</v>
      </c>
      <c r="J3456" t="s">
        <v>1004</v>
      </c>
      <c r="K3456" t="s">
        <v>530</v>
      </c>
      <c r="N3456">
        <v>0</v>
      </c>
      <c r="O3456">
        <v>0</v>
      </c>
      <c r="P3456" t="str">
        <f t="shared" si="53"/>
        <v>N</v>
      </c>
      <c r="Q3456" t="s">
        <v>9186</v>
      </c>
    </row>
    <row r="3457" spans="1:17" x14ac:dyDescent="0.25">
      <c r="A3457" t="s">
        <v>4390</v>
      </c>
      <c r="B3457" t="s">
        <v>916</v>
      </c>
      <c r="C3457">
        <v>2027</v>
      </c>
      <c r="D3457" t="s">
        <v>640</v>
      </c>
      <c r="E3457" t="s">
        <v>842</v>
      </c>
      <c r="F3457" s="32">
        <v>46472</v>
      </c>
      <c r="G3457" t="s">
        <v>514</v>
      </c>
      <c r="H3457">
        <v>47128469</v>
      </c>
      <c r="I3457" t="s">
        <v>928</v>
      </c>
      <c r="J3457" t="s">
        <v>927</v>
      </c>
      <c r="K3457" t="s">
        <v>530</v>
      </c>
      <c r="N3457">
        <v>0</v>
      </c>
      <c r="O3457">
        <v>0</v>
      </c>
      <c r="P3457" t="str">
        <f t="shared" si="53"/>
        <v>N</v>
      </c>
      <c r="Q3457" t="s">
        <v>9187</v>
      </c>
    </row>
    <row r="3458" spans="1:17" x14ac:dyDescent="0.25">
      <c r="A3458" t="s">
        <v>4391</v>
      </c>
      <c r="B3458" t="s">
        <v>916</v>
      </c>
      <c r="C3458">
        <v>2027</v>
      </c>
      <c r="D3458" t="s">
        <v>640</v>
      </c>
      <c r="E3458" t="s">
        <v>842</v>
      </c>
      <c r="F3458" s="32">
        <v>46472</v>
      </c>
      <c r="G3458" t="s">
        <v>514</v>
      </c>
      <c r="H3458">
        <v>47128359</v>
      </c>
      <c r="I3458" t="s">
        <v>961</v>
      </c>
      <c r="J3458" t="s">
        <v>960</v>
      </c>
      <c r="K3458" t="s">
        <v>530</v>
      </c>
      <c r="N3458">
        <v>0</v>
      </c>
      <c r="O3458">
        <v>0</v>
      </c>
      <c r="P3458" t="str">
        <f t="shared" si="53"/>
        <v>N</v>
      </c>
      <c r="Q3458" t="s">
        <v>9188</v>
      </c>
    </row>
    <row r="3459" spans="1:17" x14ac:dyDescent="0.25">
      <c r="A3459" t="s">
        <v>4392</v>
      </c>
      <c r="B3459" t="s">
        <v>916</v>
      </c>
      <c r="C3459">
        <v>2027</v>
      </c>
      <c r="D3459" t="s">
        <v>640</v>
      </c>
      <c r="E3459" t="s">
        <v>842</v>
      </c>
      <c r="F3459" s="32">
        <v>46472</v>
      </c>
      <c r="G3459" t="s">
        <v>514</v>
      </c>
      <c r="H3459">
        <v>47128202</v>
      </c>
      <c r="I3459" t="s">
        <v>967</v>
      </c>
      <c r="J3459" t="s">
        <v>966</v>
      </c>
      <c r="K3459" t="s">
        <v>530</v>
      </c>
      <c r="N3459">
        <v>0</v>
      </c>
      <c r="O3459">
        <v>0</v>
      </c>
      <c r="P3459" t="str">
        <f t="shared" ref="P3459:P3522" si="54">IF(N3459=O3459,"N","Y")</f>
        <v>N</v>
      </c>
      <c r="Q3459" t="s">
        <v>9189</v>
      </c>
    </row>
    <row r="3460" spans="1:17" x14ac:dyDescent="0.25">
      <c r="A3460" t="s">
        <v>4393</v>
      </c>
      <c r="B3460" t="s">
        <v>916</v>
      </c>
      <c r="C3460">
        <v>2027</v>
      </c>
      <c r="D3460" t="s">
        <v>640</v>
      </c>
      <c r="E3460" t="s">
        <v>842</v>
      </c>
      <c r="F3460" s="32">
        <v>46472</v>
      </c>
      <c r="G3460" t="s">
        <v>514</v>
      </c>
      <c r="H3460">
        <v>47128154</v>
      </c>
      <c r="I3460" t="s">
        <v>933</v>
      </c>
      <c r="J3460" t="s">
        <v>932</v>
      </c>
      <c r="K3460" t="s">
        <v>530</v>
      </c>
      <c r="N3460">
        <v>0</v>
      </c>
      <c r="O3460">
        <v>0</v>
      </c>
      <c r="P3460" t="str">
        <f t="shared" si="54"/>
        <v>N</v>
      </c>
      <c r="Q3460" t="s">
        <v>9190</v>
      </c>
    </row>
    <row r="3461" spans="1:17" x14ac:dyDescent="0.25">
      <c r="A3461" t="s">
        <v>4394</v>
      </c>
      <c r="B3461" t="s">
        <v>916</v>
      </c>
      <c r="C3461">
        <v>2027</v>
      </c>
      <c r="D3461" t="s">
        <v>640</v>
      </c>
      <c r="E3461" t="s">
        <v>842</v>
      </c>
      <c r="F3461" s="32">
        <v>46472</v>
      </c>
      <c r="G3461" t="s">
        <v>514</v>
      </c>
      <c r="H3461">
        <v>47128108</v>
      </c>
      <c r="I3461" t="s">
        <v>1011</v>
      </c>
      <c r="J3461" t="s">
        <v>1010</v>
      </c>
      <c r="K3461" t="s">
        <v>530</v>
      </c>
      <c r="N3461">
        <v>0</v>
      </c>
      <c r="O3461">
        <v>0</v>
      </c>
      <c r="P3461" t="str">
        <f t="shared" si="54"/>
        <v>N</v>
      </c>
      <c r="Q3461" t="s">
        <v>9191</v>
      </c>
    </row>
    <row r="3462" spans="1:17" x14ac:dyDescent="0.25">
      <c r="A3462" t="s">
        <v>4395</v>
      </c>
      <c r="B3462" t="s">
        <v>916</v>
      </c>
      <c r="C3462">
        <v>2027</v>
      </c>
      <c r="D3462" t="s">
        <v>640</v>
      </c>
      <c r="E3462" t="s">
        <v>842</v>
      </c>
      <c r="F3462" s="32">
        <v>46472</v>
      </c>
      <c r="G3462" t="s">
        <v>514</v>
      </c>
      <c r="H3462">
        <v>47129069</v>
      </c>
      <c r="I3462" t="s">
        <v>1325</v>
      </c>
      <c r="J3462" t="s">
        <v>1324</v>
      </c>
      <c r="K3462" t="s">
        <v>530</v>
      </c>
      <c r="N3462">
        <v>40</v>
      </c>
      <c r="O3462">
        <v>40</v>
      </c>
      <c r="P3462" t="str">
        <f t="shared" si="54"/>
        <v>N</v>
      </c>
      <c r="Q3462" t="s">
        <v>9192</v>
      </c>
    </row>
    <row r="3463" spans="1:17" x14ac:dyDescent="0.25">
      <c r="A3463" t="s">
        <v>4442</v>
      </c>
      <c r="B3463" t="s">
        <v>4428</v>
      </c>
      <c r="C3463">
        <v>2027</v>
      </c>
      <c r="D3463" t="s">
        <v>640</v>
      </c>
      <c r="E3463" t="s">
        <v>842</v>
      </c>
      <c r="F3463" s="32">
        <v>46472</v>
      </c>
      <c r="G3463" t="s">
        <v>514</v>
      </c>
      <c r="H3463">
        <v>47128132</v>
      </c>
      <c r="I3463" t="s">
        <v>4429</v>
      </c>
      <c r="J3463" t="s">
        <v>4430</v>
      </c>
      <c r="K3463" t="s">
        <v>530</v>
      </c>
      <c r="N3463">
        <v>0</v>
      </c>
      <c r="O3463">
        <v>0</v>
      </c>
      <c r="P3463" t="str">
        <f t="shared" si="54"/>
        <v>N</v>
      </c>
      <c r="Q3463" t="s">
        <v>9193</v>
      </c>
    </row>
    <row r="3464" spans="1:17" x14ac:dyDescent="0.25">
      <c r="A3464" t="s">
        <v>4496</v>
      </c>
      <c r="B3464" t="s">
        <v>4445</v>
      </c>
      <c r="C3464">
        <v>2027</v>
      </c>
      <c r="D3464" t="s">
        <v>640</v>
      </c>
      <c r="E3464" t="s">
        <v>842</v>
      </c>
      <c r="F3464" s="32">
        <v>46472</v>
      </c>
      <c r="G3464" t="s">
        <v>514</v>
      </c>
      <c r="H3464">
        <v>47129711</v>
      </c>
      <c r="I3464" t="s">
        <v>4446</v>
      </c>
      <c r="J3464" t="s">
        <v>4447</v>
      </c>
      <c r="K3464" t="s">
        <v>530</v>
      </c>
      <c r="N3464">
        <v>20</v>
      </c>
      <c r="O3464">
        <v>20</v>
      </c>
      <c r="P3464" t="str">
        <f t="shared" si="54"/>
        <v>N</v>
      </c>
      <c r="Q3464" t="s">
        <v>9194</v>
      </c>
    </row>
    <row r="3465" spans="1:17" x14ac:dyDescent="0.25">
      <c r="A3465" t="s">
        <v>4497</v>
      </c>
      <c r="B3465" t="s">
        <v>4445</v>
      </c>
      <c r="C3465">
        <v>2027</v>
      </c>
      <c r="D3465" t="s">
        <v>640</v>
      </c>
      <c r="E3465" t="s">
        <v>842</v>
      </c>
      <c r="F3465" s="32">
        <v>46472</v>
      </c>
      <c r="G3465" t="s">
        <v>514</v>
      </c>
      <c r="H3465">
        <v>47129228</v>
      </c>
      <c r="I3465" t="s">
        <v>4449</v>
      </c>
      <c r="J3465" t="s">
        <v>4450</v>
      </c>
      <c r="K3465" t="s">
        <v>530</v>
      </c>
      <c r="N3465">
        <v>32</v>
      </c>
      <c r="O3465">
        <v>32</v>
      </c>
      <c r="P3465" t="str">
        <f t="shared" si="54"/>
        <v>N</v>
      </c>
      <c r="Q3465" t="s">
        <v>9195</v>
      </c>
    </row>
    <row r="3466" spans="1:17" x14ac:dyDescent="0.25">
      <c r="A3466" t="s">
        <v>4711</v>
      </c>
      <c r="B3466" t="s">
        <v>1044</v>
      </c>
      <c r="C3466">
        <v>2027</v>
      </c>
      <c r="D3466" t="s">
        <v>640</v>
      </c>
      <c r="E3466" t="s">
        <v>842</v>
      </c>
      <c r="F3466" s="32">
        <v>46472</v>
      </c>
      <c r="G3466" t="s">
        <v>514</v>
      </c>
      <c r="H3466">
        <v>47128572</v>
      </c>
      <c r="I3466" t="s">
        <v>1197</v>
      </c>
      <c r="J3466" t="s">
        <v>1196</v>
      </c>
      <c r="K3466" t="s">
        <v>530</v>
      </c>
      <c r="N3466">
        <v>0</v>
      </c>
      <c r="O3466">
        <v>0</v>
      </c>
      <c r="P3466" t="str">
        <f t="shared" si="54"/>
        <v>N</v>
      </c>
      <c r="Q3466" t="s">
        <v>9196</v>
      </c>
    </row>
    <row r="3467" spans="1:17" x14ac:dyDescent="0.25">
      <c r="A3467" t="s">
        <v>4712</v>
      </c>
      <c r="B3467" t="s">
        <v>1044</v>
      </c>
      <c r="C3467">
        <v>2027</v>
      </c>
      <c r="D3467" t="s">
        <v>640</v>
      </c>
      <c r="E3467" t="s">
        <v>842</v>
      </c>
      <c r="F3467" s="32">
        <v>46472</v>
      </c>
      <c r="G3467" t="s">
        <v>514</v>
      </c>
      <c r="H3467">
        <v>47128481</v>
      </c>
      <c r="I3467" t="s">
        <v>1379</v>
      </c>
      <c r="J3467" t="s">
        <v>1378</v>
      </c>
      <c r="K3467" t="s">
        <v>530</v>
      </c>
      <c r="N3467">
        <v>30</v>
      </c>
      <c r="O3467">
        <v>30</v>
      </c>
      <c r="P3467" t="str">
        <f t="shared" si="54"/>
        <v>N</v>
      </c>
      <c r="Q3467" t="s">
        <v>9197</v>
      </c>
    </row>
    <row r="3468" spans="1:17" x14ac:dyDescent="0.25">
      <c r="A3468" t="s">
        <v>4713</v>
      </c>
      <c r="B3468" t="s">
        <v>1044</v>
      </c>
      <c r="C3468">
        <v>2027</v>
      </c>
      <c r="D3468" t="s">
        <v>640</v>
      </c>
      <c r="E3468" t="s">
        <v>842</v>
      </c>
      <c r="F3468" s="32">
        <v>46472</v>
      </c>
      <c r="G3468" t="s">
        <v>514</v>
      </c>
      <c r="H3468">
        <v>47128482</v>
      </c>
      <c r="I3468" t="s">
        <v>1393</v>
      </c>
      <c r="J3468" t="s">
        <v>1392</v>
      </c>
      <c r="K3468" t="s">
        <v>530</v>
      </c>
      <c r="N3468">
        <v>0</v>
      </c>
      <c r="O3468">
        <v>0</v>
      </c>
      <c r="P3468" t="str">
        <f t="shared" si="54"/>
        <v>N</v>
      </c>
      <c r="Q3468" t="s">
        <v>9198</v>
      </c>
    </row>
    <row r="3469" spans="1:17" x14ac:dyDescent="0.25">
      <c r="A3469" t="s">
        <v>4714</v>
      </c>
      <c r="B3469" t="s">
        <v>1044</v>
      </c>
      <c r="C3469">
        <v>2027</v>
      </c>
      <c r="D3469" t="s">
        <v>640</v>
      </c>
      <c r="E3469" t="s">
        <v>842</v>
      </c>
      <c r="F3469" s="32">
        <v>46472</v>
      </c>
      <c r="G3469" t="s">
        <v>514</v>
      </c>
      <c r="H3469">
        <v>47128337</v>
      </c>
      <c r="I3469" t="s">
        <v>1120</v>
      </c>
      <c r="J3469" t="s">
        <v>1119</v>
      </c>
      <c r="K3469" t="s">
        <v>530</v>
      </c>
      <c r="N3469">
        <v>0</v>
      </c>
      <c r="O3469">
        <v>0</v>
      </c>
      <c r="P3469" t="str">
        <f t="shared" si="54"/>
        <v>N</v>
      </c>
      <c r="Q3469" t="s">
        <v>9199</v>
      </c>
    </row>
    <row r="3470" spans="1:17" x14ac:dyDescent="0.25">
      <c r="A3470" t="s">
        <v>4715</v>
      </c>
      <c r="B3470" t="s">
        <v>1044</v>
      </c>
      <c r="C3470">
        <v>2027</v>
      </c>
      <c r="D3470" t="s">
        <v>640</v>
      </c>
      <c r="E3470" t="s">
        <v>842</v>
      </c>
      <c r="F3470" s="32">
        <v>46472</v>
      </c>
      <c r="G3470" t="s">
        <v>514</v>
      </c>
      <c r="H3470">
        <v>47136340</v>
      </c>
      <c r="I3470" t="s">
        <v>1213</v>
      </c>
      <c r="J3470" t="s">
        <v>1212</v>
      </c>
      <c r="K3470" t="s">
        <v>530</v>
      </c>
      <c r="N3470">
        <v>0</v>
      </c>
      <c r="O3470">
        <v>0</v>
      </c>
      <c r="P3470" t="str">
        <f t="shared" si="54"/>
        <v>N</v>
      </c>
      <c r="Q3470" t="s">
        <v>9200</v>
      </c>
    </row>
    <row r="3471" spans="1:17" x14ac:dyDescent="0.25">
      <c r="A3471" t="s">
        <v>4716</v>
      </c>
      <c r="B3471" t="s">
        <v>1044</v>
      </c>
      <c r="C3471">
        <v>2027</v>
      </c>
      <c r="D3471" t="s">
        <v>640</v>
      </c>
      <c r="E3471" t="s">
        <v>842</v>
      </c>
      <c r="F3471" s="32">
        <v>46472</v>
      </c>
      <c r="G3471" t="s">
        <v>514</v>
      </c>
      <c r="H3471">
        <v>47128169</v>
      </c>
      <c r="I3471" t="s">
        <v>1205</v>
      </c>
      <c r="J3471" t="s">
        <v>1204</v>
      </c>
      <c r="K3471" t="s">
        <v>530</v>
      </c>
      <c r="N3471">
        <v>0</v>
      </c>
      <c r="O3471">
        <v>0</v>
      </c>
      <c r="P3471" t="str">
        <f t="shared" si="54"/>
        <v>N</v>
      </c>
      <c r="Q3471" t="s">
        <v>9201</v>
      </c>
    </row>
    <row r="3472" spans="1:17" x14ac:dyDescent="0.25">
      <c r="A3472" t="s">
        <v>4717</v>
      </c>
      <c r="B3472" t="s">
        <v>1044</v>
      </c>
      <c r="C3472">
        <v>2027</v>
      </c>
      <c r="D3472" t="s">
        <v>640</v>
      </c>
      <c r="E3472" t="s">
        <v>842</v>
      </c>
      <c r="F3472" s="32">
        <v>46472</v>
      </c>
      <c r="G3472" t="s">
        <v>514</v>
      </c>
      <c r="H3472">
        <v>47128022</v>
      </c>
      <c r="I3472" t="s">
        <v>1104</v>
      </c>
      <c r="J3472" t="s">
        <v>1103</v>
      </c>
      <c r="K3472" t="s">
        <v>530</v>
      </c>
      <c r="N3472">
        <v>0</v>
      </c>
      <c r="O3472">
        <v>0</v>
      </c>
      <c r="P3472" t="str">
        <f t="shared" si="54"/>
        <v>N</v>
      </c>
      <c r="Q3472" t="s">
        <v>9202</v>
      </c>
    </row>
    <row r="3473" spans="1:17" x14ac:dyDescent="0.25">
      <c r="A3473" t="s">
        <v>4718</v>
      </c>
      <c r="B3473" t="s">
        <v>1044</v>
      </c>
      <c r="C3473">
        <v>2027</v>
      </c>
      <c r="D3473" t="s">
        <v>640</v>
      </c>
      <c r="E3473" t="s">
        <v>842</v>
      </c>
      <c r="F3473" s="32">
        <v>46472</v>
      </c>
      <c r="G3473" t="s">
        <v>514</v>
      </c>
      <c r="H3473">
        <v>47127948</v>
      </c>
      <c r="I3473" t="s">
        <v>1247</v>
      </c>
      <c r="J3473" t="s">
        <v>1246</v>
      </c>
      <c r="K3473" t="s">
        <v>530</v>
      </c>
      <c r="N3473">
        <v>20</v>
      </c>
      <c r="O3473">
        <v>20</v>
      </c>
      <c r="P3473" t="str">
        <f t="shared" si="54"/>
        <v>N</v>
      </c>
      <c r="Q3473" t="s">
        <v>9203</v>
      </c>
    </row>
    <row r="3474" spans="1:17" x14ac:dyDescent="0.25">
      <c r="A3474" t="s">
        <v>4719</v>
      </c>
      <c r="B3474" t="s">
        <v>1044</v>
      </c>
      <c r="C3474">
        <v>2027</v>
      </c>
      <c r="D3474" t="s">
        <v>640</v>
      </c>
      <c r="E3474" t="s">
        <v>842</v>
      </c>
      <c r="F3474" s="32">
        <v>46472</v>
      </c>
      <c r="G3474" t="s">
        <v>514</v>
      </c>
      <c r="H3474">
        <v>47129473</v>
      </c>
      <c r="I3474" t="s">
        <v>1430</v>
      </c>
      <c r="J3474" t="s">
        <v>1429</v>
      </c>
      <c r="K3474" t="s">
        <v>530</v>
      </c>
      <c r="N3474">
        <v>44</v>
      </c>
      <c r="O3474">
        <v>44</v>
      </c>
      <c r="P3474" t="str">
        <f t="shared" si="54"/>
        <v>N</v>
      </c>
      <c r="Q3474" t="s">
        <v>9204</v>
      </c>
    </row>
    <row r="3475" spans="1:17" x14ac:dyDescent="0.25">
      <c r="A3475" t="s">
        <v>4720</v>
      </c>
      <c r="B3475" t="s">
        <v>1044</v>
      </c>
      <c r="C3475">
        <v>2027</v>
      </c>
      <c r="D3475" t="s">
        <v>640</v>
      </c>
      <c r="E3475" t="s">
        <v>842</v>
      </c>
      <c r="F3475" s="32">
        <v>46472</v>
      </c>
      <c r="G3475" t="s">
        <v>514</v>
      </c>
      <c r="H3475">
        <v>47133720</v>
      </c>
      <c r="I3475" t="s">
        <v>1217</v>
      </c>
      <c r="J3475" t="s">
        <v>1216</v>
      </c>
      <c r="K3475" t="s">
        <v>530</v>
      </c>
      <c r="N3475">
        <v>0</v>
      </c>
      <c r="O3475">
        <v>0</v>
      </c>
      <c r="P3475" t="str">
        <f t="shared" si="54"/>
        <v>N</v>
      </c>
      <c r="Q3475" t="s">
        <v>9205</v>
      </c>
    </row>
    <row r="3476" spans="1:17" x14ac:dyDescent="0.25">
      <c r="A3476" t="s">
        <v>4721</v>
      </c>
      <c r="B3476" t="s">
        <v>1044</v>
      </c>
      <c r="C3476">
        <v>2027</v>
      </c>
      <c r="D3476" t="s">
        <v>640</v>
      </c>
      <c r="E3476" t="s">
        <v>842</v>
      </c>
      <c r="F3476" s="32">
        <v>46472</v>
      </c>
      <c r="G3476" t="s">
        <v>514</v>
      </c>
      <c r="H3476">
        <v>47128429</v>
      </c>
      <c r="I3476" t="s">
        <v>1371</v>
      </c>
      <c r="J3476" t="s">
        <v>1370</v>
      </c>
      <c r="K3476" t="s">
        <v>530</v>
      </c>
      <c r="N3476">
        <v>0</v>
      </c>
      <c r="O3476">
        <v>0</v>
      </c>
      <c r="P3476" t="str">
        <f t="shared" si="54"/>
        <v>N</v>
      </c>
      <c r="Q3476" t="s">
        <v>9206</v>
      </c>
    </row>
    <row r="3477" spans="1:17" x14ac:dyDescent="0.25">
      <c r="A3477" t="s">
        <v>4722</v>
      </c>
      <c r="B3477" t="s">
        <v>1044</v>
      </c>
      <c r="C3477">
        <v>2027</v>
      </c>
      <c r="D3477" t="s">
        <v>640</v>
      </c>
      <c r="E3477" t="s">
        <v>842</v>
      </c>
      <c r="F3477" s="32">
        <v>46472</v>
      </c>
      <c r="G3477" t="s">
        <v>514</v>
      </c>
      <c r="H3477">
        <v>47128181</v>
      </c>
      <c r="I3477" t="s">
        <v>1301</v>
      </c>
      <c r="J3477" t="s">
        <v>1300</v>
      </c>
      <c r="K3477" t="s">
        <v>530</v>
      </c>
      <c r="N3477">
        <v>0</v>
      </c>
      <c r="O3477">
        <v>0</v>
      </c>
      <c r="P3477" t="str">
        <f t="shared" si="54"/>
        <v>N</v>
      </c>
      <c r="Q3477" t="s">
        <v>9207</v>
      </c>
    </row>
    <row r="3478" spans="1:17" x14ac:dyDescent="0.25">
      <c r="A3478" t="s">
        <v>5154</v>
      </c>
      <c r="B3478" t="s">
        <v>1090</v>
      </c>
      <c r="C3478">
        <v>2027</v>
      </c>
      <c r="D3478" t="s">
        <v>640</v>
      </c>
      <c r="E3478" t="s">
        <v>842</v>
      </c>
      <c r="F3478" s="32">
        <v>46472</v>
      </c>
      <c r="G3478" t="s">
        <v>514</v>
      </c>
      <c r="H3478">
        <v>47128939</v>
      </c>
      <c r="I3478" t="s">
        <v>1224</v>
      </c>
      <c r="J3478" t="s">
        <v>1223</v>
      </c>
      <c r="K3478" t="s">
        <v>530</v>
      </c>
      <c r="N3478">
        <v>0</v>
      </c>
      <c r="O3478">
        <v>0</v>
      </c>
      <c r="P3478" t="str">
        <f t="shared" si="54"/>
        <v>N</v>
      </c>
      <c r="Q3478" t="s">
        <v>9208</v>
      </c>
    </row>
    <row r="3479" spans="1:17" x14ac:dyDescent="0.25">
      <c r="A3479" t="s">
        <v>5155</v>
      </c>
      <c r="B3479" t="s">
        <v>1090</v>
      </c>
      <c r="C3479">
        <v>2027</v>
      </c>
      <c r="D3479" t="s">
        <v>640</v>
      </c>
      <c r="E3479" t="s">
        <v>842</v>
      </c>
      <c r="F3479" s="32">
        <v>46472</v>
      </c>
      <c r="G3479" t="s">
        <v>514</v>
      </c>
      <c r="H3479">
        <v>47128449</v>
      </c>
      <c r="I3479" t="s">
        <v>1364</v>
      </c>
      <c r="J3479" t="s">
        <v>1363</v>
      </c>
      <c r="K3479" t="s">
        <v>530</v>
      </c>
      <c r="N3479">
        <v>0</v>
      </c>
      <c r="O3479">
        <v>0</v>
      </c>
      <c r="P3479" t="str">
        <f t="shared" si="54"/>
        <v>N</v>
      </c>
      <c r="Q3479" t="s">
        <v>9209</v>
      </c>
    </row>
    <row r="3480" spans="1:17" x14ac:dyDescent="0.25">
      <c r="A3480" t="s">
        <v>5156</v>
      </c>
      <c r="B3480" t="s">
        <v>1090</v>
      </c>
      <c r="C3480">
        <v>2027</v>
      </c>
      <c r="D3480" t="s">
        <v>640</v>
      </c>
      <c r="E3480" t="s">
        <v>842</v>
      </c>
      <c r="F3480" s="32">
        <v>46472</v>
      </c>
      <c r="G3480" t="s">
        <v>514</v>
      </c>
      <c r="H3480">
        <v>47128902</v>
      </c>
      <c r="I3480" t="s">
        <v>1243</v>
      </c>
      <c r="J3480" t="s">
        <v>1242</v>
      </c>
      <c r="K3480" t="s">
        <v>530</v>
      </c>
      <c r="N3480">
        <v>0</v>
      </c>
      <c r="O3480">
        <v>0</v>
      </c>
      <c r="P3480" t="str">
        <f t="shared" si="54"/>
        <v>N</v>
      </c>
      <c r="Q3480" t="s">
        <v>9210</v>
      </c>
    </row>
    <row r="3481" spans="1:17" x14ac:dyDescent="0.25">
      <c r="A3481" t="s">
        <v>5157</v>
      </c>
      <c r="B3481" t="s">
        <v>1090</v>
      </c>
      <c r="C3481">
        <v>2027</v>
      </c>
      <c r="D3481" t="s">
        <v>640</v>
      </c>
      <c r="E3481" t="s">
        <v>842</v>
      </c>
      <c r="F3481" s="32">
        <v>46472</v>
      </c>
      <c r="G3481" t="s">
        <v>514</v>
      </c>
      <c r="H3481">
        <v>47128417</v>
      </c>
      <c r="I3481" t="s">
        <v>1069</v>
      </c>
      <c r="J3481" t="s">
        <v>1068</v>
      </c>
      <c r="K3481" t="s">
        <v>530</v>
      </c>
      <c r="N3481">
        <v>0</v>
      </c>
      <c r="O3481">
        <v>0</v>
      </c>
      <c r="P3481" t="str">
        <f t="shared" si="54"/>
        <v>N</v>
      </c>
      <c r="Q3481" t="s">
        <v>9211</v>
      </c>
    </row>
    <row r="3482" spans="1:17" x14ac:dyDescent="0.25">
      <c r="A3482" t="s">
        <v>5158</v>
      </c>
      <c r="B3482" t="s">
        <v>1090</v>
      </c>
      <c r="C3482">
        <v>2027</v>
      </c>
      <c r="D3482" t="s">
        <v>640</v>
      </c>
      <c r="E3482" t="s">
        <v>842</v>
      </c>
      <c r="F3482" s="32">
        <v>46472</v>
      </c>
      <c r="G3482" t="s">
        <v>514</v>
      </c>
      <c r="H3482">
        <v>47129017</v>
      </c>
      <c r="I3482" t="s">
        <v>1073</v>
      </c>
      <c r="J3482" t="s">
        <v>1072</v>
      </c>
      <c r="K3482" t="s">
        <v>530</v>
      </c>
      <c r="N3482">
        <v>0</v>
      </c>
      <c r="O3482">
        <v>0</v>
      </c>
      <c r="P3482" t="str">
        <f t="shared" si="54"/>
        <v>N</v>
      </c>
      <c r="Q3482" t="s">
        <v>9212</v>
      </c>
    </row>
    <row r="3483" spans="1:17" x14ac:dyDescent="0.25">
      <c r="A3483" t="s">
        <v>5159</v>
      </c>
      <c r="B3483" t="s">
        <v>1090</v>
      </c>
      <c r="C3483">
        <v>2027</v>
      </c>
      <c r="D3483" t="s">
        <v>640</v>
      </c>
      <c r="E3483" t="s">
        <v>842</v>
      </c>
      <c r="F3483" s="32">
        <v>46472</v>
      </c>
      <c r="G3483" t="s">
        <v>514</v>
      </c>
      <c r="H3483">
        <v>47128936</v>
      </c>
      <c r="I3483" t="s">
        <v>1173</v>
      </c>
      <c r="J3483" t="s">
        <v>1172</v>
      </c>
      <c r="K3483" t="s">
        <v>530</v>
      </c>
      <c r="N3483">
        <v>0</v>
      </c>
      <c r="O3483">
        <v>0</v>
      </c>
      <c r="P3483" t="str">
        <f t="shared" si="54"/>
        <v>N</v>
      </c>
      <c r="Q3483" t="s">
        <v>9213</v>
      </c>
    </row>
    <row r="3484" spans="1:17" x14ac:dyDescent="0.25">
      <c r="A3484" t="s">
        <v>5160</v>
      </c>
      <c r="B3484" t="s">
        <v>1090</v>
      </c>
      <c r="C3484">
        <v>2027</v>
      </c>
      <c r="D3484" t="s">
        <v>640</v>
      </c>
      <c r="E3484" t="s">
        <v>842</v>
      </c>
      <c r="F3484" s="32">
        <v>46472</v>
      </c>
      <c r="G3484" t="s">
        <v>514</v>
      </c>
      <c r="H3484">
        <v>47129715</v>
      </c>
      <c r="I3484" t="s">
        <v>1272</v>
      </c>
      <c r="J3484" t="s">
        <v>1271</v>
      </c>
      <c r="K3484" t="s">
        <v>530</v>
      </c>
      <c r="N3484">
        <v>0</v>
      </c>
      <c r="O3484">
        <v>0</v>
      </c>
      <c r="P3484" t="str">
        <f t="shared" si="54"/>
        <v>N</v>
      </c>
      <c r="Q3484" t="s">
        <v>9214</v>
      </c>
    </row>
    <row r="3485" spans="1:17" x14ac:dyDescent="0.25">
      <c r="A3485" t="s">
        <v>5161</v>
      </c>
      <c r="B3485" t="s">
        <v>1090</v>
      </c>
      <c r="C3485">
        <v>2027</v>
      </c>
      <c r="D3485" t="s">
        <v>640</v>
      </c>
      <c r="E3485" t="s">
        <v>842</v>
      </c>
      <c r="F3485" s="32">
        <v>46472</v>
      </c>
      <c r="G3485" t="s">
        <v>514</v>
      </c>
      <c r="H3485">
        <v>47129702</v>
      </c>
      <c r="I3485" t="s">
        <v>1309</v>
      </c>
      <c r="J3485" t="s">
        <v>1308</v>
      </c>
      <c r="K3485" t="s">
        <v>530</v>
      </c>
      <c r="N3485">
        <v>0</v>
      </c>
      <c r="O3485">
        <v>0</v>
      </c>
      <c r="P3485" t="str">
        <f t="shared" si="54"/>
        <v>N</v>
      </c>
      <c r="Q3485" t="s">
        <v>9215</v>
      </c>
    </row>
    <row r="3486" spans="1:17" x14ac:dyDescent="0.25">
      <c r="A3486" t="s">
        <v>5162</v>
      </c>
      <c r="B3486" t="s">
        <v>1090</v>
      </c>
      <c r="C3486">
        <v>2027</v>
      </c>
      <c r="D3486" t="s">
        <v>640</v>
      </c>
      <c r="E3486" t="s">
        <v>842</v>
      </c>
      <c r="F3486" s="32">
        <v>46472</v>
      </c>
      <c r="G3486" t="s">
        <v>514</v>
      </c>
      <c r="H3486">
        <v>47128777</v>
      </c>
      <c r="I3486" t="s">
        <v>1329</v>
      </c>
      <c r="J3486" t="s">
        <v>1328</v>
      </c>
      <c r="K3486" t="s">
        <v>530</v>
      </c>
      <c r="N3486">
        <v>0</v>
      </c>
      <c r="O3486">
        <v>0</v>
      </c>
      <c r="P3486" t="str">
        <f t="shared" si="54"/>
        <v>N</v>
      </c>
      <c r="Q3486" t="s">
        <v>9216</v>
      </c>
    </row>
    <row r="3487" spans="1:17" x14ac:dyDescent="0.25">
      <c r="A3487" t="s">
        <v>5163</v>
      </c>
      <c r="B3487" t="s">
        <v>1090</v>
      </c>
      <c r="C3487">
        <v>2027</v>
      </c>
      <c r="D3487" t="s">
        <v>640</v>
      </c>
      <c r="E3487" t="s">
        <v>842</v>
      </c>
      <c r="F3487" s="32">
        <v>46472</v>
      </c>
      <c r="G3487" t="s">
        <v>514</v>
      </c>
      <c r="H3487">
        <v>47148880</v>
      </c>
      <c r="I3487" t="s">
        <v>1305</v>
      </c>
      <c r="J3487" t="s">
        <v>1304</v>
      </c>
      <c r="K3487" t="s">
        <v>530</v>
      </c>
      <c r="N3487">
        <v>0</v>
      </c>
      <c r="O3487">
        <v>0</v>
      </c>
      <c r="P3487" t="str">
        <f t="shared" si="54"/>
        <v>N</v>
      </c>
      <c r="Q3487" t="s">
        <v>9217</v>
      </c>
    </row>
    <row r="3488" spans="1:17" x14ac:dyDescent="0.25">
      <c r="A3488" t="s">
        <v>5164</v>
      </c>
      <c r="B3488" t="s">
        <v>1090</v>
      </c>
      <c r="C3488">
        <v>2027</v>
      </c>
      <c r="D3488" t="s">
        <v>640</v>
      </c>
      <c r="E3488" t="s">
        <v>842</v>
      </c>
      <c r="F3488" s="32">
        <v>46472</v>
      </c>
      <c r="G3488" t="s">
        <v>514</v>
      </c>
      <c r="H3488">
        <v>47128467</v>
      </c>
      <c r="I3488" t="s">
        <v>1292</v>
      </c>
      <c r="J3488" t="s">
        <v>1291</v>
      </c>
      <c r="K3488" t="s">
        <v>530</v>
      </c>
      <c r="N3488">
        <v>0</v>
      </c>
      <c r="O3488">
        <v>0</v>
      </c>
      <c r="P3488" t="str">
        <f t="shared" si="54"/>
        <v>N</v>
      </c>
      <c r="Q3488" t="s">
        <v>9218</v>
      </c>
    </row>
    <row r="3489" spans="1:17" x14ac:dyDescent="0.25">
      <c r="A3489" t="s">
        <v>5165</v>
      </c>
      <c r="B3489" t="s">
        <v>1090</v>
      </c>
      <c r="C3489">
        <v>2027</v>
      </c>
      <c r="D3489" t="s">
        <v>640</v>
      </c>
      <c r="E3489" t="s">
        <v>842</v>
      </c>
      <c r="F3489" s="32">
        <v>46472</v>
      </c>
      <c r="G3489" t="s">
        <v>514</v>
      </c>
      <c r="H3489">
        <v>47128643</v>
      </c>
      <c r="I3489" t="s">
        <v>1367</v>
      </c>
      <c r="J3489" t="s">
        <v>1366</v>
      </c>
      <c r="K3489" t="s">
        <v>530</v>
      </c>
      <c r="N3489">
        <v>0</v>
      </c>
      <c r="O3489">
        <v>0</v>
      </c>
      <c r="P3489" t="str">
        <f t="shared" si="54"/>
        <v>N</v>
      </c>
      <c r="Q3489" t="s">
        <v>9219</v>
      </c>
    </row>
    <row r="3490" spans="1:17" x14ac:dyDescent="0.25">
      <c r="A3490" t="s">
        <v>5166</v>
      </c>
      <c r="B3490" t="s">
        <v>1090</v>
      </c>
      <c r="C3490">
        <v>2027</v>
      </c>
      <c r="D3490" t="s">
        <v>640</v>
      </c>
      <c r="E3490" t="s">
        <v>842</v>
      </c>
      <c r="F3490" s="32">
        <v>46472</v>
      </c>
      <c r="G3490" t="s">
        <v>514</v>
      </c>
      <c r="H3490">
        <v>47151576</v>
      </c>
      <c r="I3490" t="s">
        <v>1506</v>
      </c>
      <c r="J3490" t="s">
        <v>1505</v>
      </c>
      <c r="K3490" t="s">
        <v>530</v>
      </c>
      <c r="N3490">
        <v>0</v>
      </c>
      <c r="O3490">
        <v>0</v>
      </c>
      <c r="P3490" t="str">
        <f t="shared" si="54"/>
        <v>N</v>
      </c>
      <c r="Q3490" t="s">
        <v>9220</v>
      </c>
    </row>
    <row r="3491" spans="1:17" x14ac:dyDescent="0.25">
      <c r="A3491" t="s">
        <v>5167</v>
      </c>
      <c r="B3491" t="s">
        <v>1090</v>
      </c>
      <c r="C3491">
        <v>2027</v>
      </c>
      <c r="D3491" t="s">
        <v>640</v>
      </c>
      <c r="E3491" t="s">
        <v>842</v>
      </c>
      <c r="F3491" s="32">
        <v>46472</v>
      </c>
      <c r="G3491" t="s">
        <v>514</v>
      </c>
      <c r="H3491">
        <v>47129459</v>
      </c>
      <c r="I3491" t="s">
        <v>1321</v>
      </c>
      <c r="J3491" t="s">
        <v>1320</v>
      </c>
      <c r="K3491" t="s">
        <v>530</v>
      </c>
      <c r="N3491">
        <v>0</v>
      </c>
      <c r="O3491">
        <v>0</v>
      </c>
      <c r="P3491" t="str">
        <f t="shared" si="54"/>
        <v>N</v>
      </c>
      <c r="Q3491" t="s">
        <v>9221</v>
      </c>
    </row>
    <row r="3492" spans="1:17" x14ac:dyDescent="0.25">
      <c r="A3492" t="s">
        <v>5168</v>
      </c>
      <c r="B3492" t="s">
        <v>1090</v>
      </c>
      <c r="C3492">
        <v>2027</v>
      </c>
      <c r="D3492" t="s">
        <v>640</v>
      </c>
      <c r="E3492" t="s">
        <v>842</v>
      </c>
      <c r="F3492" s="32">
        <v>46472</v>
      </c>
      <c r="G3492" t="s">
        <v>514</v>
      </c>
      <c r="H3492">
        <v>47129130</v>
      </c>
      <c r="I3492" t="s">
        <v>1434</v>
      </c>
      <c r="J3492" t="s">
        <v>1433</v>
      </c>
      <c r="K3492" t="s">
        <v>530</v>
      </c>
      <c r="N3492">
        <v>0</v>
      </c>
      <c r="O3492">
        <v>0</v>
      </c>
      <c r="P3492" t="str">
        <f t="shared" si="54"/>
        <v>N</v>
      </c>
      <c r="Q3492" t="s">
        <v>9222</v>
      </c>
    </row>
    <row r="3493" spans="1:17" x14ac:dyDescent="0.25">
      <c r="A3493" t="s">
        <v>5169</v>
      </c>
      <c r="B3493" t="s">
        <v>1090</v>
      </c>
      <c r="C3493">
        <v>2027</v>
      </c>
      <c r="D3493" t="s">
        <v>640</v>
      </c>
      <c r="E3493" t="s">
        <v>842</v>
      </c>
      <c r="F3493" s="32">
        <v>46472</v>
      </c>
      <c r="G3493" t="s">
        <v>514</v>
      </c>
      <c r="H3493">
        <v>47129692</v>
      </c>
      <c r="I3493" t="s">
        <v>1475</v>
      </c>
      <c r="J3493" t="s">
        <v>1474</v>
      </c>
      <c r="K3493" t="s">
        <v>530</v>
      </c>
      <c r="N3493">
        <v>0</v>
      </c>
      <c r="O3493">
        <v>0</v>
      </c>
      <c r="P3493" t="str">
        <f t="shared" si="54"/>
        <v>N</v>
      </c>
      <c r="Q3493" t="s">
        <v>9223</v>
      </c>
    </row>
    <row r="3494" spans="1:17" x14ac:dyDescent="0.25">
      <c r="A3494" t="s">
        <v>5170</v>
      </c>
      <c r="B3494" t="s">
        <v>1090</v>
      </c>
      <c r="C3494">
        <v>2027</v>
      </c>
      <c r="D3494" t="s">
        <v>640</v>
      </c>
      <c r="E3494" t="s">
        <v>842</v>
      </c>
      <c r="F3494" s="32">
        <v>46472</v>
      </c>
      <c r="G3494" t="s">
        <v>514</v>
      </c>
      <c r="H3494">
        <v>47153262</v>
      </c>
      <c r="I3494" t="s">
        <v>1502</v>
      </c>
      <c r="J3494" t="s">
        <v>1501</v>
      </c>
      <c r="K3494" t="s">
        <v>530</v>
      </c>
      <c r="N3494">
        <v>0</v>
      </c>
      <c r="O3494">
        <v>0</v>
      </c>
      <c r="P3494" t="str">
        <f t="shared" si="54"/>
        <v>N</v>
      </c>
      <c r="Q3494" t="s">
        <v>9224</v>
      </c>
    </row>
    <row r="3495" spans="1:17" x14ac:dyDescent="0.25">
      <c r="A3495" t="s">
        <v>5171</v>
      </c>
      <c r="B3495" t="s">
        <v>1090</v>
      </c>
      <c r="C3495">
        <v>2027</v>
      </c>
      <c r="D3495" t="s">
        <v>640</v>
      </c>
      <c r="E3495" t="s">
        <v>842</v>
      </c>
      <c r="F3495" s="32">
        <v>46472</v>
      </c>
      <c r="G3495" t="s">
        <v>514</v>
      </c>
      <c r="H3495">
        <v>47146895</v>
      </c>
      <c r="I3495" t="s">
        <v>1375</v>
      </c>
      <c r="J3495" t="s">
        <v>1374</v>
      </c>
      <c r="K3495" t="s">
        <v>530</v>
      </c>
      <c r="N3495">
        <v>0</v>
      </c>
      <c r="O3495">
        <v>0</v>
      </c>
      <c r="P3495" t="str">
        <f t="shared" si="54"/>
        <v>N</v>
      </c>
      <c r="Q3495" t="s">
        <v>9225</v>
      </c>
    </row>
    <row r="3496" spans="1:17" x14ac:dyDescent="0.25">
      <c r="A3496" t="s">
        <v>5172</v>
      </c>
      <c r="B3496" t="s">
        <v>1090</v>
      </c>
      <c r="C3496">
        <v>2027</v>
      </c>
      <c r="D3496" t="s">
        <v>640</v>
      </c>
      <c r="E3496" t="s">
        <v>842</v>
      </c>
      <c r="F3496" s="32">
        <v>46472</v>
      </c>
      <c r="G3496" t="s">
        <v>514</v>
      </c>
      <c r="H3496">
        <v>47128115</v>
      </c>
      <c r="I3496" t="s">
        <v>1260</v>
      </c>
      <c r="J3496" t="s">
        <v>1499</v>
      </c>
      <c r="K3496" t="s">
        <v>530</v>
      </c>
      <c r="N3496">
        <v>0</v>
      </c>
      <c r="O3496">
        <v>0</v>
      </c>
      <c r="P3496" t="str">
        <f t="shared" si="54"/>
        <v>N</v>
      </c>
      <c r="Q3496" t="s">
        <v>9226</v>
      </c>
    </row>
    <row r="3497" spans="1:17" x14ac:dyDescent="0.25">
      <c r="A3497" t="s">
        <v>5173</v>
      </c>
      <c r="B3497" t="s">
        <v>1090</v>
      </c>
      <c r="C3497">
        <v>2027</v>
      </c>
      <c r="D3497" t="s">
        <v>640</v>
      </c>
      <c r="E3497" t="s">
        <v>842</v>
      </c>
      <c r="F3497" s="32">
        <v>46472</v>
      </c>
      <c r="G3497" t="s">
        <v>514</v>
      </c>
      <c r="H3497">
        <v>47129679</v>
      </c>
      <c r="I3497" t="s">
        <v>1422</v>
      </c>
      <c r="J3497" t="s">
        <v>1421</v>
      </c>
      <c r="K3497" t="s">
        <v>530</v>
      </c>
      <c r="N3497">
        <v>0</v>
      </c>
      <c r="O3497">
        <v>0</v>
      </c>
      <c r="P3497" t="str">
        <f t="shared" si="54"/>
        <v>N</v>
      </c>
      <c r="Q3497" t="s">
        <v>9227</v>
      </c>
    </row>
    <row r="3498" spans="1:17" x14ac:dyDescent="0.25">
      <c r="A3498" t="s">
        <v>5174</v>
      </c>
      <c r="B3498" t="s">
        <v>1090</v>
      </c>
      <c r="C3498">
        <v>2027</v>
      </c>
      <c r="D3498" t="s">
        <v>640</v>
      </c>
      <c r="E3498" t="s">
        <v>842</v>
      </c>
      <c r="F3498" s="32">
        <v>46472</v>
      </c>
      <c r="G3498" t="s">
        <v>514</v>
      </c>
      <c r="H3498">
        <v>47129432</v>
      </c>
      <c r="I3498" t="s">
        <v>1468</v>
      </c>
      <c r="J3498" t="s">
        <v>1467</v>
      </c>
      <c r="K3498" t="s">
        <v>530</v>
      </c>
      <c r="N3498">
        <v>0</v>
      </c>
      <c r="O3498">
        <v>0</v>
      </c>
      <c r="P3498" t="str">
        <f t="shared" si="54"/>
        <v>N</v>
      </c>
      <c r="Q3498" t="s">
        <v>9228</v>
      </c>
    </row>
    <row r="3499" spans="1:17" x14ac:dyDescent="0.25">
      <c r="A3499" t="s">
        <v>5175</v>
      </c>
      <c r="B3499" t="s">
        <v>1090</v>
      </c>
      <c r="C3499">
        <v>2027</v>
      </c>
      <c r="D3499" t="s">
        <v>640</v>
      </c>
      <c r="E3499" t="s">
        <v>842</v>
      </c>
      <c r="F3499" s="32">
        <v>46472</v>
      </c>
      <c r="G3499" t="s">
        <v>514</v>
      </c>
      <c r="H3499">
        <v>47129050</v>
      </c>
      <c r="I3499" t="s">
        <v>1482</v>
      </c>
      <c r="J3499" t="s">
        <v>1481</v>
      </c>
      <c r="K3499" t="s">
        <v>530</v>
      </c>
      <c r="N3499">
        <v>35</v>
      </c>
      <c r="O3499">
        <v>35</v>
      </c>
      <c r="P3499" t="str">
        <f t="shared" si="54"/>
        <v>N</v>
      </c>
      <c r="Q3499" t="s">
        <v>9229</v>
      </c>
    </row>
    <row r="3500" spans="1:17" x14ac:dyDescent="0.25">
      <c r="A3500" t="s">
        <v>5399</v>
      </c>
      <c r="B3500" t="s">
        <v>1089</v>
      </c>
      <c r="C3500">
        <v>2027</v>
      </c>
      <c r="D3500" t="s">
        <v>640</v>
      </c>
      <c r="E3500" t="s">
        <v>842</v>
      </c>
      <c r="F3500" s="32">
        <v>46472</v>
      </c>
      <c r="G3500" t="s">
        <v>514</v>
      </c>
      <c r="H3500">
        <v>47128046</v>
      </c>
      <c r="I3500" t="s">
        <v>1389</v>
      </c>
      <c r="J3500" t="s">
        <v>1388</v>
      </c>
      <c r="K3500" t="s">
        <v>530</v>
      </c>
      <c r="N3500">
        <v>0</v>
      </c>
      <c r="O3500">
        <v>0</v>
      </c>
      <c r="P3500" t="str">
        <f t="shared" si="54"/>
        <v>N</v>
      </c>
      <c r="Q3500" t="s">
        <v>9230</v>
      </c>
    </row>
    <row r="3501" spans="1:17" x14ac:dyDescent="0.25">
      <c r="A3501" t="s">
        <v>5400</v>
      </c>
      <c r="B3501" t="s">
        <v>1089</v>
      </c>
      <c r="C3501">
        <v>2027</v>
      </c>
      <c r="D3501" t="s">
        <v>640</v>
      </c>
      <c r="E3501" t="s">
        <v>842</v>
      </c>
      <c r="F3501" s="32">
        <v>46472</v>
      </c>
      <c r="G3501" t="s">
        <v>514</v>
      </c>
      <c r="H3501">
        <v>47128364</v>
      </c>
      <c r="I3501" t="s">
        <v>1264</v>
      </c>
      <c r="J3501" t="s">
        <v>1263</v>
      </c>
      <c r="K3501" t="s">
        <v>530</v>
      </c>
      <c r="N3501">
        <v>0</v>
      </c>
      <c r="O3501">
        <v>0</v>
      </c>
      <c r="P3501" t="str">
        <f t="shared" si="54"/>
        <v>N</v>
      </c>
      <c r="Q3501" t="s">
        <v>9231</v>
      </c>
    </row>
    <row r="3502" spans="1:17" x14ac:dyDescent="0.25">
      <c r="A3502" t="s">
        <v>5401</v>
      </c>
      <c r="B3502" t="s">
        <v>1089</v>
      </c>
      <c r="C3502">
        <v>2027</v>
      </c>
      <c r="D3502" t="s">
        <v>640</v>
      </c>
      <c r="E3502" t="s">
        <v>842</v>
      </c>
      <c r="F3502" s="32">
        <v>46472</v>
      </c>
      <c r="G3502" t="s">
        <v>514</v>
      </c>
      <c r="H3502">
        <v>47128706</v>
      </c>
      <c r="I3502" t="s">
        <v>1201</v>
      </c>
      <c r="J3502" t="s">
        <v>1200</v>
      </c>
      <c r="K3502" t="s">
        <v>530</v>
      </c>
      <c r="N3502">
        <v>70</v>
      </c>
      <c r="O3502">
        <v>70</v>
      </c>
      <c r="P3502" t="str">
        <f t="shared" si="54"/>
        <v>N</v>
      </c>
      <c r="Q3502" t="s">
        <v>9232</v>
      </c>
    </row>
    <row r="3503" spans="1:17" x14ac:dyDescent="0.25">
      <c r="A3503" t="s">
        <v>5402</v>
      </c>
      <c r="B3503" t="s">
        <v>1089</v>
      </c>
      <c r="C3503">
        <v>2027</v>
      </c>
      <c r="D3503" t="s">
        <v>640</v>
      </c>
      <c r="E3503" t="s">
        <v>842</v>
      </c>
      <c r="F3503" s="32">
        <v>46472</v>
      </c>
      <c r="G3503" t="s">
        <v>514</v>
      </c>
      <c r="H3503">
        <v>47128633</v>
      </c>
      <c r="I3503" t="s">
        <v>1164</v>
      </c>
      <c r="J3503" t="s">
        <v>1163</v>
      </c>
      <c r="K3503" t="s">
        <v>530</v>
      </c>
      <c r="N3503">
        <v>0</v>
      </c>
      <c r="O3503">
        <v>0</v>
      </c>
      <c r="P3503" t="str">
        <f t="shared" si="54"/>
        <v>N</v>
      </c>
      <c r="Q3503" t="s">
        <v>9233</v>
      </c>
    </row>
    <row r="3504" spans="1:17" x14ac:dyDescent="0.25">
      <c r="A3504" t="s">
        <v>5403</v>
      </c>
      <c r="B3504" t="s">
        <v>1089</v>
      </c>
      <c r="C3504">
        <v>2027</v>
      </c>
      <c r="D3504" t="s">
        <v>640</v>
      </c>
      <c r="E3504" t="s">
        <v>842</v>
      </c>
      <c r="F3504" s="32">
        <v>46472</v>
      </c>
      <c r="G3504" t="s">
        <v>514</v>
      </c>
      <c r="H3504">
        <v>47129548</v>
      </c>
      <c r="I3504" t="s">
        <v>1340</v>
      </c>
      <c r="J3504" t="s">
        <v>1339</v>
      </c>
      <c r="K3504" t="s">
        <v>530</v>
      </c>
      <c r="N3504">
        <v>0</v>
      </c>
      <c r="O3504">
        <v>0</v>
      </c>
      <c r="P3504" t="str">
        <f t="shared" si="54"/>
        <v>N</v>
      </c>
      <c r="Q3504" t="s">
        <v>9234</v>
      </c>
    </row>
    <row r="3505" spans="1:17" x14ac:dyDescent="0.25">
      <c r="A3505" t="s">
        <v>5404</v>
      </c>
      <c r="B3505" t="s">
        <v>1089</v>
      </c>
      <c r="C3505">
        <v>2027</v>
      </c>
      <c r="D3505" t="s">
        <v>640</v>
      </c>
      <c r="E3505" t="s">
        <v>842</v>
      </c>
      <c r="F3505" s="32">
        <v>46472</v>
      </c>
      <c r="G3505" t="s">
        <v>514</v>
      </c>
      <c r="H3505">
        <v>47128835</v>
      </c>
      <c r="I3505" t="s">
        <v>998</v>
      </c>
      <c r="J3505" t="s">
        <v>997</v>
      </c>
      <c r="K3505" t="s">
        <v>530</v>
      </c>
      <c r="N3505">
        <v>0</v>
      </c>
      <c r="O3505">
        <v>0</v>
      </c>
      <c r="P3505" t="str">
        <f t="shared" si="54"/>
        <v>N</v>
      </c>
      <c r="Q3505" t="s">
        <v>9235</v>
      </c>
    </row>
    <row r="3506" spans="1:17" x14ac:dyDescent="0.25">
      <c r="A3506" t="s">
        <v>5405</v>
      </c>
      <c r="B3506" t="s">
        <v>1089</v>
      </c>
      <c r="C3506">
        <v>2027</v>
      </c>
      <c r="D3506" t="s">
        <v>640</v>
      </c>
      <c r="E3506" t="s">
        <v>842</v>
      </c>
      <c r="F3506" s="32">
        <v>46472</v>
      </c>
      <c r="G3506" t="s">
        <v>514</v>
      </c>
      <c r="H3506">
        <v>47128788</v>
      </c>
      <c r="I3506" t="s">
        <v>4188</v>
      </c>
      <c r="J3506" t="s">
        <v>4189</v>
      </c>
      <c r="K3506" t="s">
        <v>530</v>
      </c>
      <c r="N3506">
        <v>0</v>
      </c>
      <c r="O3506">
        <v>0</v>
      </c>
      <c r="P3506" t="str">
        <f t="shared" si="54"/>
        <v>N</v>
      </c>
      <c r="Q3506" t="s">
        <v>9236</v>
      </c>
    </row>
    <row r="3507" spans="1:17" x14ac:dyDescent="0.25">
      <c r="A3507" t="s">
        <v>5406</v>
      </c>
      <c r="B3507" t="s">
        <v>1089</v>
      </c>
      <c r="C3507">
        <v>2027</v>
      </c>
      <c r="D3507" t="s">
        <v>640</v>
      </c>
      <c r="E3507" t="s">
        <v>842</v>
      </c>
      <c r="F3507" s="32">
        <v>46472</v>
      </c>
      <c r="G3507" t="s">
        <v>514</v>
      </c>
      <c r="H3507">
        <v>47136348</v>
      </c>
      <c r="I3507" t="s">
        <v>1025</v>
      </c>
      <c r="J3507" t="s">
        <v>1024</v>
      </c>
      <c r="K3507" t="s">
        <v>530</v>
      </c>
      <c r="N3507">
        <v>0</v>
      </c>
      <c r="O3507">
        <v>0</v>
      </c>
      <c r="P3507" t="str">
        <f t="shared" si="54"/>
        <v>N</v>
      </c>
      <c r="Q3507" t="s">
        <v>9237</v>
      </c>
    </row>
    <row r="3508" spans="1:17" x14ac:dyDescent="0.25">
      <c r="A3508" t="s">
        <v>5407</v>
      </c>
      <c r="B3508" t="s">
        <v>1089</v>
      </c>
      <c r="C3508">
        <v>2027</v>
      </c>
      <c r="D3508" t="s">
        <v>640</v>
      </c>
      <c r="E3508" t="s">
        <v>842</v>
      </c>
      <c r="F3508" s="32">
        <v>46472</v>
      </c>
      <c r="G3508" t="s">
        <v>514</v>
      </c>
      <c r="H3508">
        <v>47135083</v>
      </c>
      <c r="I3508" t="s">
        <v>4192</v>
      </c>
      <c r="J3508" t="s">
        <v>4193</v>
      </c>
      <c r="K3508" t="s">
        <v>530</v>
      </c>
      <c r="N3508">
        <v>0</v>
      </c>
      <c r="O3508">
        <v>0</v>
      </c>
      <c r="P3508" t="str">
        <f t="shared" si="54"/>
        <v>N</v>
      </c>
      <c r="Q3508" t="s">
        <v>9238</v>
      </c>
    </row>
    <row r="3509" spans="1:17" x14ac:dyDescent="0.25">
      <c r="A3509" t="s">
        <v>5408</v>
      </c>
      <c r="B3509" t="s">
        <v>1089</v>
      </c>
      <c r="C3509">
        <v>2027</v>
      </c>
      <c r="D3509" t="s">
        <v>640</v>
      </c>
      <c r="E3509" t="s">
        <v>842</v>
      </c>
      <c r="F3509" s="32">
        <v>46472</v>
      </c>
      <c r="G3509" t="s">
        <v>514</v>
      </c>
      <c r="H3509">
        <v>47128515</v>
      </c>
      <c r="I3509" t="s">
        <v>1185</v>
      </c>
      <c r="J3509" t="s">
        <v>1184</v>
      </c>
      <c r="K3509" t="s">
        <v>530</v>
      </c>
      <c r="N3509">
        <v>0</v>
      </c>
      <c r="O3509">
        <v>0</v>
      </c>
      <c r="P3509" t="str">
        <f t="shared" si="54"/>
        <v>N</v>
      </c>
      <c r="Q3509" t="s">
        <v>9239</v>
      </c>
    </row>
    <row r="3510" spans="1:17" x14ac:dyDescent="0.25">
      <c r="A3510" t="s">
        <v>5409</v>
      </c>
      <c r="B3510" t="s">
        <v>1089</v>
      </c>
      <c r="C3510">
        <v>2027</v>
      </c>
      <c r="D3510" t="s">
        <v>640</v>
      </c>
      <c r="E3510" t="s">
        <v>842</v>
      </c>
      <c r="F3510" s="32">
        <v>46472</v>
      </c>
      <c r="G3510" t="s">
        <v>514</v>
      </c>
      <c r="H3510">
        <v>47128472</v>
      </c>
      <c r="I3510" t="s">
        <v>995</v>
      </c>
      <c r="J3510" t="s">
        <v>994</v>
      </c>
      <c r="K3510" t="s">
        <v>530</v>
      </c>
      <c r="N3510">
        <v>0</v>
      </c>
      <c r="O3510">
        <v>0</v>
      </c>
      <c r="P3510" t="str">
        <f t="shared" si="54"/>
        <v>N</v>
      </c>
      <c r="Q3510" t="s">
        <v>9240</v>
      </c>
    </row>
    <row r="3511" spans="1:17" x14ac:dyDescent="0.25">
      <c r="A3511" t="s">
        <v>5410</v>
      </c>
      <c r="B3511" t="s">
        <v>1089</v>
      </c>
      <c r="C3511">
        <v>2027</v>
      </c>
      <c r="D3511" t="s">
        <v>640</v>
      </c>
      <c r="E3511" t="s">
        <v>842</v>
      </c>
      <c r="F3511" s="32">
        <v>46472</v>
      </c>
      <c r="G3511" t="s">
        <v>514</v>
      </c>
      <c r="H3511">
        <v>47128202</v>
      </c>
      <c r="I3511" t="s">
        <v>967</v>
      </c>
      <c r="J3511" t="s">
        <v>966</v>
      </c>
      <c r="K3511" t="s">
        <v>530</v>
      </c>
      <c r="N3511">
        <v>0</v>
      </c>
      <c r="O3511">
        <v>0</v>
      </c>
      <c r="P3511" t="str">
        <f t="shared" si="54"/>
        <v>N</v>
      </c>
      <c r="Q3511" t="s">
        <v>9241</v>
      </c>
    </row>
    <row r="3512" spans="1:17" x14ac:dyDescent="0.25">
      <c r="A3512" t="s">
        <v>5411</v>
      </c>
      <c r="B3512" t="s">
        <v>1089</v>
      </c>
      <c r="C3512">
        <v>2027</v>
      </c>
      <c r="D3512" t="s">
        <v>640</v>
      </c>
      <c r="E3512" t="s">
        <v>842</v>
      </c>
      <c r="F3512" s="32">
        <v>46472</v>
      </c>
      <c r="G3512" t="s">
        <v>514</v>
      </c>
      <c r="H3512">
        <v>47128132</v>
      </c>
      <c r="I3512" t="s">
        <v>4429</v>
      </c>
      <c r="J3512" t="s">
        <v>4430</v>
      </c>
      <c r="K3512" t="s">
        <v>530</v>
      </c>
      <c r="N3512">
        <v>0</v>
      </c>
      <c r="O3512">
        <v>0</v>
      </c>
      <c r="P3512" t="str">
        <f t="shared" si="54"/>
        <v>N</v>
      </c>
      <c r="Q3512" t="s">
        <v>9242</v>
      </c>
    </row>
    <row r="3513" spans="1:17" x14ac:dyDescent="0.25">
      <c r="A3513" t="s">
        <v>5412</v>
      </c>
      <c r="B3513" t="s">
        <v>1089</v>
      </c>
      <c r="C3513">
        <v>2027</v>
      </c>
      <c r="D3513" t="s">
        <v>640</v>
      </c>
      <c r="E3513" t="s">
        <v>842</v>
      </c>
      <c r="F3513" s="32">
        <v>46472</v>
      </c>
      <c r="G3513" t="s">
        <v>514</v>
      </c>
      <c r="H3513">
        <v>47127971</v>
      </c>
      <c r="I3513" t="s">
        <v>991</v>
      </c>
      <c r="J3513" t="s">
        <v>990</v>
      </c>
      <c r="K3513" t="s">
        <v>530</v>
      </c>
      <c r="N3513">
        <v>0</v>
      </c>
      <c r="O3513">
        <v>0</v>
      </c>
      <c r="P3513" t="str">
        <f t="shared" si="54"/>
        <v>N</v>
      </c>
      <c r="Q3513" t="s">
        <v>9243</v>
      </c>
    </row>
    <row r="3514" spans="1:17" x14ac:dyDescent="0.25">
      <c r="A3514" t="s">
        <v>5644</v>
      </c>
      <c r="B3514" t="s">
        <v>5437</v>
      </c>
      <c r="C3514">
        <v>2027</v>
      </c>
      <c r="D3514" t="s">
        <v>640</v>
      </c>
      <c r="E3514" t="s">
        <v>842</v>
      </c>
      <c r="F3514" s="32">
        <v>46472</v>
      </c>
      <c r="G3514" t="s">
        <v>514</v>
      </c>
      <c r="H3514">
        <v>47128481</v>
      </c>
      <c r="I3514" t="s">
        <v>1379</v>
      </c>
      <c r="J3514" t="s">
        <v>1378</v>
      </c>
      <c r="K3514" t="s">
        <v>530</v>
      </c>
      <c r="N3514">
        <v>30</v>
      </c>
      <c r="O3514">
        <v>30</v>
      </c>
      <c r="P3514" t="str">
        <f t="shared" si="54"/>
        <v>N</v>
      </c>
      <c r="Q3514" t="s">
        <v>9244</v>
      </c>
    </row>
    <row r="3515" spans="1:17" x14ac:dyDescent="0.25">
      <c r="A3515" t="s">
        <v>5645</v>
      </c>
      <c r="B3515" t="s">
        <v>5437</v>
      </c>
      <c r="C3515">
        <v>2027</v>
      </c>
      <c r="D3515" t="s">
        <v>640</v>
      </c>
      <c r="E3515" t="s">
        <v>842</v>
      </c>
      <c r="F3515" s="32">
        <v>46472</v>
      </c>
      <c r="G3515" t="s">
        <v>514</v>
      </c>
      <c r="H3515">
        <v>47128572</v>
      </c>
      <c r="I3515" t="s">
        <v>1197</v>
      </c>
      <c r="J3515" t="s">
        <v>1196</v>
      </c>
      <c r="K3515" t="s">
        <v>530</v>
      </c>
      <c r="N3515">
        <v>0</v>
      </c>
      <c r="O3515">
        <v>0</v>
      </c>
      <c r="P3515" t="str">
        <f t="shared" si="54"/>
        <v>N</v>
      </c>
      <c r="Q3515" t="s">
        <v>9245</v>
      </c>
    </row>
    <row r="3516" spans="1:17" x14ac:dyDescent="0.25">
      <c r="A3516" t="s">
        <v>5646</v>
      </c>
      <c r="B3516" t="s">
        <v>5437</v>
      </c>
      <c r="C3516">
        <v>2027</v>
      </c>
      <c r="D3516" t="s">
        <v>640</v>
      </c>
      <c r="E3516" t="s">
        <v>842</v>
      </c>
      <c r="F3516" s="32">
        <v>46472</v>
      </c>
      <c r="G3516" t="s">
        <v>514</v>
      </c>
      <c r="H3516">
        <v>47128482</v>
      </c>
      <c r="I3516" t="s">
        <v>1393</v>
      </c>
      <c r="J3516" t="s">
        <v>1392</v>
      </c>
      <c r="K3516" t="s">
        <v>530</v>
      </c>
      <c r="N3516">
        <v>0</v>
      </c>
      <c r="O3516">
        <v>0</v>
      </c>
      <c r="P3516" t="str">
        <f t="shared" si="54"/>
        <v>N</v>
      </c>
      <c r="Q3516" t="s">
        <v>9246</v>
      </c>
    </row>
    <row r="3517" spans="1:17" x14ac:dyDescent="0.25">
      <c r="A3517" t="s">
        <v>5647</v>
      </c>
      <c r="B3517" t="s">
        <v>5437</v>
      </c>
      <c r="C3517">
        <v>2027</v>
      </c>
      <c r="D3517" t="s">
        <v>640</v>
      </c>
      <c r="E3517" t="s">
        <v>842</v>
      </c>
      <c r="F3517" s="32">
        <v>46472</v>
      </c>
      <c r="G3517" t="s">
        <v>514</v>
      </c>
      <c r="H3517">
        <v>47128337</v>
      </c>
      <c r="I3517" t="s">
        <v>1120</v>
      </c>
      <c r="J3517" t="s">
        <v>1119</v>
      </c>
      <c r="K3517" t="s">
        <v>530</v>
      </c>
      <c r="N3517">
        <v>0</v>
      </c>
      <c r="O3517">
        <v>0</v>
      </c>
      <c r="P3517" t="str">
        <f t="shared" si="54"/>
        <v>N</v>
      </c>
      <c r="Q3517" t="s">
        <v>9247</v>
      </c>
    </row>
    <row r="3518" spans="1:17" x14ac:dyDescent="0.25">
      <c r="A3518" t="s">
        <v>5648</v>
      </c>
      <c r="B3518" t="s">
        <v>5437</v>
      </c>
      <c r="C3518">
        <v>2027</v>
      </c>
      <c r="D3518" t="s">
        <v>640</v>
      </c>
      <c r="E3518" t="s">
        <v>842</v>
      </c>
      <c r="F3518" s="32">
        <v>46472</v>
      </c>
      <c r="G3518" t="s">
        <v>514</v>
      </c>
      <c r="H3518">
        <v>47136340</v>
      </c>
      <c r="I3518" t="s">
        <v>1213</v>
      </c>
      <c r="J3518" t="s">
        <v>1212</v>
      </c>
      <c r="K3518" t="s">
        <v>530</v>
      </c>
      <c r="N3518">
        <v>0</v>
      </c>
      <c r="O3518">
        <v>0</v>
      </c>
      <c r="P3518" t="str">
        <f t="shared" si="54"/>
        <v>N</v>
      </c>
      <c r="Q3518" t="s">
        <v>9248</v>
      </c>
    </row>
    <row r="3519" spans="1:17" x14ac:dyDescent="0.25">
      <c r="A3519" t="s">
        <v>5649</v>
      </c>
      <c r="B3519" t="s">
        <v>5437</v>
      </c>
      <c r="C3519">
        <v>2027</v>
      </c>
      <c r="D3519" t="s">
        <v>640</v>
      </c>
      <c r="E3519" t="s">
        <v>842</v>
      </c>
      <c r="F3519" s="32">
        <v>46472</v>
      </c>
      <c r="G3519" t="s">
        <v>514</v>
      </c>
      <c r="H3519">
        <v>47128169</v>
      </c>
      <c r="I3519" t="s">
        <v>1205</v>
      </c>
      <c r="J3519" t="s">
        <v>1204</v>
      </c>
      <c r="K3519" t="s">
        <v>530</v>
      </c>
      <c r="N3519">
        <v>0</v>
      </c>
      <c r="O3519">
        <v>0</v>
      </c>
      <c r="P3519" t="str">
        <f t="shared" si="54"/>
        <v>N</v>
      </c>
      <c r="Q3519" t="s">
        <v>9249</v>
      </c>
    </row>
    <row r="3520" spans="1:17" x14ac:dyDescent="0.25">
      <c r="A3520" t="s">
        <v>5650</v>
      </c>
      <c r="B3520" t="s">
        <v>5437</v>
      </c>
      <c r="C3520">
        <v>2027</v>
      </c>
      <c r="D3520" t="s">
        <v>640</v>
      </c>
      <c r="E3520" t="s">
        <v>842</v>
      </c>
      <c r="F3520" s="32">
        <v>46472</v>
      </c>
      <c r="G3520" t="s">
        <v>514</v>
      </c>
      <c r="H3520">
        <v>47128022</v>
      </c>
      <c r="I3520" t="s">
        <v>1104</v>
      </c>
      <c r="J3520" t="s">
        <v>1103</v>
      </c>
      <c r="K3520" t="s">
        <v>530</v>
      </c>
      <c r="N3520">
        <v>0</v>
      </c>
      <c r="O3520">
        <v>0</v>
      </c>
      <c r="P3520" t="str">
        <f t="shared" si="54"/>
        <v>N</v>
      </c>
      <c r="Q3520" t="s">
        <v>9250</v>
      </c>
    </row>
    <row r="3521" spans="1:17" x14ac:dyDescent="0.25">
      <c r="A3521" t="s">
        <v>5651</v>
      </c>
      <c r="B3521" t="s">
        <v>5437</v>
      </c>
      <c r="C3521">
        <v>2027</v>
      </c>
      <c r="D3521" t="s">
        <v>640</v>
      </c>
      <c r="E3521" t="s">
        <v>842</v>
      </c>
      <c r="F3521" s="32">
        <v>46472</v>
      </c>
      <c r="G3521" t="s">
        <v>514</v>
      </c>
      <c r="H3521">
        <v>47127948</v>
      </c>
      <c r="I3521" t="s">
        <v>1247</v>
      </c>
      <c r="J3521" t="s">
        <v>1246</v>
      </c>
      <c r="K3521" t="s">
        <v>530</v>
      </c>
      <c r="N3521">
        <v>60</v>
      </c>
      <c r="O3521">
        <v>60</v>
      </c>
      <c r="P3521" t="str">
        <f t="shared" si="54"/>
        <v>N</v>
      </c>
      <c r="Q3521" t="s">
        <v>9251</v>
      </c>
    </row>
    <row r="3522" spans="1:17" x14ac:dyDescent="0.25">
      <c r="A3522" t="s">
        <v>5652</v>
      </c>
      <c r="B3522" t="s">
        <v>5437</v>
      </c>
      <c r="C3522">
        <v>2027</v>
      </c>
      <c r="D3522" t="s">
        <v>640</v>
      </c>
      <c r="E3522" t="s">
        <v>842</v>
      </c>
      <c r="F3522" s="32">
        <v>46472</v>
      </c>
      <c r="G3522" t="s">
        <v>514</v>
      </c>
      <c r="H3522">
        <v>47129473</v>
      </c>
      <c r="I3522" t="s">
        <v>1430</v>
      </c>
      <c r="J3522" t="s">
        <v>1429</v>
      </c>
      <c r="K3522" t="s">
        <v>530</v>
      </c>
      <c r="N3522">
        <v>40</v>
      </c>
      <c r="O3522">
        <v>40</v>
      </c>
      <c r="P3522" t="str">
        <f t="shared" si="54"/>
        <v>N</v>
      </c>
      <c r="Q3522" t="s">
        <v>9252</v>
      </c>
    </row>
    <row r="3523" spans="1:17" x14ac:dyDescent="0.25">
      <c r="A3523" t="s">
        <v>5653</v>
      </c>
      <c r="B3523" t="s">
        <v>5437</v>
      </c>
      <c r="C3523">
        <v>2027</v>
      </c>
      <c r="D3523" t="s">
        <v>640</v>
      </c>
      <c r="E3523" t="s">
        <v>842</v>
      </c>
      <c r="F3523" s="32">
        <v>46472</v>
      </c>
      <c r="G3523" t="s">
        <v>514</v>
      </c>
      <c r="H3523">
        <v>47133720</v>
      </c>
      <c r="I3523" t="s">
        <v>1217</v>
      </c>
      <c r="J3523" t="s">
        <v>1216</v>
      </c>
      <c r="K3523" t="s">
        <v>530</v>
      </c>
      <c r="N3523">
        <v>0</v>
      </c>
      <c r="O3523">
        <v>0</v>
      </c>
      <c r="P3523" t="str">
        <f t="shared" ref="P3523:P3586" si="55">IF(N3523=O3523,"N","Y")</f>
        <v>N</v>
      </c>
      <c r="Q3523" t="s">
        <v>9253</v>
      </c>
    </row>
    <row r="3524" spans="1:17" x14ac:dyDescent="0.25">
      <c r="A3524" t="s">
        <v>5654</v>
      </c>
      <c r="B3524" t="s">
        <v>5437</v>
      </c>
      <c r="C3524">
        <v>2027</v>
      </c>
      <c r="D3524" t="s">
        <v>640</v>
      </c>
      <c r="E3524" t="s">
        <v>842</v>
      </c>
      <c r="F3524" s="32">
        <v>46472</v>
      </c>
      <c r="G3524" t="s">
        <v>514</v>
      </c>
      <c r="H3524">
        <v>47128429</v>
      </c>
      <c r="I3524" t="s">
        <v>1371</v>
      </c>
      <c r="J3524" t="s">
        <v>1370</v>
      </c>
      <c r="K3524" t="s">
        <v>530</v>
      </c>
      <c r="N3524">
        <v>0</v>
      </c>
      <c r="O3524">
        <v>0</v>
      </c>
      <c r="P3524" t="str">
        <f t="shared" si="55"/>
        <v>N</v>
      </c>
      <c r="Q3524" t="s">
        <v>9254</v>
      </c>
    </row>
    <row r="3525" spans="1:17" x14ac:dyDescent="0.25">
      <c r="A3525" t="s">
        <v>5655</v>
      </c>
      <c r="B3525" t="s">
        <v>5437</v>
      </c>
      <c r="C3525">
        <v>2027</v>
      </c>
      <c r="D3525" t="s">
        <v>640</v>
      </c>
      <c r="E3525" t="s">
        <v>842</v>
      </c>
      <c r="F3525" s="32">
        <v>46472</v>
      </c>
      <c r="G3525" t="s">
        <v>514</v>
      </c>
      <c r="H3525">
        <v>47128181</v>
      </c>
      <c r="I3525" t="s">
        <v>1301</v>
      </c>
      <c r="J3525" t="s">
        <v>1300</v>
      </c>
      <c r="K3525" t="s">
        <v>530</v>
      </c>
      <c r="N3525">
        <v>0</v>
      </c>
      <c r="O3525">
        <v>0</v>
      </c>
      <c r="P3525" t="str">
        <f t="shared" si="55"/>
        <v>N</v>
      </c>
      <c r="Q3525" t="s">
        <v>9255</v>
      </c>
    </row>
    <row r="3526" spans="1:17" x14ac:dyDescent="0.25">
      <c r="A3526" t="s">
        <v>1668</v>
      </c>
      <c r="B3526" t="s">
        <v>1520</v>
      </c>
      <c r="C3526">
        <v>2027</v>
      </c>
      <c r="D3526" t="s">
        <v>642</v>
      </c>
      <c r="E3526" t="s">
        <v>843</v>
      </c>
      <c r="F3526" s="32">
        <v>46479</v>
      </c>
      <c r="G3526" t="s">
        <v>514</v>
      </c>
      <c r="H3526">
        <v>47128204</v>
      </c>
      <c r="I3526" t="s">
        <v>1531</v>
      </c>
      <c r="J3526" t="s">
        <v>1532</v>
      </c>
      <c r="K3526" t="s">
        <v>530</v>
      </c>
      <c r="N3526">
        <v>2</v>
      </c>
      <c r="O3526">
        <v>2</v>
      </c>
      <c r="P3526" t="str">
        <f t="shared" si="55"/>
        <v>N</v>
      </c>
      <c r="Q3526" t="s">
        <v>9256</v>
      </c>
    </row>
    <row r="3527" spans="1:17" x14ac:dyDescent="0.25">
      <c r="A3527" t="s">
        <v>1669</v>
      </c>
      <c r="B3527" t="s">
        <v>1520</v>
      </c>
      <c r="C3527">
        <v>2027</v>
      </c>
      <c r="D3527" t="s">
        <v>642</v>
      </c>
      <c r="E3527" t="s">
        <v>843</v>
      </c>
      <c r="F3527" s="32">
        <v>46479</v>
      </c>
      <c r="G3527" t="s">
        <v>514</v>
      </c>
      <c r="H3527">
        <v>47128207</v>
      </c>
      <c r="I3527" t="s">
        <v>1522</v>
      </c>
      <c r="J3527" t="s">
        <v>1534</v>
      </c>
      <c r="K3527" t="s">
        <v>530</v>
      </c>
      <c r="N3527">
        <v>50</v>
      </c>
      <c r="O3527">
        <v>50</v>
      </c>
      <c r="P3527" t="str">
        <f t="shared" si="55"/>
        <v>N</v>
      </c>
      <c r="Q3527" t="s">
        <v>9257</v>
      </c>
    </row>
    <row r="3528" spans="1:17" x14ac:dyDescent="0.25">
      <c r="A3528" t="s">
        <v>1670</v>
      </c>
      <c r="B3528" t="s">
        <v>1520</v>
      </c>
      <c r="C3528">
        <v>2027</v>
      </c>
      <c r="D3528" t="s">
        <v>642</v>
      </c>
      <c r="E3528" t="s">
        <v>843</v>
      </c>
      <c r="F3528" s="32">
        <v>46479</v>
      </c>
      <c r="G3528" t="s">
        <v>514</v>
      </c>
      <c r="H3528">
        <v>47128581</v>
      </c>
      <c r="I3528" t="s">
        <v>1525</v>
      </c>
      <c r="J3528" t="s">
        <v>1526</v>
      </c>
      <c r="K3528" t="s">
        <v>530</v>
      </c>
      <c r="N3528">
        <v>0</v>
      </c>
      <c r="O3528">
        <v>0</v>
      </c>
      <c r="P3528" t="str">
        <f t="shared" si="55"/>
        <v>N</v>
      </c>
      <c r="Q3528" t="s">
        <v>9258</v>
      </c>
    </row>
    <row r="3529" spans="1:17" x14ac:dyDescent="0.25">
      <c r="A3529" t="s">
        <v>1671</v>
      </c>
      <c r="B3529" t="s">
        <v>1520</v>
      </c>
      <c r="C3529">
        <v>2027</v>
      </c>
      <c r="D3529" t="s">
        <v>642</v>
      </c>
      <c r="E3529" t="s">
        <v>843</v>
      </c>
      <c r="F3529" s="32">
        <v>46479</v>
      </c>
      <c r="G3529" t="s">
        <v>514</v>
      </c>
      <c r="H3529">
        <v>47127959</v>
      </c>
      <c r="I3529" t="s">
        <v>1528</v>
      </c>
      <c r="J3529" t="s">
        <v>1529</v>
      </c>
      <c r="K3529" t="s">
        <v>530</v>
      </c>
      <c r="N3529">
        <v>0</v>
      </c>
      <c r="O3529">
        <v>0</v>
      </c>
      <c r="P3529" t="str">
        <f t="shared" si="55"/>
        <v>N</v>
      </c>
      <c r="Q3529" t="s">
        <v>9259</v>
      </c>
    </row>
    <row r="3530" spans="1:17" x14ac:dyDescent="0.25">
      <c r="A3530" t="s">
        <v>1672</v>
      </c>
      <c r="B3530" t="s">
        <v>1520</v>
      </c>
      <c r="C3530">
        <v>2027</v>
      </c>
      <c r="D3530" t="s">
        <v>642</v>
      </c>
      <c r="E3530" t="s">
        <v>843</v>
      </c>
      <c r="F3530" s="32">
        <v>46479</v>
      </c>
      <c r="G3530" t="s">
        <v>563</v>
      </c>
      <c r="H3530">
        <v>10000015</v>
      </c>
      <c r="I3530" t="s">
        <v>562</v>
      </c>
      <c r="K3530" t="s">
        <v>530</v>
      </c>
      <c r="N3530">
        <v>0</v>
      </c>
      <c r="O3530">
        <v>0</v>
      </c>
      <c r="P3530" t="str">
        <f t="shared" si="55"/>
        <v>N</v>
      </c>
      <c r="Q3530" t="s">
        <v>9260</v>
      </c>
    </row>
    <row r="3531" spans="1:17" x14ac:dyDescent="0.25">
      <c r="A3531" t="s">
        <v>1673</v>
      </c>
      <c r="B3531" t="s">
        <v>1520</v>
      </c>
      <c r="C3531">
        <v>2027</v>
      </c>
      <c r="D3531" t="s">
        <v>642</v>
      </c>
      <c r="E3531" t="s">
        <v>843</v>
      </c>
      <c r="F3531" s="32">
        <v>46479</v>
      </c>
      <c r="G3531" t="s">
        <v>514</v>
      </c>
      <c r="H3531">
        <v>47127959</v>
      </c>
      <c r="I3531" t="s">
        <v>1528</v>
      </c>
      <c r="J3531" t="s">
        <v>1537</v>
      </c>
      <c r="K3531" t="s">
        <v>530</v>
      </c>
      <c r="N3531">
        <v>0</v>
      </c>
      <c r="O3531">
        <v>0</v>
      </c>
      <c r="P3531" t="str">
        <f t="shared" si="55"/>
        <v>N</v>
      </c>
      <c r="Q3531" t="s">
        <v>9261</v>
      </c>
    </row>
    <row r="3532" spans="1:17" x14ac:dyDescent="0.25">
      <c r="A3532" t="s">
        <v>1674</v>
      </c>
      <c r="B3532" t="s">
        <v>1520</v>
      </c>
      <c r="C3532">
        <v>2027</v>
      </c>
      <c r="D3532" t="s">
        <v>642</v>
      </c>
      <c r="E3532" t="s">
        <v>843</v>
      </c>
      <c r="F3532" s="32">
        <v>46479</v>
      </c>
      <c r="G3532" t="s">
        <v>514</v>
      </c>
      <c r="H3532">
        <v>47128581</v>
      </c>
      <c r="I3532" t="s">
        <v>1525</v>
      </c>
      <c r="J3532" t="s">
        <v>1539</v>
      </c>
      <c r="K3532" t="s">
        <v>530</v>
      </c>
      <c r="N3532">
        <v>0</v>
      </c>
      <c r="O3532">
        <v>0</v>
      </c>
      <c r="P3532" t="str">
        <f t="shared" si="55"/>
        <v>N</v>
      </c>
      <c r="Q3532" t="s">
        <v>9262</v>
      </c>
    </row>
    <row r="3533" spans="1:17" x14ac:dyDescent="0.25">
      <c r="A3533" t="s">
        <v>1675</v>
      </c>
      <c r="B3533" t="s">
        <v>1520</v>
      </c>
      <c r="C3533">
        <v>2027</v>
      </c>
      <c r="D3533" t="s">
        <v>642</v>
      </c>
      <c r="E3533" t="s">
        <v>843</v>
      </c>
      <c r="F3533" s="32">
        <v>46479</v>
      </c>
      <c r="G3533" t="s">
        <v>514</v>
      </c>
      <c r="H3533">
        <v>47128781</v>
      </c>
      <c r="I3533" t="s">
        <v>1251</v>
      </c>
      <c r="J3533" t="s">
        <v>1250</v>
      </c>
      <c r="K3533" t="s">
        <v>530</v>
      </c>
      <c r="N3533">
        <v>0</v>
      </c>
      <c r="O3533">
        <v>0</v>
      </c>
      <c r="P3533" t="str">
        <f t="shared" si="55"/>
        <v>N</v>
      </c>
      <c r="Q3533" t="s">
        <v>9263</v>
      </c>
    </row>
    <row r="3534" spans="1:17" x14ac:dyDescent="0.25">
      <c r="A3534" t="s">
        <v>2198</v>
      </c>
      <c r="B3534" t="s">
        <v>1135</v>
      </c>
      <c r="C3534">
        <v>2027</v>
      </c>
      <c r="D3534" t="s">
        <v>642</v>
      </c>
      <c r="E3534" t="s">
        <v>843</v>
      </c>
      <c r="F3534" s="32">
        <v>46479</v>
      </c>
      <c r="G3534" t="s">
        <v>514</v>
      </c>
      <c r="H3534">
        <v>47128168</v>
      </c>
      <c r="I3534" t="s">
        <v>1100</v>
      </c>
      <c r="J3534" t="s">
        <v>1099</v>
      </c>
      <c r="K3534" t="s">
        <v>530</v>
      </c>
      <c r="N3534">
        <v>0</v>
      </c>
      <c r="O3534">
        <v>0</v>
      </c>
      <c r="P3534" t="str">
        <f t="shared" si="55"/>
        <v>N</v>
      </c>
      <c r="Q3534" t="s">
        <v>9264</v>
      </c>
    </row>
    <row r="3535" spans="1:17" x14ac:dyDescent="0.25">
      <c r="A3535" t="s">
        <v>2199</v>
      </c>
      <c r="B3535" t="s">
        <v>1135</v>
      </c>
      <c r="C3535">
        <v>2027</v>
      </c>
      <c r="D3535" t="s">
        <v>642</v>
      </c>
      <c r="E3535" t="s">
        <v>843</v>
      </c>
      <c r="F3535" s="32">
        <v>46479</v>
      </c>
      <c r="G3535" t="s">
        <v>514</v>
      </c>
      <c r="H3535">
        <v>47128906</v>
      </c>
      <c r="I3535" t="s">
        <v>1349</v>
      </c>
      <c r="J3535" t="s">
        <v>1348</v>
      </c>
      <c r="K3535" t="s">
        <v>530</v>
      </c>
      <c r="N3535">
        <v>0</v>
      </c>
      <c r="O3535">
        <v>0</v>
      </c>
      <c r="P3535" t="str">
        <f t="shared" si="55"/>
        <v>N</v>
      </c>
      <c r="Q3535" t="s">
        <v>9265</v>
      </c>
    </row>
    <row r="3536" spans="1:17" x14ac:dyDescent="0.25">
      <c r="A3536" t="s">
        <v>2200</v>
      </c>
      <c r="B3536" t="s">
        <v>1135</v>
      </c>
      <c r="C3536">
        <v>2027</v>
      </c>
      <c r="D3536" t="s">
        <v>642</v>
      </c>
      <c r="E3536" t="s">
        <v>843</v>
      </c>
      <c r="F3536" s="32">
        <v>46479</v>
      </c>
      <c r="G3536" t="s">
        <v>514</v>
      </c>
      <c r="H3536">
        <v>47128783</v>
      </c>
      <c r="I3536" t="s">
        <v>1280</v>
      </c>
      <c r="J3536" t="s">
        <v>1279</v>
      </c>
      <c r="K3536" t="s">
        <v>530</v>
      </c>
      <c r="N3536">
        <v>0</v>
      </c>
      <c r="O3536">
        <v>0</v>
      </c>
      <c r="P3536" t="str">
        <f t="shared" si="55"/>
        <v>N</v>
      </c>
      <c r="Q3536" t="s">
        <v>9266</v>
      </c>
    </row>
    <row r="3537" spans="1:17" x14ac:dyDescent="0.25">
      <c r="A3537" t="s">
        <v>2201</v>
      </c>
      <c r="B3537" t="s">
        <v>1135</v>
      </c>
      <c r="C3537">
        <v>2027</v>
      </c>
      <c r="D3537" t="s">
        <v>642</v>
      </c>
      <c r="E3537" t="s">
        <v>843</v>
      </c>
      <c r="F3537" s="32">
        <v>46479</v>
      </c>
      <c r="G3537" t="s">
        <v>514</v>
      </c>
      <c r="H3537">
        <v>47128944</v>
      </c>
      <c r="I3537" t="s">
        <v>1137</v>
      </c>
      <c r="J3537" t="s">
        <v>1136</v>
      </c>
      <c r="K3537" t="s">
        <v>530</v>
      </c>
      <c r="N3537">
        <v>0</v>
      </c>
      <c r="O3537">
        <v>0</v>
      </c>
      <c r="P3537" t="str">
        <f t="shared" si="55"/>
        <v>N</v>
      </c>
      <c r="Q3537" t="s">
        <v>9267</v>
      </c>
    </row>
    <row r="3538" spans="1:17" x14ac:dyDescent="0.25">
      <c r="A3538" t="s">
        <v>2202</v>
      </c>
      <c r="B3538" t="s">
        <v>1135</v>
      </c>
      <c r="C3538">
        <v>2027</v>
      </c>
      <c r="D3538" t="s">
        <v>642</v>
      </c>
      <c r="E3538" t="s">
        <v>843</v>
      </c>
      <c r="F3538" s="32">
        <v>46479</v>
      </c>
      <c r="G3538" t="s">
        <v>514</v>
      </c>
      <c r="H3538">
        <v>47128729</v>
      </c>
      <c r="I3538" t="s">
        <v>1149</v>
      </c>
      <c r="J3538" t="s">
        <v>1148</v>
      </c>
      <c r="K3538" t="s">
        <v>530</v>
      </c>
      <c r="N3538">
        <v>0</v>
      </c>
      <c r="O3538">
        <v>0</v>
      </c>
      <c r="P3538" t="str">
        <f t="shared" si="55"/>
        <v>N</v>
      </c>
      <c r="Q3538" t="s">
        <v>9268</v>
      </c>
    </row>
    <row r="3539" spans="1:17" x14ac:dyDescent="0.25">
      <c r="A3539" t="s">
        <v>2203</v>
      </c>
      <c r="B3539" t="s">
        <v>1135</v>
      </c>
      <c r="C3539">
        <v>2027</v>
      </c>
      <c r="D3539" t="s">
        <v>642</v>
      </c>
      <c r="E3539" t="s">
        <v>843</v>
      </c>
      <c r="F3539" s="32">
        <v>46479</v>
      </c>
      <c r="G3539" t="s">
        <v>514</v>
      </c>
      <c r="H3539">
        <v>47128585</v>
      </c>
      <c r="I3539" t="s">
        <v>1141</v>
      </c>
      <c r="J3539" t="s">
        <v>1140</v>
      </c>
      <c r="K3539" t="s">
        <v>530</v>
      </c>
      <c r="N3539">
        <v>0</v>
      </c>
      <c r="O3539">
        <v>0</v>
      </c>
      <c r="P3539" t="str">
        <f t="shared" si="55"/>
        <v>N</v>
      </c>
      <c r="Q3539" t="s">
        <v>9269</v>
      </c>
    </row>
    <row r="3540" spans="1:17" x14ac:dyDescent="0.25">
      <c r="A3540" t="s">
        <v>2204</v>
      </c>
      <c r="B3540" t="s">
        <v>1135</v>
      </c>
      <c r="C3540">
        <v>2027</v>
      </c>
      <c r="D3540" t="s">
        <v>642</v>
      </c>
      <c r="E3540" t="s">
        <v>843</v>
      </c>
      <c r="F3540" s="32">
        <v>46479</v>
      </c>
      <c r="G3540" t="s">
        <v>514</v>
      </c>
      <c r="H3540">
        <v>47128680</v>
      </c>
      <c r="I3540" t="s">
        <v>1284</v>
      </c>
      <c r="J3540" t="s">
        <v>1283</v>
      </c>
      <c r="K3540" t="s">
        <v>530</v>
      </c>
      <c r="N3540">
        <v>0</v>
      </c>
      <c r="O3540">
        <v>0</v>
      </c>
      <c r="P3540" t="str">
        <f t="shared" si="55"/>
        <v>N</v>
      </c>
      <c r="Q3540" t="s">
        <v>9270</v>
      </c>
    </row>
    <row r="3541" spans="1:17" x14ac:dyDescent="0.25">
      <c r="A3541" t="s">
        <v>2205</v>
      </c>
      <c r="B3541" t="s">
        <v>1135</v>
      </c>
      <c r="C3541">
        <v>2027</v>
      </c>
      <c r="D3541" t="s">
        <v>642</v>
      </c>
      <c r="E3541" t="s">
        <v>843</v>
      </c>
      <c r="F3541" s="32">
        <v>46479</v>
      </c>
      <c r="G3541" t="s">
        <v>514</v>
      </c>
      <c r="H3541">
        <v>47128585</v>
      </c>
      <c r="I3541" t="s">
        <v>1141</v>
      </c>
      <c r="J3541" t="s">
        <v>1408</v>
      </c>
      <c r="K3541" t="s">
        <v>530</v>
      </c>
      <c r="N3541">
        <v>0</v>
      </c>
      <c r="O3541">
        <v>0</v>
      </c>
      <c r="P3541" t="str">
        <f t="shared" si="55"/>
        <v>N</v>
      </c>
      <c r="Q3541" t="s">
        <v>9271</v>
      </c>
    </row>
    <row r="3542" spans="1:17" x14ac:dyDescent="0.25">
      <c r="A3542" t="s">
        <v>2206</v>
      </c>
      <c r="B3542" t="s">
        <v>1135</v>
      </c>
      <c r="C3542">
        <v>2027</v>
      </c>
      <c r="D3542" t="s">
        <v>642</v>
      </c>
      <c r="E3542" t="s">
        <v>843</v>
      </c>
      <c r="F3542" s="32">
        <v>46479</v>
      </c>
      <c r="G3542" t="s">
        <v>514</v>
      </c>
      <c r="H3542">
        <v>47128039</v>
      </c>
      <c r="I3542" t="s">
        <v>1405</v>
      </c>
      <c r="J3542" t="s">
        <v>1404</v>
      </c>
      <c r="K3542" t="s">
        <v>530</v>
      </c>
      <c r="N3542">
        <v>0</v>
      </c>
      <c r="O3542">
        <v>0</v>
      </c>
      <c r="P3542" t="str">
        <f t="shared" si="55"/>
        <v>N</v>
      </c>
      <c r="Q3542" t="s">
        <v>9272</v>
      </c>
    </row>
    <row r="3543" spans="1:17" x14ac:dyDescent="0.25">
      <c r="A3543" t="s">
        <v>2207</v>
      </c>
      <c r="B3543" t="s">
        <v>1135</v>
      </c>
      <c r="C3543">
        <v>2027</v>
      </c>
      <c r="D3543" t="s">
        <v>642</v>
      </c>
      <c r="E3543" t="s">
        <v>843</v>
      </c>
      <c r="F3543" s="32">
        <v>46479</v>
      </c>
      <c r="G3543" t="s">
        <v>514</v>
      </c>
      <c r="H3543">
        <v>47128024</v>
      </c>
      <c r="I3543" t="s">
        <v>1108</v>
      </c>
      <c r="J3543" t="s">
        <v>1107</v>
      </c>
      <c r="K3543" t="s">
        <v>530</v>
      </c>
      <c r="N3543">
        <v>0</v>
      </c>
      <c r="O3543">
        <v>0</v>
      </c>
      <c r="P3543" t="str">
        <f t="shared" si="55"/>
        <v>N</v>
      </c>
      <c r="Q3543" t="s">
        <v>9273</v>
      </c>
    </row>
    <row r="3544" spans="1:17" x14ac:dyDescent="0.25">
      <c r="A3544" t="s">
        <v>2208</v>
      </c>
      <c r="B3544" t="s">
        <v>1135</v>
      </c>
      <c r="C3544">
        <v>2027</v>
      </c>
      <c r="D3544" t="s">
        <v>642</v>
      </c>
      <c r="E3544" t="s">
        <v>843</v>
      </c>
      <c r="F3544" s="32">
        <v>46479</v>
      </c>
      <c r="G3544" t="s">
        <v>514</v>
      </c>
      <c r="H3544">
        <v>47128430</v>
      </c>
      <c r="I3544" t="s">
        <v>1401</v>
      </c>
      <c r="J3544" t="s">
        <v>1400</v>
      </c>
      <c r="K3544" t="s">
        <v>530</v>
      </c>
      <c r="N3544">
        <v>0</v>
      </c>
      <c r="O3544">
        <v>0</v>
      </c>
      <c r="P3544" t="str">
        <f t="shared" si="55"/>
        <v>N</v>
      </c>
      <c r="Q3544" t="s">
        <v>9274</v>
      </c>
    </row>
    <row r="3545" spans="1:17" x14ac:dyDescent="0.25">
      <c r="A3545" t="s">
        <v>2209</v>
      </c>
      <c r="B3545" t="s">
        <v>1135</v>
      </c>
      <c r="C3545">
        <v>2027</v>
      </c>
      <c r="D3545" t="s">
        <v>642</v>
      </c>
      <c r="E3545" t="s">
        <v>843</v>
      </c>
      <c r="F3545" s="32">
        <v>46479</v>
      </c>
      <c r="G3545" t="s">
        <v>514</v>
      </c>
      <c r="H3545">
        <v>47128555</v>
      </c>
      <c r="I3545" t="s">
        <v>1209</v>
      </c>
      <c r="J3545" t="s">
        <v>1208</v>
      </c>
      <c r="K3545" t="s">
        <v>530</v>
      </c>
      <c r="N3545">
        <v>0</v>
      </c>
      <c r="O3545">
        <v>0</v>
      </c>
      <c r="P3545" t="str">
        <f t="shared" si="55"/>
        <v>N</v>
      </c>
      <c r="Q3545" t="s">
        <v>9275</v>
      </c>
    </row>
    <row r="3546" spans="1:17" x14ac:dyDescent="0.25">
      <c r="A3546" t="s">
        <v>2210</v>
      </c>
      <c r="B3546" t="s">
        <v>1135</v>
      </c>
      <c r="C3546">
        <v>2027</v>
      </c>
      <c r="D3546" t="s">
        <v>642</v>
      </c>
      <c r="E3546" t="s">
        <v>843</v>
      </c>
      <c r="F3546" s="32">
        <v>46479</v>
      </c>
      <c r="G3546" t="s">
        <v>514</v>
      </c>
      <c r="H3546">
        <v>47128522</v>
      </c>
      <c r="I3546" t="s">
        <v>1092</v>
      </c>
      <c r="J3546" t="s">
        <v>1091</v>
      </c>
      <c r="K3546" t="s">
        <v>530</v>
      </c>
      <c r="N3546">
        <v>0</v>
      </c>
      <c r="O3546">
        <v>0</v>
      </c>
      <c r="P3546" t="str">
        <f t="shared" si="55"/>
        <v>N</v>
      </c>
      <c r="Q3546" t="s">
        <v>9276</v>
      </c>
    </row>
    <row r="3547" spans="1:17" x14ac:dyDescent="0.25">
      <c r="A3547" t="s">
        <v>2211</v>
      </c>
      <c r="B3547" t="s">
        <v>1135</v>
      </c>
      <c r="C3547">
        <v>2027</v>
      </c>
      <c r="D3547" t="s">
        <v>642</v>
      </c>
      <c r="E3547" t="s">
        <v>843</v>
      </c>
      <c r="F3547" s="32">
        <v>46479</v>
      </c>
      <c r="G3547" t="s">
        <v>514</v>
      </c>
      <c r="H3547">
        <v>47147546</v>
      </c>
      <c r="I3547" t="s">
        <v>1077</v>
      </c>
      <c r="J3547" t="s">
        <v>1076</v>
      </c>
      <c r="K3547" t="s">
        <v>530</v>
      </c>
      <c r="N3547">
        <v>0</v>
      </c>
      <c r="O3547">
        <v>0</v>
      </c>
      <c r="P3547" t="str">
        <f t="shared" si="55"/>
        <v>N</v>
      </c>
      <c r="Q3547" t="s">
        <v>9277</v>
      </c>
    </row>
    <row r="3548" spans="1:17" x14ac:dyDescent="0.25">
      <c r="A3548" t="s">
        <v>2212</v>
      </c>
      <c r="B3548" t="s">
        <v>1135</v>
      </c>
      <c r="C3548">
        <v>2027</v>
      </c>
      <c r="D3548" t="s">
        <v>642</v>
      </c>
      <c r="E3548" t="s">
        <v>843</v>
      </c>
      <c r="F3548" s="32">
        <v>46479</v>
      </c>
      <c r="G3548" t="s">
        <v>514</v>
      </c>
      <c r="H3548">
        <v>47128597</v>
      </c>
      <c r="I3548" t="s">
        <v>1510</v>
      </c>
      <c r="J3548" t="s">
        <v>1509</v>
      </c>
      <c r="K3548" t="s">
        <v>530</v>
      </c>
      <c r="N3548">
        <v>0</v>
      </c>
      <c r="O3548">
        <v>0</v>
      </c>
      <c r="P3548" t="str">
        <f t="shared" si="55"/>
        <v>N</v>
      </c>
      <c r="Q3548" t="s">
        <v>9278</v>
      </c>
    </row>
    <row r="3549" spans="1:17" x14ac:dyDescent="0.25">
      <c r="A3549" t="s">
        <v>2213</v>
      </c>
      <c r="B3549" t="s">
        <v>1135</v>
      </c>
      <c r="C3549">
        <v>2027</v>
      </c>
      <c r="D3549" t="s">
        <v>642</v>
      </c>
      <c r="E3549" t="s">
        <v>843</v>
      </c>
      <c r="F3549" s="32">
        <v>46479</v>
      </c>
      <c r="G3549" t="s">
        <v>514</v>
      </c>
      <c r="H3549">
        <v>47128257</v>
      </c>
      <c r="I3549" t="s">
        <v>979</v>
      </c>
      <c r="J3549" t="s">
        <v>978</v>
      </c>
      <c r="K3549" t="s">
        <v>530</v>
      </c>
      <c r="N3549">
        <v>0</v>
      </c>
      <c r="O3549">
        <v>0</v>
      </c>
      <c r="P3549" t="str">
        <f t="shared" si="55"/>
        <v>N</v>
      </c>
      <c r="Q3549" t="s">
        <v>9279</v>
      </c>
    </row>
    <row r="3550" spans="1:17" x14ac:dyDescent="0.25">
      <c r="A3550" t="s">
        <v>2214</v>
      </c>
      <c r="B3550" t="s">
        <v>1135</v>
      </c>
      <c r="C3550">
        <v>2027</v>
      </c>
      <c r="D3550" t="s">
        <v>642</v>
      </c>
      <c r="E3550" t="s">
        <v>843</v>
      </c>
      <c r="F3550" s="32">
        <v>46479</v>
      </c>
      <c r="G3550" t="s">
        <v>514</v>
      </c>
      <c r="H3550">
        <v>47128880</v>
      </c>
      <c r="I3550" t="s">
        <v>1014</v>
      </c>
      <c r="J3550" t="s">
        <v>1013</v>
      </c>
      <c r="K3550" t="s">
        <v>530</v>
      </c>
      <c r="N3550">
        <v>0</v>
      </c>
      <c r="O3550">
        <v>0</v>
      </c>
      <c r="P3550" t="str">
        <f t="shared" si="55"/>
        <v>N</v>
      </c>
      <c r="Q3550" t="s">
        <v>9280</v>
      </c>
    </row>
    <row r="3551" spans="1:17" x14ac:dyDescent="0.25">
      <c r="A3551" t="s">
        <v>2215</v>
      </c>
      <c r="B3551" t="s">
        <v>1135</v>
      </c>
      <c r="C3551">
        <v>2027</v>
      </c>
      <c r="D3551" t="s">
        <v>642</v>
      </c>
      <c r="E3551" t="s">
        <v>843</v>
      </c>
      <c r="F3551" s="32">
        <v>46479</v>
      </c>
      <c r="G3551" t="s">
        <v>514</v>
      </c>
      <c r="H3551">
        <v>47128879</v>
      </c>
      <c r="I3551" t="s">
        <v>1132</v>
      </c>
      <c r="J3551" t="s">
        <v>1131</v>
      </c>
      <c r="K3551" t="s">
        <v>530</v>
      </c>
      <c r="N3551">
        <v>0</v>
      </c>
      <c r="O3551">
        <v>0</v>
      </c>
      <c r="P3551" t="str">
        <f t="shared" si="55"/>
        <v>N</v>
      </c>
      <c r="Q3551" t="s">
        <v>9281</v>
      </c>
    </row>
    <row r="3552" spans="1:17" x14ac:dyDescent="0.25">
      <c r="A3552" t="s">
        <v>2216</v>
      </c>
      <c r="B3552" t="s">
        <v>1135</v>
      </c>
      <c r="C3552">
        <v>2027</v>
      </c>
      <c r="D3552" t="s">
        <v>642</v>
      </c>
      <c r="E3552" t="s">
        <v>843</v>
      </c>
      <c r="F3552" s="32">
        <v>46479</v>
      </c>
      <c r="G3552" t="s">
        <v>514</v>
      </c>
      <c r="H3552">
        <v>47128413</v>
      </c>
      <c r="I3552" t="s">
        <v>1397</v>
      </c>
      <c r="J3552" t="s">
        <v>1396</v>
      </c>
      <c r="K3552" t="s">
        <v>530</v>
      </c>
      <c r="N3552">
        <v>0</v>
      </c>
      <c r="O3552">
        <v>0</v>
      </c>
      <c r="P3552" t="str">
        <f t="shared" si="55"/>
        <v>N</v>
      </c>
      <c r="Q3552" t="s">
        <v>9282</v>
      </c>
    </row>
    <row r="3553" spans="1:17" x14ac:dyDescent="0.25">
      <c r="A3553" t="s">
        <v>2217</v>
      </c>
      <c r="B3553" t="s">
        <v>1135</v>
      </c>
      <c r="C3553">
        <v>2027</v>
      </c>
      <c r="D3553" t="s">
        <v>642</v>
      </c>
      <c r="E3553" t="s">
        <v>843</v>
      </c>
      <c r="F3553" s="32">
        <v>46479</v>
      </c>
      <c r="G3553" t="s">
        <v>514</v>
      </c>
      <c r="H3553">
        <v>47146464</v>
      </c>
      <c r="I3553" t="s">
        <v>1438</v>
      </c>
      <c r="J3553" t="s">
        <v>1437</v>
      </c>
      <c r="K3553" t="s">
        <v>530</v>
      </c>
      <c r="N3553">
        <v>0</v>
      </c>
      <c r="O3553">
        <v>0</v>
      </c>
      <c r="P3553" t="str">
        <f t="shared" si="55"/>
        <v>N</v>
      </c>
      <c r="Q3553" t="s">
        <v>9283</v>
      </c>
    </row>
    <row r="3554" spans="1:17" x14ac:dyDescent="0.25">
      <c r="A3554" t="s">
        <v>2218</v>
      </c>
      <c r="B3554" t="s">
        <v>1135</v>
      </c>
      <c r="C3554">
        <v>2027</v>
      </c>
      <c r="D3554" t="s">
        <v>642</v>
      </c>
      <c r="E3554" t="s">
        <v>843</v>
      </c>
      <c r="F3554" s="32">
        <v>46479</v>
      </c>
      <c r="G3554" t="s">
        <v>514</v>
      </c>
      <c r="H3554">
        <v>47147546</v>
      </c>
      <c r="I3554" t="s">
        <v>1077</v>
      </c>
      <c r="J3554" t="s">
        <v>1381</v>
      </c>
      <c r="K3554" t="s">
        <v>530</v>
      </c>
      <c r="N3554">
        <v>0</v>
      </c>
      <c r="O3554">
        <v>0</v>
      </c>
      <c r="P3554" t="str">
        <f t="shared" si="55"/>
        <v>N</v>
      </c>
      <c r="Q3554" t="s">
        <v>9284</v>
      </c>
    </row>
    <row r="3555" spans="1:17" x14ac:dyDescent="0.25">
      <c r="A3555" t="s">
        <v>2219</v>
      </c>
      <c r="B3555" t="s">
        <v>1135</v>
      </c>
      <c r="C3555">
        <v>2027</v>
      </c>
      <c r="D3555" t="s">
        <v>642</v>
      </c>
      <c r="E3555" t="s">
        <v>843</v>
      </c>
      <c r="F3555" s="32">
        <v>46479</v>
      </c>
      <c r="G3555" t="s">
        <v>514</v>
      </c>
      <c r="H3555">
        <v>47128800</v>
      </c>
      <c r="I3555" t="s">
        <v>1145</v>
      </c>
      <c r="J3555" t="s">
        <v>1144</v>
      </c>
      <c r="K3555" t="s">
        <v>530</v>
      </c>
      <c r="N3555">
        <v>0</v>
      </c>
      <c r="O3555">
        <v>0</v>
      </c>
      <c r="P3555" t="str">
        <f t="shared" si="55"/>
        <v>N</v>
      </c>
      <c r="Q3555" t="s">
        <v>9285</v>
      </c>
    </row>
    <row r="3556" spans="1:17" x14ac:dyDescent="0.25">
      <c r="A3556" t="s">
        <v>2220</v>
      </c>
      <c r="B3556" t="s">
        <v>1135</v>
      </c>
      <c r="C3556">
        <v>2027</v>
      </c>
      <c r="D3556" t="s">
        <v>642</v>
      </c>
      <c r="E3556" t="s">
        <v>843</v>
      </c>
      <c r="F3556" s="32">
        <v>46479</v>
      </c>
      <c r="G3556" t="s">
        <v>514</v>
      </c>
      <c r="H3556">
        <v>47128109</v>
      </c>
      <c r="I3556" t="s">
        <v>1336</v>
      </c>
      <c r="J3556" t="s">
        <v>1335</v>
      </c>
      <c r="K3556" t="s">
        <v>530</v>
      </c>
      <c r="N3556">
        <v>0</v>
      </c>
      <c r="O3556">
        <v>0</v>
      </c>
      <c r="P3556" t="str">
        <f t="shared" si="55"/>
        <v>N</v>
      </c>
      <c r="Q3556" t="s">
        <v>9286</v>
      </c>
    </row>
    <row r="3557" spans="1:17" x14ac:dyDescent="0.25">
      <c r="A3557" t="s">
        <v>2221</v>
      </c>
      <c r="B3557" t="s">
        <v>1135</v>
      </c>
      <c r="C3557">
        <v>2027</v>
      </c>
      <c r="D3557" t="s">
        <v>642</v>
      </c>
      <c r="E3557" t="s">
        <v>843</v>
      </c>
      <c r="F3557" s="32">
        <v>46479</v>
      </c>
      <c r="G3557" t="s">
        <v>514</v>
      </c>
      <c r="H3557">
        <v>47128346</v>
      </c>
      <c r="I3557" t="s">
        <v>1157</v>
      </c>
      <c r="J3557" t="s">
        <v>1156</v>
      </c>
      <c r="K3557" t="s">
        <v>530</v>
      </c>
      <c r="N3557">
        <v>0</v>
      </c>
      <c r="O3557">
        <v>0</v>
      </c>
      <c r="P3557" t="str">
        <f t="shared" si="55"/>
        <v>N</v>
      </c>
      <c r="Q3557" t="s">
        <v>9287</v>
      </c>
    </row>
    <row r="3558" spans="1:17" x14ac:dyDescent="0.25">
      <c r="A3558" t="s">
        <v>2222</v>
      </c>
      <c r="B3558" t="s">
        <v>1135</v>
      </c>
      <c r="C3558">
        <v>2027</v>
      </c>
      <c r="D3558" t="s">
        <v>642</v>
      </c>
      <c r="E3558" t="s">
        <v>843</v>
      </c>
      <c r="F3558" s="32">
        <v>46479</v>
      </c>
      <c r="G3558" t="s">
        <v>514</v>
      </c>
      <c r="H3558">
        <v>47128518</v>
      </c>
      <c r="I3558" t="s">
        <v>1232</v>
      </c>
      <c r="J3558" t="s">
        <v>1231</v>
      </c>
      <c r="K3558" t="s">
        <v>530</v>
      </c>
      <c r="N3558">
        <v>0</v>
      </c>
      <c r="O3558">
        <v>0</v>
      </c>
      <c r="P3558" t="str">
        <f t="shared" si="55"/>
        <v>N</v>
      </c>
      <c r="Q3558" t="s">
        <v>9288</v>
      </c>
    </row>
    <row r="3559" spans="1:17" x14ac:dyDescent="0.25">
      <c r="A3559" t="s">
        <v>2223</v>
      </c>
      <c r="B3559" t="s">
        <v>1135</v>
      </c>
      <c r="C3559">
        <v>2027</v>
      </c>
      <c r="D3559" t="s">
        <v>642</v>
      </c>
      <c r="E3559" t="s">
        <v>843</v>
      </c>
      <c r="F3559" s="32">
        <v>46479</v>
      </c>
      <c r="G3559" t="s">
        <v>514</v>
      </c>
      <c r="H3559">
        <v>47128418</v>
      </c>
      <c r="I3559" t="s">
        <v>1082</v>
      </c>
      <c r="J3559" t="s">
        <v>1081</v>
      </c>
      <c r="K3559" t="s">
        <v>530</v>
      </c>
      <c r="N3559">
        <v>0</v>
      </c>
      <c r="O3559">
        <v>0</v>
      </c>
      <c r="P3559" t="str">
        <f t="shared" si="55"/>
        <v>N</v>
      </c>
      <c r="Q3559" t="s">
        <v>9289</v>
      </c>
    </row>
    <row r="3560" spans="1:17" x14ac:dyDescent="0.25">
      <c r="A3560" t="s">
        <v>2224</v>
      </c>
      <c r="B3560" t="s">
        <v>1135</v>
      </c>
      <c r="C3560">
        <v>2027</v>
      </c>
      <c r="D3560" t="s">
        <v>642</v>
      </c>
      <c r="E3560" t="s">
        <v>843</v>
      </c>
      <c r="F3560" s="32">
        <v>46479</v>
      </c>
      <c r="G3560" t="s">
        <v>514</v>
      </c>
      <c r="H3560">
        <v>47128968</v>
      </c>
      <c r="I3560" t="s">
        <v>947</v>
      </c>
      <c r="J3560" t="s">
        <v>946</v>
      </c>
      <c r="K3560" t="s">
        <v>530</v>
      </c>
      <c r="N3560">
        <v>0</v>
      </c>
      <c r="O3560">
        <v>0</v>
      </c>
      <c r="P3560" t="str">
        <f t="shared" si="55"/>
        <v>N</v>
      </c>
      <c r="Q3560" t="s">
        <v>9290</v>
      </c>
    </row>
    <row r="3561" spans="1:17" x14ac:dyDescent="0.25">
      <c r="A3561" t="s">
        <v>2225</v>
      </c>
      <c r="B3561" t="s">
        <v>1135</v>
      </c>
      <c r="C3561">
        <v>2027</v>
      </c>
      <c r="D3561" t="s">
        <v>642</v>
      </c>
      <c r="E3561" t="s">
        <v>843</v>
      </c>
      <c r="F3561" s="32">
        <v>46479</v>
      </c>
      <c r="G3561" t="s">
        <v>514</v>
      </c>
      <c r="H3561">
        <v>47147658</v>
      </c>
      <c r="I3561" t="s">
        <v>1276</v>
      </c>
      <c r="J3561" t="s">
        <v>1275</v>
      </c>
      <c r="K3561" t="s">
        <v>530</v>
      </c>
      <c r="N3561">
        <v>0</v>
      </c>
      <c r="O3561">
        <v>0</v>
      </c>
      <c r="P3561" t="str">
        <f t="shared" si="55"/>
        <v>N</v>
      </c>
      <c r="Q3561" t="s">
        <v>9291</v>
      </c>
    </row>
    <row r="3562" spans="1:17" x14ac:dyDescent="0.25">
      <c r="A3562" t="s">
        <v>2226</v>
      </c>
      <c r="B3562" t="s">
        <v>1135</v>
      </c>
      <c r="C3562">
        <v>2027</v>
      </c>
      <c r="D3562" t="s">
        <v>642</v>
      </c>
      <c r="E3562" t="s">
        <v>843</v>
      </c>
      <c r="F3562" s="32">
        <v>46479</v>
      </c>
      <c r="G3562" t="s">
        <v>514</v>
      </c>
      <c r="H3562">
        <v>47128781</v>
      </c>
      <c r="I3562" t="s">
        <v>1251</v>
      </c>
      <c r="J3562" t="s">
        <v>1250</v>
      </c>
      <c r="K3562" t="s">
        <v>530</v>
      </c>
      <c r="N3562">
        <v>0</v>
      </c>
      <c r="O3562">
        <v>0</v>
      </c>
      <c r="P3562" t="str">
        <f t="shared" si="55"/>
        <v>N</v>
      </c>
      <c r="Q3562" t="s">
        <v>9292</v>
      </c>
    </row>
    <row r="3563" spans="1:17" x14ac:dyDescent="0.25">
      <c r="A3563" t="s">
        <v>2753</v>
      </c>
      <c r="B3563" t="s">
        <v>2444</v>
      </c>
      <c r="C3563">
        <v>2027</v>
      </c>
      <c r="D3563" t="s">
        <v>642</v>
      </c>
      <c r="E3563" t="s">
        <v>843</v>
      </c>
      <c r="F3563" s="32">
        <v>46479</v>
      </c>
      <c r="G3563" t="s">
        <v>514</v>
      </c>
      <c r="H3563">
        <v>47128006</v>
      </c>
      <c r="I3563" t="s">
        <v>2447</v>
      </c>
      <c r="J3563" t="s">
        <v>2448</v>
      </c>
      <c r="K3563" t="s">
        <v>530</v>
      </c>
      <c r="N3563">
        <v>0</v>
      </c>
      <c r="O3563">
        <v>0</v>
      </c>
      <c r="P3563" t="str">
        <f t="shared" si="55"/>
        <v>N</v>
      </c>
      <c r="Q3563" t="s">
        <v>9293</v>
      </c>
    </row>
    <row r="3564" spans="1:17" x14ac:dyDescent="0.25">
      <c r="A3564" t="s">
        <v>2754</v>
      </c>
      <c r="B3564" t="s">
        <v>2444</v>
      </c>
      <c r="C3564">
        <v>2027</v>
      </c>
      <c r="D3564" t="s">
        <v>642</v>
      </c>
      <c r="E3564" t="s">
        <v>843</v>
      </c>
      <c r="F3564" s="32">
        <v>46479</v>
      </c>
      <c r="G3564" t="s">
        <v>514</v>
      </c>
      <c r="H3564">
        <v>47128300</v>
      </c>
      <c r="I3564" t="s">
        <v>2471</v>
      </c>
      <c r="J3564" t="s">
        <v>2472</v>
      </c>
      <c r="K3564" t="s">
        <v>530</v>
      </c>
      <c r="N3564">
        <v>0</v>
      </c>
      <c r="O3564">
        <v>0</v>
      </c>
      <c r="P3564" t="str">
        <f t="shared" si="55"/>
        <v>N</v>
      </c>
      <c r="Q3564" t="s">
        <v>9294</v>
      </c>
    </row>
    <row r="3565" spans="1:17" x14ac:dyDescent="0.25">
      <c r="A3565" t="s">
        <v>2755</v>
      </c>
      <c r="B3565" t="s">
        <v>2444</v>
      </c>
      <c r="C3565">
        <v>2027</v>
      </c>
      <c r="D3565" t="s">
        <v>642</v>
      </c>
      <c r="E3565" t="s">
        <v>843</v>
      </c>
      <c r="F3565" s="32">
        <v>46479</v>
      </c>
      <c r="G3565" t="s">
        <v>514</v>
      </c>
      <c r="H3565">
        <v>47128213</v>
      </c>
      <c r="I3565" t="s">
        <v>2456</v>
      </c>
      <c r="J3565" t="s">
        <v>2457</v>
      </c>
      <c r="K3565" t="s">
        <v>530</v>
      </c>
      <c r="N3565">
        <v>0</v>
      </c>
      <c r="O3565">
        <v>0</v>
      </c>
      <c r="P3565" t="str">
        <f t="shared" si="55"/>
        <v>N</v>
      </c>
      <c r="Q3565" t="s">
        <v>9295</v>
      </c>
    </row>
    <row r="3566" spans="1:17" x14ac:dyDescent="0.25">
      <c r="A3566" t="s">
        <v>2756</v>
      </c>
      <c r="B3566" t="s">
        <v>2444</v>
      </c>
      <c r="C3566">
        <v>2027</v>
      </c>
      <c r="D3566" t="s">
        <v>642</v>
      </c>
      <c r="E3566" t="s">
        <v>843</v>
      </c>
      <c r="F3566" s="32">
        <v>46479</v>
      </c>
      <c r="G3566" t="s">
        <v>514</v>
      </c>
      <c r="H3566">
        <v>47128667</v>
      </c>
      <c r="I3566" t="s">
        <v>2450</v>
      </c>
      <c r="J3566" t="s">
        <v>2451</v>
      </c>
      <c r="K3566" t="s">
        <v>530</v>
      </c>
      <c r="N3566">
        <v>0</v>
      </c>
      <c r="O3566">
        <v>0</v>
      </c>
      <c r="P3566" t="str">
        <f t="shared" si="55"/>
        <v>N</v>
      </c>
      <c r="Q3566" t="s">
        <v>9296</v>
      </c>
    </row>
    <row r="3567" spans="1:17" x14ac:dyDescent="0.25">
      <c r="A3567" t="s">
        <v>2757</v>
      </c>
      <c r="B3567" t="s">
        <v>2444</v>
      </c>
      <c r="C3567">
        <v>2027</v>
      </c>
      <c r="D3567" t="s">
        <v>642</v>
      </c>
      <c r="E3567" t="s">
        <v>843</v>
      </c>
      <c r="F3567" s="32">
        <v>46479</v>
      </c>
      <c r="G3567" t="s">
        <v>514</v>
      </c>
      <c r="H3567">
        <v>47128179</v>
      </c>
      <c r="I3567" t="s">
        <v>2477</v>
      </c>
      <c r="J3567" t="s">
        <v>2478</v>
      </c>
      <c r="K3567" t="s">
        <v>530</v>
      </c>
      <c r="N3567">
        <v>0</v>
      </c>
      <c r="O3567">
        <v>0</v>
      </c>
      <c r="P3567" t="str">
        <f t="shared" si="55"/>
        <v>N</v>
      </c>
      <c r="Q3567" t="s">
        <v>9297</v>
      </c>
    </row>
    <row r="3568" spans="1:17" x14ac:dyDescent="0.25">
      <c r="A3568" t="s">
        <v>2758</v>
      </c>
      <c r="B3568" t="s">
        <v>2444</v>
      </c>
      <c r="C3568">
        <v>2027</v>
      </c>
      <c r="D3568" t="s">
        <v>642</v>
      </c>
      <c r="E3568" t="s">
        <v>843</v>
      </c>
      <c r="F3568" s="32">
        <v>46479</v>
      </c>
      <c r="G3568" t="s">
        <v>514</v>
      </c>
      <c r="H3568">
        <v>47128655</v>
      </c>
      <c r="I3568" t="s">
        <v>2474</v>
      </c>
      <c r="J3568" t="s">
        <v>2475</v>
      </c>
      <c r="K3568" t="s">
        <v>530</v>
      </c>
      <c r="N3568">
        <v>0</v>
      </c>
      <c r="O3568">
        <v>0</v>
      </c>
      <c r="P3568" t="str">
        <f t="shared" si="55"/>
        <v>N</v>
      </c>
      <c r="Q3568" t="s">
        <v>9298</v>
      </c>
    </row>
    <row r="3569" spans="1:17" x14ac:dyDescent="0.25">
      <c r="A3569" t="s">
        <v>2759</v>
      </c>
      <c r="B3569" t="s">
        <v>2444</v>
      </c>
      <c r="C3569">
        <v>2027</v>
      </c>
      <c r="D3569" t="s">
        <v>642</v>
      </c>
      <c r="E3569" t="s">
        <v>843</v>
      </c>
      <c r="F3569" s="32">
        <v>46479</v>
      </c>
      <c r="G3569" t="s">
        <v>514</v>
      </c>
      <c r="H3569">
        <v>47129222</v>
      </c>
      <c r="I3569" t="s">
        <v>2459</v>
      </c>
      <c r="J3569" t="s">
        <v>2460</v>
      </c>
      <c r="K3569" t="s">
        <v>530</v>
      </c>
      <c r="N3569">
        <v>0</v>
      </c>
      <c r="O3569">
        <v>0</v>
      </c>
      <c r="P3569" t="str">
        <f t="shared" si="55"/>
        <v>N</v>
      </c>
      <c r="Q3569" t="s">
        <v>9299</v>
      </c>
    </row>
    <row r="3570" spans="1:17" x14ac:dyDescent="0.25">
      <c r="A3570" t="s">
        <v>2760</v>
      </c>
      <c r="B3570" t="s">
        <v>2444</v>
      </c>
      <c r="C3570">
        <v>2027</v>
      </c>
      <c r="D3570" t="s">
        <v>642</v>
      </c>
      <c r="E3570" t="s">
        <v>843</v>
      </c>
      <c r="F3570" s="32">
        <v>46479</v>
      </c>
      <c r="G3570" t="s">
        <v>514</v>
      </c>
      <c r="H3570">
        <v>47132096</v>
      </c>
      <c r="I3570" t="s">
        <v>2468</v>
      </c>
      <c r="J3570" t="s">
        <v>2469</v>
      </c>
      <c r="K3570" t="s">
        <v>530</v>
      </c>
      <c r="N3570">
        <v>0</v>
      </c>
      <c r="O3570">
        <v>0</v>
      </c>
      <c r="P3570" t="str">
        <f t="shared" si="55"/>
        <v>N</v>
      </c>
      <c r="Q3570" t="s">
        <v>9300</v>
      </c>
    </row>
    <row r="3571" spans="1:17" x14ac:dyDescent="0.25">
      <c r="A3571" t="s">
        <v>2761</v>
      </c>
      <c r="B3571" t="s">
        <v>2444</v>
      </c>
      <c r="C3571">
        <v>2027</v>
      </c>
      <c r="D3571" t="s">
        <v>642</v>
      </c>
      <c r="E3571" t="s">
        <v>843</v>
      </c>
      <c r="F3571" s="32">
        <v>46479</v>
      </c>
      <c r="G3571" t="s">
        <v>514</v>
      </c>
      <c r="H3571">
        <v>47128561</v>
      </c>
      <c r="I3571" t="s">
        <v>2462</v>
      </c>
      <c r="J3571" t="s">
        <v>2463</v>
      </c>
      <c r="K3571" t="s">
        <v>530</v>
      </c>
      <c r="N3571">
        <v>0</v>
      </c>
      <c r="O3571">
        <v>0</v>
      </c>
      <c r="P3571" t="str">
        <f t="shared" si="55"/>
        <v>N</v>
      </c>
      <c r="Q3571" t="s">
        <v>9301</v>
      </c>
    </row>
    <row r="3572" spans="1:17" x14ac:dyDescent="0.25">
      <c r="A3572" t="s">
        <v>2762</v>
      </c>
      <c r="B3572" t="s">
        <v>2444</v>
      </c>
      <c r="C3572">
        <v>2027</v>
      </c>
      <c r="D3572" t="s">
        <v>642</v>
      </c>
      <c r="E3572" t="s">
        <v>843</v>
      </c>
      <c r="F3572" s="32">
        <v>46479</v>
      </c>
      <c r="G3572" t="s">
        <v>514</v>
      </c>
      <c r="H3572">
        <v>47129274</v>
      </c>
      <c r="I3572" t="s">
        <v>2486</v>
      </c>
      <c r="J3572" t="s">
        <v>2487</v>
      </c>
      <c r="K3572" t="s">
        <v>530</v>
      </c>
      <c r="N3572">
        <v>0</v>
      </c>
      <c r="O3572">
        <v>0</v>
      </c>
      <c r="P3572" t="str">
        <f t="shared" si="55"/>
        <v>N</v>
      </c>
      <c r="Q3572" t="s">
        <v>9302</v>
      </c>
    </row>
    <row r="3573" spans="1:17" x14ac:dyDescent="0.25">
      <c r="A3573" t="s">
        <v>2763</v>
      </c>
      <c r="B3573" t="s">
        <v>2444</v>
      </c>
      <c r="C3573">
        <v>2027</v>
      </c>
      <c r="D3573" t="s">
        <v>642</v>
      </c>
      <c r="E3573" t="s">
        <v>843</v>
      </c>
      <c r="F3573" s="32">
        <v>46479</v>
      </c>
      <c r="G3573" t="s">
        <v>514</v>
      </c>
      <c r="H3573">
        <v>47129262</v>
      </c>
      <c r="I3573" t="s">
        <v>2453</v>
      </c>
      <c r="J3573" t="s">
        <v>2454</v>
      </c>
      <c r="K3573" t="s">
        <v>530</v>
      </c>
      <c r="N3573">
        <v>60</v>
      </c>
      <c r="O3573">
        <v>60</v>
      </c>
      <c r="P3573" t="str">
        <f t="shared" si="55"/>
        <v>N</v>
      </c>
      <c r="Q3573" t="s">
        <v>9303</v>
      </c>
    </row>
    <row r="3574" spans="1:17" x14ac:dyDescent="0.25">
      <c r="A3574" t="s">
        <v>2764</v>
      </c>
      <c r="B3574" t="s">
        <v>2444</v>
      </c>
      <c r="C3574">
        <v>2027</v>
      </c>
      <c r="D3574" t="s">
        <v>642</v>
      </c>
      <c r="E3574" t="s">
        <v>843</v>
      </c>
      <c r="F3574" s="32">
        <v>46479</v>
      </c>
      <c r="G3574" t="s">
        <v>514</v>
      </c>
      <c r="H3574">
        <v>47129558</v>
      </c>
      <c r="I3574" t="s">
        <v>2480</v>
      </c>
      <c r="J3574" t="s">
        <v>2481</v>
      </c>
      <c r="K3574" t="s">
        <v>530</v>
      </c>
      <c r="N3574">
        <v>0</v>
      </c>
      <c r="O3574">
        <v>0</v>
      </c>
      <c r="P3574" t="str">
        <f t="shared" si="55"/>
        <v>N</v>
      </c>
      <c r="Q3574" t="s">
        <v>9304</v>
      </c>
    </row>
    <row r="3575" spans="1:17" x14ac:dyDescent="0.25">
      <c r="A3575" t="s">
        <v>2765</v>
      </c>
      <c r="B3575" t="s">
        <v>2444</v>
      </c>
      <c r="C3575">
        <v>2027</v>
      </c>
      <c r="D3575" t="s">
        <v>642</v>
      </c>
      <c r="E3575" t="s">
        <v>843</v>
      </c>
      <c r="F3575" s="32">
        <v>46479</v>
      </c>
      <c r="G3575" t="s">
        <v>514</v>
      </c>
      <c r="H3575">
        <v>47129727</v>
      </c>
      <c r="I3575" t="s">
        <v>2465</v>
      </c>
      <c r="J3575" t="s">
        <v>2466</v>
      </c>
      <c r="K3575" t="s">
        <v>530</v>
      </c>
      <c r="N3575">
        <v>0</v>
      </c>
      <c r="O3575">
        <v>0</v>
      </c>
      <c r="P3575" t="str">
        <f t="shared" si="55"/>
        <v>N</v>
      </c>
      <c r="Q3575" t="s">
        <v>9305</v>
      </c>
    </row>
    <row r="3576" spans="1:17" x14ac:dyDescent="0.25">
      <c r="A3576" t="s">
        <v>2766</v>
      </c>
      <c r="B3576" t="s">
        <v>2444</v>
      </c>
      <c r="C3576">
        <v>2027</v>
      </c>
      <c r="D3576" t="s">
        <v>642</v>
      </c>
      <c r="E3576" t="s">
        <v>843</v>
      </c>
      <c r="F3576" s="32">
        <v>46479</v>
      </c>
      <c r="G3576" t="s">
        <v>514</v>
      </c>
      <c r="H3576">
        <v>47129273</v>
      </c>
      <c r="I3576" t="s">
        <v>2483</v>
      </c>
      <c r="J3576" t="s">
        <v>2484</v>
      </c>
      <c r="K3576" t="s">
        <v>530</v>
      </c>
      <c r="N3576">
        <v>0</v>
      </c>
      <c r="O3576">
        <v>0</v>
      </c>
      <c r="P3576" t="str">
        <f t="shared" si="55"/>
        <v>N</v>
      </c>
      <c r="Q3576" t="s">
        <v>9306</v>
      </c>
    </row>
    <row r="3577" spans="1:17" x14ac:dyDescent="0.25">
      <c r="A3577" t="s">
        <v>2767</v>
      </c>
      <c r="B3577" t="s">
        <v>2444</v>
      </c>
      <c r="C3577">
        <v>2027</v>
      </c>
      <c r="D3577" t="s">
        <v>642</v>
      </c>
      <c r="E3577" t="s">
        <v>843</v>
      </c>
      <c r="F3577" s="32">
        <v>46479</v>
      </c>
      <c r="G3577" t="s">
        <v>514</v>
      </c>
      <c r="H3577">
        <v>47128247</v>
      </c>
      <c r="I3577" t="s">
        <v>2492</v>
      </c>
      <c r="J3577" t="s">
        <v>2493</v>
      </c>
      <c r="K3577" t="s">
        <v>530</v>
      </c>
      <c r="N3577">
        <v>0</v>
      </c>
      <c r="O3577">
        <v>0</v>
      </c>
      <c r="P3577" t="str">
        <f t="shared" si="55"/>
        <v>N</v>
      </c>
      <c r="Q3577" t="s">
        <v>9307</v>
      </c>
    </row>
    <row r="3578" spans="1:17" x14ac:dyDescent="0.25">
      <c r="A3578" t="s">
        <v>2768</v>
      </c>
      <c r="B3578" t="s">
        <v>2444</v>
      </c>
      <c r="C3578">
        <v>2027</v>
      </c>
      <c r="D3578" t="s">
        <v>642</v>
      </c>
      <c r="E3578" t="s">
        <v>843</v>
      </c>
      <c r="F3578" s="32">
        <v>46479</v>
      </c>
      <c r="G3578" t="s">
        <v>514</v>
      </c>
      <c r="H3578">
        <v>47128587</v>
      </c>
      <c r="I3578" t="s">
        <v>2489</v>
      </c>
      <c r="J3578" t="s">
        <v>2490</v>
      </c>
      <c r="K3578" t="s">
        <v>530</v>
      </c>
      <c r="N3578">
        <v>0</v>
      </c>
      <c r="O3578">
        <v>0</v>
      </c>
      <c r="P3578" t="str">
        <f t="shared" si="55"/>
        <v>N</v>
      </c>
      <c r="Q3578" t="s">
        <v>9308</v>
      </c>
    </row>
    <row r="3579" spans="1:17" x14ac:dyDescent="0.25">
      <c r="A3579" t="s">
        <v>2769</v>
      </c>
      <c r="B3579" t="s">
        <v>2444</v>
      </c>
      <c r="C3579">
        <v>2027</v>
      </c>
      <c r="D3579" t="s">
        <v>642</v>
      </c>
      <c r="E3579" t="s">
        <v>843</v>
      </c>
      <c r="F3579" s="32">
        <v>46479</v>
      </c>
      <c r="G3579" t="s">
        <v>514</v>
      </c>
      <c r="H3579">
        <v>47128781</v>
      </c>
      <c r="I3579" t="s">
        <v>1251</v>
      </c>
      <c r="J3579" t="s">
        <v>1250</v>
      </c>
      <c r="K3579" t="s">
        <v>530</v>
      </c>
      <c r="N3579">
        <v>0</v>
      </c>
      <c r="O3579">
        <v>0</v>
      </c>
      <c r="P3579" t="str">
        <f t="shared" si="55"/>
        <v>N</v>
      </c>
      <c r="Q3579" t="s">
        <v>9309</v>
      </c>
    </row>
    <row r="3580" spans="1:17" x14ac:dyDescent="0.25">
      <c r="A3580" t="s">
        <v>3059</v>
      </c>
      <c r="B3580" t="s">
        <v>2783</v>
      </c>
      <c r="C3580">
        <v>2027</v>
      </c>
      <c r="D3580" t="s">
        <v>642</v>
      </c>
      <c r="E3580" t="s">
        <v>843</v>
      </c>
      <c r="F3580" s="32">
        <v>46479</v>
      </c>
      <c r="G3580" t="s">
        <v>514</v>
      </c>
      <c r="H3580">
        <v>47128006</v>
      </c>
      <c r="I3580" t="s">
        <v>2447</v>
      </c>
      <c r="J3580" t="s">
        <v>2448</v>
      </c>
      <c r="K3580" t="s">
        <v>530</v>
      </c>
      <c r="N3580">
        <v>0</v>
      </c>
      <c r="O3580">
        <v>0</v>
      </c>
      <c r="P3580" t="str">
        <f t="shared" si="55"/>
        <v>N</v>
      </c>
      <c r="Q3580" t="s">
        <v>9310</v>
      </c>
    </row>
    <row r="3581" spans="1:17" x14ac:dyDescent="0.25">
      <c r="A3581" t="s">
        <v>3060</v>
      </c>
      <c r="B3581" t="s">
        <v>2783</v>
      </c>
      <c r="C3581">
        <v>2027</v>
      </c>
      <c r="D3581" t="s">
        <v>642</v>
      </c>
      <c r="E3581" t="s">
        <v>843</v>
      </c>
      <c r="F3581" s="32">
        <v>46479</v>
      </c>
      <c r="G3581" t="s">
        <v>514</v>
      </c>
      <c r="H3581">
        <v>47128300</v>
      </c>
      <c r="I3581" t="s">
        <v>2471</v>
      </c>
      <c r="J3581" t="s">
        <v>2472</v>
      </c>
      <c r="K3581" t="s">
        <v>530</v>
      </c>
      <c r="N3581">
        <v>0</v>
      </c>
      <c r="O3581">
        <v>0</v>
      </c>
      <c r="P3581" t="str">
        <f t="shared" si="55"/>
        <v>N</v>
      </c>
      <c r="Q3581" t="s">
        <v>9311</v>
      </c>
    </row>
    <row r="3582" spans="1:17" x14ac:dyDescent="0.25">
      <c r="A3582" t="s">
        <v>3061</v>
      </c>
      <c r="B3582" t="s">
        <v>2783</v>
      </c>
      <c r="C3582">
        <v>2027</v>
      </c>
      <c r="D3582" t="s">
        <v>642</v>
      </c>
      <c r="E3582" t="s">
        <v>843</v>
      </c>
      <c r="F3582" s="32">
        <v>46479</v>
      </c>
      <c r="G3582" t="s">
        <v>514</v>
      </c>
      <c r="H3582">
        <v>47128213</v>
      </c>
      <c r="I3582" t="s">
        <v>2456</v>
      </c>
      <c r="J3582" t="s">
        <v>2457</v>
      </c>
      <c r="K3582" t="s">
        <v>530</v>
      </c>
      <c r="N3582">
        <v>0</v>
      </c>
      <c r="O3582">
        <v>0</v>
      </c>
      <c r="P3582" t="str">
        <f t="shared" si="55"/>
        <v>N</v>
      </c>
      <c r="Q3582" t="s">
        <v>9312</v>
      </c>
    </row>
    <row r="3583" spans="1:17" x14ac:dyDescent="0.25">
      <c r="A3583" t="s">
        <v>3062</v>
      </c>
      <c r="B3583" t="s">
        <v>2783</v>
      </c>
      <c r="C3583">
        <v>2027</v>
      </c>
      <c r="D3583" t="s">
        <v>642</v>
      </c>
      <c r="E3583" t="s">
        <v>843</v>
      </c>
      <c r="F3583" s="32">
        <v>46479</v>
      </c>
      <c r="G3583" t="s">
        <v>514</v>
      </c>
      <c r="H3583">
        <v>47128667</v>
      </c>
      <c r="I3583" t="s">
        <v>2450</v>
      </c>
      <c r="J3583" t="s">
        <v>2451</v>
      </c>
      <c r="K3583" t="s">
        <v>530</v>
      </c>
      <c r="N3583">
        <v>0</v>
      </c>
      <c r="O3583">
        <v>0</v>
      </c>
      <c r="P3583" t="str">
        <f t="shared" si="55"/>
        <v>N</v>
      </c>
      <c r="Q3583" t="s">
        <v>9313</v>
      </c>
    </row>
    <row r="3584" spans="1:17" x14ac:dyDescent="0.25">
      <c r="A3584" t="s">
        <v>3063</v>
      </c>
      <c r="B3584" t="s">
        <v>2783</v>
      </c>
      <c r="C3584">
        <v>2027</v>
      </c>
      <c r="D3584" t="s">
        <v>642</v>
      </c>
      <c r="E3584" t="s">
        <v>843</v>
      </c>
      <c r="F3584" s="32">
        <v>46479</v>
      </c>
      <c r="G3584" t="s">
        <v>514</v>
      </c>
      <c r="H3584">
        <v>47128179</v>
      </c>
      <c r="I3584" t="s">
        <v>2477</v>
      </c>
      <c r="J3584" t="s">
        <v>2478</v>
      </c>
      <c r="K3584" t="s">
        <v>530</v>
      </c>
      <c r="N3584">
        <v>0</v>
      </c>
      <c r="O3584">
        <v>0</v>
      </c>
      <c r="P3584" t="str">
        <f t="shared" si="55"/>
        <v>N</v>
      </c>
      <c r="Q3584" t="s">
        <v>9314</v>
      </c>
    </row>
    <row r="3585" spans="1:17" x14ac:dyDescent="0.25">
      <c r="A3585" t="s">
        <v>3064</v>
      </c>
      <c r="B3585" t="s">
        <v>2783</v>
      </c>
      <c r="C3585">
        <v>2027</v>
      </c>
      <c r="D3585" t="s">
        <v>642</v>
      </c>
      <c r="E3585" t="s">
        <v>843</v>
      </c>
      <c r="F3585" s="32">
        <v>46479</v>
      </c>
      <c r="G3585" t="s">
        <v>514</v>
      </c>
      <c r="H3585">
        <v>47128655</v>
      </c>
      <c r="I3585" t="s">
        <v>2474</v>
      </c>
      <c r="J3585" t="s">
        <v>2475</v>
      </c>
      <c r="K3585" t="s">
        <v>530</v>
      </c>
      <c r="N3585">
        <v>0</v>
      </c>
      <c r="O3585">
        <v>0</v>
      </c>
      <c r="P3585" t="str">
        <f t="shared" si="55"/>
        <v>N</v>
      </c>
      <c r="Q3585" t="s">
        <v>9315</v>
      </c>
    </row>
    <row r="3586" spans="1:17" x14ac:dyDescent="0.25">
      <c r="A3586" t="s">
        <v>3065</v>
      </c>
      <c r="B3586" t="s">
        <v>2783</v>
      </c>
      <c r="C3586">
        <v>2027</v>
      </c>
      <c r="D3586" t="s">
        <v>642</v>
      </c>
      <c r="E3586" t="s">
        <v>843</v>
      </c>
      <c r="F3586" s="32">
        <v>46479</v>
      </c>
      <c r="G3586" t="s">
        <v>514</v>
      </c>
      <c r="H3586">
        <v>47132096</v>
      </c>
      <c r="I3586" t="s">
        <v>2468</v>
      </c>
      <c r="J3586" t="s">
        <v>2469</v>
      </c>
      <c r="K3586" t="s">
        <v>530</v>
      </c>
      <c r="N3586">
        <v>0</v>
      </c>
      <c r="O3586">
        <v>0</v>
      </c>
      <c r="P3586" t="str">
        <f t="shared" si="55"/>
        <v>N</v>
      </c>
      <c r="Q3586" t="s">
        <v>9316</v>
      </c>
    </row>
    <row r="3587" spans="1:17" x14ac:dyDescent="0.25">
      <c r="A3587" t="s">
        <v>3066</v>
      </c>
      <c r="B3587" t="s">
        <v>2783</v>
      </c>
      <c r="C3587">
        <v>2027</v>
      </c>
      <c r="D3587" t="s">
        <v>642</v>
      </c>
      <c r="E3587" t="s">
        <v>843</v>
      </c>
      <c r="F3587" s="32">
        <v>46479</v>
      </c>
      <c r="G3587" t="s">
        <v>514</v>
      </c>
      <c r="H3587">
        <v>47129222</v>
      </c>
      <c r="I3587" t="s">
        <v>2459</v>
      </c>
      <c r="J3587" t="s">
        <v>2460</v>
      </c>
      <c r="K3587" t="s">
        <v>530</v>
      </c>
      <c r="N3587">
        <v>0</v>
      </c>
      <c r="O3587">
        <v>0</v>
      </c>
      <c r="P3587" t="str">
        <f t="shared" ref="P3587:P3650" si="56">IF(N3587=O3587,"N","Y")</f>
        <v>N</v>
      </c>
      <c r="Q3587" t="s">
        <v>9317</v>
      </c>
    </row>
    <row r="3588" spans="1:17" x14ac:dyDescent="0.25">
      <c r="A3588" t="s">
        <v>3067</v>
      </c>
      <c r="B3588" t="s">
        <v>2783</v>
      </c>
      <c r="C3588">
        <v>2027</v>
      </c>
      <c r="D3588" t="s">
        <v>642</v>
      </c>
      <c r="E3588" t="s">
        <v>843</v>
      </c>
      <c r="F3588" s="32">
        <v>46479</v>
      </c>
      <c r="G3588" t="s">
        <v>514</v>
      </c>
      <c r="H3588">
        <v>47128561</v>
      </c>
      <c r="I3588" t="s">
        <v>2462</v>
      </c>
      <c r="J3588" t="s">
        <v>2463</v>
      </c>
      <c r="K3588" t="s">
        <v>530</v>
      </c>
      <c r="N3588">
        <v>0</v>
      </c>
      <c r="O3588">
        <v>0</v>
      </c>
      <c r="P3588" t="str">
        <f t="shared" si="56"/>
        <v>N</v>
      </c>
      <c r="Q3588" t="s">
        <v>9318</v>
      </c>
    </row>
    <row r="3589" spans="1:17" x14ac:dyDescent="0.25">
      <c r="A3589" t="s">
        <v>3068</v>
      </c>
      <c r="B3589" t="s">
        <v>2783</v>
      </c>
      <c r="C3589">
        <v>2027</v>
      </c>
      <c r="D3589" t="s">
        <v>642</v>
      </c>
      <c r="E3589" t="s">
        <v>843</v>
      </c>
      <c r="F3589" s="32">
        <v>46479</v>
      </c>
      <c r="G3589" t="s">
        <v>514</v>
      </c>
      <c r="H3589">
        <v>47129274</v>
      </c>
      <c r="I3589" t="s">
        <v>2486</v>
      </c>
      <c r="J3589" t="s">
        <v>2487</v>
      </c>
      <c r="K3589" t="s">
        <v>530</v>
      </c>
      <c r="N3589">
        <v>0</v>
      </c>
      <c r="O3589">
        <v>0</v>
      </c>
      <c r="P3589" t="str">
        <f t="shared" si="56"/>
        <v>N</v>
      </c>
      <c r="Q3589" t="s">
        <v>9319</v>
      </c>
    </row>
    <row r="3590" spans="1:17" x14ac:dyDescent="0.25">
      <c r="A3590" t="s">
        <v>3069</v>
      </c>
      <c r="B3590" t="s">
        <v>2783</v>
      </c>
      <c r="C3590">
        <v>2027</v>
      </c>
      <c r="D3590" t="s">
        <v>642</v>
      </c>
      <c r="E3590" t="s">
        <v>843</v>
      </c>
      <c r="F3590" s="32">
        <v>46479</v>
      </c>
      <c r="G3590" t="s">
        <v>514</v>
      </c>
      <c r="H3590">
        <v>47129262</v>
      </c>
      <c r="I3590" t="s">
        <v>2453</v>
      </c>
      <c r="J3590" t="s">
        <v>2454</v>
      </c>
      <c r="K3590" t="s">
        <v>530</v>
      </c>
      <c r="N3590">
        <v>60</v>
      </c>
      <c r="O3590">
        <v>60</v>
      </c>
      <c r="P3590" t="str">
        <f t="shared" si="56"/>
        <v>N</v>
      </c>
      <c r="Q3590" t="s">
        <v>9320</v>
      </c>
    </row>
    <row r="3591" spans="1:17" x14ac:dyDescent="0.25">
      <c r="A3591" t="s">
        <v>3070</v>
      </c>
      <c r="B3591" t="s">
        <v>2783</v>
      </c>
      <c r="C3591">
        <v>2027</v>
      </c>
      <c r="D3591" t="s">
        <v>642</v>
      </c>
      <c r="E3591" t="s">
        <v>843</v>
      </c>
      <c r="F3591" s="32">
        <v>46479</v>
      </c>
      <c r="G3591" t="s">
        <v>514</v>
      </c>
      <c r="H3591">
        <v>47129558</v>
      </c>
      <c r="I3591" t="s">
        <v>2480</v>
      </c>
      <c r="J3591" t="s">
        <v>2481</v>
      </c>
      <c r="K3591" t="s">
        <v>530</v>
      </c>
      <c r="N3591">
        <v>0</v>
      </c>
      <c r="O3591">
        <v>0</v>
      </c>
      <c r="P3591" t="str">
        <f t="shared" si="56"/>
        <v>N</v>
      </c>
      <c r="Q3591" t="s">
        <v>9321</v>
      </c>
    </row>
    <row r="3592" spans="1:17" x14ac:dyDescent="0.25">
      <c r="A3592" t="s">
        <v>3071</v>
      </c>
      <c r="B3592" t="s">
        <v>2783</v>
      </c>
      <c r="C3592">
        <v>2027</v>
      </c>
      <c r="D3592" t="s">
        <v>642</v>
      </c>
      <c r="E3592" t="s">
        <v>843</v>
      </c>
      <c r="F3592" s="32">
        <v>46479</v>
      </c>
      <c r="G3592" t="s">
        <v>514</v>
      </c>
      <c r="H3592">
        <v>47129727</v>
      </c>
      <c r="I3592" t="s">
        <v>2465</v>
      </c>
      <c r="J3592" t="s">
        <v>2466</v>
      </c>
      <c r="K3592" t="s">
        <v>530</v>
      </c>
      <c r="N3592">
        <v>0</v>
      </c>
      <c r="O3592">
        <v>0</v>
      </c>
      <c r="P3592" t="str">
        <f t="shared" si="56"/>
        <v>N</v>
      </c>
      <c r="Q3592" t="s">
        <v>9322</v>
      </c>
    </row>
    <row r="3593" spans="1:17" x14ac:dyDescent="0.25">
      <c r="A3593" t="s">
        <v>3072</v>
      </c>
      <c r="B3593" t="s">
        <v>2783</v>
      </c>
      <c r="C3593">
        <v>2027</v>
      </c>
      <c r="D3593" t="s">
        <v>642</v>
      </c>
      <c r="E3593" t="s">
        <v>843</v>
      </c>
      <c r="F3593" s="32">
        <v>46479</v>
      </c>
      <c r="G3593" t="s">
        <v>514</v>
      </c>
      <c r="H3593">
        <v>47129273</v>
      </c>
      <c r="I3593" t="s">
        <v>2483</v>
      </c>
      <c r="J3593" t="s">
        <v>2484</v>
      </c>
      <c r="K3593" t="s">
        <v>530</v>
      </c>
      <c r="N3593">
        <v>0</v>
      </c>
      <c r="O3593">
        <v>0</v>
      </c>
      <c r="P3593" t="str">
        <f t="shared" si="56"/>
        <v>N</v>
      </c>
      <c r="Q3593" t="s">
        <v>9323</v>
      </c>
    </row>
    <row r="3594" spans="1:17" x14ac:dyDescent="0.25">
      <c r="A3594" t="s">
        <v>3073</v>
      </c>
      <c r="B3594" t="s">
        <v>2783</v>
      </c>
      <c r="C3594">
        <v>2027</v>
      </c>
      <c r="D3594" t="s">
        <v>642</v>
      </c>
      <c r="E3594" t="s">
        <v>843</v>
      </c>
      <c r="F3594" s="32">
        <v>46479</v>
      </c>
      <c r="G3594" t="s">
        <v>514</v>
      </c>
      <c r="H3594">
        <v>47128247</v>
      </c>
      <c r="I3594" t="s">
        <v>2492</v>
      </c>
      <c r="J3594" t="s">
        <v>2493</v>
      </c>
      <c r="K3594" t="s">
        <v>530</v>
      </c>
      <c r="N3594">
        <v>0</v>
      </c>
      <c r="O3594">
        <v>0</v>
      </c>
      <c r="P3594" t="str">
        <f t="shared" si="56"/>
        <v>N</v>
      </c>
      <c r="Q3594" t="s">
        <v>9324</v>
      </c>
    </row>
    <row r="3595" spans="1:17" x14ac:dyDescent="0.25">
      <c r="A3595" t="s">
        <v>3074</v>
      </c>
      <c r="B3595" t="s">
        <v>2783</v>
      </c>
      <c r="C3595">
        <v>2027</v>
      </c>
      <c r="D3595" t="s">
        <v>642</v>
      </c>
      <c r="E3595" t="s">
        <v>843</v>
      </c>
      <c r="F3595" s="32">
        <v>46479</v>
      </c>
      <c r="G3595" t="s">
        <v>514</v>
      </c>
      <c r="H3595">
        <v>47128587</v>
      </c>
      <c r="I3595" t="s">
        <v>2489</v>
      </c>
      <c r="J3595" t="s">
        <v>2490</v>
      </c>
      <c r="K3595" t="s">
        <v>530</v>
      </c>
      <c r="N3595">
        <v>0</v>
      </c>
      <c r="O3595">
        <v>0</v>
      </c>
      <c r="P3595" t="str">
        <f t="shared" si="56"/>
        <v>N</v>
      </c>
      <c r="Q3595" t="s">
        <v>9325</v>
      </c>
    </row>
    <row r="3596" spans="1:17" x14ac:dyDescent="0.25">
      <c r="A3596" t="s">
        <v>3075</v>
      </c>
      <c r="B3596" t="s">
        <v>2783</v>
      </c>
      <c r="C3596">
        <v>2027</v>
      </c>
      <c r="D3596" t="s">
        <v>642</v>
      </c>
      <c r="E3596" t="s">
        <v>843</v>
      </c>
      <c r="F3596" s="32">
        <v>46479</v>
      </c>
      <c r="G3596" t="s">
        <v>514</v>
      </c>
      <c r="H3596">
        <v>47128781</v>
      </c>
      <c r="I3596" t="s">
        <v>1251</v>
      </c>
      <c r="J3596" t="s">
        <v>1250</v>
      </c>
      <c r="K3596" t="s">
        <v>530</v>
      </c>
      <c r="N3596">
        <v>0</v>
      </c>
      <c r="O3596">
        <v>0</v>
      </c>
      <c r="P3596" t="str">
        <f t="shared" si="56"/>
        <v>N</v>
      </c>
      <c r="Q3596" t="s">
        <v>9326</v>
      </c>
    </row>
    <row r="3597" spans="1:17" x14ac:dyDescent="0.25">
      <c r="A3597" t="s">
        <v>3635</v>
      </c>
      <c r="B3597" t="s">
        <v>1080</v>
      </c>
      <c r="C3597">
        <v>2027</v>
      </c>
      <c r="D3597" t="s">
        <v>642</v>
      </c>
      <c r="E3597" t="s">
        <v>843</v>
      </c>
      <c r="F3597" s="32">
        <v>46479</v>
      </c>
      <c r="G3597" t="s">
        <v>514</v>
      </c>
      <c r="H3597">
        <v>47128168</v>
      </c>
      <c r="I3597" t="s">
        <v>1100</v>
      </c>
      <c r="J3597" t="s">
        <v>1099</v>
      </c>
      <c r="K3597" t="s">
        <v>530</v>
      </c>
      <c r="N3597">
        <v>0</v>
      </c>
      <c r="O3597">
        <v>0</v>
      </c>
      <c r="P3597" t="str">
        <f t="shared" si="56"/>
        <v>N</v>
      </c>
      <c r="Q3597" t="s">
        <v>9327</v>
      </c>
    </row>
    <row r="3598" spans="1:17" x14ac:dyDescent="0.25">
      <c r="A3598" t="s">
        <v>3636</v>
      </c>
      <c r="B3598" t="s">
        <v>1080</v>
      </c>
      <c r="C3598">
        <v>2027</v>
      </c>
      <c r="D3598" t="s">
        <v>642</v>
      </c>
      <c r="E3598" t="s">
        <v>843</v>
      </c>
      <c r="F3598" s="32">
        <v>46479</v>
      </c>
      <c r="G3598" t="s">
        <v>514</v>
      </c>
      <c r="H3598">
        <v>47128906</v>
      </c>
      <c r="I3598" t="s">
        <v>1349</v>
      </c>
      <c r="J3598" t="s">
        <v>1348</v>
      </c>
      <c r="K3598" t="s">
        <v>530</v>
      </c>
      <c r="N3598">
        <v>0</v>
      </c>
      <c r="O3598">
        <v>0</v>
      </c>
      <c r="P3598" t="str">
        <f t="shared" si="56"/>
        <v>N</v>
      </c>
      <c r="Q3598" t="s">
        <v>9328</v>
      </c>
    </row>
    <row r="3599" spans="1:17" x14ac:dyDescent="0.25">
      <c r="A3599" t="s">
        <v>3637</v>
      </c>
      <c r="B3599" t="s">
        <v>1080</v>
      </c>
      <c r="C3599">
        <v>2027</v>
      </c>
      <c r="D3599" t="s">
        <v>642</v>
      </c>
      <c r="E3599" t="s">
        <v>843</v>
      </c>
      <c r="F3599" s="32">
        <v>46479</v>
      </c>
      <c r="G3599" t="s">
        <v>514</v>
      </c>
      <c r="H3599">
        <v>47128783</v>
      </c>
      <c r="I3599" t="s">
        <v>1280</v>
      </c>
      <c r="J3599" t="s">
        <v>1279</v>
      </c>
      <c r="K3599" t="s">
        <v>530</v>
      </c>
      <c r="N3599">
        <v>0</v>
      </c>
      <c r="O3599">
        <v>0</v>
      </c>
      <c r="P3599" t="str">
        <f t="shared" si="56"/>
        <v>N</v>
      </c>
      <c r="Q3599" t="s">
        <v>9329</v>
      </c>
    </row>
    <row r="3600" spans="1:17" x14ac:dyDescent="0.25">
      <c r="A3600" t="s">
        <v>3638</v>
      </c>
      <c r="B3600" t="s">
        <v>1080</v>
      </c>
      <c r="C3600">
        <v>2027</v>
      </c>
      <c r="D3600" t="s">
        <v>642</v>
      </c>
      <c r="E3600" t="s">
        <v>843</v>
      </c>
      <c r="F3600" s="32">
        <v>46479</v>
      </c>
      <c r="G3600" t="s">
        <v>514</v>
      </c>
      <c r="H3600">
        <v>47128944</v>
      </c>
      <c r="I3600" t="s">
        <v>1137</v>
      </c>
      <c r="J3600" t="s">
        <v>1136</v>
      </c>
      <c r="K3600" t="s">
        <v>530</v>
      </c>
      <c r="N3600">
        <v>0</v>
      </c>
      <c r="O3600">
        <v>0</v>
      </c>
      <c r="P3600" t="str">
        <f t="shared" si="56"/>
        <v>N</v>
      </c>
      <c r="Q3600" t="s">
        <v>9330</v>
      </c>
    </row>
    <row r="3601" spans="1:17" x14ac:dyDescent="0.25">
      <c r="A3601" t="s">
        <v>3639</v>
      </c>
      <c r="B3601" t="s">
        <v>1080</v>
      </c>
      <c r="C3601">
        <v>2027</v>
      </c>
      <c r="D3601" t="s">
        <v>642</v>
      </c>
      <c r="E3601" t="s">
        <v>843</v>
      </c>
      <c r="F3601" s="32">
        <v>46479</v>
      </c>
      <c r="G3601" t="s">
        <v>514</v>
      </c>
      <c r="H3601">
        <v>47128729</v>
      </c>
      <c r="I3601" t="s">
        <v>1149</v>
      </c>
      <c r="J3601" t="s">
        <v>1148</v>
      </c>
      <c r="K3601" t="s">
        <v>530</v>
      </c>
      <c r="N3601">
        <v>0</v>
      </c>
      <c r="O3601">
        <v>0</v>
      </c>
      <c r="P3601" t="str">
        <f t="shared" si="56"/>
        <v>N</v>
      </c>
      <c r="Q3601" t="s">
        <v>9331</v>
      </c>
    </row>
    <row r="3602" spans="1:17" x14ac:dyDescent="0.25">
      <c r="A3602" t="s">
        <v>3640</v>
      </c>
      <c r="B3602" t="s">
        <v>1080</v>
      </c>
      <c r="C3602">
        <v>2027</v>
      </c>
      <c r="D3602" t="s">
        <v>642</v>
      </c>
      <c r="E3602" t="s">
        <v>843</v>
      </c>
      <c r="F3602" s="32">
        <v>46479</v>
      </c>
      <c r="G3602" t="s">
        <v>514</v>
      </c>
      <c r="H3602">
        <v>47128585</v>
      </c>
      <c r="I3602" t="s">
        <v>1141</v>
      </c>
      <c r="J3602" t="s">
        <v>1140</v>
      </c>
      <c r="K3602" t="s">
        <v>530</v>
      </c>
      <c r="N3602">
        <v>0</v>
      </c>
      <c r="O3602">
        <v>0</v>
      </c>
      <c r="P3602" t="str">
        <f t="shared" si="56"/>
        <v>N</v>
      </c>
      <c r="Q3602" t="s">
        <v>9332</v>
      </c>
    </row>
    <row r="3603" spans="1:17" x14ac:dyDescent="0.25">
      <c r="A3603" t="s">
        <v>3641</v>
      </c>
      <c r="B3603" t="s">
        <v>1080</v>
      </c>
      <c r="C3603">
        <v>2027</v>
      </c>
      <c r="D3603" t="s">
        <v>642</v>
      </c>
      <c r="E3603" t="s">
        <v>843</v>
      </c>
      <c r="F3603" s="32">
        <v>46479</v>
      </c>
      <c r="G3603" t="s">
        <v>514</v>
      </c>
      <c r="H3603">
        <v>47128680</v>
      </c>
      <c r="I3603" t="s">
        <v>1284</v>
      </c>
      <c r="J3603" t="s">
        <v>1283</v>
      </c>
      <c r="K3603" t="s">
        <v>530</v>
      </c>
      <c r="N3603">
        <v>0</v>
      </c>
      <c r="O3603">
        <v>0</v>
      </c>
      <c r="P3603" t="str">
        <f t="shared" si="56"/>
        <v>N</v>
      </c>
      <c r="Q3603" t="s">
        <v>9333</v>
      </c>
    </row>
    <row r="3604" spans="1:17" x14ac:dyDescent="0.25">
      <c r="A3604" t="s">
        <v>3642</v>
      </c>
      <c r="B3604" t="s">
        <v>1080</v>
      </c>
      <c r="C3604">
        <v>2027</v>
      </c>
      <c r="D3604" t="s">
        <v>642</v>
      </c>
      <c r="E3604" t="s">
        <v>843</v>
      </c>
      <c r="F3604" s="32">
        <v>46479</v>
      </c>
      <c r="G3604" t="s">
        <v>514</v>
      </c>
      <c r="H3604">
        <v>47128585</v>
      </c>
      <c r="I3604" t="s">
        <v>1141</v>
      </c>
      <c r="J3604" t="s">
        <v>1408</v>
      </c>
      <c r="K3604" t="s">
        <v>530</v>
      </c>
      <c r="N3604">
        <v>0</v>
      </c>
      <c r="O3604">
        <v>0</v>
      </c>
      <c r="P3604" t="str">
        <f t="shared" si="56"/>
        <v>N</v>
      </c>
      <c r="Q3604" t="s">
        <v>9334</v>
      </c>
    </row>
    <row r="3605" spans="1:17" x14ac:dyDescent="0.25">
      <c r="A3605" t="s">
        <v>3643</v>
      </c>
      <c r="B3605" t="s">
        <v>1080</v>
      </c>
      <c r="C3605">
        <v>2027</v>
      </c>
      <c r="D3605" t="s">
        <v>642</v>
      </c>
      <c r="E3605" t="s">
        <v>843</v>
      </c>
      <c r="F3605" s="32">
        <v>46479</v>
      </c>
      <c r="G3605" t="s">
        <v>514</v>
      </c>
      <c r="H3605">
        <v>47128039</v>
      </c>
      <c r="I3605" t="s">
        <v>1405</v>
      </c>
      <c r="J3605" t="s">
        <v>1404</v>
      </c>
      <c r="K3605" t="s">
        <v>530</v>
      </c>
      <c r="N3605">
        <v>0</v>
      </c>
      <c r="O3605">
        <v>0</v>
      </c>
      <c r="P3605" t="str">
        <f t="shared" si="56"/>
        <v>N</v>
      </c>
      <c r="Q3605" t="s">
        <v>9335</v>
      </c>
    </row>
    <row r="3606" spans="1:17" x14ac:dyDescent="0.25">
      <c r="A3606" t="s">
        <v>3644</v>
      </c>
      <c r="B3606" t="s">
        <v>1080</v>
      </c>
      <c r="C3606">
        <v>2027</v>
      </c>
      <c r="D3606" t="s">
        <v>642</v>
      </c>
      <c r="E3606" t="s">
        <v>843</v>
      </c>
      <c r="F3606" s="32">
        <v>46479</v>
      </c>
      <c r="G3606" t="s">
        <v>514</v>
      </c>
      <c r="H3606">
        <v>47128024</v>
      </c>
      <c r="I3606" t="s">
        <v>1108</v>
      </c>
      <c r="J3606" t="s">
        <v>1107</v>
      </c>
      <c r="K3606" t="s">
        <v>530</v>
      </c>
      <c r="N3606">
        <v>0</v>
      </c>
      <c r="O3606">
        <v>0</v>
      </c>
      <c r="P3606" t="str">
        <f t="shared" si="56"/>
        <v>N</v>
      </c>
      <c r="Q3606" t="s">
        <v>9336</v>
      </c>
    </row>
    <row r="3607" spans="1:17" x14ac:dyDescent="0.25">
      <c r="A3607" t="s">
        <v>3645</v>
      </c>
      <c r="B3607" t="s">
        <v>1080</v>
      </c>
      <c r="C3607">
        <v>2027</v>
      </c>
      <c r="D3607" t="s">
        <v>642</v>
      </c>
      <c r="E3607" t="s">
        <v>843</v>
      </c>
      <c r="F3607" s="32">
        <v>46479</v>
      </c>
      <c r="G3607" t="s">
        <v>514</v>
      </c>
      <c r="H3607">
        <v>47128430</v>
      </c>
      <c r="I3607" t="s">
        <v>1401</v>
      </c>
      <c r="J3607" t="s">
        <v>1400</v>
      </c>
      <c r="K3607" t="s">
        <v>530</v>
      </c>
      <c r="N3607">
        <v>0</v>
      </c>
      <c r="O3607">
        <v>0</v>
      </c>
      <c r="P3607" t="str">
        <f t="shared" si="56"/>
        <v>N</v>
      </c>
      <c r="Q3607" t="s">
        <v>9337</v>
      </c>
    </row>
    <row r="3608" spans="1:17" x14ac:dyDescent="0.25">
      <c r="A3608" t="s">
        <v>3646</v>
      </c>
      <c r="B3608" t="s">
        <v>1080</v>
      </c>
      <c r="C3608">
        <v>2027</v>
      </c>
      <c r="D3608" t="s">
        <v>642</v>
      </c>
      <c r="E3608" t="s">
        <v>843</v>
      </c>
      <c r="F3608" s="32">
        <v>46479</v>
      </c>
      <c r="G3608" t="s">
        <v>514</v>
      </c>
      <c r="H3608">
        <v>47128555</v>
      </c>
      <c r="I3608" t="s">
        <v>1209</v>
      </c>
      <c r="J3608" t="s">
        <v>1208</v>
      </c>
      <c r="K3608" t="s">
        <v>530</v>
      </c>
      <c r="N3608">
        <v>0</v>
      </c>
      <c r="O3608">
        <v>0</v>
      </c>
      <c r="P3608" t="str">
        <f t="shared" si="56"/>
        <v>N</v>
      </c>
      <c r="Q3608" t="s">
        <v>9338</v>
      </c>
    </row>
    <row r="3609" spans="1:17" x14ac:dyDescent="0.25">
      <c r="A3609" t="s">
        <v>3647</v>
      </c>
      <c r="B3609" t="s">
        <v>1080</v>
      </c>
      <c r="C3609">
        <v>2027</v>
      </c>
      <c r="D3609" t="s">
        <v>642</v>
      </c>
      <c r="E3609" t="s">
        <v>843</v>
      </c>
      <c r="F3609" s="32">
        <v>46479</v>
      </c>
      <c r="G3609" t="s">
        <v>514</v>
      </c>
      <c r="H3609">
        <v>47128522</v>
      </c>
      <c r="I3609" t="s">
        <v>1092</v>
      </c>
      <c r="J3609" t="s">
        <v>1091</v>
      </c>
      <c r="K3609" t="s">
        <v>530</v>
      </c>
      <c r="N3609">
        <v>0</v>
      </c>
      <c r="O3609">
        <v>0</v>
      </c>
      <c r="P3609" t="str">
        <f t="shared" si="56"/>
        <v>N</v>
      </c>
      <c r="Q3609" t="s">
        <v>9339</v>
      </c>
    </row>
    <row r="3610" spans="1:17" x14ac:dyDescent="0.25">
      <c r="A3610" t="s">
        <v>3648</v>
      </c>
      <c r="B3610" t="s">
        <v>1080</v>
      </c>
      <c r="C3610">
        <v>2027</v>
      </c>
      <c r="D3610" t="s">
        <v>642</v>
      </c>
      <c r="E3610" t="s">
        <v>843</v>
      </c>
      <c r="F3610" s="32">
        <v>46479</v>
      </c>
      <c r="G3610" t="s">
        <v>514</v>
      </c>
      <c r="H3610">
        <v>47147546</v>
      </c>
      <c r="I3610" t="s">
        <v>1077</v>
      </c>
      <c r="J3610" t="s">
        <v>1076</v>
      </c>
      <c r="K3610" t="s">
        <v>530</v>
      </c>
      <c r="N3610">
        <v>0</v>
      </c>
      <c r="O3610">
        <v>0</v>
      </c>
      <c r="P3610" t="str">
        <f t="shared" si="56"/>
        <v>N</v>
      </c>
      <c r="Q3610" t="s">
        <v>9340</v>
      </c>
    </row>
    <row r="3611" spans="1:17" x14ac:dyDescent="0.25">
      <c r="A3611" t="s">
        <v>3649</v>
      </c>
      <c r="B3611" t="s">
        <v>1080</v>
      </c>
      <c r="C3611">
        <v>2027</v>
      </c>
      <c r="D3611" t="s">
        <v>642</v>
      </c>
      <c r="E3611" t="s">
        <v>843</v>
      </c>
      <c r="F3611" s="32">
        <v>46479</v>
      </c>
      <c r="G3611" t="s">
        <v>514</v>
      </c>
      <c r="H3611">
        <v>47128597</v>
      </c>
      <c r="I3611" t="s">
        <v>1510</v>
      </c>
      <c r="J3611" t="s">
        <v>1509</v>
      </c>
      <c r="K3611" t="s">
        <v>530</v>
      </c>
      <c r="N3611">
        <v>0</v>
      </c>
      <c r="O3611">
        <v>0</v>
      </c>
      <c r="P3611" t="str">
        <f t="shared" si="56"/>
        <v>N</v>
      </c>
      <c r="Q3611" t="s">
        <v>9341</v>
      </c>
    </row>
    <row r="3612" spans="1:17" x14ac:dyDescent="0.25">
      <c r="A3612" t="s">
        <v>3650</v>
      </c>
      <c r="B3612" t="s">
        <v>1080</v>
      </c>
      <c r="C3612">
        <v>2027</v>
      </c>
      <c r="D3612" t="s">
        <v>642</v>
      </c>
      <c r="E3612" t="s">
        <v>843</v>
      </c>
      <c r="F3612" s="32">
        <v>46479</v>
      </c>
      <c r="G3612" t="s">
        <v>514</v>
      </c>
      <c r="H3612">
        <v>47128257</v>
      </c>
      <c r="I3612" t="s">
        <v>979</v>
      </c>
      <c r="J3612" t="s">
        <v>978</v>
      </c>
      <c r="K3612" t="s">
        <v>530</v>
      </c>
      <c r="N3612">
        <v>0</v>
      </c>
      <c r="O3612">
        <v>0</v>
      </c>
      <c r="P3612" t="str">
        <f t="shared" si="56"/>
        <v>N</v>
      </c>
      <c r="Q3612" t="s">
        <v>9342</v>
      </c>
    </row>
    <row r="3613" spans="1:17" x14ac:dyDescent="0.25">
      <c r="A3613" t="s">
        <v>3651</v>
      </c>
      <c r="B3613" t="s">
        <v>1080</v>
      </c>
      <c r="C3613">
        <v>2027</v>
      </c>
      <c r="D3613" t="s">
        <v>642</v>
      </c>
      <c r="E3613" t="s">
        <v>843</v>
      </c>
      <c r="F3613" s="32">
        <v>46479</v>
      </c>
      <c r="G3613" t="s">
        <v>514</v>
      </c>
      <c r="H3613">
        <v>47128880</v>
      </c>
      <c r="I3613" t="s">
        <v>1014</v>
      </c>
      <c r="J3613" t="s">
        <v>1013</v>
      </c>
      <c r="K3613" t="s">
        <v>530</v>
      </c>
      <c r="N3613">
        <v>0</v>
      </c>
      <c r="O3613">
        <v>0</v>
      </c>
      <c r="P3613" t="str">
        <f t="shared" si="56"/>
        <v>N</v>
      </c>
      <c r="Q3613" t="s">
        <v>9343</v>
      </c>
    </row>
    <row r="3614" spans="1:17" x14ac:dyDescent="0.25">
      <c r="A3614" t="s">
        <v>3652</v>
      </c>
      <c r="B3614" t="s">
        <v>1080</v>
      </c>
      <c r="C3614">
        <v>2027</v>
      </c>
      <c r="D3614" t="s">
        <v>642</v>
      </c>
      <c r="E3614" t="s">
        <v>843</v>
      </c>
      <c r="F3614" s="32">
        <v>46479</v>
      </c>
      <c r="G3614" t="s">
        <v>514</v>
      </c>
      <c r="H3614">
        <v>47128879</v>
      </c>
      <c r="I3614" t="s">
        <v>1132</v>
      </c>
      <c r="J3614" t="s">
        <v>1131</v>
      </c>
      <c r="K3614" t="s">
        <v>530</v>
      </c>
      <c r="N3614">
        <v>0</v>
      </c>
      <c r="O3614">
        <v>0</v>
      </c>
      <c r="P3614" t="str">
        <f t="shared" si="56"/>
        <v>N</v>
      </c>
      <c r="Q3614" t="s">
        <v>9344</v>
      </c>
    </row>
    <row r="3615" spans="1:17" x14ac:dyDescent="0.25">
      <c r="A3615" t="s">
        <v>3653</v>
      </c>
      <c r="B3615" t="s">
        <v>1080</v>
      </c>
      <c r="C3615">
        <v>2027</v>
      </c>
      <c r="D3615" t="s">
        <v>642</v>
      </c>
      <c r="E3615" t="s">
        <v>843</v>
      </c>
      <c r="F3615" s="32">
        <v>46479</v>
      </c>
      <c r="G3615" t="s">
        <v>514</v>
      </c>
      <c r="H3615">
        <v>47128413</v>
      </c>
      <c r="I3615" t="s">
        <v>1397</v>
      </c>
      <c r="J3615" t="s">
        <v>1396</v>
      </c>
      <c r="K3615" t="s">
        <v>530</v>
      </c>
      <c r="N3615">
        <v>0</v>
      </c>
      <c r="O3615">
        <v>0</v>
      </c>
      <c r="P3615" t="str">
        <f t="shared" si="56"/>
        <v>N</v>
      </c>
      <c r="Q3615" t="s">
        <v>9345</v>
      </c>
    </row>
    <row r="3616" spans="1:17" x14ac:dyDescent="0.25">
      <c r="A3616" t="s">
        <v>3654</v>
      </c>
      <c r="B3616" t="s">
        <v>1080</v>
      </c>
      <c r="C3616">
        <v>2027</v>
      </c>
      <c r="D3616" t="s">
        <v>642</v>
      </c>
      <c r="E3616" t="s">
        <v>843</v>
      </c>
      <c r="F3616" s="32">
        <v>46479</v>
      </c>
      <c r="G3616" t="s">
        <v>514</v>
      </c>
      <c r="H3616">
        <v>47146464</v>
      </c>
      <c r="I3616" t="s">
        <v>1438</v>
      </c>
      <c r="J3616" t="s">
        <v>1437</v>
      </c>
      <c r="K3616" t="s">
        <v>530</v>
      </c>
      <c r="N3616">
        <v>0</v>
      </c>
      <c r="O3616">
        <v>0</v>
      </c>
      <c r="P3616" t="str">
        <f t="shared" si="56"/>
        <v>N</v>
      </c>
      <c r="Q3616" t="s">
        <v>9346</v>
      </c>
    </row>
    <row r="3617" spans="1:17" x14ac:dyDescent="0.25">
      <c r="A3617" t="s">
        <v>3655</v>
      </c>
      <c r="B3617" t="s">
        <v>1080</v>
      </c>
      <c r="C3617">
        <v>2027</v>
      </c>
      <c r="D3617" t="s">
        <v>642</v>
      </c>
      <c r="E3617" t="s">
        <v>843</v>
      </c>
      <c r="F3617" s="32">
        <v>46479</v>
      </c>
      <c r="G3617" t="s">
        <v>514</v>
      </c>
      <c r="H3617">
        <v>47147546</v>
      </c>
      <c r="I3617" t="s">
        <v>1077</v>
      </c>
      <c r="J3617" t="s">
        <v>1381</v>
      </c>
      <c r="K3617" t="s">
        <v>530</v>
      </c>
      <c r="N3617">
        <v>0</v>
      </c>
      <c r="O3617">
        <v>0</v>
      </c>
      <c r="P3617" t="str">
        <f t="shared" si="56"/>
        <v>N</v>
      </c>
      <c r="Q3617" t="s">
        <v>9347</v>
      </c>
    </row>
    <row r="3618" spans="1:17" x14ac:dyDescent="0.25">
      <c r="A3618" t="s">
        <v>3656</v>
      </c>
      <c r="B3618" t="s">
        <v>1080</v>
      </c>
      <c r="C3618">
        <v>2027</v>
      </c>
      <c r="D3618" t="s">
        <v>642</v>
      </c>
      <c r="E3618" t="s">
        <v>843</v>
      </c>
      <c r="F3618" s="32">
        <v>46479</v>
      </c>
      <c r="G3618" t="s">
        <v>514</v>
      </c>
      <c r="H3618">
        <v>47128800</v>
      </c>
      <c r="I3618" t="s">
        <v>1145</v>
      </c>
      <c r="J3618" t="s">
        <v>1144</v>
      </c>
      <c r="K3618" t="s">
        <v>530</v>
      </c>
      <c r="N3618">
        <v>0</v>
      </c>
      <c r="O3618">
        <v>0</v>
      </c>
      <c r="P3618" t="str">
        <f t="shared" si="56"/>
        <v>N</v>
      </c>
      <c r="Q3618" t="s">
        <v>9348</v>
      </c>
    </row>
    <row r="3619" spans="1:17" x14ac:dyDescent="0.25">
      <c r="A3619" t="s">
        <v>3657</v>
      </c>
      <c r="B3619" t="s">
        <v>1080</v>
      </c>
      <c r="C3619">
        <v>2027</v>
      </c>
      <c r="D3619" t="s">
        <v>642</v>
      </c>
      <c r="E3619" t="s">
        <v>843</v>
      </c>
      <c r="F3619" s="32">
        <v>46479</v>
      </c>
      <c r="G3619" t="s">
        <v>514</v>
      </c>
      <c r="H3619">
        <v>47128109</v>
      </c>
      <c r="I3619" t="s">
        <v>1336</v>
      </c>
      <c r="J3619" t="s">
        <v>1335</v>
      </c>
      <c r="K3619" t="s">
        <v>530</v>
      </c>
      <c r="N3619">
        <v>0</v>
      </c>
      <c r="O3619">
        <v>0</v>
      </c>
      <c r="P3619" t="str">
        <f t="shared" si="56"/>
        <v>N</v>
      </c>
      <c r="Q3619" t="s">
        <v>9349</v>
      </c>
    </row>
    <row r="3620" spans="1:17" x14ac:dyDescent="0.25">
      <c r="A3620" t="s">
        <v>3658</v>
      </c>
      <c r="B3620" t="s">
        <v>1080</v>
      </c>
      <c r="C3620">
        <v>2027</v>
      </c>
      <c r="D3620" t="s">
        <v>642</v>
      </c>
      <c r="E3620" t="s">
        <v>843</v>
      </c>
      <c r="F3620" s="32">
        <v>46479</v>
      </c>
      <c r="G3620" t="s">
        <v>514</v>
      </c>
      <c r="H3620">
        <v>47128346</v>
      </c>
      <c r="I3620" t="s">
        <v>1157</v>
      </c>
      <c r="J3620" t="s">
        <v>1156</v>
      </c>
      <c r="K3620" t="s">
        <v>530</v>
      </c>
      <c r="N3620">
        <v>0</v>
      </c>
      <c r="O3620">
        <v>0</v>
      </c>
      <c r="P3620" t="str">
        <f t="shared" si="56"/>
        <v>N</v>
      </c>
      <c r="Q3620" t="s">
        <v>9350</v>
      </c>
    </row>
    <row r="3621" spans="1:17" x14ac:dyDescent="0.25">
      <c r="A3621" t="s">
        <v>3659</v>
      </c>
      <c r="B3621" t="s">
        <v>1080</v>
      </c>
      <c r="C3621">
        <v>2027</v>
      </c>
      <c r="D3621" t="s">
        <v>642</v>
      </c>
      <c r="E3621" t="s">
        <v>843</v>
      </c>
      <c r="F3621" s="32">
        <v>46479</v>
      </c>
      <c r="G3621" t="s">
        <v>514</v>
      </c>
      <c r="H3621">
        <v>47128518</v>
      </c>
      <c r="I3621" t="s">
        <v>1232</v>
      </c>
      <c r="J3621" t="s">
        <v>1231</v>
      </c>
      <c r="K3621" t="s">
        <v>530</v>
      </c>
      <c r="N3621">
        <v>0</v>
      </c>
      <c r="O3621">
        <v>0</v>
      </c>
      <c r="P3621" t="str">
        <f t="shared" si="56"/>
        <v>N</v>
      </c>
      <c r="Q3621" t="s">
        <v>9351</v>
      </c>
    </row>
    <row r="3622" spans="1:17" x14ac:dyDescent="0.25">
      <c r="A3622" t="s">
        <v>3660</v>
      </c>
      <c r="B3622" t="s">
        <v>1080</v>
      </c>
      <c r="C3622">
        <v>2027</v>
      </c>
      <c r="D3622" t="s">
        <v>642</v>
      </c>
      <c r="E3622" t="s">
        <v>843</v>
      </c>
      <c r="F3622" s="32">
        <v>46479</v>
      </c>
      <c r="G3622" t="s">
        <v>514</v>
      </c>
      <c r="H3622">
        <v>47128418</v>
      </c>
      <c r="I3622" t="s">
        <v>1082</v>
      </c>
      <c r="J3622" t="s">
        <v>1081</v>
      </c>
      <c r="K3622" t="s">
        <v>530</v>
      </c>
      <c r="N3622">
        <v>0</v>
      </c>
      <c r="O3622">
        <v>0</v>
      </c>
      <c r="P3622" t="str">
        <f t="shared" si="56"/>
        <v>N</v>
      </c>
      <c r="Q3622" t="s">
        <v>9352</v>
      </c>
    </row>
    <row r="3623" spans="1:17" x14ac:dyDescent="0.25">
      <c r="A3623" t="s">
        <v>3661</v>
      </c>
      <c r="B3623" t="s">
        <v>1080</v>
      </c>
      <c r="C3623">
        <v>2027</v>
      </c>
      <c r="D3623" t="s">
        <v>642</v>
      </c>
      <c r="E3623" t="s">
        <v>843</v>
      </c>
      <c r="F3623" s="32">
        <v>46479</v>
      </c>
      <c r="G3623" t="s">
        <v>514</v>
      </c>
      <c r="H3623">
        <v>47128968</v>
      </c>
      <c r="I3623" t="s">
        <v>947</v>
      </c>
      <c r="J3623" t="s">
        <v>946</v>
      </c>
      <c r="K3623" t="s">
        <v>530</v>
      </c>
      <c r="N3623">
        <v>0</v>
      </c>
      <c r="O3623">
        <v>0</v>
      </c>
      <c r="P3623" t="str">
        <f t="shared" si="56"/>
        <v>N</v>
      </c>
      <c r="Q3623" t="s">
        <v>9353</v>
      </c>
    </row>
    <row r="3624" spans="1:17" x14ac:dyDescent="0.25">
      <c r="A3624" t="s">
        <v>3662</v>
      </c>
      <c r="B3624" t="s">
        <v>1080</v>
      </c>
      <c r="C3624">
        <v>2027</v>
      </c>
      <c r="D3624" t="s">
        <v>642</v>
      </c>
      <c r="E3624" t="s">
        <v>843</v>
      </c>
      <c r="F3624" s="32">
        <v>46479</v>
      </c>
      <c r="G3624" t="s">
        <v>514</v>
      </c>
      <c r="H3624">
        <v>47147658</v>
      </c>
      <c r="I3624" t="s">
        <v>1276</v>
      </c>
      <c r="J3624" t="s">
        <v>1275</v>
      </c>
      <c r="K3624" t="s">
        <v>530</v>
      </c>
      <c r="N3624">
        <v>0</v>
      </c>
      <c r="O3624">
        <v>0</v>
      </c>
      <c r="P3624" t="str">
        <f t="shared" si="56"/>
        <v>N</v>
      </c>
      <c r="Q3624" t="s">
        <v>9354</v>
      </c>
    </row>
    <row r="3625" spans="1:17" x14ac:dyDescent="0.25">
      <c r="A3625" t="s">
        <v>3663</v>
      </c>
      <c r="B3625" t="s">
        <v>1080</v>
      </c>
      <c r="C3625">
        <v>2027</v>
      </c>
      <c r="D3625" t="s">
        <v>642</v>
      </c>
      <c r="E3625" t="s">
        <v>843</v>
      </c>
      <c r="F3625" s="32">
        <v>46479</v>
      </c>
      <c r="G3625" t="s">
        <v>514</v>
      </c>
      <c r="H3625">
        <v>47128977</v>
      </c>
      <c r="I3625" t="s">
        <v>1449</v>
      </c>
      <c r="J3625" t="s">
        <v>1448</v>
      </c>
      <c r="K3625" t="s">
        <v>530</v>
      </c>
      <c r="N3625">
        <v>0</v>
      </c>
      <c r="O3625">
        <v>0</v>
      </c>
      <c r="P3625" t="str">
        <f t="shared" si="56"/>
        <v>N</v>
      </c>
      <c r="Q3625" t="s">
        <v>9355</v>
      </c>
    </row>
    <row r="3626" spans="1:17" x14ac:dyDescent="0.25">
      <c r="A3626" t="s">
        <v>3664</v>
      </c>
      <c r="B3626" t="s">
        <v>1080</v>
      </c>
      <c r="C3626">
        <v>2027</v>
      </c>
      <c r="D3626" t="s">
        <v>642</v>
      </c>
      <c r="E3626" t="s">
        <v>843</v>
      </c>
      <c r="F3626" s="32">
        <v>46479</v>
      </c>
      <c r="G3626" t="s">
        <v>514</v>
      </c>
      <c r="H3626">
        <v>47128781</v>
      </c>
      <c r="I3626" t="s">
        <v>1251</v>
      </c>
      <c r="J3626" t="s">
        <v>1250</v>
      </c>
      <c r="K3626" t="s">
        <v>530</v>
      </c>
      <c r="N3626">
        <v>0</v>
      </c>
      <c r="O3626">
        <v>0</v>
      </c>
      <c r="P3626" t="str">
        <f t="shared" si="56"/>
        <v>N</v>
      </c>
      <c r="Q3626" t="s">
        <v>9356</v>
      </c>
    </row>
    <row r="3627" spans="1:17" x14ac:dyDescent="0.25">
      <c r="A3627" t="s">
        <v>3925</v>
      </c>
      <c r="B3627" t="s">
        <v>1043</v>
      </c>
      <c r="C3627">
        <v>2027</v>
      </c>
      <c r="D3627" t="s">
        <v>642</v>
      </c>
      <c r="E3627" t="s">
        <v>843</v>
      </c>
      <c r="F3627" s="32">
        <v>46479</v>
      </c>
      <c r="G3627" t="s">
        <v>514</v>
      </c>
      <c r="H3627">
        <v>47128781</v>
      </c>
      <c r="I3627" t="s">
        <v>1251</v>
      </c>
      <c r="J3627" t="s">
        <v>1250</v>
      </c>
      <c r="K3627" t="s">
        <v>530</v>
      </c>
      <c r="N3627">
        <v>0</v>
      </c>
      <c r="O3627">
        <v>0</v>
      </c>
      <c r="P3627" t="str">
        <f t="shared" si="56"/>
        <v>N</v>
      </c>
      <c r="Q3627" t="s">
        <v>9357</v>
      </c>
    </row>
    <row r="3628" spans="1:17" x14ac:dyDescent="0.25">
      <c r="A3628" t="s">
        <v>3926</v>
      </c>
      <c r="B3628" t="s">
        <v>1043</v>
      </c>
      <c r="C3628">
        <v>2027</v>
      </c>
      <c r="D3628" t="s">
        <v>642</v>
      </c>
      <c r="E3628" t="s">
        <v>843</v>
      </c>
      <c r="F3628" s="32">
        <v>46479</v>
      </c>
      <c r="G3628" t="s">
        <v>514</v>
      </c>
      <c r="H3628">
        <v>47128633</v>
      </c>
      <c r="I3628" t="s">
        <v>1164</v>
      </c>
      <c r="J3628" t="s">
        <v>1163</v>
      </c>
      <c r="K3628" t="s">
        <v>530</v>
      </c>
      <c r="N3628">
        <v>8</v>
      </c>
      <c r="O3628">
        <v>8</v>
      </c>
      <c r="P3628" t="str">
        <f t="shared" si="56"/>
        <v>N</v>
      </c>
      <c r="Q3628" t="s">
        <v>9358</v>
      </c>
    </row>
    <row r="3629" spans="1:17" x14ac:dyDescent="0.25">
      <c r="A3629" t="s">
        <v>3927</v>
      </c>
      <c r="B3629" t="s">
        <v>1043</v>
      </c>
      <c r="C3629">
        <v>2027</v>
      </c>
      <c r="D3629" t="s">
        <v>642</v>
      </c>
      <c r="E3629" t="s">
        <v>843</v>
      </c>
      <c r="F3629" s="32">
        <v>46479</v>
      </c>
      <c r="G3629" t="s">
        <v>514</v>
      </c>
      <c r="H3629">
        <v>47128046</v>
      </c>
      <c r="I3629" t="s">
        <v>1389</v>
      </c>
      <c r="J3629" t="s">
        <v>1388</v>
      </c>
      <c r="K3629" t="s">
        <v>530</v>
      </c>
      <c r="N3629">
        <v>0</v>
      </c>
      <c r="O3629">
        <v>0</v>
      </c>
      <c r="P3629" t="str">
        <f t="shared" si="56"/>
        <v>N</v>
      </c>
      <c r="Q3629" t="s">
        <v>9359</v>
      </c>
    </row>
    <row r="3630" spans="1:17" x14ac:dyDescent="0.25">
      <c r="A3630" t="s">
        <v>3928</v>
      </c>
      <c r="B3630" t="s">
        <v>1043</v>
      </c>
      <c r="C3630">
        <v>2027</v>
      </c>
      <c r="D3630" t="s">
        <v>642</v>
      </c>
      <c r="E3630" t="s">
        <v>843</v>
      </c>
      <c r="F3630" s="32">
        <v>46479</v>
      </c>
      <c r="G3630" t="s">
        <v>514</v>
      </c>
      <c r="H3630">
        <v>47128706</v>
      </c>
      <c r="I3630" t="s">
        <v>1201</v>
      </c>
      <c r="J3630" t="s">
        <v>1200</v>
      </c>
      <c r="K3630" t="s">
        <v>530</v>
      </c>
      <c r="N3630">
        <v>0</v>
      </c>
      <c r="O3630">
        <v>0</v>
      </c>
      <c r="P3630" t="str">
        <f t="shared" si="56"/>
        <v>N</v>
      </c>
      <c r="Q3630" t="s">
        <v>9360</v>
      </c>
    </row>
    <row r="3631" spans="1:17" x14ac:dyDescent="0.25">
      <c r="A3631" t="s">
        <v>4111</v>
      </c>
      <c r="B3631" t="s">
        <v>1489</v>
      </c>
      <c r="C3631">
        <v>2027</v>
      </c>
      <c r="D3631" t="s">
        <v>642</v>
      </c>
      <c r="E3631" t="s">
        <v>843</v>
      </c>
      <c r="F3631" s="32">
        <v>46479</v>
      </c>
      <c r="G3631" t="s">
        <v>514</v>
      </c>
      <c r="H3631">
        <v>47128781</v>
      </c>
      <c r="I3631" t="s">
        <v>1251</v>
      </c>
      <c r="J3631" t="s">
        <v>1250</v>
      </c>
      <c r="K3631" t="s">
        <v>530</v>
      </c>
      <c r="N3631">
        <v>0</v>
      </c>
      <c r="O3631">
        <v>0</v>
      </c>
      <c r="P3631" t="str">
        <f t="shared" si="56"/>
        <v>N</v>
      </c>
      <c r="Q3631" t="s">
        <v>9361</v>
      </c>
    </row>
    <row r="3632" spans="1:17" x14ac:dyDescent="0.25">
      <c r="A3632" t="s">
        <v>4112</v>
      </c>
      <c r="B3632" t="s">
        <v>1489</v>
      </c>
      <c r="C3632">
        <v>2027</v>
      </c>
      <c r="D3632" t="s">
        <v>642</v>
      </c>
      <c r="E3632" t="s">
        <v>843</v>
      </c>
      <c r="F3632" s="32">
        <v>46479</v>
      </c>
      <c r="G3632" t="s">
        <v>514</v>
      </c>
      <c r="H3632">
        <v>47128336</v>
      </c>
      <c r="I3632" t="s">
        <v>1161</v>
      </c>
      <c r="J3632" t="s">
        <v>1160</v>
      </c>
      <c r="K3632" t="s">
        <v>530</v>
      </c>
      <c r="N3632">
        <v>0</v>
      </c>
      <c r="O3632">
        <v>0</v>
      </c>
      <c r="P3632" t="str">
        <f t="shared" si="56"/>
        <v>N</v>
      </c>
      <c r="Q3632" t="s">
        <v>9362</v>
      </c>
    </row>
    <row r="3633" spans="1:17" x14ac:dyDescent="0.25">
      <c r="A3633" t="s">
        <v>4113</v>
      </c>
      <c r="B3633" t="s">
        <v>1489</v>
      </c>
      <c r="C3633">
        <v>2027</v>
      </c>
      <c r="D3633" t="s">
        <v>642</v>
      </c>
      <c r="E3633" t="s">
        <v>843</v>
      </c>
      <c r="F3633" s="32">
        <v>46479</v>
      </c>
      <c r="G3633" t="s">
        <v>514</v>
      </c>
      <c r="H3633">
        <v>47128337</v>
      </c>
      <c r="I3633" t="s">
        <v>1120</v>
      </c>
      <c r="J3633" t="s">
        <v>1119</v>
      </c>
      <c r="K3633" t="s">
        <v>530</v>
      </c>
      <c r="N3633">
        <v>12</v>
      </c>
      <c r="O3633">
        <v>12</v>
      </c>
      <c r="P3633" t="str">
        <f t="shared" si="56"/>
        <v>N</v>
      </c>
      <c r="Q3633" t="s">
        <v>9363</v>
      </c>
    </row>
    <row r="3634" spans="1:17" x14ac:dyDescent="0.25">
      <c r="A3634" t="s">
        <v>4114</v>
      </c>
      <c r="B3634" t="s">
        <v>1489</v>
      </c>
      <c r="C3634">
        <v>2027</v>
      </c>
      <c r="D3634" t="s">
        <v>642</v>
      </c>
      <c r="E3634" t="s">
        <v>843</v>
      </c>
      <c r="F3634" s="32">
        <v>46479</v>
      </c>
      <c r="G3634" t="s">
        <v>514</v>
      </c>
      <c r="H3634">
        <v>47128977</v>
      </c>
      <c r="I3634" t="s">
        <v>1449</v>
      </c>
      <c r="J3634" t="s">
        <v>1448</v>
      </c>
      <c r="K3634" t="s">
        <v>530</v>
      </c>
      <c r="N3634">
        <v>0</v>
      </c>
      <c r="O3634">
        <v>0</v>
      </c>
      <c r="P3634" t="str">
        <f t="shared" si="56"/>
        <v>N</v>
      </c>
      <c r="Q3634" t="s">
        <v>9364</v>
      </c>
    </row>
    <row r="3635" spans="1:17" x14ac:dyDescent="0.25">
      <c r="A3635" t="s">
        <v>4396</v>
      </c>
      <c r="B3635" t="s">
        <v>916</v>
      </c>
      <c r="C3635">
        <v>2027</v>
      </c>
      <c r="D3635" t="s">
        <v>642</v>
      </c>
      <c r="E3635" t="s">
        <v>843</v>
      </c>
      <c r="F3635" s="32">
        <v>46479</v>
      </c>
      <c r="G3635" t="s">
        <v>514</v>
      </c>
      <c r="H3635">
        <v>47128781</v>
      </c>
      <c r="I3635" t="s">
        <v>1251</v>
      </c>
      <c r="J3635" t="s">
        <v>1250</v>
      </c>
      <c r="K3635" t="s">
        <v>530</v>
      </c>
      <c r="N3635">
        <v>0</v>
      </c>
      <c r="O3635">
        <v>0</v>
      </c>
      <c r="P3635" t="str">
        <f t="shared" si="56"/>
        <v>N</v>
      </c>
      <c r="Q3635" t="s">
        <v>9365</v>
      </c>
    </row>
    <row r="3636" spans="1:17" x14ac:dyDescent="0.25">
      <c r="A3636" t="s">
        <v>4397</v>
      </c>
      <c r="B3636" t="s">
        <v>916</v>
      </c>
      <c r="C3636">
        <v>2027</v>
      </c>
      <c r="D3636" t="s">
        <v>642</v>
      </c>
      <c r="E3636" t="s">
        <v>843</v>
      </c>
      <c r="F3636" s="32">
        <v>46479</v>
      </c>
      <c r="G3636" t="s">
        <v>514</v>
      </c>
      <c r="H3636">
        <v>47128046</v>
      </c>
      <c r="I3636" t="s">
        <v>1389</v>
      </c>
      <c r="J3636" t="s">
        <v>1388</v>
      </c>
      <c r="K3636" t="s">
        <v>530</v>
      </c>
      <c r="N3636">
        <v>70</v>
      </c>
      <c r="O3636">
        <v>70</v>
      </c>
      <c r="P3636" t="str">
        <f t="shared" si="56"/>
        <v>N</v>
      </c>
      <c r="Q3636" t="s">
        <v>9366</v>
      </c>
    </row>
    <row r="3637" spans="1:17" x14ac:dyDescent="0.25">
      <c r="A3637" t="s">
        <v>4398</v>
      </c>
      <c r="B3637" t="s">
        <v>916</v>
      </c>
      <c r="C3637">
        <v>2027</v>
      </c>
      <c r="D3637" t="s">
        <v>642</v>
      </c>
      <c r="E3637" t="s">
        <v>843</v>
      </c>
      <c r="F3637" s="32">
        <v>46479</v>
      </c>
      <c r="G3637" t="s">
        <v>514</v>
      </c>
      <c r="H3637">
        <v>47128364</v>
      </c>
      <c r="I3637" t="s">
        <v>1264</v>
      </c>
      <c r="J3637" t="s">
        <v>1263</v>
      </c>
      <c r="K3637" t="s">
        <v>530</v>
      </c>
      <c r="N3637">
        <v>0</v>
      </c>
      <c r="O3637">
        <v>0</v>
      </c>
      <c r="P3637" t="str">
        <f t="shared" si="56"/>
        <v>N</v>
      </c>
      <c r="Q3637" t="s">
        <v>9367</v>
      </c>
    </row>
    <row r="3638" spans="1:17" x14ac:dyDescent="0.25">
      <c r="A3638" t="s">
        <v>4399</v>
      </c>
      <c r="B3638" t="s">
        <v>916</v>
      </c>
      <c r="C3638">
        <v>2027</v>
      </c>
      <c r="D3638" t="s">
        <v>642</v>
      </c>
      <c r="E3638" t="s">
        <v>843</v>
      </c>
      <c r="F3638" s="32">
        <v>46479</v>
      </c>
      <c r="G3638" t="s">
        <v>514</v>
      </c>
      <c r="H3638">
        <v>47128706</v>
      </c>
      <c r="I3638" t="s">
        <v>1201</v>
      </c>
      <c r="J3638" t="s">
        <v>1200</v>
      </c>
      <c r="K3638" t="s">
        <v>530</v>
      </c>
      <c r="N3638">
        <v>0</v>
      </c>
      <c r="O3638">
        <v>0</v>
      </c>
      <c r="P3638" t="str">
        <f t="shared" si="56"/>
        <v>N</v>
      </c>
      <c r="Q3638" t="s">
        <v>9368</v>
      </c>
    </row>
    <row r="3639" spans="1:17" x14ac:dyDescent="0.25">
      <c r="A3639" t="s">
        <v>4400</v>
      </c>
      <c r="B3639" t="s">
        <v>916</v>
      </c>
      <c r="C3639">
        <v>2027</v>
      </c>
      <c r="D3639" t="s">
        <v>642</v>
      </c>
      <c r="E3639" t="s">
        <v>843</v>
      </c>
      <c r="F3639" s="32">
        <v>46479</v>
      </c>
      <c r="G3639" t="s">
        <v>514</v>
      </c>
      <c r="H3639">
        <v>47128633</v>
      </c>
      <c r="I3639" t="s">
        <v>1164</v>
      </c>
      <c r="J3639" t="s">
        <v>1163</v>
      </c>
      <c r="K3639" t="s">
        <v>530</v>
      </c>
      <c r="N3639">
        <v>0</v>
      </c>
      <c r="O3639">
        <v>0</v>
      </c>
      <c r="P3639" t="str">
        <f t="shared" si="56"/>
        <v>N</v>
      </c>
      <c r="Q3639" t="s">
        <v>9369</v>
      </c>
    </row>
    <row r="3640" spans="1:17" x14ac:dyDescent="0.25">
      <c r="A3640" t="s">
        <v>4401</v>
      </c>
      <c r="B3640" t="s">
        <v>916</v>
      </c>
      <c r="C3640">
        <v>2027</v>
      </c>
      <c r="D3640" t="s">
        <v>642</v>
      </c>
      <c r="E3640" t="s">
        <v>843</v>
      </c>
      <c r="F3640" s="32">
        <v>46479</v>
      </c>
      <c r="G3640" t="s">
        <v>514</v>
      </c>
      <c r="H3640">
        <v>47128355</v>
      </c>
      <c r="I3640" t="s">
        <v>964</v>
      </c>
      <c r="J3640" t="s">
        <v>963</v>
      </c>
      <c r="K3640" t="s">
        <v>530</v>
      </c>
      <c r="N3640">
        <v>0</v>
      </c>
      <c r="O3640">
        <v>0</v>
      </c>
      <c r="P3640" t="str">
        <f t="shared" si="56"/>
        <v>N</v>
      </c>
      <c r="Q3640" t="s">
        <v>9370</v>
      </c>
    </row>
    <row r="3641" spans="1:17" x14ac:dyDescent="0.25">
      <c r="A3641" t="s">
        <v>4402</v>
      </c>
      <c r="B3641" t="s">
        <v>916</v>
      </c>
      <c r="C3641">
        <v>2027</v>
      </c>
      <c r="D3641" t="s">
        <v>642</v>
      </c>
      <c r="E3641" t="s">
        <v>843</v>
      </c>
      <c r="F3641" s="32">
        <v>46479</v>
      </c>
      <c r="G3641" t="s">
        <v>514</v>
      </c>
      <c r="H3641">
        <v>47129548</v>
      </c>
      <c r="I3641" t="s">
        <v>1340</v>
      </c>
      <c r="J3641" t="s">
        <v>1339</v>
      </c>
      <c r="K3641" t="s">
        <v>530</v>
      </c>
      <c r="N3641">
        <v>0</v>
      </c>
      <c r="O3641">
        <v>0</v>
      </c>
      <c r="P3641" t="str">
        <f t="shared" si="56"/>
        <v>N</v>
      </c>
      <c r="Q3641" t="s">
        <v>9371</v>
      </c>
    </row>
    <row r="3642" spans="1:17" x14ac:dyDescent="0.25">
      <c r="A3642" t="s">
        <v>4403</v>
      </c>
      <c r="B3642" t="s">
        <v>916</v>
      </c>
      <c r="C3642">
        <v>2027</v>
      </c>
      <c r="D3642" t="s">
        <v>642</v>
      </c>
      <c r="E3642" t="s">
        <v>843</v>
      </c>
      <c r="F3642" s="32">
        <v>46479</v>
      </c>
      <c r="G3642" t="s">
        <v>514</v>
      </c>
      <c r="H3642">
        <v>47128835</v>
      </c>
      <c r="I3642" t="s">
        <v>998</v>
      </c>
      <c r="J3642" t="s">
        <v>997</v>
      </c>
      <c r="K3642" t="s">
        <v>530</v>
      </c>
      <c r="N3642">
        <v>0</v>
      </c>
      <c r="O3642">
        <v>0</v>
      </c>
      <c r="P3642" t="str">
        <f t="shared" si="56"/>
        <v>N</v>
      </c>
      <c r="Q3642" t="s">
        <v>9372</v>
      </c>
    </row>
    <row r="3643" spans="1:17" x14ac:dyDescent="0.25">
      <c r="A3643" t="s">
        <v>4404</v>
      </c>
      <c r="B3643" t="s">
        <v>916</v>
      </c>
      <c r="C3643">
        <v>2027</v>
      </c>
      <c r="D3643" t="s">
        <v>642</v>
      </c>
      <c r="E3643" t="s">
        <v>843</v>
      </c>
      <c r="F3643" s="32">
        <v>46479</v>
      </c>
      <c r="G3643" t="s">
        <v>514</v>
      </c>
      <c r="H3643">
        <v>47128788</v>
      </c>
      <c r="I3643" t="s">
        <v>4188</v>
      </c>
      <c r="J3643" t="s">
        <v>4189</v>
      </c>
      <c r="K3643" t="s">
        <v>530</v>
      </c>
      <c r="N3643">
        <v>0</v>
      </c>
      <c r="O3643">
        <v>0</v>
      </c>
      <c r="P3643" t="str">
        <f t="shared" si="56"/>
        <v>N</v>
      </c>
      <c r="Q3643" t="s">
        <v>9373</v>
      </c>
    </row>
    <row r="3644" spans="1:17" x14ac:dyDescent="0.25">
      <c r="A3644" t="s">
        <v>4405</v>
      </c>
      <c r="B3644" t="s">
        <v>916</v>
      </c>
      <c r="C3644">
        <v>2027</v>
      </c>
      <c r="D3644" t="s">
        <v>642</v>
      </c>
      <c r="E3644" t="s">
        <v>843</v>
      </c>
      <c r="F3644" s="32">
        <v>46479</v>
      </c>
      <c r="G3644" t="s">
        <v>514</v>
      </c>
      <c r="H3644">
        <v>47136348</v>
      </c>
      <c r="I3644" t="s">
        <v>1025</v>
      </c>
      <c r="J3644" t="s">
        <v>1024</v>
      </c>
      <c r="K3644" t="s">
        <v>530</v>
      </c>
      <c r="N3644">
        <v>0</v>
      </c>
      <c r="O3644">
        <v>0</v>
      </c>
      <c r="P3644" t="str">
        <f t="shared" si="56"/>
        <v>N</v>
      </c>
      <c r="Q3644" t="s">
        <v>9374</v>
      </c>
    </row>
    <row r="3645" spans="1:17" x14ac:dyDescent="0.25">
      <c r="A3645" t="s">
        <v>4406</v>
      </c>
      <c r="B3645" t="s">
        <v>916</v>
      </c>
      <c r="C3645">
        <v>2027</v>
      </c>
      <c r="D3645" t="s">
        <v>642</v>
      </c>
      <c r="E3645" t="s">
        <v>843</v>
      </c>
      <c r="F3645" s="32">
        <v>46479</v>
      </c>
      <c r="G3645" t="s">
        <v>514</v>
      </c>
      <c r="H3645">
        <v>47135083</v>
      </c>
      <c r="I3645" t="s">
        <v>4192</v>
      </c>
      <c r="J3645" t="s">
        <v>4193</v>
      </c>
      <c r="K3645" t="s">
        <v>530</v>
      </c>
      <c r="N3645">
        <v>0</v>
      </c>
      <c r="O3645">
        <v>0</v>
      </c>
      <c r="P3645" t="str">
        <f t="shared" si="56"/>
        <v>N</v>
      </c>
      <c r="Q3645" t="s">
        <v>9375</v>
      </c>
    </row>
    <row r="3646" spans="1:17" x14ac:dyDescent="0.25">
      <c r="A3646" t="s">
        <v>4407</v>
      </c>
      <c r="B3646" t="s">
        <v>916</v>
      </c>
      <c r="C3646">
        <v>2027</v>
      </c>
      <c r="D3646" t="s">
        <v>642</v>
      </c>
      <c r="E3646" t="s">
        <v>843</v>
      </c>
      <c r="F3646" s="32">
        <v>46479</v>
      </c>
      <c r="G3646" t="s">
        <v>514</v>
      </c>
      <c r="H3646">
        <v>47128684</v>
      </c>
      <c r="I3646" t="s">
        <v>1005</v>
      </c>
      <c r="J3646" t="s">
        <v>1004</v>
      </c>
      <c r="K3646" t="s">
        <v>530</v>
      </c>
      <c r="N3646">
        <v>0</v>
      </c>
      <c r="O3646">
        <v>0</v>
      </c>
      <c r="P3646" t="str">
        <f t="shared" si="56"/>
        <v>N</v>
      </c>
      <c r="Q3646" t="s">
        <v>9376</v>
      </c>
    </row>
    <row r="3647" spans="1:17" x14ac:dyDescent="0.25">
      <c r="A3647" t="s">
        <v>4408</v>
      </c>
      <c r="B3647" t="s">
        <v>916</v>
      </c>
      <c r="C3647">
        <v>2027</v>
      </c>
      <c r="D3647" t="s">
        <v>642</v>
      </c>
      <c r="E3647" t="s">
        <v>843</v>
      </c>
      <c r="F3647" s="32">
        <v>46479</v>
      </c>
      <c r="G3647" t="s">
        <v>514</v>
      </c>
      <c r="H3647">
        <v>47128469</v>
      </c>
      <c r="I3647" t="s">
        <v>928</v>
      </c>
      <c r="J3647" t="s">
        <v>927</v>
      </c>
      <c r="K3647" t="s">
        <v>530</v>
      </c>
      <c r="N3647">
        <v>0</v>
      </c>
      <c r="O3647">
        <v>0</v>
      </c>
      <c r="P3647" t="str">
        <f t="shared" si="56"/>
        <v>N</v>
      </c>
      <c r="Q3647" t="s">
        <v>9377</v>
      </c>
    </row>
    <row r="3648" spans="1:17" x14ac:dyDescent="0.25">
      <c r="A3648" t="s">
        <v>4409</v>
      </c>
      <c r="B3648" t="s">
        <v>916</v>
      </c>
      <c r="C3648">
        <v>2027</v>
      </c>
      <c r="D3648" t="s">
        <v>642</v>
      </c>
      <c r="E3648" t="s">
        <v>843</v>
      </c>
      <c r="F3648" s="32">
        <v>46479</v>
      </c>
      <c r="G3648" t="s">
        <v>514</v>
      </c>
      <c r="H3648">
        <v>47128359</v>
      </c>
      <c r="I3648" t="s">
        <v>961</v>
      </c>
      <c r="J3648" t="s">
        <v>960</v>
      </c>
      <c r="K3648" t="s">
        <v>530</v>
      </c>
      <c r="N3648">
        <v>0</v>
      </c>
      <c r="O3648">
        <v>0</v>
      </c>
      <c r="P3648" t="str">
        <f t="shared" si="56"/>
        <v>N</v>
      </c>
      <c r="Q3648" t="s">
        <v>9378</v>
      </c>
    </row>
    <row r="3649" spans="1:17" x14ac:dyDescent="0.25">
      <c r="A3649" t="s">
        <v>4410</v>
      </c>
      <c r="B3649" t="s">
        <v>916</v>
      </c>
      <c r="C3649">
        <v>2027</v>
      </c>
      <c r="D3649" t="s">
        <v>642</v>
      </c>
      <c r="E3649" t="s">
        <v>843</v>
      </c>
      <c r="F3649" s="32">
        <v>46479</v>
      </c>
      <c r="G3649" t="s">
        <v>514</v>
      </c>
      <c r="H3649">
        <v>47128202</v>
      </c>
      <c r="I3649" t="s">
        <v>967</v>
      </c>
      <c r="J3649" t="s">
        <v>966</v>
      </c>
      <c r="K3649" t="s">
        <v>530</v>
      </c>
      <c r="N3649">
        <v>0</v>
      </c>
      <c r="O3649">
        <v>0</v>
      </c>
      <c r="P3649" t="str">
        <f t="shared" si="56"/>
        <v>N</v>
      </c>
      <c r="Q3649" t="s">
        <v>9379</v>
      </c>
    </row>
    <row r="3650" spans="1:17" x14ac:dyDescent="0.25">
      <c r="A3650" t="s">
        <v>4411</v>
      </c>
      <c r="B3650" t="s">
        <v>916</v>
      </c>
      <c r="C3650">
        <v>2027</v>
      </c>
      <c r="D3650" t="s">
        <v>642</v>
      </c>
      <c r="E3650" t="s">
        <v>843</v>
      </c>
      <c r="F3650" s="32">
        <v>46479</v>
      </c>
      <c r="G3650" t="s">
        <v>514</v>
      </c>
      <c r="H3650">
        <v>47128154</v>
      </c>
      <c r="I3650" t="s">
        <v>933</v>
      </c>
      <c r="J3650" t="s">
        <v>932</v>
      </c>
      <c r="K3650" t="s">
        <v>530</v>
      </c>
      <c r="N3650">
        <v>0</v>
      </c>
      <c r="O3650">
        <v>0</v>
      </c>
      <c r="P3650" t="str">
        <f t="shared" si="56"/>
        <v>N</v>
      </c>
      <c r="Q3650" t="s">
        <v>9380</v>
      </c>
    </row>
    <row r="3651" spans="1:17" x14ac:dyDescent="0.25">
      <c r="A3651" t="s">
        <v>4412</v>
      </c>
      <c r="B3651" t="s">
        <v>916</v>
      </c>
      <c r="C3651">
        <v>2027</v>
      </c>
      <c r="D3651" t="s">
        <v>642</v>
      </c>
      <c r="E3651" t="s">
        <v>843</v>
      </c>
      <c r="F3651" s="32">
        <v>46479</v>
      </c>
      <c r="G3651" t="s">
        <v>514</v>
      </c>
      <c r="H3651">
        <v>47128108</v>
      </c>
      <c r="I3651" t="s">
        <v>1011</v>
      </c>
      <c r="J3651" t="s">
        <v>1010</v>
      </c>
      <c r="K3651" t="s">
        <v>530</v>
      </c>
      <c r="N3651">
        <v>0</v>
      </c>
      <c r="O3651">
        <v>0</v>
      </c>
      <c r="P3651" t="str">
        <f t="shared" ref="P3651:P3714" si="57">IF(N3651=O3651,"N","Y")</f>
        <v>N</v>
      </c>
      <c r="Q3651" t="s">
        <v>9381</v>
      </c>
    </row>
    <row r="3652" spans="1:17" x14ac:dyDescent="0.25">
      <c r="A3652" t="s">
        <v>4413</v>
      </c>
      <c r="B3652" t="s">
        <v>916</v>
      </c>
      <c r="C3652">
        <v>2027</v>
      </c>
      <c r="D3652" t="s">
        <v>642</v>
      </c>
      <c r="E3652" t="s">
        <v>843</v>
      </c>
      <c r="F3652" s="32">
        <v>46479</v>
      </c>
      <c r="G3652" t="s">
        <v>514</v>
      </c>
      <c r="H3652">
        <v>47129069</v>
      </c>
      <c r="I3652" t="s">
        <v>1325</v>
      </c>
      <c r="J3652" t="s">
        <v>1324</v>
      </c>
      <c r="K3652" t="s">
        <v>530</v>
      </c>
      <c r="N3652">
        <v>8</v>
      </c>
      <c r="O3652">
        <v>8</v>
      </c>
      <c r="P3652" t="str">
        <f t="shared" si="57"/>
        <v>N</v>
      </c>
      <c r="Q3652" t="s">
        <v>9382</v>
      </c>
    </row>
    <row r="3653" spans="1:17" x14ac:dyDescent="0.25">
      <c r="A3653" t="s">
        <v>4414</v>
      </c>
      <c r="B3653" t="s">
        <v>916</v>
      </c>
      <c r="C3653">
        <v>2027</v>
      </c>
      <c r="D3653" t="s">
        <v>642</v>
      </c>
      <c r="E3653" t="s">
        <v>843</v>
      </c>
      <c r="F3653" s="32">
        <v>46479</v>
      </c>
      <c r="G3653" t="s">
        <v>514</v>
      </c>
      <c r="H3653">
        <v>47134379</v>
      </c>
      <c r="I3653" t="s">
        <v>1037</v>
      </c>
      <c r="J3653" t="s">
        <v>1417</v>
      </c>
      <c r="K3653" t="s">
        <v>530</v>
      </c>
      <c r="N3653">
        <v>112.4</v>
      </c>
      <c r="O3653">
        <v>112.4</v>
      </c>
      <c r="P3653" t="str">
        <f t="shared" si="57"/>
        <v>N</v>
      </c>
      <c r="Q3653" t="s">
        <v>9383</v>
      </c>
    </row>
    <row r="3654" spans="1:17" x14ac:dyDescent="0.25">
      <c r="A3654" t="s">
        <v>4443</v>
      </c>
      <c r="B3654" t="s">
        <v>4428</v>
      </c>
      <c r="C3654">
        <v>2027</v>
      </c>
      <c r="D3654" t="s">
        <v>642</v>
      </c>
      <c r="E3654" t="s">
        <v>843</v>
      </c>
      <c r="F3654" s="32">
        <v>46479</v>
      </c>
      <c r="G3654" t="s">
        <v>514</v>
      </c>
      <c r="H3654">
        <v>47128132</v>
      </c>
      <c r="I3654" t="s">
        <v>4429</v>
      </c>
      <c r="J3654" t="s">
        <v>4430</v>
      </c>
      <c r="K3654" t="s">
        <v>530</v>
      </c>
      <c r="N3654">
        <v>0</v>
      </c>
      <c r="O3654">
        <v>0</v>
      </c>
      <c r="P3654" t="str">
        <f t="shared" si="57"/>
        <v>N</v>
      </c>
      <c r="Q3654" t="s">
        <v>9384</v>
      </c>
    </row>
    <row r="3655" spans="1:17" x14ac:dyDescent="0.25">
      <c r="A3655" t="s">
        <v>4498</v>
      </c>
      <c r="B3655" t="s">
        <v>4445</v>
      </c>
      <c r="C3655">
        <v>2027</v>
      </c>
      <c r="D3655" t="s">
        <v>642</v>
      </c>
      <c r="E3655" t="s">
        <v>843</v>
      </c>
      <c r="F3655" s="32">
        <v>46479</v>
      </c>
      <c r="G3655" t="s">
        <v>514</v>
      </c>
      <c r="H3655">
        <v>47129711</v>
      </c>
      <c r="I3655" t="s">
        <v>4446</v>
      </c>
      <c r="J3655" t="s">
        <v>4447</v>
      </c>
      <c r="K3655" t="s">
        <v>530</v>
      </c>
      <c r="N3655">
        <v>0</v>
      </c>
      <c r="O3655">
        <v>0</v>
      </c>
      <c r="P3655" t="str">
        <f t="shared" si="57"/>
        <v>N</v>
      </c>
      <c r="Q3655" t="s">
        <v>9385</v>
      </c>
    </row>
    <row r="3656" spans="1:17" x14ac:dyDescent="0.25">
      <c r="A3656" t="s">
        <v>4499</v>
      </c>
      <c r="B3656" t="s">
        <v>4445</v>
      </c>
      <c r="C3656">
        <v>2027</v>
      </c>
      <c r="D3656" t="s">
        <v>642</v>
      </c>
      <c r="E3656" t="s">
        <v>843</v>
      </c>
      <c r="F3656" s="32">
        <v>46479</v>
      </c>
      <c r="G3656" t="s">
        <v>514</v>
      </c>
      <c r="H3656">
        <v>47129228</v>
      </c>
      <c r="I3656" t="s">
        <v>4449</v>
      </c>
      <c r="J3656" t="s">
        <v>4450</v>
      </c>
      <c r="K3656" t="s">
        <v>530</v>
      </c>
      <c r="N3656">
        <v>0</v>
      </c>
      <c r="O3656">
        <v>0</v>
      </c>
      <c r="P3656" t="str">
        <f t="shared" si="57"/>
        <v>N</v>
      </c>
      <c r="Q3656" t="s">
        <v>9386</v>
      </c>
    </row>
    <row r="3657" spans="1:17" x14ac:dyDescent="0.25">
      <c r="A3657" t="s">
        <v>4723</v>
      </c>
      <c r="B3657" t="s">
        <v>1044</v>
      </c>
      <c r="C3657">
        <v>2027</v>
      </c>
      <c r="D3657" t="s">
        <v>642</v>
      </c>
      <c r="E3657" t="s">
        <v>843</v>
      </c>
      <c r="F3657" s="32">
        <v>46479</v>
      </c>
      <c r="G3657" t="s">
        <v>514</v>
      </c>
      <c r="H3657">
        <v>47128781</v>
      </c>
      <c r="I3657" t="s">
        <v>1251</v>
      </c>
      <c r="J3657" t="s">
        <v>1250</v>
      </c>
      <c r="K3657" t="s">
        <v>530</v>
      </c>
      <c r="N3657">
        <v>0</v>
      </c>
      <c r="O3657">
        <v>0</v>
      </c>
      <c r="P3657" t="str">
        <f t="shared" si="57"/>
        <v>N</v>
      </c>
      <c r="Q3657" t="s">
        <v>9387</v>
      </c>
    </row>
    <row r="3658" spans="1:17" x14ac:dyDescent="0.25">
      <c r="A3658" t="s">
        <v>4724</v>
      </c>
      <c r="B3658" t="s">
        <v>1044</v>
      </c>
      <c r="C3658">
        <v>2027</v>
      </c>
      <c r="D3658" t="s">
        <v>642</v>
      </c>
      <c r="E3658" t="s">
        <v>843</v>
      </c>
      <c r="F3658" s="32">
        <v>46479</v>
      </c>
      <c r="G3658" t="s">
        <v>514</v>
      </c>
      <c r="H3658">
        <v>47128572</v>
      </c>
      <c r="I3658" t="s">
        <v>1197</v>
      </c>
      <c r="J3658" t="s">
        <v>1196</v>
      </c>
      <c r="K3658" t="s">
        <v>530</v>
      </c>
      <c r="N3658">
        <v>0</v>
      </c>
      <c r="O3658">
        <v>0</v>
      </c>
      <c r="P3658" t="str">
        <f t="shared" si="57"/>
        <v>N</v>
      </c>
      <c r="Q3658" t="s">
        <v>9388</v>
      </c>
    </row>
    <row r="3659" spans="1:17" x14ac:dyDescent="0.25">
      <c r="A3659" t="s">
        <v>4725</v>
      </c>
      <c r="B3659" t="s">
        <v>1044</v>
      </c>
      <c r="C3659">
        <v>2027</v>
      </c>
      <c r="D3659" t="s">
        <v>642</v>
      </c>
      <c r="E3659" t="s">
        <v>843</v>
      </c>
      <c r="F3659" s="32">
        <v>46479</v>
      </c>
      <c r="G3659" t="s">
        <v>514</v>
      </c>
      <c r="H3659">
        <v>47128481</v>
      </c>
      <c r="I3659" t="s">
        <v>1379</v>
      </c>
      <c r="J3659" t="s">
        <v>1378</v>
      </c>
      <c r="K3659" t="s">
        <v>530</v>
      </c>
      <c r="N3659">
        <v>0</v>
      </c>
      <c r="O3659">
        <v>0</v>
      </c>
      <c r="P3659" t="str">
        <f t="shared" si="57"/>
        <v>N</v>
      </c>
      <c r="Q3659" t="s">
        <v>9389</v>
      </c>
    </row>
    <row r="3660" spans="1:17" x14ac:dyDescent="0.25">
      <c r="A3660" t="s">
        <v>4726</v>
      </c>
      <c r="B3660" t="s">
        <v>1044</v>
      </c>
      <c r="C3660">
        <v>2027</v>
      </c>
      <c r="D3660" t="s">
        <v>642</v>
      </c>
      <c r="E3660" t="s">
        <v>843</v>
      </c>
      <c r="F3660" s="32">
        <v>46479</v>
      </c>
      <c r="G3660" t="s">
        <v>514</v>
      </c>
      <c r="H3660">
        <v>47128482</v>
      </c>
      <c r="I3660" t="s">
        <v>1393</v>
      </c>
      <c r="J3660" t="s">
        <v>1392</v>
      </c>
      <c r="K3660" t="s">
        <v>530</v>
      </c>
      <c r="N3660">
        <v>0</v>
      </c>
      <c r="O3660">
        <v>0</v>
      </c>
      <c r="P3660" t="str">
        <f t="shared" si="57"/>
        <v>N</v>
      </c>
      <c r="Q3660" t="s">
        <v>9390</v>
      </c>
    </row>
    <row r="3661" spans="1:17" x14ac:dyDescent="0.25">
      <c r="A3661" t="s">
        <v>4727</v>
      </c>
      <c r="B3661" t="s">
        <v>1044</v>
      </c>
      <c r="C3661">
        <v>2027</v>
      </c>
      <c r="D3661" t="s">
        <v>642</v>
      </c>
      <c r="E3661" t="s">
        <v>843</v>
      </c>
      <c r="F3661" s="32">
        <v>46479</v>
      </c>
      <c r="G3661" t="s">
        <v>514</v>
      </c>
      <c r="H3661">
        <v>47128336</v>
      </c>
      <c r="I3661" t="s">
        <v>1161</v>
      </c>
      <c r="J3661" t="s">
        <v>1160</v>
      </c>
      <c r="K3661" t="s">
        <v>530</v>
      </c>
      <c r="N3661">
        <v>0</v>
      </c>
      <c r="O3661">
        <v>0</v>
      </c>
      <c r="P3661" t="str">
        <f t="shared" si="57"/>
        <v>N</v>
      </c>
      <c r="Q3661" t="s">
        <v>9391</v>
      </c>
    </row>
    <row r="3662" spans="1:17" x14ac:dyDescent="0.25">
      <c r="A3662" t="s">
        <v>4728</v>
      </c>
      <c r="B3662" t="s">
        <v>1044</v>
      </c>
      <c r="C3662">
        <v>2027</v>
      </c>
      <c r="D3662" t="s">
        <v>642</v>
      </c>
      <c r="E3662" t="s">
        <v>843</v>
      </c>
      <c r="F3662" s="32">
        <v>46479</v>
      </c>
      <c r="G3662" t="s">
        <v>514</v>
      </c>
      <c r="H3662">
        <v>47128337</v>
      </c>
      <c r="I3662" t="s">
        <v>1120</v>
      </c>
      <c r="J3662" t="s">
        <v>1119</v>
      </c>
      <c r="K3662" t="s">
        <v>530</v>
      </c>
      <c r="N3662">
        <v>20</v>
      </c>
      <c r="O3662">
        <v>20</v>
      </c>
      <c r="P3662" t="str">
        <f t="shared" si="57"/>
        <v>N</v>
      </c>
      <c r="Q3662" t="s">
        <v>9392</v>
      </c>
    </row>
    <row r="3663" spans="1:17" x14ac:dyDescent="0.25">
      <c r="A3663" t="s">
        <v>4729</v>
      </c>
      <c r="B3663" t="s">
        <v>1044</v>
      </c>
      <c r="C3663">
        <v>2027</v>
      </c>
      <c r="D3663" t="s">
        <v>642</v>
      </c>
      <c r="E3663" t="s">
        <v>843</v>
      </c>
      <c r="F3663" s="32">
        <v>46479</v>
      </c>
      <c r="G3663" t="s">
        <v>514</v>
      </c>
      <c r="H3663">
        <v>47136340</v>
      </c>
      <c r="I3663" t="s">
        <v>1213</v>
      </c>
      <c r="J3663" t="s">
        <v>1212</v>
      </c>
      <c r="K3663" t="s">
        <v>530</v>
      </c>
      <c r="N3663">
        <v>0</v>
      </c>
      <c r="O3663">
        <v>0</v>
      </c>
      <c r="P3663" t="str">
        <f t="shared" si="57"/>
        <v>N</v>
      </c>
      <c r="Q3663" t="s">
        <v>9393</v>
      </c>
    </row>
    <row r="3664" spans="1:17" x14ac:dyDescent="0.25">
      <c r="A3664" t="s">
        <v>4730</v>
      </c>
      <c r="B3664" t="s">
        <v>1044</v>
      </c>
      <c r="C3664">
        <v>2027</v>
      </c>
      <c r="D3664" t="s">
        <v>642</v>
      </c>
      <c r="E3664" t="s">
        <v>843</v>
      </c>
      <c r="F3664" s="32">
        <v>46479</v>
      </c>
      <c r="G3664" t="s">
        <v>514</v>
      </c>
      <c r="H3664">
        <v>47128169</v>
      </c>
      <c r="I3664" t="s">
        <v>1205</v>
      </c>
      <c r="J3664" t="s">
        <v>1204</v>
      </c>
      <c r="K3664" t="s">
        <v>530</v>
      </c>
      <c r="N3664">
        <v>0</v>
      </c>
      <c r="O3664">
        <v>0</v>
      </c>
      <c r="P3664" t="str">
        <f t="shared" si="57"/>
        <v>N</v>
      </c>
      <c r="Q3664" t="s">
        <v>9394</v>
      </c>
    </row>
    <row r="3665" spans="1:17" x14ac:dyDescent="0.25">
      <c r="A3665" t="s">
        <v>4731</v>
      </c>
      <c r="B3665" t="s">
        <v>1044</v>
      </c>
      <c r="C3665">
        <v>2027</v>
      </c>
      <c r="D3665" t="s">
        <v>642</v>
      </c>
      <c r="E3665" t="s">
        <v>843</v>
      </c>
      <c r="F3665" s="32">
        <v>46479</v>
      </c>
      <c r="G3665" t="s">
        <v>514</v>
      </c>
      <c r="H3665">
        <v>47128022</v>
      </c>
      <c r="I3665" t="s">
        <v>1104</v>
      </c>
      <c r="J3665" t="s">
        <v>1103</v>
      </c>
      <c r="K3665" t="s">
        <v>530</v>
      </c>
      <c r="N3665">
        <v>0</v>
      </c>
      <c r="O3665">
        <v>0</v>
      </c>
      <c r="P3665" t="str">
        <f t="shared" si="57"/>
        <v>N</v>
      </c>
      <c r="Q3665" t="s">
        <v>9395</v>
      </c>
    </row>
    <row r="3666" spans="1:17" x14ac:dyDescent="0.25">
      <c r="A3666" t="s">
        <v>4732</v>
      </c>
      <c r="B3666" t="s">
        <v>1044</v>
      </c>
      <c r="C3666">
        <v>2027</v>
      </c>
      <c r="D3666" t="s">
        <v>642</v>
      </c>
      <c r="E3666" t="s">
        <v>843</v>
      </c>
      <c r="F3666" s="32">
        <v>46479</v>
      </c>
      <c r="G3666" t="s">
        <v>514</v>
      </c>
      <c r="H3666">
        <v>47127948</v>
      </c>
      <c r="I3666" t="s">
        <v>1247</v>
      </c>
      <c r="J3666" t="s">
        <v>1246</v>
      </c>
      <c r="K3666" t="s">
        <v>530</v>
      </c>
      <c r="N3666">
        <v>0</v>
      </c>
      <c r="O3666">
        <v>0</v>
      </c>
      <c r="P3666" t="str">
        <f t="shared" si="57"/>
        <v>N</v>
      </c>
      <c r="Q3666" t="s">
        <v>9396</v>
      </c>
    </row>
    <row r="3667" spans="1:17" x14ac:dyDescent="0.25">
      <c r="A3667" t="s">
        <v>4733</v>
      </c>
      <c r="B3667" t="s">
        <v>1044</v>
      </c>
      <c r="C3667">
        <v>2027</v>
      </c>
      <c r="D3667" t="s">
        <v>642</v>
      </c>
      <c r="E3667" t="s">
        <v>843</v>
      </c>
      <c r="F3667" s="32">
        <v>46479</v>
      </c>
      <c r="G3667" t="s">
        <v>514</v>
      </c>
      <c r="H3667">
        <v>47129473</v>
      </c>
      <c r="I3667" t="s">
        <v>1430</v>
      </c>
      <c r="J3667" t="s">
        <v>1429</v>
      </c>
      <c r="K3667" t="s">
        <v>530</v>
      </c>
      <c r="N3667">
        <v>0</v>
      </c>
      <c r="O3667">
        <v>0</v>
      </c>
      <c r="P3667" t="str">
        <f t="shared" si="57"/>
        <v>N</v>
      </c>
      <c r="Q3667" t="s">
        <v>9397</v>
      </c>
    </row>
    <row r="3668" spans="1:17" x14ac:dyDescent="0.25">
      <c r="A3668" t="s">
        <v>4734</v>
      </c>
      <c r="B3668" t="s">
        <v>1044</v>
      </c>
      <c r="C3668">
        <v>2027</v>
      </c>
      <c r="D3668" t="s">
        <v>642</v>
      </c>
      <c r="E3668" t="s">
        <v>843</v>
      </c>
      <c r="F3668" s="32">
        <v>46479</v>
      </c>
      <c r="G3668" t="s">
        <v>514</v>
      </c>
      <c r="H3668">
        <v>47133720</v>
      </c>
      <c r="I3668" t="s">
        <v>1217</v>
      </c>
      <c r="J3668" t="s">
        <v>1216</v>
      </c>
      <c r="K3668" t="s">
        <v>530</v>
      </c>
      <c r="N3668">
        <v>0</v>
      </c>
      <c r="O3668">
        <v>0</v>
      </c>
      <c r="P3668" t="str">
        <f t="shared" si="57"/>
        <v>N</v>
      </c>
      <c r="Q3668" t="s">
        <v>9398</v>
      </c>
    </row>
    <row r="3669" spans="1:17" x14ac:dyDescent="0.25">
      <c r="A3669" t="s">
        <v>4735</v>
      </c>
      <c r="B3669" t="s">
        <v>1044</v>
      </c>
      <c r="C3669">
        <v>2027</v>
      </c>
      <c r="D3669" t="s">
        <v>642</v>
      </c>
      <c r="E3669" t="s">
        <v>843</v>
      </c>
      <c r="F3669" s="32">
        <v>46479</v>
      </c>
      <c r="G3669" t="s">
        <v>514</v>
      </c>
      <c r="H3669">
        <v>47128427</v>
      </c>
      <c r="I3669" t="s">
        <v>1112</v>
      </c>
      <c r="J3669" t="s">
        <v>1111</v>
      </c>
      <c r="K3669" t="s">
        <v>530</v>
      </c>
      <c r="N3669">
        <v>0</v>
      </c>
      <c r="O3669">
        <v>0</v>
      </c>
      <c r="P3669" t="str">
        <f t="shared" si="57"/>
        <v>N</v>
      </c>
      <c r="Q3669" t="s">
        <v>9399</v>
      </c>
    </row>
    <row r="3670" spans="1:17" x14ac:dyDescent="0.25">
      <c r="A3670" t="s">
        <v>4736</v>
      </c>
      <c r="B3670" t="s">
        <v>1044</v>
      </c>
      <c r="C3670">
        <v>2027</v>
      </c>
      <c r="D3670" t="s">
        <v>642</v>
      </c>
      <c r="E3670" t="s">
        <v>843</v>
      </c>
      <c r="F3670" s="32">
        <v>46479</v>
      </c>
      <c r="G3670" t="s">
        <v>514</v>
      </c>
      <c r="H3670">
        <v>47128513</v>
      </c>
      <c r="I3670" t="s">
        <v>1040</v>
      </c>
      <c r="J3670" t="s">
        <v>1039</v>
      </c>
      <c r="K3670" t="s">
        <v>530</v>
      </c>
      <c r="N3670">
        <v>0</v>
      </c>
      <c r="O3670">
        <v>0</v>
      </c>
      <c r="P3670" t="str">
        <f t="shared" si="57"/>
        <v>N</v>
      </c>
      <c r="Q3670" t="s">
        <v>9400</v>
      </c>
    </row>
    <row r="3671" spans="1:17" x14ac:dyDescent="0.25">
      <c r="A3671" t="s">
        <v>4737</v>
      </c>
      <c r="B3671" t="s">
        <v>1044</v>
      </c>
      <c r="C3671">
        <v>2027</v>
      </c>
      <c r="D3671" t="s">
        <v>642</v>
      </c>
      <c r="E3671" t="s">
        <v>843</v>
      </c>
      <c r="F3671" s="32">
        <v>46479</v>
      </c>
      <c r="G3671" t="s">
        <v>514</v>
      </c>
      <c r="H3671">
        <v>47128489</v>
      </c>
      <c r="I3671" t="s">
        <v>1116</v>
      </c>
      <c r="J3671" t="s">
        <v>1115</v>
      </c>
      <c r="K3671" t="s">
        <v>530</v>
      </c>
      <c r="N3671">
        <v>0</v>
      </c>
      <c r="O3671">
        <v>0</v>
      </c>
      <c r="P3671" t="str">
        <f t="shared" si="57"/>
        <v>N</v>
      </c>
      <c r="Q3671" t="s">
        <v>9401</v>
      </c>
    </row>
    <row r="3672" spans="1:17" x14ac:dyDescent="0.25">
      <c r="A3672" t="s">
        <v>4738</v>
      </c>
      <c r="B3672" t="s">
        <v>1044</v>
      </c>
      <c r="C3672">
        <v>2027</v>
      </c>
      <c r="D3672" t="s">
        <v>642</v>
      </c>
      <c r="E3672" t="s">
        <v>843</v>
      </c>
      <c r="F3672" s="32">
        <v>46479</v>
      </c>
      <c r="G3672" t="s">
        <v>514</v>
      </c>
      <c r="H3672">
        <v>47128429</v>
      </c>
      <c r="I3672" t="s">
        <v>1371</v>
      </c>
      <c r="J3672" t="s">
        <v>1370</v>
      </c>
      <c r="K3672" t="s">
        <v>530</v>
      </c>
      <c r="N3672">
        <v>0</v>
      </c>
      <c r="O3672">
        <v>0</v>
      </c>
      <c r="P3672" t="str">
        <f t="shared" si="57"/>
        <v>N</v>
      </c>
      <c r="Q3672" t="s">
        <v>9402</v>
      </c>
    </row>
    <row r="3673" spans="1:17" x14ac:dyDescent="0.25">
      <c r="A3673" t="s">
        <v>4739</v>
      </c>
      <c r="B3673" t="s">
        <v>1044</v>
      </c>
      <c r="C3673">
        <v>2027</v>
      </c>
      <c r="D3673" t="s">
        <v>642</v>
      </c>
      <c r="E3673" t="s">
        <v>843</v>
      </c>
      <c r="F3673" s="32">
        <v>46479</v>
      </c>
      <c r="G3673" t="s">
        <v>514</v>
      </c>
      <c r="H3673">
        <v>47128181</v>
      </c>
      <c r="I3673" t="s">
        <v>1301</v>
      </c>
      <c r="J3673" t="s">
        <v>1300</v>
      </c>
      <c r="K3673" t="s">
        <v>530</v>
      </c>
      <c r="N3673">
        <v>0</v>
      </c>
      <c r="O3673">
        <v>0</v>
      </c>
      <c r="P3673" t="str">
        <f t="shared" si="57"/>
        <v>N</v>
      </c>
      <c r="Q3673" t="s">
        <v>9403</v>
      </c>
    </row>
    <row r="3674" spans="1:17" x14ac:dyDescent="0.25">
      <c r="A3674" t="s">
        <v>5176</v>
      </c>
      <c r="B3674" t="s">
        <v>1090</v>
      </c>
      <c r="C3674">
        <v>2027</v>
      </c>
      <c r="D3674" t="s">
        <v>642</v>
      </c>
      <c r="E3674" t="s">
        <v>843</v>
      </c>
      <c r="F3674" s="32">
        <v>46479</v>
      </c>
      <c r="G3674" t="s">
        <v>514</v>
      </c>
      <c r="H3674">
        <v>47128939</v>
      </c>
      <c r="I3674" t="s">
        <v>1224</v>
      </c>
      <c r="J3674" t="s">
        <v>1223</v>
      </c>
      <c r="K3674" t="s">
        <v>530</v>
      </c>
      <c r="N3674">
        <v>0</v>
      </c>
      <c r="O3674">
        <v>0</v>
      </c>
      <c r="P3674" t="str">
        <f t="shared" si="57"/>
        <v>N</v>
      </c>
      <c r="Q3674" t="s">
        <v>9404</v>
      </c>
    </row>
    <row r="3675" spans="1:17" x14ac:dyDescent="0.25">
      <c r="A3675" t="s">
        <v>5177</v>
      </c>
      <c r="B3675" t="s">
        <v>1090</v>
      </c>
      <c r="C3675">
        <v>2027</v>
      </c>
      <c r="D3675" t="s">
        <v>642</v>
      </c>
      <c r="E3675" t="s">
        <v>843</v>
      </c>
      <c r="F3675" s="32">
        <v>46479</v>
      </c>
      <c r="G3675" t="s">
        <v>514</v>
      </c>
      <c r="H3675">
        <v>47128449</v>
      </c>
      <c r="I3675" t="s">
        <v>1364</v>
      </c>
      <c r="J3675" t="s">
        <v>1363</v>
      </c>
      <c r="K3675" t="s">
        <v>530</v>
      </c>
      <c r="N3675">
        <v>0</v>
      </c>
      <c r="O3675">
        <v>0</v>
      </c>
      <c r="P3675" t="str">
        <f t="shared" si="57"/>
        <v>N</v>
      </c>
      <c r="Q3675" t="s">
        <v>9405</v>
      </c>
    </row>
    <row r="3676" spans="1:17" x14ac:dyDescent="0.25">
      <c r="A3676" t="s">
        <v>5178</v>
      </c>
      <c r="B3676" t="s">
        <v>1090</v>
      </c>
      <c r="C3676">
        <v>2027</v>
      </c>
      <c r="D3676" t="s">
        <v>642</v>
      </c>
      <c r="E3676" t="s">
        <v>843</v>
      </c>
      <c r="F3676" s="32">
        <v>46479</v>
      </c>
      <c r="G3676" t="s">
        <v>514</v>
      </c>
      <c r="H3676">
        <v>47128902</v>
      </c>
      <c r="I3676" t="s">
        <v>1243</v>
      </c>
      <c r="J3676" t="s">
        <v>1242</v>
      </c>
      <c r="K3676" t="s">
        <v>530</v>
      </c>
      <c r="N3676">
        <v>0</v>
      </c>
      <c r="O3676">
        <v>0</v>
      </c>
      <c r="P3676" t="str">
        <f t="shared" si="57"/>
        <v>N</v>
      </c>
      <c r="Q3676" t="s">
        <v>9406</v>
      </c>
    </row>
    <row r="3677" spans="1:17" x14ac:dyDescent="0.25">
      <c r="A3677" t="s">
        <v>5179</v>
      </c>
      <c r="B3677" t="s">
        <v>1090</v>
      </c>
      <c r="C3677">
        <v>2027</v>
      </c>
      <c r="D3677" t="s">
        <v>642</v>
      </c>
      <c r="E3677" t="s">
        <v>843</v>
      </c>
      <c r="F3677" s="32">
        <v>46479</v>
      </c>
      <c r="G3677" t="s">
        <v>514</v>
      </c>
      <c r="H3677">
        <v>47128417</v>
      </c>
      <c r="I3677" t="s">
        <v>1069</v>
      </c>
      <c r="J3677" t="s">
        <v>1068</v>
      </c>
      <c r="K3677" t="s">
        <v>530</v>
      </c>
      <c r="N3677">
        <v>0</v>
      </c>
      <c r="O3677">
        <v>0</v>
      </c>
      <c r="P3677" t="str">
        <f t="shared" si="57"/>
        <v>N</v>
      </c>
      <c r="Q3677" t="s">
        <v>9407</v>
      </c>
    </row>
    <row r="3678" spans="1:17" x14ac:dyDescent="0.25">
      <c r="A3678" t="s">
        <v>5180</v>
      </c>
      <c r="B3678" t="s">
        <v>1090</v>
      </c>
      <c r="C3678">
        <v>2027</v>
      </c>
      <c r="D3678" t="s">
        <v>642</v>
      </c>
      <c r="E3678" t="s">
        <v>843</v>
      </c>
      <c r="F3678" s="32">
        <v>46479</v>
      </c>
      <c r="G3678" t="s">
        <v>514</v>
      </c>
      <c r="H3678">
        <v>47129017</v>
      </c>
      <c r="I3678" t="s">
        <v>1073</v>
      </c>
      <c r="J3678" t="s">
        <v>1072</v>
      </c>
      <c r="K3678" t="s">
        <v>530</v>
      </c>
      <c r="N3678">
        <v>0</v>
      </c>
      <c r="O3678">
        <v>0</v>
      </c>
      <c r="P3678" t="str">
        <f t="shared" si="57"/>
        <v>N</v>
      </c>
      <c r="Q3678" t="s">
        <v>9408</v>
      </c>
    </row>
    <row r="3679" spans="1:17" x14ac:dyDescent="0.25">
      <c r="A3679" t="s">
        <v>5181</v>
      </c>
      <c r="B3679" t="s">
        <v>1090</v>
      </c>
      <c r="C3679">
        <v>2027</v>
      </c>
      <c r="D3679" t="s">
        <v>642</v>
      </c>
      <c r="E3679" t="s">
        <v>843</v>
      </c>
      <c r="F3679" s="32">
        <v>46479</v>
      </c>
      <c r="G3679" t="s">
        <v>514</v>
      </c>
      <c r="H3679">
        <v>47128936</v>
      </c>
      <c r="I3679" t="s">
        <v>1173</v>
      </c>
      <c r="J3679" t="s">
        <v>1172</v>
      </c>
      <c r="K3679" t="s">
        <v>530</v>
      </c>
      <c r="N3679">
        <v>0</v>
      </c>
      <c r="O3679">
        <v>0</v>
      </c>
      <c r="P3679" t="str">
        <f t="shared" si="57"/>
        <v>N</v>
      </c>
      <c r="Q3679" t="s">
        <v>9409</v>
      </c>
    </row>
    <row r="3680" spans="1:17" x14ac:dyDescent="0.25">
      <c r="A3680" t="s">
        <v>5182</v>
      </c>
      <c r="B3680" t="s">
        <v>1090</v>
      </c>
      <c r="C3680">
        <v>2027</v>
      </c>
      <c r="D3680" t="s">
        <v>642</v>
      </c>
      <c r="E3680" t="s">
        <v>843</v>
      </c>
      <c r="F3680" s="32">
        <v>46479</v>
      </c>
      <c r="G3680" t="s">
        <v>514</v>
      </c>
      <c r="H3680">
        <v>47129715</v>
      </c>
      <c r="I3680" t="s">
        <v>1272</v>
      </c>
      <c r="J3680" t="s">
        <v>1271</v>
      </c>
      <c r="K3680" t="s">
        <v>530</v>
      </c>
      <c r="N3680">
        <v>0</v>
      </c>
      <c r="O3680">
        <v>0</v>
      </c>
      <c r="P3680" t="str">
        <f t="shared" si="57"/>
        <v>N</v>
      </c>
      <c r="Q3680" t="s">
        <v>9410</v>
      </c>
    </row>
    <row r="3681" spans="1:17" x14ac:dyDescent="0.25">
      <c r="A3681" t="s">
        <v>5183</v>
      </c>
      <c r="B3681" t="s">
        <v>1090</v>
      </c>
      <c r="C3681">
        <v>2027</v>
      </c>
      <c r="D3681" t="s">
        <v>642</v>
      </c>
      <c r="E3681" t="s">
        <v>843</v>
      </c>
      <c r="F3681" s="32">
        <v>46479</v>
      </c>
      <c r="G3681" t="s">
        <v>514</v>
      </c>
      <c r="H3681">
        <v>47129702</v>
      </c>
      <c r="I3681" t="s">
        <v>1309</v>
      </c>
      <c r="J3681" t="s">
        <v>1308</v>
      </c>
      <c r="K3681" t="s">
        <v>530</v>
      </c>
      <c r="N3681">
        <v>0</v>
      </c>
      <c r="O3681">
        <v>0</v>
      </c>
      <c r="P3681" t="str">
        <f t="shared" si="57"/>
        <v>N</v>
      </c>
      <c r="Q3681" t="s">
        <v>9411</v>
      </c>
    </row>
    <row r="3682" spans="1:17" x14ac:dyDescent="0.25">
      <c r="A3682" t="s">
        <v>5184</v>
      </c>
      <c r="B3682" t="s">
        <v>1090</v>
      </c>
      <c r="C3682">
        <v>2027</v>
      </c>
      <c r="D3682" t="s">
        <v>642</v>
      </c>
      <c r="E3682" t="s">
        <v>843</v>
      </c>
      <c r="F3682" s="32">
        <v>46479</v>
      </c>
      <c r="G3682" t="s">
        <v>514</v>
      </c>
      <c r="H3682">
        <v>47128777</v>
      </c>
      <c r="I3682" t="s">
        <v>1329</v>
      </c>
      <c r="J3682" t="s">
        <v>1328</v>
      </c>
      <c r="K3682" t="s">
        <v>530</v>
      </c>
      <c r="N3682">
        <v>0</v>
      </c>
      <c r="O3682">
        <v>0</v>
      </c>
      <c r="P3682" t="str">
        <f t="shared" si="57"/>
        <v>N</v>
      </c>
      <c r="Q3682" t="s">
        <v>9412</v>
      </c>
    </row>
    <row r="3683" spans="1:17" x14ac:dyDescent="0.25">
      <c r="A3683" t="s">
        <v>5185</v>
      </c>
      <c r="B3683" t="s">
        <v>1090</v>
      </c>
      <c r="C3683">
        <v>2027</v>
      </c>
      <c r="D3683" t="s">
        <v>642</v>
      </c>
      <c r="E3683" t="s">
        <v>843</v>
      </c>
      <c r="F3683" s="32">
        <v>46479</v>
      </c>
      <c r="G3683" t="s">
        <v>514</v>
      </c>
      <c r="H3683">
        <v>47148880</v>
      </c>
      <c r="I3683" t="s">
        <v>1305</v>
      </c>
      <c r="J3683" t="s">
        <v>1304</v>
      </c>
      <c r="K3683" t="s">
        <v>530</v>
      </c>
      <c r="N3683">
        <v>0</v>
      </c>
      <c r="O3683">
        <v>0</v>
      </c>
      <c r="P3683" t="str">
        <f t="shared" si="57"/>
        <v>N</v>
      </c>
      <c r="Q3683" t="s">
        <v>9413</v>
      </c>
    </row>
    <row r="3684" spans="1:17" x14ac:dyDescent="0.25">
      <c r="A3684" t="s">
        <v>5186</v>
      </c>
      <c r="B3684" t="s">
        <v>1090</v>
      </c>
      <c r="C3684">
        <v>2027</v>
      </c>
      <c r="D3684" t="s">
        <v>642</v>
      </c>
      <c r="E3684" t="s">
        <v>843</v>
      </c>
      <c r="F3684" s="32">
        <v>46479</v>
      </c>
      <c r="G3684" t="s">
        <v>514</v>
      </c>
      <c r="H3684">
        <v>47128467</v>
      </c>
      <c r="I3684" t="s">
        <v>1292</v>
      </c>
      <c r="J3684" t="s">
        <v>1291</v>
      </c>
      <c r="K3684" t="s">
        <v>530</v>
      </c>
      <c r="N3684">
        <v>0</v>
      </c>
      <c r="O3684">
        <v>0</v>
      </c>
      <c r="P3684" t="str">
        <f t="shared" si="57"/>
        <v>N</v>
      </c>
      <c r="Q3684" t="s">
        <v>9414</v>
      </c>
    </row>
    <row r="3685" spans="1:17" x14ac:dyDescent="0.25">
      <c r="A3685" t="s">
        <v>5187</v>
      </c>
      <c r="B3685" t="s">
        <v>1090</v>
      </c>
      <c r="C3685">
        <v>2027</v>
      </c>
      <c r="D3685" t="s">
        <v>642</v>
      </c>
      <c r="E3685" t="s">
        <v>843</v>
      </c>
      <c r="F3685" s="32">
        <v>46479</v>
      </c>
      <c r="G3685" t="s">
        <v>514</v>
      </c>
      <c r="H3685">
        <v>47128643</v>
      </c>
      <c r="I3685" t="s">
        <v>1367</v>
      </c>
      <c r="J3685" t="s">
        <v>1366</v>
      </c>
      <c r="K3685" t="s">
        <v>530</v>
      </c>
      <c r="N3685">
        <v>0</v>
      </c>
      <c r="O3685">
        <v>0</v>
      </c>
      <c r="P3685" t="str">
        <f t="shared" si="57"/>
        <v>N</v>
      </c>
      <c r="Q3685" t="s">
        <v>9415</v>
      </c>
    </row>
    <row r="3686" spans="1:17" x14ac:dyDescent="0.25">
      <c r="A3686" t="s">
        <v>5188</v>
      </c>
      <c r="B3686" t="s">
        <v>1090</v>
      </c>
      <c r="C3686">
        <v>2027</v>
      </c>
      <c r="D3686" t="s">
        <v>642</v>
      </c>
      <c r="E3686" t="s">
        <v>843</v>
      </c>
      <c r="F3686" s="32">
        <v>46479</v>
      </c>
      <c r="G3686" t="s">
        <v>514</v>
      </c>
      <c r="H3686">
        <v>47151576</v>
      </c>
      <c r="I3686" t="s">
        <v>1506</v>
      </c>
      <c r="J3686" t="s">
        <v>1505</v>
      </c>
      <c r="K3686" t="s">
        <v>530</v>
      </c>
      <c r="N3686">
        <v>39</v>
      </c>
      <c r="O3686">
        <v>39</v>
      </c>
      <c r="P3686" t="str">
        <f t="shared" si="57"/>
        <v>N</v>
      </c>
      <c r="Q3686" t="s">
        <v>9416</v>
      </c>
    </row>
    <row r="3687" spans="1:17" x14ac:dyDescent="0.25">
      <c r="A3687" t="s">
        <v>5189</v>
      </c>
      <c r="B3687" t="s">
        <v>1090</v>
      </c>
      <c r="C3687">
        <v>2027</v>
      </c>
      <c r="D3687" t="s">
        <v>642</v>
      </c>
      <c r="E3687" t="s">
        <v>843</v>
      </c>
      <c r="F3687" s="32">
        <v>46479</v>
      </c>
      <c r="G3687" t="s">
        <v>514</v>
      </c>
      <c r="H3687">
        <v>47129459</v>
      </c>
      <c r="I3687" t="s">
        <v>1321</v>
      </c>
      <c r="J3687" t="s">
        <v>1320</v>
      </c>
      <c r="K3687" t="s">
        <v>530</v>
      </c>
      <c r="N3687">
        <v>0</v>
      </c>
      <c r="O3687">
        <v>0</v>
      </c>
      <c r="P3687" t="str">
        <f t="shared" si="57"/>
        <v>N</v>
      </c>
      <c r="Q3687" t="s">
        <v>9417</v>
      </c>
    </row>
    <row r="3688" spans="1:17" x14ac:dyDescent="0.25">
      <c r="A3688" t="s">
        <v>5190</v>
      </c>
      <c r="B3688" t="s">
        <v>1090</v>
      </c>
      <c r="C3688">
        <v>2027</v>
      </c>
      <c r="D3688" t="s">
        <v>642</v>
      </c>
      <c r="E3688" t="s">
        <v>843</v>
      </c>
      <c r="F3688" s="32">
        <v>46479</v>
      </c>
      <c r="G3688" t="s">
        <v>514</v>
      </c>
      <c r="H3688">
        <v>47129130</v>
      </c>
      <c r="I3688" t="s">
        <v>1434</v>
      </c>
      <c r="J3688" t="s">
        <v>1433</v>
      </c>
      <c r="K3688" t="s">
        <v>530</v>
      </c>
      <c r="N3688">
        <v>0</v>
      </c>
      <c r="O3688">
        <v>0</v>
      </c>
      <c r="P3688" t="str">
        <f t="shared" si="57"/>
        <v>N</v>
      </c>
      <c r="Q3688" t="s">
        <v>9418</v>
      </c>
    </row>
    <row r="3689" spans="1:17" x14ac:dyDescent="0.25">
      <c r="A3689" t="s">
        <v>5191</v>
      </c>
      <c r="B3689" t="s">
        <v>1090</v>
      </c>
      <c r="C3689">
        <v>2027</v>
      </c>
      <c r="D3689" t="s">
        <v>642</v>
      </c>
      <c r="E3689" t="s">
        <v>843</v>
      </c>
      <c r="F3689" s="32">
        <v>46479</v>
      </c>
      <c r="G3689" t="s">
        <v>514</v>
      </c>
      <c r="H3689">
        <v>47129692</v>
      </c>
      <c r="I3689" t="s">
        <v>1475</v>
      </c>
      <c r="J3689" t="s">
        <v>1474</v>
      </c>
      <c r="K3689" t="s">
        <v>530</v>
      </c>
      <c r="N3689">
        <v>0</v>
      </c>
      <c r="O3689">
        <v>0</v>
      </c>
      <c r="P3689" t="str">
        <f t="shared" si="57"/>
        <v>N</v>
      </c>
      <c r="Q3689" t="s">
        <v>9419</v>
      </c>
    </row>
    <row r="3690" spans="1:17" x14ac:dyDescent="0.25">
      <c r="A3690" t="s">
        <v>5192</v>
      </c>
      <c r="B3690" t="s">
        <v>1090</v>
      </c>
      <c r="C3690">
        <v>2027</v>
      </c>
      <c r="D3690" t="s">
        <v>642</v>
      </c>
      <c r="E3690" t="s">
        <v>843</v>
      </c>
      <c r="F3690" s="32">
        <v>46479</v>
      </c>
      <c r="G3690" t="s">
        <v>514</v>
      </c>
      <c r="H3690">
        <v>47153262</v>
      </c>
      <c r="I3690" t="s">
        <v>1502</v>
      </c>
      <c r="J3690" t="s">
        <v>1501</v>
      </c>
      <c r="K3690" t="s">
        <v>530</v>
      </c>
      <c r="N3690">
        <v>0</v>
      </c>
      <c r="O3690">
        <v>0</v>
      </c>
      <c r="P3690" t="str">
        <f t="shared" si="57"/>
        <v>N</v>
      </c>
      <c r="Q3690" t="s">
        <v>9420</v>
      </c>
    </row>
    <row r="3691" spans="1:17" x14ac:dyDescent="0.25">
      <c r="A3691" t="s">
        <v>5193</v>
      </c>
      <c r="B3691" t="s">
        <v>1090</v>
      </c>
      <c r="C3691">
        <v>2027</v>
      </c>
      <c r="D3691" t="s">
        <v>642</v>
      </c>
      <c r="E3691" t="s">
        <v>843</v>
      </c>
      <c r="F3691" s="32">
        <v>46479</v>
      </c>
      <c r="G3691" t="s">
        <v>514</v>
      </c>
      <c r="H3691">
        <v>47146895</v>
      </c>
      <c r="I3691" t="s">
        <v>1375</v>
      </c>
      <c r="J3691" t="s">
        <v>1374</v>
      </c>
      <c r="K3691" t="s">
        <v>530</v>
      </c>
      <c r="N3691">
        <v>0</v>
      </c>
      <c r="O3691">
        <v>0</v>
      </c>
      <c r="P3691" t="str">
        <f t="shared" si="57"/>
        <v>N</v>
      </c>
      <c r="Q3691" t="s">
        <v>9421</v>
      </c>
    </row>
    <row r="3692" spans="1:17" x14ac:dyDescent="0.25">
      <c r="A3692" t="s">
        <v>5194</v>
      </c>
      <c r="B3692" t="s">
        <v>1090</v>
      </c>
      <c r="C3692">
        <v>2027</v>
      </c>
      <c r="D3692" t="s">
        <v>642</v>
      </c>
      <c r="E3692" t="s">
        <v>843</v>
      </c>
      <c r="F3692" s="32">
        <v>46479</v>
      </c>
      <c r="G3692" t="s">
        <v>514</v>
      </c>
      <c r="H3692">
        <v>47128115</v>
      </c>
      <c r="I3692" t="s">
        <v>1260</v>
      </c>
      <c r="J3692" t="s">
        <v>1499</v>
      </c>
      <c r="K3692" t="s">
        <v>530</v>
      </c>
      <c r="N3692">
        <v>0</v>
      </c>
      <c r="O3692">
        <v>0</v>
      </c>
      <c r="P3692" t="str">
        <f t="shared" si="57"/>
        <v>N</v>
      </c>
      <c r="Q3692" t="s">
        <v>9422</v>
      </c>
    </row>
    <row r="3693" spans="1:17" x14ac:dyDescent="0.25">
      <c r="A3693" t="s">
        <v>5195</v>
      </c>
      <c r="B3693" t="s">
        <v>1090</v>
      </c>
      <c r="C3693">
        <v>2027</v>
      </c>
      <c r="D3693" t="s">
        <v>642</v>
      </c>
      <c r="E3693" t="s">
        <v>843</v>
      </c>
      <c r="F3693" s="32">
        <v>46479</v>
      </c>
      <c r="G3693" t="s">
        <v>514</v>
      </c>
      <c r="H3693">
        <v>47129679</v>
      </c>
      <c r="I3693" t="s">
        <v>1422</v>
      </c>
      <c r="J3693" t="s">
        <v>1421</v>
      </c>
      <c r="K3693" t="s">
        <v>530</v>
      </c>
      <c r="N3693">
        <v>0</v>
      </c>
      <c r="O3693">
        <v>0</v>
      </c>
      <c r="P3693" t="str">
        <f t="shared" si="57"/>
        <v>N</v>
      </c>
      <c r="Q3693" t="s">
        <v>9423</v>
      </c>
    </row>
    <row r="3694" spans="1:17" x14ac:dyDescent="0.25">
      <c r="A3694" t="s">
        <v>5196</v>
      </c>
      <c r="B3694" t="s">
        <v>1090</v>
      </c>
      <c r="C3694">
        <v>2027</v>
      </c>
      <c r="D3694" t="s">
        <v>642</v>
      </c>
      <c r="E3694" t="s">
        <v>843</v>
      </c>
      <c r="F3694" s="32">
        <v>46479</v>
      </c>
      <c r="G3694" t="s">
        <v>514</v>
      </c>
      <c r="H3694">
        <v>47129432</v>
      </c>
      <c r="I3694" t="s">
        <v>1468</v>
      </c>
      <c r="J3694" t="s">
        <v>1467</v>
      </c>
      <c r="K3694" t="s">
        <v>530</v>
      </c>
      <c r="N3694">
        <v>0</v>
      </c>
      <c r="O3694">
        <v>0</v>
      </c>
      <c r="P3694" t="str">
        <f t="shared" si="57"/>
        <v>N</v>
      </c>
      <c r="Q3694" t="s">
        <v>9424</v>
      </c>
    </row>
    <row r="3695" spans="1:17" x14ac:dyDescent="0.25">
      <c r="A3695" t="s">
        <v>5197</v>
      </c>
      <c r="B3695" t="s">
        <v>1090</v>
      </c>
      <c r="C3695">
        <v>2027</v>
      </c>
      <c r="D3695" t="s">
        <v>642</v>
      </c>
      <c r="E3695" t="s">
        <v>843</v>
      </c>
      <c r="F3695" s="32">
        <v>46479</v>
      </c>
      <c r="G3695" t="s">
        <v>514</v>
      </c>
      <c r="H3695">
        <v>47129050</v>
      </c>
      <c r="I3695" t="s">
        <v>1482</v>
      </c>
      <c r="J3695" t="s">
        <v>1481</v>
      </c>
      <c r="K3695" t="s">
        <v>530</v>
      </c>
      <c r="N3695">
        <v>0</v>
      </c>
      <c r="O3695">
        <v>0</v>
      </c>
      <c r="P3695" t="str">
        <f t="shared" si="57"/>
        <v>N</v>
      </c>
      <c r="Q3695" t="s">
        <v>9425</v>
      </c>
    </row>
    <row r="3696" spans="1:17" x14ac:dyDescent="0.25">
      <c r="A3696" t="s">
        <v>5413</v>
      </c>
      <c r="B3696" t="s">
        <v>1089</v>
      </c>
      <c r="C3696">
        <v>2027</v>
      </c>
      <c r="D3696" t="s">
        <v>642</v>
      </c>
      <c r="E3696" t="s">
        <v>843</v>
      </c>
      <c r="F3696" s="32">
        <v>46479</v>
      </c>
      <c r="G3696" t="s">
        <v>514</v>
      </c>
      <c r="H3696">
        <v>47128781</v>
      </c>
      <c r="I3696" t="s">
        <v>1251</v>
      </c>
      <c r="J3696" t="s">
        <v>1250</v>
      </c>
      <c r="K3696" t="s">
        <v>530</v>
      </c>
      <c r="N3696">
        <v>0</v>
      </c>
      <c r="O3696">
        <v>0</v>
      </c>
      <c r="P3696" t="str">
        <f t="shared" si="57"/>
        <v>N</v>
      </c>
      <c r="Q3696" t="s">
        <v>9426</v>
      </c>
    </row>
    <row r="3697" spans="1:17" x14ac:dyDescent="0.25">
      <c r="A3697" t="s">
        <v>5414</v>
      </c>
      <c r="B3697" t="s">
        <v>1089</v>
      </c>
      <c r="C3697">
        <v>2027</v>
      </c>
      <c r="D3697" t="s">
        <v>642</v>
      </c>
      <c r="E3697" t="s">
        <v>843</v>
      </c>
      <c r="F3697" s="32">
        <v>46479</v>
      </c>
      <c r="G3697" t="s">
        <v>514</v>
      </c>
      <c r="H3697">
        <v>47128046</v>
      </c>
      <c r="I3697" t="s">
        <v>1389</v>
      </c>
      <c r="J3697" t="s">
        <v>1388</v>
      </c>
      <c r="K3697" t="s">
        <v>530</v>
      </c>
      <c r="N3697">
        <v>20</v>
      </c>
      <c r="O3697">
        <v>20</v>
      </c>
      <c r="P3697" t="str">
        <f t="shared" si="57"/>
        <v>N</v>
      </c>
      <c r="Q3697" t="s">
        <v>9427</v>
      </c>
    </row>
    <row r="3698" spans="1:17" x14ac:dyDescent="0.25">
      <c r="A3698" t="s">
        <v>5415</v>
      </c>
      <c r="B3698" t="s">
        <v>1089</v>
      </c>
      <c r="C3698">
        <v>2027</v>
      </c>
      <c r="D3698" t="s">
        <v>642</v>
      </c>
      <c r="E3698" t="s">
        <v>843</v>
      </c>
      <c r="F3698" s="32">
        <v>46479</v>
      </c>
      <c r="G3698" t="s">
        <v>514</v>
      </c>
      <c r="H3698">
        <v>47128364</v>
      </c>
      <c r="I3698" t="s">
        <v>1264</v>
      </c>
      <c r="J3698" t="s">
        <v>1263</v>
      </c>
      <c r="K3698" t="s">
        <v>530</v>
      </c>
      <c r="N3698">
        <v>0</v>
      </c>
      <c r="O3698">
        <v>0</v>
      </c>
      <c r="P3698" t="str">
        <f t="shared" si="57"/>
        <v>N</v>
      </c>
      <c r="Q3698" t="s">
        <v>9428</v>
      </c>
    </row>
    <row r="3699" spans="1:17" x14ac:dyDescent="0.25">
      <c r="A3699" t="s">
        <v>5416</v>
      </c>
      <c r="B3699" t="s">
        <v>1089</v>
      </c>
      <c r="C3699">
        <v>2027</v>
      </c>
      <c r="D3699" t="s">
        <v>642</v>
      </c>
      <c r="E3699" t="s">
        <v>843</v>
      </c>
      <c r="F3699" s="32">
        <v>46479</v>
      </c>
      <c r="G3699" t="s">
        <v>514</v>
      </c>
      <c r="H3699">
        <v>47128706</v>
      </c>
      <c r="I3699" t="s">
        <v>1201</v>
      </c>
      <c r="J3699" t="s">
        <v>1200</v>
      </c>
      <c r="K3699" t="s">
        <v>530</v>
      </c>
      <c r="N3699">
        <v>0</v>
      </c>
      <c r="O3699">
        <v>0</v>
      </c>
      <c r="P3699" t="str">
        <f t="shared" si="57"/>
        <v>N</v>
      </c>
      <c r="Q3699" t="s">
        <v>9429</v>
      </c>
    </row>
    <row r="3700" spans="1:17" x14ac:dyDescent="0.25">
      <c r="A3700" t="s">
        <v>5417</v>
      </c>
      <c r="B3700" t="s">
        <v>1089</v>
      </c>
      <c r="C3700">
        <v>2027</v>
      </c>
      <c r="D3700" t="s">
        <v>642</v>
      </c>
      <c r="E3700" t="s">
        <v>843</v>
      </c>
      <c r="F3700" s="32">
        <v>46479</v>
      </c>
      <c r="G3700" t="s">
        <v>514</v>
      </c>
      <c r="H3700">
        <v>47128633</v>
      </c>
      <c r="I3700" t="s">
        <v>1164</v>
      </c>
      <c r="J3700" t="s">
        <v>1163</v>
      </c>
      <c r="K3700" t="s">
        <v>530</v>
      </c>
      <c r="N3700">
        <v>40</v>
      </c>
      <c r="O3700">
        <v>40</v>
      </c>
      <c r="P3700" t="str">
        <f t="shared" si="57"/>
        <v>N</v>
      </c>
      <c r="Q3700" t="s">
        <v>9430</v>
      </c>
    </row>
    <row r="3701" spans="1:17" x14ac:dyDescent="0.25">
      <c r="A3701" t="s">
        <v>5418</v>
      </c>
      <c r="B3701" t="s">
        <v>1089</v>
      </c>
      <c r="C3701">
        <v>2027</v>
      </c>
      <c r="D3701" t="s">
        <v>642</v>
      </c>
      <c r="E3701" t="s">
        <v>843</v>
      </c>
      <c r="F3701" s="32">
        <v>46479</v>
      </c>
      <c r="G3701" t="s">
        <v>514</v>
      </c>
      <c r="H3701">
        <v>47129548</v>
      </c>
      <c r="I3701" t="s">
        <v>1340</v>
      </c>
      <c r="J3701" t="s">
        <v>1339</v>
      </c>
      <c r="K3701" t="s">
        <v>530</v>
      </c>
      <c r="N3701">
        <v>0</v>
      </c>
      <c r="O3701">
        <v>0</v>
      </c>
      <c r="P3701" t="str">
        <f t="shared" si="57"/>
        <v>N</v>
      </c>
      <c r="Q3701" t="s">
        <v>9431</v>
      </c>
    </row>
    <row r="3702" spans="1:17" x14ac:dyDescent="0.25">
      <c r="A3702" t="s">
        <v>5419</v>
      </c>
      <c r="B3702" t="s">
        <v>1089</v>
      </c>
      <c r="C3702">
        <v>2027</v>
      </c>
      <c r="D3702" t="s">
        <v>642</v>
      </c>
      <c r="E3702" t="s">
        <v>843</v>
      </c>
      <c r="F3702" s="32">
        <v>46479</v>
      </c>
      <c r="G3702" t="s">
        <v>514</v>
      </c>
      <c r="H3702">
        <v>47128835</v>
      </c>
      <c r="I3702" t="s">
        <v>998</v>
      </c>
      <c r="J3702" t="s">
        <v>997</v>
      </c>
      <c r="K3702" t="s">
        <v>530</v>
      </c>
      <c r="N3702">
        <v>0</v>
      </c>
      <c r="O3702">
        <v>0</v>
      </c>
      <c r="P3702" t="str">
        <f t="shared" si="57"/>
        <v>N</v>
      </c>
      <c r="Q3702" t="s">
        <v>9432</v>
      </c>
    </row>
    <row r="3703" spans="1:17" x14ac:dyDescent="0.25">
      <c r="A3703" t="s">
        <v>5420</v>
      </c>
      <c r="B3703" t="s">
        <v>1089</v>
      </c>
      <c r="C3703">
        <v>2027</v>
      </c>
      <c r="D3703" t="s">
        <v>642</v>
      </c>
      <c r="E3703" t="s">
        <v>843</v>
      </c>
      <c r="F3703" s="32">
        <v>46479</v>
      </c>
      <c r="G3703" t="s">
        <v>514</v>
      </c>
      <c r="H3703">
        <v>47128788</v>
      </c>
      <c r="I3703" t="s">
        <v>4188</v>
      </c>
      <c r="J3703" t="s">
        <v>4189</v>
      </c>
      <c r="K3703" t="s">
        <v>530</v>
      </c>
      <c r="N3703">
        <v>0</v>
      </c>
      <c r="O3703">
        <v>0</v>
      </c>
      <c r="P3703" t="str">
        <f t="shared" si="57"/>
        <v>N</v>
      </c>
      <c r="Q3703" t="s">
        <v>9433</v>
      </c>
    </row>
    <row r="3704" spans="1:17" x14ac:dyDescent="0.25">
      <c r="A3704" t="s">
        <v>5421</v>
      </c>
      <c r="B3704" t="s">
        <v>1089</v>
      </c>
      <c r="C3704">
        <v>2027</v>
      </c>
      <c r="D3704" t="s">
        <v>642</v>
      </c>
      <c r="E3704" t="s">
        <v>843</v>
      </c>
      <c r="F3704" s="32">
        <v>46479</v>
      </c>
      <c r="G3704" t="s">
        <v>514</v>
      </c>
      <c r="H3704">
        <v>47136348</v>
      </c>
      <c r="I3704" t="s">
        <v>1025</v>
      </c>
      <c r="J3704" t="s">
        <v>1024</v>
      </c>
      <c r="K3704" t="s">
        <v>530</v>
      </c>
      <c r="N3704">
        <v>0</v>
      </c>
      <c r="O3704">
        <v>0</v>
      </c>
      <c r="P3704" t="str">
        <f t="shared" si="57"/>
        <v>N</v>
      </c>
      <c r="Q3704" t="s">
        <v>9434</v>
      </c>
    </row>
    <row r="3705" spans="1:17" x14ac:dyDescent="0.25">
      <c r="A3705" t="s">
        <v>5422</v>
      </c>
      <c r="B3705" t="s">
        <v>1089</v>
      </c>
      <c r="C3705">
        <v>2027</v>
      </c>
      <c r="D3705" t="s">
        <v>642</v>
      </c>
      <c r="E3705" t="s">
        <v>843</v>
      </c>
      <c r="F3705" s="32">
        <v>46479</v>
      </c>
      <c r="G3705" t="s">
        <v>514</v>
      </c>
      <c r="H3705">
        <v>47135083</v>
      </c>
      <c r="I3705" t="s">
        <v>4192</v>
      </c>
      <c r="J3705" t="s">
        <v>4193</v>
      </c>
      <c r="K3705" t="s">
        <v>530</v>
      </c>
      <c r="N3705">
        <v>0</v>
      </c>
      <c r="O3705">
        <v>0</v>
      </c>
      <c r="P3705" t="str">
        <f t="shared" si="57"/>
        <v>N</v>
      </c>
      <c r="Q3705" t="s">
        <v>9435</v>
      </c>
    </row>
    <row r="3706" spans="1:17" x14ac:dyDescent="0.25">
      <c r="A3706" t="s">
        <v>5423</v>
      </c>
      <c r="B3706" t="s">
        <v>1089</v>
      </c>
      <c r="C3706">
        <v>2027</v>
      </c>
      <c r="D3706" t="s">
        <v>642</v>
      </c>
      <c r="E3706" t="s">
        <v>843</v>
      </c>
      <c r="F3706" s="32">
        <v>46479</v>
      </c>
      <c r="G3706" t="s">
        <v>514</v>
      </c>
      <c r="H3706">
        <v>47128515</v>
      </c>
      <c r="I3706" t="s">
        <v>1185</v>
      </c>
      <c r="J3706" t="s">
        <v>1184</v>
      </c>
      <c r="K3706" t="s">
        <v>530</v>
      </c>
      <c r="N3706">
        <v>0</v>
      </c>
      <c r="O3706">
        <v>0</v>
      </c>
      <c r="P3706" t="str">
        <f t="shared" si="57"/>
        <v>N</v>
      </c>
      <c r="Q3706" t="s">
        <v>9436</v>
      </c>
    </row>
    <row r="3707" spans="1:17" x14ac:dyDescent="0.25">
      <c r="A3707" t="s">
        <v>5424</v>
      </c>
      <c r="B3707" t="s">
        <v>1089</v>
      </c>
      <c r="C3707">
        <v>2027</v>
      </c>
      <c r="D3707" t="s">
        <v>642</v>
      </c>
      <c r="E3707" t="s">
        <v>843</v>
      </c>
      <c r="F3707" s="32">
        <v>46479</v>
      </c>
      <c r="G3707" t="s">
        <v>514</v>
      </c>
      <c r="H3707">
        <v>47128472</v>
      </c>
      <c r="I3707" t="s">
        <v>995</v>
      </c>
      <c r="J3707" t="s">
        <v>994</v>
      </c>
      <c r="K3707" t="s">
        <v>530</v>
      </c>
      <c r="N3707">
        <v>0</v>
      </c>
      <c r="O3707">
        <v>0</v>
      </c>
      <c r="P3707" t="str">
        <f t="shared" si="57"/>
        <v>N</v>
      </c>
      <c r="Q3707" t="s">
        <v>9437</v>
      </c>
    </row>
    <row r="3708" spans="1:17" x14ac:dyDescent="0.25">
      <c r="A3708" t="s">
        <v>5425</v>
      </c>
      <c r="B3708" t="s">
        <v>1089</v>
      </c>
      <c r="C3708">
        <v>2027</v>
      </c>
      <c r="D3708" t="s">
        <v>642</v>
      </c>
      <c r="E3708" t="s">
        <v>843</v>
      </c>
      <c r="F3708" s="32">
        <v>46479</v>
      </c>
      <c r="G3708" t="s">
        <v>514</v>
      </c>
      <c r="H3708">
        <v>47128202</v>
      </c>
      <c r="I3708" t="s">
        <v>967</v>
      </c>
      <c r="J3708" t="s">
        <v>966</v>
      </c>
      <c r="K3708" t="s">
        <v>530</v>
      </c>
      <c r="N3708">
        <v>0</v>
      </c>
      <c r="O3708">
        <v>0</v>
      </c>
      <c r="P3708" t="str">
        <f t="shared" si="57"/>
        <v>N</v>
      </c>
      <c r="Q3708" t="s">
        <v>9438</v>
      </c>
    </row>
    <row r="3709" spans="1:17" x14ac:dyDescent="0.25">
      <c r="A3709" t="s">
        <v>5426</v>
      </c>
      <c r="B3709" t="s">
        <v>1089</v>
      </c>
      <c r="C3709">
        <v>2027</v>
      </c>
      <c r="D3709" t="s">
        <v>642</v>
      </c>
      <c r="E3709" t="s">
        <v>843</v>
      </c>
      <c r="F3709" s="32">
        <v>46479</v>
      </c>
      <c r="G3709" t="s">
        <v>514</v>
      </c>
      <c r="H3709">
        <v>47128132</v>
      </c>
      <c r="I3709" t="s">
        <v>4429</v>
      </c>
      <c r="J3709" t="s">
        <v>4430</v>
      </c>
      <c r="K3709" t="s">
        <v>530</v>
      </c>
      <c r="N3709">
        <v>0</v>
      </c>
      <c r="O3709">
        <v>0</v>
      </c>
      <c r="P3709" t="str">
        <f t="shared" si="57"/>
        <v>N</v>
      </c>
      <c r="Q3709" t="s">
        <v>9439</v>
      </c>
    </row>
    <row r="3710" spans="1:17" x14ac:dyDescent="0.25">
      <c r="A3710" t="s">
        <v>5427</v>
      </c>
      <c r="B3710" t="s">
        <v>1089</v>
      </c>
      <c r="C3710">
        <v>2027</v>
      </c>
      <c r="D3710" t="s">
        <v>642</v>
      </c>
      <c r="E3710" t="s">
        <v>843</v>
      </c>
      <c r="F3710" s="32">
        <v>46479</v>
      </c>
      <c r="G3710" t="s">
        <v>514</v>
      </c>
      <c r="H3710">
        <v>47127971</v>
      </c>
      <c r="I3710" t="s">
        <v>991</v>
      </c>
      <c r="J3710" t="s">
        <v>990</v>
      </c>
      <c r="K3710" t="s">
        <v>530</v>
      </c>
      <c r="N3710">
        <v>0</v>
      </c>
      <c r="O3710">
        <v>0</v>
      </c>
      <c r="P3710" t="str">
        <f t="shared" si="57"/>
        <v>N</v>
      </c>
      <c r="Q3710" t="s">
        <v>9440</v>
      </c>
    </row>
    <row r="3711" spans="1:17" x14ac:dyDescent="0.25">
      <c r="A3711" t="s">
        <v>5656</v>
      </c>
      <c r="B3711" t="s">
        <v>5437</v>
      </c>
      <c r="C3711">
        <v>2027</v>
      </c>
      <c r="D3711" t="s">
        <v>642</v>
      </c>
      <c r="E3711" t="s">
        <v>843</v>
      </c>
      <c r="F3711" s="32">
        <v>46479</v>
      </c>
      <c r="G3711" t="s">
        <v>514</v>
      </c>
      <c r="H3711">
        <v>47128781</v>
      </c>
      <c r="I3711" t="s">
        <v>1251</v>
      </c>
      <c r="J3711" t="s">
        <v>1250</v>
      </c>
      <c r="K3711" t="s">
        <v>530</v>
      </c>
      <c r="N3711">
        <v>0</v>
      </c>
      <c r="O3711">
        <v>0</v>
      </c>
      <c r="P3711" t="str">
        <f t="shared" si="57"/>
        <v>N</v>
      </c>
      <c r="Q3711" t="s">
        <v>9441</v>
      </c>
    </row>
    <row r="3712" spans="1:17" x14ac:dyDescent="0.25">
      <c r="A3712" t="s">
        <v>5657</v>
      </c>
      <c r="B3712" t="s">
        <v>5437</v>
      </c>
      <c r="C3712">
        <v>2027</v>
      </c>
      <c r="D3712" t="s">
        <v>642</v>
      </c>
      <c r="E3712" t="s">
        <v>843</v>
      </c>
      <c r="F3712" s="32">
        <v>46479</v>
      </c>
      <c r="G3712" t="s">
        <v>514</v>
      </c>
      <c r="H3712">
        <v>47128481</v>
      </c>
      <c r="I3712" t="s">
        <v>1379</v>
      </c>
      <c r="J3712" t="s">
        <v>1378</v>
      </c>
      <c r="K3712" t="s">
        <v>530</v>
      </c>
      <c r="N3712">
        <v>0</v>
      </c>
      <c r="O3712">
        <v>0</v>
      </c>
      <c r="P3712" t="str">
        <f t="shared" si="57"/>
        <v>N</v>
      </c>
      <c r="Q3712" t="s">
        <v>9442</v>
      </c>
    </row>
    <row r="3713" spans="1:17" x14ac:dyDescent="0.25">
      <c r="A3713" t="s">
        <v>5658</v>
      </c>
      <c r="B3713" t="s">
        <v>5437</v>
      </c>
      <c r="C3713">
        <v>2027</v>
      </c>
      <c r="D3713" t="s">
        <v>642</v>
      </c>
      <c r="E3713" t="s">
        <v>843</v>
      </c>
      <c r="F3713" s="32">
        <v>46479</v>
      </c>
      <c r="G3713" t="s">
        <v>514</v>
      </c>
      <c r="H3713">
        <v>47128572</v>
      </c>
      <c r="I3713" t="s">
        <v>1197</v>
      </c>
      <c r="J3713" t="s">
        <v>1196</v>
      </c>
      <c r="K3713" t="s">
        <v>530</v>
      </c>
      <c r="N3713">
        <v>0</v>
      </c>
      <c r="O3713">
        <v>0</v>
      </c>
      <c r="P3713" t="str">
        <f t="shared" si="57"/>
        <v>N</v>
      </c>
      <c r="Q3713" t="s">
        <v>9443</v>
      </c>
    </row>
    <row r="3714" spans="1:17" x14ac:dyDescent="0.25">
      <c r="A3714" t="s">
        <v>5659</v>
      </c>
      <c r="B3714" t="s">
        <v>5437</v>
      </c>
      <c r="C3714">
        <v>2027</v>
      </c>
      <c r="D3714" t="s">
        <v>642</v>
      </c>
      <c r="E3714" t="s">
        <v>843</v>
      </c>
      <c r="F3714" s="32">
        <v>46479</v>
      </c>
      <c r="G3714" t="s">
        <v>514</v>
      </c>
      <c r="H3714">
        <v>47128482</v>
      </c>
      <c r="I3714" t="s">
        <v>1393</v>
      </c>
      <c r="J3714" t="s">
        <v>1392</v>
      </c>
      <c r="K3714" t="s">
        <v>530</v>
      </c>
      <c r="N3714">
        <v>0</v>
      </c>
      <c r="O3714">
        <v>0</v>
      </c>
      <c r="P3714" t="str">
        <f t="shared" si="57"/>
        <v>N</v>
      </c>
      <c r="Q3714" t="s">
        <v>9444</v>
      </c>
    </row>
    <row r="3715" spans="1:17" x14ac:dyDescent="0.25">
      <c r="A3715" t="s">
        <v>5660</v>
      </c>
      <c r="B3715" t="s">
        <v>5437</v>
      </c>
      <c r="C3715">
        <v>2027</v>
      </c>
      <c r="D3715" t="s">
        <v>642</v>
      </c>
      <c r="E3715" t="s">
        <v>843</v>
      </c>
      <c r="F3715" s="32">
        <v>46479</v>
      </c>
      <c r="G3715" t="s">
        <v>514</v>
      </c>
      <c r="H3715">
        <v>47128336</v>
      </c>
      <c r="I3715" t="s">
        <v>1161</v>
      </c>
      <c r="J3715" t="s">
        <v>1160</v>
      </c>
      <c r="K3715" t="s">
        <v>530</v>
      </c>
      <c r="N3715">
        <v>0</v>
      </c>
      <c r="O3715">
        <v>0</v>
      </c>
      <c r="P3715" t="str">
        <f t="shared" ref="P3715:P3778" si="58">IF(N3715=O3715,"N","Y")</f>
        <v>N</v>
      </c>
      <c r="Q3715" t="s">
        <v>9445</v>
      </c>
    </row>
    <row r="3716" spans="1:17" x14ac:dyDescent="0.25">
      <c r="A3716" t="s">
        <v>5661</v>
      </c>
      <c r="B3716" t="s">
        <v>5437</v>
      </c>
      <c r="C3716">
        <v>2027</v>
      </c>
      <c r="D3716" t="s">
        <v>642</v>
      </c>
      <c r="E3716" t="s">
        <v>843</v>
      </c>
      <c r="F3716" s="32">
        <v>46479</v>
      </c>
      <c r="G3716" t="s">
        <v>514</v>
      </c>
      <c r="H3716">
        <v>47128337</v>
      </c>
      <c r="I3716" t="s">
        <v>1120</v>
      </c>
      <c r="J3716" t="s">
        <v>1119</v>
      </c>
      <c r="K3716" t="s">
        <v>530</v>
      </c>
      <c r="N3716">
        <v>20</v>
      </c>
      <c r="O3716">
        <v>20</v>
      </c>
      <c r="P3716" t="str">
        <f t="shared" si="58"/>
        <v>N</v>
      </c>
      <c r="Q3716" t="s">
        <v>9446</v>
      </c>
    </row>
    <row r="3717" spans="1:17" x14ac:dyDescent="0.25">
      <c r="A3717" t="s">
        <v>5662</v>
      </c>
      <c r="B3717" t="s">
        <v>5437</v>
      </c>
      <c r="C3717">
        <v>2027</v>
      </c>
      <c r="D3717" t="s">
        <v>642</v>
      </c>
      <c r="E3717" t="s">
        <v>843</v>
      </c>
      <c r="F3717" s="32">
        <v>46479</v>
      </c>
      <c r="G3717" t="s">
        <v>514</v>
      </c>
      <c r="H3717">
        <v>47136340</v>
      </c>
      <c r="I3717" t="s">
        <v>1213</v>
      </c>
      <c r="J3717" t="s">
        <v>1212</v>
      </c>
      <c r="K3717" t="s">
        <v>530</v>
      </c>
      <c r="N3717">
        <v>0</v>
      </c>
      <c r="O3717">
        <v>0</v>
      </c>
      <c r="P3717" t="str">
        <f t="shared" si="58"/>
        <v>N</v>
      </c>
      <c r="Q3717" t="s">
        <v>9447</v>
      </c>
    </row>
    <row r="3718" spans="1:17" x14ac:dyDescent="0.25">
      <c r="A3718" t="s">
        <v>5663</v>
      </c>
      <c r="B3718" t="s">
        <v>5437</v>
      </c>
      <c r="C3718">
        <v>2027</v>
      </c>
      <c r="D3718" t="s">
        <v>642</v>
      </c>
      <c r="E3718" t="s">
        <v>843</v>
      </c>
      <c r="F3718" s="32">
        <v>46479</v>
      </c>
      <c r="G3718" t="s">
        <v>514</v>
      </c>
      <c r="H3718">
        <v>47128169</v>
      </c>
      <c r="I3718" t="s">
        <v>1205</v>
      </c>
      <c r="J3718" t="s">
        <v>1204</v>
      </c>
      <c r="K3718" t="s">
        <v>530</v>
      </c>
      <c r="N3718">
        <v>0</v>
      </c>
      <c r="O3718">
        <v>0</v>
      </c>
      <c r="P3718" t="str">
        <f t="shared" si="58"/>
        <v>N</v>
      </c>
      <c r="Q3718" t="s">
        <v>9448</v>
      </c>
    </row>
    <row r="3719" spans="1:17" x14ac:dyDescent="0.25">
      <c r="A3719" t="s">
        <v>5664</v>
      </c>
      <c r="B3719" t="s">
        <v>5437</v>
      </c>
      <c r="C3719">
        <v>2027</v>
      </c>
      <c r="D3719" t="s">
        <v>642</v>
      </c>
      <c r="E3719" t="s">
        <v>843</v>
      </c>
      <c r="F3719" s="32">
        <v>46479</v>
      </c>
      <c r="G3719" t="s">
        <v>514</v>
      </c>
      <c r="H3719">
        <v>47128022</v>
      </c>
      <c r="I3719" t="s">
        <v>1104</v>
      </c>
      <c r="J3719" t="s">
        <v>1103</v>
      </c>
      <c r="K3719" t="s">
        <v>530</v>
      </c>
      <c r="N3719">
        <v>0</v>
      </c>
      <c r="O3719">
        <v>0</v>
      </c>
      <c r="P3719" t="str">
        <f t="shared" si="58"/>
        <v>N</v>
      </c>
      <c r="Q3719" t="s">
        <v>9449</v>
      </c>
    </row>
    <row r="3720" spans="1:17" x14ac:dyDescent="0.25">
      <c r="A3720" t="s">
        <v>5665</v>
      </c>
      <c r="B3720" t="s">
        <v>5437</v>
      </c>
      <c r="C3720">
        <v>2027</v>
      </c>
      <c r="D3720" t="s">
        <v>642</v>
      </c>
      <c r="E3720" t="s">
        <v>843</v>
      </c>
      <c r="F3720" s="32">
        <v>46479</v>
      </c>
      <c r="G3720" t="s">
        <v>514</v>
      </c>
      <c r="H3720">
        <v>47127948</v>
      </c>
      <c r="I3720" t="s">
        <v>1247</v>
      </c>
      <c r="J3720" t="s">
        <v>1246</v>
      </c>
      <c r="K3720" t="s">
        <v>530</v>
      </c>
      <c r="N3720">
        <v>0</v>
      </c>
      <c r="O3720">
        <v>0</v>
      </c>
      <c r="P3720" t="str">
        <f t="shared" si="58"/>
        <v>N</v>
      </c>
      <c r="Q3720" t="s">
        <v>9450</v>
      </c>
    </row>
    <row r="3721" spans="1:17" x14ac:dyDescent="0.25">
      <c r="A3721" t="s">
        <v>5666</v>
      </c>
      <c r="B3721" t="s">
        <v>5437</v>
      </c>
      <c r="C3721">
        <v>2027</v>
      </c>
      <c r="D3721" t="s">
        <v>642</v>
      </c>
      <c r="E3721" t="s">
        <v>843</v>
      </c>
      <c r="F3721" s="32">
        <v>46479</v>
      </c>
      <c r="G3721" t="s">
        <v>514</v>
      </c>
      <c r="H3721">
        <v>47129473</v>
      </c>
      <c r="I3721" t="s">
        <v>1430</v>
      </c>
      <c r="J3721" t="s">
        <v>1429</v>
      </c>
      <c r="K3721" t="s">
        <v>530</v>
      </c>
      <c r="N3721">
        <v>8</v>
      </c>
      <c r="O3721">
        <v>8</v>
      </c>
      <c r="P3721" t="str">
        <f t="shared" si="58"/>
        <v>N</v>
      </c>
      <c r="Q3721" t="s">
        <v>9451</v>
      </c>
    </row>
    <row r="3722" spans="1:17" x14ac:dyDescent="0.25">
      <c r="A3722" t="s">
        <v>5667</v>
      </c>
      <c r="B3722" t="s">
        <v>5437</v>
      </c>
      <c r="C3722">
        <v>2027</v>
      </c>
      <c r="D3722" t="s">
        <v>642</v>
      </c>
      <c r="E3722" t="s">
        <v>843</v>
      </c>
      <c r="F3722" s="32">
        <v>46479</v>
      </c>
      <c r="G3722" t="s">
        <v>514</v>
      </c>
      <c r="H3722">
        <v>47128427</v>
      </c>
      <c r="I3722" t="s">
        <v>1112</v>
      </c>
      <c r="J3722" t="s">
        <v>1111</v>
      </c>
      <c r="K3722" t="s">
        <v>530</v>
      </c>
      <c r="N3722">
        <v>0</v>
      </c>
      <c r="O3722">
        <v>0</v>
      </c>
      <c r="P3722" t="str">
        <f t="shared" si="58"/>
        <v>N</v>
      </c>
      <c r="Q3722" t="s">
        <v>9452</v>
      </c>
    </row>
    <row r="3723" spans="1:17" x14ac:dyDescent="0.25">
      <c r="A3723" t="s">
        <v>5668</v>
      </c>
      <c r="B3723" t="s">
        <v>5437</v>
      </c>
      <c r="C3723">
        <v>2027</v>
      </c>
      <c r="D3723" t="s">
        <v>642</v>
      </c>
      <c r="E3723" t="s">
        <v>843</v>
      </c>
      <c r="F3723" s="32">
        <v>46479</v>
      </c>
      <c r="G3723" t="s">
        <v>514</v>
      </c>
      <c r="H3723">
        <v>47128513</v>
      </c>
      <c r="I3723" t="s">
        <v>1040</v>
      </c>
      <c r="J3723" t="s">
        <v>1039</v>
      </c>
      <c r="K3723" t="s">
        <v>530</v>
      </c>
      <c r="N3723">
        <v>0</v>
      </c>
      <c r="O3723">
        <v>0</v>
      </c>
      <c r="P3723" t="str">
        <f t="shared" si="58"/>
        <v>N</v>
      </c>
      <c r="Q3723" t="s">
        <v>9453</v>
      </c>
    </row>
    <row r="3724" spans="1:17" x14ac:dyDescent="0.25">
      <c r="A3724" t="s">
        <v>5669</v>
      </c>
      <c r="B3724" t="s">
        <v>5437</v>
      </c>
      <c r="C3724">
        <v>2027</v>
      </c>
      <c r="D3724" t="s">
        <v>642</v>
      </c>
      <c r="E3724" t="s">
        <v>843</v>
      </c>
      <c r="F3724" s="32">
        <v>46479</v>
      </c>
      <c r="G3724" t="s">
        <v>514</v>
      </c>
      <c r="H3724">
        <v>47128489</v>
      </c>
      <c r="I3724" t="s">
        <v>1116</v>
      </c>
      <c r="J3724" t="s">
        <v>1115</v>
      </c>
      <c r="K3724" t="s">
        <v>530</v>
      </c>
      <c r="N3724">
        <v>0</v>
      </c>
      <c r="O3724">
        <v>0</v>
      </c>
      <c r="P3724" t="str">
        <f t="shared" si="58"/>
        <v>N</v>
      </c>
      <c r="Q3724" t="s">
        <v>9454</v>
      </c>
    </row>
    <row r="3725" spans="1:17" x14ac:dyDescent="0.25">
      <c r="A3725" t="s">
        <v>5670</v>
      </c>
      <c r="B3725" t="s">
        <v>5437</v>
      </c>
      <c r="C3725">
        <v>2027</v>
      </c>
      <c r="D3725" t="s">
        <v>642</v>
      </c>
      <c r="E3725" t="s">
        <v>843</v>
      </c>
      <c r="F3725" s="32">
        <v>46479</v>
      </c>
      <c r="G3725" t="s">
        <v>514</v>
      </c>
      <c r="H3725">
        <v>47128429</v>
      </c>
      <c r="I3725" t="s">
        <v>1371</v>
      </c>
      <c r="J3725" t="s">
        <v>1370</v>
      </c>
      <c r="K3725" t="s">
        <v>530</v>
      </c>
      <c r="N3725">
        <v>0</v>
      </c>
      <c r="O3725">
        <v>0</v>
      </c>
      <c r="P3725" t="str">
        <f t="shared" si="58"/>
        <v>N</v>
      </c>
      <c r="Q3725" t="s">
        <v>9455</v>
      </c>
    </row>
    <row r="3726" spans="1:17" x14ac:dyDescent="0.25">
      <c r="A3726" t="s">
        <v>5671</v>
      </c>
      <c r="B3726" t="s">
        <v>5437</v>
      </c>
      <c r="C3726">
        <v>2027</v>
      </c>
      <c r="D3726" t="s">
        <v>642</v>
      </c>
      <c r="E3726" t="s">
        <v>843</v>
      </c>
      <c r="F3726" s="32">
        <v>46479</v>
      </c>
      <c r="G3726" t="s">
        <v>514</v>
      </c>
      <c r="H3726">
        <v>47128181</v>
      </c>
      <c r="I3726" t="s">
        <v>1301</v>
      </c>
      <c r="J3726" t="s">
        <v>1300</v>
      </c>
      <c r="K3726" t="s">
        <v>530</v>
      </c>
      <c r="N3726">
        <v>0</v>
      </c>
      <c r="O3726">
        <v>0</v>
      </c>
      <c r="P3726" t="str">
        <f t="shared" si="58"/>
        <v>N</v>
      </c>
      <c r="Q3726" t="s">
        <v>9456</v>
      </c>
    </row>
    <row r="3727" spans="1:17" x14ac:dyDescent="0.25">
      <c r="A3727" t="s">
        <v>1676</v>
      </c>
      <c r="B3727" t="s">
        <v>1520</v>
      </c>
      <c r="C3727">
        <v>2027</v>
      </c>
      <c r="D3727" t="s">
        <v>644</v>
      </c>
      <c r="E3727" t="s">
        <v>844</v>
      </c>
      <c r="F3727" s="32">
        <v>46486</v>
      </c>
      <c r="G3727" t="s">
        <v>563</v>
      </c>
      <c r="H3727">
        <v>10000015</v>
      </c>
      <c r="I3727" t="s">
        <v>562</v>
      </c>
      <c r="K3727" t="s">
        <v>530</v>
      </c>
      <c r="N3727">
        <v>0</v>
      </c>
      <c r="O3727">
        <v>0</v>
      </c>
      <c r="P3727" t="str">
        <f t="shared" si="58"/>
        <v>N</v>
      </c>
      <c r="Q3727" t="s">
        <v>9457</v>
      </c>
    </row>
    <row r="3728" spans="1:17" x14ac:dyDescent="0.25">
      <c r="A3728" t="s">
        <v>1677</v>
      </c>
      <c r="B3728" t="s">
        <v>1520</v>
      </c>
      <c r="C3728">
        <v>2027</v>
      </c>
      <c r="D3728" t="s">
        <v>644</v>
      </c>
      <c r="E3728" t="s">
        <v>844</v>
      </c>
      <c r="F3728" s="32">
        <v>46486</v>
      </c>
      <c r="G3728" t="s">
        <v>514</v>
      </c>
      <c r="H3728">
        <v>47128781</v>
      </c>
      <c r="I3728" t="s">
        <v>1251</v>
      </c>
      <c r="J3728" t="s">
        <v>1250</v>
      </c>
      <c r="K3728" t="s">
        <v>530</v>
      </c>
      <c r="N3728">
        <v>40</v>
      </c>
      <c r="O3728">
        <v>40</v>
      </c>
      <c r="P3728" t="str">
        <f t="shared" si="58"/>
        <v>N</v>
      </c>
      <c r="Q3728" t="s">
        <v>9458</v>
      </c>
    </row>
    <row r="3729" spans="1:17" x14ac:dyDescent="0.25">
      <c r="A3729" t="s">
        <v>2227</v>
      </c>
      <c r="B3729" t="s">
        <v>1135</v>
      </c>
      <c r="C3729">
        <v>2027</v>
      </c>
      <c r="D3729" t="s">
        <v>644</v>
      </c>
      <c r="E3729" t="s">
        <v>844</v>
      </c>
      <c r="F3729" s="32">
        <v>46486</v>
      </c>
      <c r="G3729" t="s">
        <v>514</v>
      </c>
      <c r="H3729">
        <v>47128168</v>
      </c>
      <c r="I3729" t="s">
        <v>1100</v>
      </c>
      <c r="J3729" t="s">
        <v>1099</v>
      </c>
      <c r="K3729" t="s">
        <v>530</v>
      </c>
      <c r="N3729">
        <v>0</v>
      </c>
      <c r="O3729">
        <v>0</v>
      </c>
      <c r="P3729" t="str">
        <f t="shared" si="58"/>
        <v>N</v>
      </c>
      <c r="Q3729" t="s">
        <v>9459</v>
      </c>
    </row>
    <row r="3730" spans="1:17" x14ac:dyDescent="0.25">
      <c r="A3730" t="s">
        <v>2228</v>
      </c>
      <c r="B3730" t="s">
        <v>1135</v>
      </c>
      <c r="C3730">
        <v>2027</v>
      </c>
      <c r="D3730" t="s">
        <v>644</v>
      </c>
      <c r="E3730" t="s">
        <v>844</v>
      </c>
      <c r="F3730" s="32">
        <v>46486</v>
      </c>
      <c r="G3730" t="s">
        <v>514</v>
      </c>
      <c r="H3730">
        <v>47128906</v>
      </c>
      <c r="I3730" t="s">
        <v>1349</v>
      </c>
      <c r="J3730" t="s">
        <v>1348</v>
      </c>
      <c r="K3730" t="s">
        <v>530</v>
      </c>
      <c r="N3730">
        <v>0</v>
      </c>
      <c r="O3730">
        <v>0</v>
      </c>
      <c r="P3730" t="str">
        <f t="shared" si="58"/>
        <v>N</v>
      </c>
      <c r="Q3730" t="s">
        <v>9460</v>
      </c>
    </row>
    <row r="3731" spans="1:17" x14ac:dyDescent="0.25">
      <c r="A3731" t="s">
        <v>2229</v>
      </c>
      <c r="B3731" t="s">
        <v>1135</v>
      </c>
      <c r="C3731">
        <v>2027</v>
      </c>
      <c r="D3731" t="s">
        <v>644</v>
      </c>
      <c r="E3731" t="s">
        <v>844</v>
      </c>
      <c r="F3731" s="32">
        <v>46486</v>
      </c>
      <c r="G3731" t="s">
        <v>514</v>
      </c>
      <c r="H3731">
        <v>47128783</v>
      </c>
      <c r="I3731" t="s">
        <v>1280</v>
      </c>
      <c r="J3731" t="s">
        <v>1279</v>
      </c>
      <c r="K3731" t="s">
        <v>530</v>
      </c>
      <c r="N3731">
        <v>0</v>
      </c>
      <c r="O3731">
        <v>0</v>
      </c>
      <c r="P3731" t="str">
        <f t="shared" si="58"/>
        <v>N</v>
      </c>
      <c r="Q3731" t="s">
        <v>9461</v>
      </c>
    </row>
    <row r="3732" spans="1:17" x14ac:dyDescent="0.25">
      <c r="A3732" t="s">
        <v>2230</v>
      </c>
      <c r="B3732" t="s">
        <v>1135</v>
      </c>
      <c r="C3732">
        <v>2027</v>
      </c>
      <c r="D3732" t="s">
        <v>644</v>
      </c>
      <c r="E3732" t="s">
        <v>844</v>
      </c>
      <c r="F3732" s="32">
        <v>46486</v>
      </c>
      <c r="G3732" t="s">
        <v>514</v>
      </c>
      <c r="H3732">
        <v>47128944</v>
      </c>
      <c r="I3732" t="s">
        <v>1137</v>
      </c>
      <c r="J3732" t="s">
        <v>1136</v>
      </c>
      <c r="K3732" t="s">
        <v>530</v>
      </c>
      <c r="N3732">
        <v>0</v>
      </c>
      <c r="O3732">
        <v>0</v>
      </c>
      <c r="P3732" t="str">
        <f t="shared" si="58"/>
        <v>N</v>
      </c>
      <c r="Q3732" t="s">
        <v>9462</v>
      </c>
    </row>
    <row r="3733" spans="1:17" x14ac:dyDescent="0.25">
      <c r="A3733" t="s">
        <v>2231</v>
      </c>
      <c r="B3733" t="s">
        <v>1135</v>
      </c>
      <c r="C3733">
        <v>2027</v>
      </c>
      <c r="D3733" t="s">
        <v>644</v>
      </c>
      <c r="E3733" t="s">
        <v>844</v>
      </c>
      <c r="F3733" s="32">
        <v>46486</v>
      </c>
      <c r="G3733" t="s">
        <v>514</v>
      </c>
      <c r="H3733">
        <v>47128729</v>
      </c>
      <c r="I3733" t="s">
        <v>1149</v>
      </c>
      <c r="J3733" t="s">
        <v>1148</v>
      </c>
      <c r="K3733" t="s">
        <v>530</v>
      </c>
      <c r="N3733">
        <v>0</v>
      </c>
      <c r="O3733">
        <v>0</v>
      </c>
      <c r="P3733" t="str">
        <f t="shared" si="58"/>
        <v>N</v>
      </c>
      <c r="Q3733" t="s">
        <v>9463</v>
      </c>
    </row>
    <row r="3734" spans="1:17" x14ac:dyDescent="0.25">
      <c r="A3734" t="s">
        <v>2232</v>
      </c>
      <c r="B3734" t="s">
        <v>1135</v>
      </c>
      <c r="C3734">
        <v>2027</v>
      </c>
      <c r="D3734" t="s">
        <v>644</v>
      </c>
      <c r="E3734" t="s">
        <v>844</v>
      </c>
      <c r="F3734" s="32">
        <v>46486</v>
      </c>
      <c r="G3734" t="s">
        <v>514</v>
      </c>
      <c r="H3734">
        <v>47128585</v>
      </c>
      <c r="I3734" t="s">
        <v>1141</v>
      </c>
      <c r="J3734" t="s">
        <v>1140</v>
      </c>
      <c r="K3734" t="s">
        <v>530</v>
      </c>
      <c r="N3734">
        <v>0</v>
      </c>
      <c r="O3734">
        <v>0</v>
      </c>
      <c r="P3734" t="str">
        <f t="shared" si="58"/>
        <v>N</v>
      </c>
      <c r="Q3734" t="s">
        <v>9464</v>
      </c>
    </row>
    <row r="3735" spans="1:17" x14ac:dyDescent="0.25">
      <c r="A3735" t="s">
        <v>2233</v>
      </c>
      <c r="B3735" t="s">
        <v>1135</v>
      </c>
      <c r="C3735">
        <v>2027</v>
      </c>
      <c r="D3735" t="s">
        <v>644</v>
      </c>
      <c r="E3735" t="s">
        <v>844</v>
      </c>
      <c r="F3735" s="32">
        <v>46486</v>
      </c>
      <c r="G3735" t="s">
        <v>514</v>
      </c>
      <c r="H3735">
        <v>47128680</v>
      </c>
      <c r="I3735" t="s">
        <v>1284</v>
      </c>
      <c r="J3735" t="s">
        <v>1283</v>
      </c>
      <c r="K3735" t="s">
        <v>530</v>
      </c>
      <c r="N3735">
        <v>0</v>
      </c>
      <c r="O3735">
        <v>0</v>
      </c>
      <c r="P3735" t="str">
        <f t="shared" si="58"/>
        <v>N</v>
      </c>
      <c r="Q3735" t="s">
        <v>9465</v>
      </c>
    </row>
    <row r="3736" spans="1:17" x14ac:dyDescent="0.25">
      <c r="A3736" t="s">
        <v>2234</v>
      </c>
      <c r="B3736" t="s">
        <v>1135</v>
      </c>
      <c r="C3736">
        <v>2027</v>
      </c>
      <c r="D3736" t="s">
        <v>644</v>
      </c>
      <c r="E3736" t="s">
        <v>844</v>
      </c>
      <c r="F3736" s="32">
        <v>46486</v>
      </c>
      <c r="G3736" t="s">
        <v>514</v>
      </c>
      <c r="H3736">
        <v>47128585</v>
      </c>
      <c r="I3736" t="s">
        <v>1141</v>
      </c>
      <c r="J3736" t="s">
        <v>1408</v>
      </c>
      <c r="K3736" t="s">
        <v>530</v>
      </c>
      <c r="N3736">
        <v>0</v>
      </c>
      <c r="O3736">
        <v>0</v>
      </c>
      <c r="P3736" t="str">
        <f t="shared" si="58"/>
        <v>N</v>
      </c>
      <c r="Q3736" t="s">
        <v>9466</v>
      </c>
    </row>
    <row r="3737" spans="1:17" x14ac:dyDescent="0.25">
      <c r="A3737" t="s">
        <v>2235</v>
      </c>
      <c r="B3737" t="s">
        <v>1135</v>
      </c>
      <c r="C3737">
        <v>2027</v>
      </c>
      <c r="D3737" t="s">
        <v>644</v>
      </c>
      <c r="E3737" t="s">
        <v>844</v>
      </c>
      <c r="F3737" s="32">
        <v>46486</v>
      </c>
      <c r="G3737" t="s">
        <v>514</v>
      </c>
      <c r="H3737">
        <v>47128039</v>
      </c>
      <c r="I3737" t="s">
        <v>1405</v>
      </c>
      <c r="J3737" t="s">
        <v>1404</v>
      </c>
      <c r="K3737" t="s">
        <v>530</v>
      </c>
      <c r="N3737">
        <v>0</v>
      </c>
      <c r="O3737">
        <v>0</v>
      </c>
      <c r="P3737" t="str">
        <f t="shared" si="58"/>
        <v>N</v>
      </c>
      <c r="Q3737" t="s">
        <v>9467</v>
      </c>
    </row>
    <row r="3738" spans="1:17" x14ac:dyDescent="0.25">
      <c r="A3738" t="s">
        <v>2236</v>
      </c>
      <c r="B3738" t="s">
        <v>1135</v>
      </c>
      <c r="C3738">
        <v>2027</v>
      </c>
      <c r="D3738" t="s">
        <v>644</v>
      </c>
      <c r="E3738" t="s">
        <v>844</v>
      </c>
      <c r="F3738" s="32">
        <v>46486</v>
      </c>
      <c r="G3738" t="s">
        <v>514</v>
      </c>
      <c r="H3738">
        <v>47128024</v>
      </c>
      <c r="I3738" t="s">
        <v>1108</v>
      </c>
      <c r="J3738" t="s">
        <v>1107</v>
      </c>
      <c r="K3738" t="s">
        <v>530</v>
      </c>
      <c r="N3738">
        <v>0</v>
      </c>
      <c r="O3738">
        <v>0</v>
      </c>
      <c r="P3738" t="str">
        <f t="shared" si="58"/>
        <v>N</v>
      </c>
      <c r="Q3738" t="s">
        <v>9468</v>
      </c>
    </row>
    <row r="3739" spans="1:17" x14ac:dyDescent="0.25">
      <c r="A3739" t="s">
        <v>2237</v>
      </c>
      <c r="B3739" t="s">
        <v>1135</v>
      </c>
      <c r="C3739">
        <v>2027</v>
      </c>
      <c r="D3739" t="s">
        <v>644</v>
      </c>
      <c r="E3739" t="s">
        <v>844</v>
      </c>
      <c r="F3739" s="32">
        <v>46486</v>
      </c>
      <c r="G3739" t="s">
        <v>514</v>
      </c>
      <c r="H3739">
        <v>47128430</v>
      </c>
      <c r="I3739" t="s">
        <v>1401</v>
      </c>
      <c r="J3739" t="s">
        <v>1400</v>
      </c>
      <c r="K3739" t="s">
        <v>530</v>
      </c>
      <c r="N3739">
        <v>0</v>
      </c>
      <c r="O3739">
        <v>0</v>
      </c>
      <c r="P3739" t="str">
        <f t="shared" si="58"/>
        <v>N</v>
      </c>
      <c r="Q3739" t="s">
        <v>9469</v>
      </c>
    </row>
    <row r="3740" spans="1:17" x14ac:dyDescent="0.25">
      <c r="A3740" t="s">
        <v>2238</v>
      </c>
      <c r="B3740" t="s">
        <v>1135</v>
      </c>
      <c r="C3740">
        <v>2027</v>
      </c>
      <c r="D3740" t="s">
        <v>644</v>
      </c>
      <c r="E3740" t="s">
        <v>844</v>
      </c>
      <c r="F3740" s="32">
        <v>46486</v>
      </c>
      <c r="G3740" t="s">
        <v>514</v>
      </c>
      <c r="H3740">
        <v>47128555</v>
      </c>
      <c r="I3740" t="s">
        <v>1209</v>
      </c>
      <c r="J3740" t="s">
        <v>1208</v>
      </c>
      <c r="K3740" t="s">
        <v>530</v>
      </c>
      <c r="N3740">
        <v>0</v>
      </c>
      <c r="O3740">
        <v>0</v>
      </c>
      <c r="P3740" t="str">
        <f t="shared" si="58"/>
        <v>N</v>
      </c>
      <c r="Q3740" t="s">
        <v>9470</v>
      </c>
    </row>
    <row r="3741" spans="1:17" x14ac:dyDescent="0.25">
      <c r="A3741" t="s">
        <v>2239</v>
      </c>
      <c r="B3741" t="s">
        <v>1135</v>
      </c>
      <c r="C3741">
        <v>2027</v>
      </c>
      <c r="D3741" t="s">
        <v>644</v>
      </c>
      <c r="E3741" t="s">
        <v>844</v>
      </c>
      <c r="F3741" s="32">
        <v>46486</v>
      </c>
      <c r="G3741" t="s">
        <v>514</v>
      </c>
      <c r="H3741">
        <v>47128522</v>
      </c>
      <c r="I3741" t="s">
        <v>1092</v>
      </c>
      <c r="J3741" t="s">
        <v>1091</v>
      </c>
      <c r="K3741" t="s">
        <v>530</v>
      </c>
      <c r="N3741">
        <v>0</v>
      </c>
      <c r="O3741">
        <v>0</v>
      </c>
      <c r="P3741" t="str">
        <f t="shared" si="58"/>
        <v>N</v>
      </c>
      <c r="Q3741" t="s">
        <v>9471</v>
      </c>
    </row>
    <row r="3742" spans="1:17" x14ac:dyDescent="0.25">
      <c r="A3742" t="s">
        <v>2240</v>
      </c>
      <c r="B3742" t="s">
        <v>1135</v>
      </c>
      <c r="C3742">
        <v>2027</v>
      </c>
      <c r="D3742" t="s">
        <v>644</v>
      </c>
      <c r="E3742" t="s">
        <v>844</v>
      </c>
      <c r="F3742" s="32">
        <v>46486</v>
      </c>
      <c r="G3742" t="s">
        <v>514</v>
      </c>
      <c r="H3742">
        <v>47147546</v>
      </c>
      <c r="I3742" t="s">
        <v>1077</v>
      </c>
      <c r="J3742" t="s">
        <v>1076</v>
      </c>
      <c r="K3742" t="s">
        <v>530</v>
      </c>
      <c r="N3742">
        <v>0</v>
      </c>
      <c r="O3742">
        <v>0</v>
      </c>
      <c r="P3742" t="str">
        <f t="shared" si="58"/>
        <v>N</v>
      </c>
      <c r="Q3742" t="s">
        <v>9472</v>
      </c>
    </row>
    <row r="3743" spans="1:17" x14ac:dyDescent="0.25">
      <c r="A3743" t="s">
        <v>2241</v>
      </c>
      <c r="B3743" t="s">
        <v>1135</v>
      </c>
      <c r="C3743">
        <v>2027</v>
      </c>
      <c r="D3743" t="s">
        <v>644</v>
      </c>
      <c r="E3743" t="s">
        <v>844</v>
      </c>
      <c r="F3743" s="32">
        <v>46486</v>
      </c>
      <c r="G3743" t="s">
        <v>514</v>
      </c>
      <c r="H3743">
        <v>47128597</v>
      </c>
      <c r="I3743" t="s">
        <v>1510</v>
      </c>
      <c r="J3743" t="s">
        <v>1509</v>
      </c>
      <c r="K3743" t="s">
        <v>530</v>
      </c>
      <c r="N3743">
        <v>0</v>
      </c>
      <c r="O3743">
        <v>0</v>
      </c>
      <c r="P3743" t="str">
        <f t="shared" si="58"/>
        <v>N</v>
      </c>
      <c r="Q3743" t="s">
        <v>9473</v>
      </c>
    </row>
    <row r="3744" spans="1:17" x14ac:dyDescent="0.25">
      <c r="A3744" t="s">
        <v>2242</v>
      </c>
      <c r="B3744" t="s">
        <v>1135</v>
      </c>
      <c r="C3744">
        <v>2027</v>
      </c>
      <c r="D3744" t="s">
        <v>644</v>
      </c>
      <c r="E3744" t="s">
        <v>844</v>
      </c>
      <c r="F3744" s="32">
        <v>46486</v>
      </c>
      <c r="G3744" t="s">
        <v>514</v>
      </c>
      <c r="H3744">
        <v>47128257</v>
      </c>
      <c r="I3744" t="s">
        <v>979</v>
      </c>
      <c r="J3744" t="s">
        <v>978</v>
      </c>
      <c r="K3744" t="s">
        <v>530</v>
      </c>
      <c r="N3744">
        <v>0</v>
      </c>
      <c r="O3744">
        <v>0</v>
      </c>
      <c r="P3744" t="str">
        <f t="shared" si="58"/>
        <v>N</v>
      </c>
      <c r="Q3744" t="s">
        <v>9474</v>
      </c>
    </row>
    <row r="3745" spans="1:17" x14ac:dyDescent="0.25">
      <c r="A3745" t="s">
        <v>2243</v>
      </c>
      <c r="B3745" t="s">
        <v>1135</v>
      </c>
      <c r="C3745">
        <v>2027</v>
      </c>
      <c r="D3745" t="s">
        <v>644</v>
      </c>
      <c r="E3745" t="s">
        <v>844</v>
      </c>
      <c r="F3745" s="32">
        <v>46486</v>
      </c>
      <c r="G3745" t="s">
        <v>514</v>
      </c>
      <c r="H3745">
        <v>47128880</v>
      </c>
      <c r="I3745" t="s">
        <v>1014</v>
      </c>
      <c r="J3745" t="s">
        <v>1013</v>
      </c>
      <c r="K3745" t="s">
        <v>530</v>
      </c>
      <c r="N3745">
        <v>0</v>
      </c>
      <c r="O3745">
        <v>0</v>
      </c>
      <c r="P3745" t="str">
        <f t="shared" si="58"/>
        <v>N</v>
      </c>
      <c r="Q3745" t="s">
        <v>9475</v>
      </c>
    </row>
    <row r="3746" spans="1:17" x14ac:dyDescent="0.25">
      <c r="A3746" t="s">
        <v>2244</v>
      </c>
      <c r="B3746" t="s">
        <v>1135</v>
      </c>
      <c r="C3746">
        <v>2027</v>
      </c>
      <c r="D3746" t="s">
        <v>644</v>
      </c>
      <c r="E3746" t="s">
        <v>844</v>
      </c>
      <c r="F3746" s="32">
        <v>46486</v>
      </c>
      <c r="G3746" t="s">
        <v>514</v>
      </c>
      <c r="H3746">
        <v>47128879</v>
      </c>
      <c r="I3746" t="s">
        <v>1132</v>
      </c>
      <c r="J3746" t="s">
        <v>1131</v>
      </c>
      <c r="K3746" t="s">
        <v>530</v>
      </c>
      <c r="N3746">
        <v>0</v>
      </c>
      <c r="O3746">
        <v>0</v>
      </c>
      <c r="P3746" t="str">
        <f t="shared" si="58"/>
        <v>N</v>
      </c>
      <c r="Q3746" t="s">
        <v>9476</v>
      </c>
    </row>
    <row r="3747" spans="1:17" x14ac:dyDescent="0.25">
      <c r="A3747" t="s">
        <v>2245</v>
      </c>
      <c r="B3747" t="s">
        <v>1135</v>
      </c>
      <c r="C3747">
        <v>2027</v>
      </c>
      <c r="D3747" t="s">
        <v>644</v>
      </c>
      <c r="E3747" t="s">
        <v>844</v>
      </c>
      <c r="F3747" s="32">
        <v>46486</v>
      </c>
      <c r="G3747" t="s">
        <v>514</v>
      </c>
      <c r="H3747">
        <v>47128413</v>
      </c>
      <c r="I3747" t="s">
        <v>1397</v>
      </c>
      <c r="J3747" t="s">
        <v>1396</v>
      </c>
      <c r="K3747" t="s">
        <v>530</v>
      </c>
      <c r="N3747">
        <v>0</v>
      </c>
      <c r="O3747">
        <v>0</v>
      </c>
      <c r="P3747" t="str">
        <f t="shared" si="58"/>
        <v>N</v>
      </c>
      <c r="Q3747" t="s">
        <v>9477</v>
      </c>
    </row>
    <row r="3748" spans="1:17" x14ac:dyDescent="0.25">
      <c r="A3748" t="s">
        <v>2246</v>
      </c>
      <c r="B3748" t="s">
        <v>1135</v>
      </c>
      <c r="C3748">
        <v>2027</v>
      </c>
      <c r="D3748" t="s">
        <v>644</v>
      </c>
      <c r="E3748" t="s">
        <v>844</v>
      </c>
      <c r="F3748" s="32">
        <v>46486</v>
      </c>
      <c r="G3748" t="s">
        <v>514</v>
      </c>
      <c r="H3748">
        <v>47146464</v>
      </c>
      <c r="I3748" t="s">
        <v>1438</v>
      </c>
      <c r="J3748" t="s">
        <v>1437</v>
      </c>
      <c r="K3748" t="s">
        <v>530</v>
      </c>
      <c r="N3748">
        <v>0</v>
      </c>
      <c r="O3748">
        <v>0</v>
      </c>
      <c r="P3748" t="str">
        <f t="shared" si="58"/>
        <v>N</v>
      </c>
      <c r="Q3748" t="s">
        <v>9478</v>
      </c>
    </row>
    <row r="3749" spans="1:17" x14ac:dyDescent="0.25">
      <c r="A3749" t="s">
        <v>2247</v>
      </c>
      <c r="B3749" t="s">
        <v>1135</v>
      </c>
      <c r="C3749">
        <v>2027</v>
      </c>
      <c r="D3749" t="s">
        <v>644</v>
      </c>
      <c r="E3749" t="s">
        <v>844</v>
      </c>
      <c r="F3749" s="32">
        <v>46486</v>
      </c>
      <c r="G3749" t="s">
        <v>514</v>
      </c>
      <c r="H3749">
        <v>47147546</v>
      </c>
      <c r="I3749" t="s">
        <v>1077</v>
      </c>
      <c r="J3749" t="s">
        <v>1381</v>
      </c>
      <c r="K3749" t="s">
        <v>530</v>
      </c>
      <c r="N3749">
        <v>0</v>
      </c>
      <c r="O3749">
        <v>0</v>
      </c>
      <c r="P3749" t="str">
        <f t="shared" si="58"/>
        <v>N</v>
      </c>
      <c r="Q3749" t="s">
        <v>9479</v>
      </c>
    </row>
    <row r="3750" spans="1:17" x14ac:dyDescent="0.25">
      <c r="A3750" t="s">
        <v>2248</v>
      </c>
      <c r="B3750" t="s">
        <v>1135</v>
      </c>
      <c r="C3750">
        <v>2027</v>
      </c>
      <c r="D3750" t="s">
        <v>644</v>
      </c>
      <c r="E3750" t="s">
        <v>844</v>
      </c>
      <c r="F3750" s="32">
        <v>46486</v>
      </c>
      <c r="G3750" t="s">
        <v>514</v>
      </c>
      <c r="H3750">
        <v>47128800</v>
      </c>
      <c r="I3750" t="s">
        <v>1145</v>
      </c>
      <c r="J3750" t="s">
        <v>1144</v>
      </c>
      <c r="K3750" t="s">
        <v>530</v>
      </c>
      <c r="N3750">
        <v>0</v>
      </c>
      <c r="O3750">
        <v>0</v>
      </c>
      <c r="P3750" t="str">
        <f t="shared" si="58"/>
        <v>N</v>
      </c>
      <c r="Q3750" t="s">
        <v>9480</v>
      </c>
    </row>
    <row r="3751" spans="1:17" x14ac:dyDescent="0.25">
      <c r="A3751" t="s">
        <v>2249</v>
      </c>
      <c r="B3751" t="s">
        <v>1135</v>
      </c>
      <c r="C3751">
        <v>2027</v>
      </c>
      <c r="D3751" t="s">
        <v>644</v>
      </c>
      <c r="E3751" t="s">
        <v>844</v>
      </c>
      <c r="F3751" s="32">
        <v>46486</v>
      </c>
      <c r="G3751" t="s">
        <v>514</v>
      </c>
      <c r="H3751">
        <v>47128109</v>
      </c>
      <c r="I3751" t="s">
        <v>1336</v>
      </c>
      <c r="J3751" t="s">
        <v>1335</v>
      </c>
      <c r="K3751" t="s">
        <v>530</v>
      </c>
      <c r="N3751">
        <v>0</v>
      </c>
      <c r="O3751">
        <v>0</v>
      </c>
      <c r="P3751" t="str">
        <f t="shared" si="58"/>
        <v>N</v>
      </c>
      <c r="Q3751" t="s">
        <v>9481</v>
      </c>
    </row>
    <row r="3752" spans="1:17" x14ac:dyDescent="0.25">
      <c r="A3752" t="s">
        <v>2250</v>
      </c>
      <c r="B3752" t="s">
        <v>1135</v>
      </c>
      <c r="C3752">
        <v>2027</v>
      </c>
      <c r="D3752" t="s">
        <v>644</v>
      </c>
      <c r="E3752" t="s">
        <v>844</v>
      </c>
      <c r="F3752" s="32">
        <v>46486</v>
      </c>
      <c r="G3752" t="s">
        <v>514</v>
      </c>
      <c r="H3752">
        <v>47128346</v>
      </c>
      <c r="I3752" t="s">
        <v>1157</v>
      </c>
      <c r="J3752" t="s">
        <v>1156</v>
      </c>
      <c r="K3752" t="s">
        <v>530</v>
      </c>
      <c r="N3752">
        <v>0</v>
      </c>
      <c r="O3752">
        <v>0</v>
      </c>
      <c r="P3752" t="str">
        <f t="shared" si="58"/>
        <v>N</v>
      </c>
      <c r="Q3752" t="s">
        <v>9482</v>
      </c>
    </row>
    <row r="3753" spans="1:17" x14ac:dyDescent="0.25">
      <c r="A3753" t="s">
        <v>2251</v>
      </c>
      <c r="B3753" t="s">
        <v>1135</v>
      </c>
      <c r="C3753">
        <v>2027</v>
      </c>
      <c r="D3753" t="s">
        <v>644</v>
      </c>
      <c r="E3753" t="s">
        <v>844</v>
      </c>
      <c r="F3753" s="32">
        <v>46486</v>
      </c>
      <c r="G3753" t="s">
        <v>514</v>
      </c>
      <c r="H3753">
        <v>47128518</v>
      </c>
      <c r="I3753" t="s">
        <v>1232</v>
      </c>
      <c r="J3753" t="s">
        <v>1231</v>
      </c>
      <c r="K3753" t="s">
        <v>530</v>
      </c>
      <c r="N3753">
        <v>0</v>
      </c>
      <c r="O3753">
        <v>0</v>
      </c>
      <c r="P3753" t="str">
        <f t="shared" si="58"/>
        <v>N</v>
      </c>
      <c r="Q3753" t="s">
        <v>9483</v>
      </c>
    </row>
    <row r="3754" spans="1:17" x14ac:dyDescent="0.25">
      <c r="A3754" t="s">
        <v>2252</v>
      </c>
      <c r="B3754" t="s">
        <v>1135</v>
      </c>
      <c r="C3754">
        <v>2027</v>
      </c>
      <c r="D3754" t="s">
        <v>644</v>
      </c>
      <c r="E3754" t="s">
        <v>844</v>
      </c>
      <c r="F3754" s="32">
        <v>46486</v>
      </c>
      <c r="G3754" t="s">
        <v>514</v>
      </c>
      <c r="H3754">
        <v>47128418</v>
      </c>
      <c r="I3754" t="s">
        <v>1082</v>
      </c>
      <c r="J3754" t="s">
        <v>1081</v>
      </c>
      <c r="K3754" t="s">
        <v>530</v>
      </c>
      <c r="N3754">
        <v>0</v>
      </c>
      <c r="O3754">
        <v>0</v>
      </c>
      <c r="P3754" t="str">
        <f t="shared" si="58"/>
        <v>N</v>
      </c>
      <c r="Q3754" t="s">
        <v>9484</v>
      </c>
    </row>
    <row r="3755" spans="1:17" x14ac:dyDescent="0.25">
      <c r="A3755" t="s">
        <v>2253</v>
      </c>
      <c r="B3755" t="s">
        <v>1135</v>
      </c>
      <c r="C3755">
        <v>2027</v>
      </c>
      <c r="D3755" t="s">
        <v>644</v>
      </c>
      <c r="E3755" t="s">
        <v>844</v>
      </c>
      <c r="F3755" s="32">
        <v>46486</v>
      </c>
      <c r="G3755" t="s">
        <v>514</v>
      </c>
      <c r="H3755">
        <v>47128968</v>
      </c>
      <c r="I3755" t="s">
        <v>947</v>
      </c>
      <c r="J3755" t="s">
        <v>946</v>
      </c>
      <c r="K3755" t="s">
        <v>530</v>
      </c>
      <c r="N3755">
        <v>0</v>
      </c>
      <c r="O3755">
        <v>0</v>
      </c>
      <c r="P3755" t="str">
        <f t="shared" si="58"/>
        <v>N</v>
      </c>
      <c r="Q3755" t="s">
        <v>9485</v>
      </c>
    </row>
    <row r="3756" spans="1:17" x14ac:dyDescent="0.25">
      <c r="A3756" t="s">
        <v>2254</v>
      </c>
      <c r="B3756" t="s">
        <v>1135</v>
      </c>
      <c r="C3756">
        <v>2027</v>
      </c>
      <c r="D3756" t="s">
        <v>644</v>
      </c>
      <c r="E3756" t="s">
        <v>844</v>
      </c>
      <c r="F3756" s="32">
        <v>46486</v>
      </c>
      <c r="G3756" t="s">
        <v>514</v>
      </c>
      <c r="H3756">
        <v>47147658</v>
      </c>
      <c r="I3756" t="s">
        <v>1276</v>
      </c>
      <c r="J3756" t="s">
        <v>1275</v>
      </c>
      <c r="K3756" t="s">
        <v>530</v>
      </c>
      <c r="N3756">
        <v>0</v>
      </c>
      <c r="O3756">
        <v>0</v>
      </c>
      <c r="P3756" t="str">
        <f t="shared" si="58"/>
        <v>N</v>
      </c>
      <c r="Q3756" t="s">
        <v>9486</v>
      </c>
    </row>
    <row r="3757" spans="1:17" x14ac:dyDescent="0.25">
      <c r="A3757" t="s">
        <v>2255</v>
      </c>
      <c r="B3757" t="s">
        <v>1135</v>
      </c>
      <c r="C3757">
        <v>2027</v>
      </c>
      <c r="D3757" t="s">
        <v>644</v>
      </c>
      <c r="E3757" t="s">
        <v>844</v>
      </c>
      <c r="F3757" s="32">
        <v>46486</v>
      </c>
      <c r="G3757" t="s">
        <v>514</v>
      </c>
      <c r="H3757">
        <v>47128781</v>
      </c>
      <c r="I3757" t="s">
        <v>1251</v>
      </c>
      <c r="J3757" t="s">
        <v>1250</v>
      </c>
      <c r="K3757" t="s">
        <v>530</v>
      </c>
      <c r="N3757">
        <v>40</v>
      </c>
      <c r="O3757">
        <v>40</v>
      </c>
      <c r="P3757" t="str">
        <f t="shared" si="58"/>
        <v>N</v>
      </c>
      <c r="Q3757" t="s">
        <v>9487</v>
      </c>
    </row>
    <row r="3758" spans="1:17" x14ac:dyDescent="0.25">
      <c r="A3758" t="s">
        <v>2770</v>
      </c>
      <c r="B3758" t="s">
        <v>2444</v>
      </c>
      <c r="C3758">
        <v>2027</v>
      </c>
      <c r="D3758" t="s">
        <v>644</v>
      </c>
      <c r="E3758" t="s">
        <v>844</v>
      </c>
      <c r="F3758" s="32">
        <v>46486</v>
      </c>
      <c r="G3758" t="s">
        <v>514</v>
      </c>
      <c r="H3758">
        <v>47128587</v>
      </c>
      <c r="I3758" t="s">
        <v>2489</v>
      </c>
      <c r="J3758" t="s">
        <v>2490</v>
      </c>
      <c r="K3758" t="s">
        <v>530</v>
      </c>
      <c r="N3758">
        <v>40</v>
      </c>
      <c r="O3758">
        <v>40</v>
      </c>
      <c r="P3758" t="str">
        <f t="shared" si="58"/>
        <v>N</v>
      </c>
      <c r="Q3758" t="s">
        <v>9488</v>
      </c>
    </row>
    <row r="3759" spans="1:17" x14ac:dyDescent="0.25">
      <c r="A3759" t="s">
        <v>2771</v>
      </c>
      <c r="B3759" t="s">
        <v>2444</v>
      </c>
      <c r="C3759">
        <v>2027</v>
      </c>
      <c r="D3759" t="s">
        <v>644</v>
      </c>
      <c r="E3759" t="s">
        <v>844</v>
      </c>
      <c r="F3759" s="32">
        <v>46486</v>
      </c>
      <c r="G3759" t="s">
        <v>514</v>
      </c>
      <c r="H3759">
        <v>47128247</v>
      </c>
      <c r="I3759" t="s">
        <v>2492</v>
      </c>
      <c r="J3759" t="s">
        <v>2493</v>
      </c>
      <c r="K3759" t="s">
        <v>530</v>
      </c>
      <c r="N3759">
        <v>0</v>
      </c>
      <c r="O3759">
        <v>0</v>
      </c>
      <c r="P3759" t="str">
        <f t="shared" si="58"/>
        <v>N</v>
      </c>
      <c r="Q3759" t="s">
        <v>9489</v>
      </c>
    </row>
    <row r="3760" spans="1:17" x14ac:dyDescent="0.25">
      <c r="A3760" t="s">
        <v>2772</v>
      </c>
      <c r="B3760" t="s">
        <v>2444</v>
      </c>
      <c r="C3760">
        <v>2027</v>
      </c>
      <c r="D3760" t="s">
        <v>644</v>
      </c>
      <c r="E3760" t="s">
        <v>844</v>
      </c>
      <c r="F3760" s="32">
        <v>46486</v>
      </c>
      <c r="G3760" t="s">
        <v>514</v>
      </c>
      <c r="H3760">
        <v>47128781</v>
      </c>
      <c r="I3760" t="s">
        <v>1251</v>
      </c>
      <c r="J3760" t="s">
        <v>1250</v>
      </c>
      <c r="K3760" t="s">
        <v>530</v>
      </c>
      <c r="N3760">
        <v>40</v>
      </c>
      <c r="O3760">
        <v>40</v>
      </c>
      <c r="P3760" t="str">
        <f t="shared" si="58"/>
        <v>N</v>
      </c>
      <c r="Q3760" t="s">
        <v>9490</v>
      </c>
    </row>
    <row r="3761" spans="1:17" x14ac:dyDescent="0.25">
      <c r="A3761" t="s">
        <v>3076</v>
      </c>
      <c r="B3761" t="s">
        <v>2783</v>
      </c>
      <c r="C3761">
        <v>2027</v>
      </c>
      <c r="D3761" t="s">
        <v>644</v>
      </c>
      <c r="E3761" t="s">
        <v>844</v>
      </c>
      <c r="F3761" s="32">
        <v>46486</v>
      </c>
      <c r="G3761" t="s">
        <v>514</v>
      </c>
      <c r="H3761">
        <v>47128587</v>
      </c>
      <c r="I3761" t="s">
        <v>2489</v>
      </c>
      <c r="J3761" t="s">
        <v>2490</v>
      </c>
      <c r="K3761" t="s">
        <v>530</v>
      </c>
      <c r="N3761">
        <v>40</v>
      </c>
      <c r="O3761">
        <v>40</v>
      </c>
      <c r="P3761" t="str">
        <f t="shared" si="58"/>
        <v>N</v>
      </c>
      <c r="Q3761" t="s">
        <v>9491</v>
      </c>
    </row>
    <row r="3762" spans="1:17" x14ac:dyDescent="0.25">
      <c r="A3762" t="s">
        <v>3077</v>
      </c>
      <c r="B3762" t="s">
        <v>2783</v>
      </c>
      <c r="C3762">
        <v>2027</v>
      </c>
      <c r="D3762" t="s">
        <v>644</v>
      </c>
      <c r="E3762" t="s">
        <v>844</v>
      </c>
      <c r="F3762" s="32">
        <v>46486</v>
      </c>
      <c r="G3762" t="s">
        <v>514</v>
      </c>
      <c r="H3762">
        <v>47128247</v>
      </c>
      <c r="I3762" t="s">
        <v>2492</v>
      </c>
      <c r="J3762" t="s">
        <v>2493</v>
      </c>
      <c r="K3762" t="s">
        <v>530</v>
      </c>
      <c r="N3762">
        <v>0</v>
      </c>
      <c r="O3762">
        <v>0</v>
      </c>
      <c r="P3762" t="str">
        <f t="shared" si="58"/>
        <v>N</v>
      </c>
      <c r="Q3762" t="s">
        <v>9492</v>
      </c>
    </row>
    <row r="3763" spans="1:17" x14ac:dyDescent="0.25">
      <c r="A3763" t="s">
        <v>3078</v>
      </c>
      <c r="B3763" t="s">
        <v>2783</v>
      </c>
      <c r="C3763">
        <v>2027</v>
      </c>
      <c r="D3763" t="s">
        <v>644</v>
      </c>
      <c r="E3763" t="s">
        <v>844</v>
      </c>
      <c r="F3763" s="32">
        <v>46486</v>
      </c>
      <c r="G3763" t="s">
        <v>514</v>
      </c>
      <c r="H3763">
        <v>47128781</v>
      </c>
      <c r="I3763" t="s">
        <v>1251</v>
      </c>
      <c r="J3763" t="s">
        <v>1250</v>
      </c>
      <c r="K3763" t="s">
        <v>530</v>
      </c>
      <c r="N3763">
        <v>40</v>
      </c>
      <c r="O3763">
        <v>40</v>
      </c>
      <c r="P3763" t="str">
        <f t="shared" si="58"/>
        <v>N</v>
      </c>
      <c r="Q3763" t="s">
        <v>9493</v>
      </c>
    </row>
    <row r="3764" spans="1:17" x14ac:dyDescent="0.25">
      <c r="A3764" t="s">
        <v>3665</v>
      </c>
      <c r="B3764" t="s">
        <v>1080</v>
      </c>
      <c r="C3764">
        <v>2027</v>
      </c>
      <c r="D3764" t="s">
        <v>644</v>
      </c>
      <c r="E3764" t="s">
        <v>844</v>
      </c>
      <c r="F3764" s="32">
        <v>46486</v>
      </c>
      <c r="G3764" t="s">
        <v>514</v>
      </c>
      <c r="H3764">
        <v>47128168</v>
      </c>
      <c r="I3764" t="s">
        <v>1100</v>
      </c>
      <c r="J3764" t="s">
        <v>1099</v>
      </c>
      <c r="K3764" t="s">
        <v>530</v>
      </c>
      <c r="N3764">
        <v>0</v>
      </c>
      <c r="O3764">
        <v>0</v>
      </c>
      <c r="P3764" t="str">
        <f t="shared" si="58"/>
        <v>N</v>
      </c>
      <c r="Q3764" t="s">
        <v>9494</v>
      </c>
    </row>
    <row r="3765" spans="1:17" x14ac:dyDescent="0.25">
      <c r="A3765" t="s">
        <v>3666</v>
      </c>
      <c r="B3765" t="s">
        <v>1080</v>
      </c>
      <c r="C3765">
        <v>2027</v>
      </c>
      <c r="D3765" t="s">
        <v>644</v>
      </c>
      <c r="E3765" t="s">
        <v>844</v>
      </c>
      <c r="F3765" s="32">
        <v>46486</v>
      </c>
      <c r="G3765" t="s">
        <v>514</v>
      </c>
      <c r="H3765">
        <v>47128906</v>
      </c>
      <c r="I3765" t="s">
        <v>1349</v>
      </c>
      <c r="J3765" t="s">
        <v>1348</v>
      </c>
      <c r="K3765" t="s">
        <v>530</v>
      </c>
      <c r="N3765">
        <v>0</v>
      </c>
      <c r="O3765">
        <v>0</v>
      </c>
      <c r="P3765" t="str">
        <f t="shared" si="58"/>
        <v>N</v>
      </c>
      <c r="Q3765" t="s">
        <v>9495</v>
      </c>
    </row>
    <row r="3766" spans="1:17" x14ac:dyDescent="0.25">
      <c r="A3766" t="s">
        <v>3667</v>
      </c>
      <c r="B3766" t="s">
        <v>1080</v>
      </c>
      <c r="C3766">
        <v>2027</v>
      </c>
      <c r="D3766" t="s">
        <v>644</v>
      </c>
      <c r="E3766" t="s">
        <v>844</v>
      </c>
      <c r="F3766" s="32">
        <v>46486</v>
      </c>
      <c r="G3766" t="s">
        <v>514</v>
      </c>
      <c r="H3766">
        <v>47128783</v>
      </c>
      <c r="I3766" t="s">
        <v>1280</v>
      </c>
      <c r="J3766" t="s">
        <v>1279</v>
      </c>
      <c r="K3766" t="s">
        <v>530</v>
      </c>
      <c r="N3766">
        <v>0</v>
      </c>
      <c r="O3766">
        <v>0</v>
      </c>
      <c r="P3766" t="str">
        <f t="shared" si="58"/>
        <v>N</v>
      </c>
      <c r="Q3766" t="s">
        <v>9496</v>
      </c>
    </row>
    <row r="3767" spans="1:17" x14ac:dyDescent="0.25">
      <c r="A3767" t="s">
        <v>3668</v>
      </c>
      <c r="B3767" t="s">
        <v>1080</v>
      </c>
      <c r="C3767">
        <v>2027</v>
      </c>
      <c r="D3767" t="s">
        <v>644</v>
      </c>
      <c r="E3767" t="s">
        <v>844</v>
      </c>
      <c r="F3767" s="32">
        <v>46486</v>
      </c>
      <c r="G3767" t="s">
        <v>514</v>
      </c>
      <c r="H3767">
        <v>47128944</v>
      </c>
      <c r="I3767" t="s">
        <v>1137</v>
      </c>
      <c r="J3767" t="s">
        <v>1136</v>
      </c>
      <c r="K3767" t="s">
        <v>530</v>
      </c>
      <c r="N3767">
        <v>0</v>
      </c>
      <c r="O3767">
        <v>0</v>
      </c>
      <c r="P3767" t="str">
        <f t="shared" si="58"/>
        <v>N</v>
      </c>
      <c r="Q3767" t="s">
        <v>9497</v>
      </c>
    </row>
    <row r="3768" spans="1:17" x14ac:dyDescent="0.25">
      <c r="A3768" t="s">
        <v>3669</v>
      </c>
      <c r="B3768" t="s">
        <v>1080</v>
      </c>
      <c r="C3768">
        <v>2027</v>
      </c>
      <c r="D3768" t="s">
        <v>644</v>
      </c>
      <c r="E3768" t="s">
        <v>844</v>
      </c>
      <c r="F3768" s="32">
        <v>46486</v>
      </c>
      <c r="G3768" t="s">
        <v>514</v>
      </c>
      <c r="H3768">
        <v>47128729</v>
      </c>
      <c r="I3768" t="s">
        <v>1149</v>
      </c>
      <c r="J3768" t="s">
        <v>1148</v>
      </c>
      <c r="K3768" t="s">
        <v>530</v>
      </c>
      <c r="N3768">
        <v>0</v>
      </c>
      <c r="O3768">
        <v>0</v>
      </c>
      <c r="P3768" t="str">
        <f t="shared" si="58"/>
        <v>N</v>
      </c>
      <c r="Q3768" t="s">
        <v>9498</v>
      </c>
    </row>
    <row r="3769" spans="1:17" x14ac:dyDescent="0.25">
      <c r="A3769" t="s">
        <v>3670</v>
      </c>
      <c r="B3769" t="s">
        <v>1080</v>
      </c>
      <c r="C3769">
        <v>2027</v>
      </c>
      <c r="D3769" t="s">
        <v>644</v>
      </c>
      <c r="E3769" t="s">
        <v>844</v>
      </c>
      <c r="F3769" s="32">
        <v>46486</v>
      </c>
      <c r="G3769" t="s">
        <v>514</v>
      </c>
      <c r="H3769">
        <v>47128585</v>
      </c>
      <c r="I3769" t="s">
        <v>1141</v>
      </c>
      <c r="J3769" t="s">
        <v>1140</v>
      </c>
      <c r="K3769" t="s">
        <v>530</v>
      </c>
      <c r="N3769">
        <v>0</v>
      </c>
      <c r="O3769">
        <v>0</v>
      </c>
      <c r="P3769" t="str">
        <f t="shared" si="58"/>
        <v>N</v>
      </c>
      <c r="Q3769" t="s">
        <v>9499</v>
      </c>
    </row>
    <row r="3770" spans="1:17" x14ac:dyDescent="0.25">
      <c r="A3770" t="s">
        <v>3671</v>
      </c>
      <c r="B3770" t="s">
        <v>1080</v>
      </c>
      <c r="C3770">
        <v>2027</v>
      </c>
      <c r="D3770" t="s">
        <v>644</v>
      </c>
      <c r="E3770" t="s">
        <v>844</v>
      </c>
      <c r="F3770" s="32">
        <v>46486</v>
      </c>
      <c r="G3770" t="s">
        <v>514</v>
      </c>
      <c r="H3770">
        <v>47128680</v>
      </c>
      <c r="I3770" t="s">
        <v>1284</v>
      </c>
      <c r="J3770" t="s">
        <v>1283</v>
      </c>
      <c r="K3770" t="s">
        <v>530</v>
      </c>
      <c r="N3770">
        <v>0</v>
      </c>
      <c r="O3770">
        <v>0</v>
      </c>
      <c r="P3770" t="str">
        <f t="shared" si="58"/>
        <v>N</v>
      </c>
      <c r="Q3770" t="s">
        <v>9500</v>
      </c>
    </row>
    <row r="3771" spans="1:17" x14ac:dyDescent="0.25">
      <c r="A3771" t="s">
        <v>3672</v>
      </c>
      <c r="B3771" t="s">
        <v>1080</v>
      </c>
      <c r="C3771">
        <v>2027</v>
      </c>
      <c r="D3771" t="s">
        <v>644</v>
      </c>
      <c r="E3771" t="s">
        <v>844</v>
      </c>
      <c r="F3771" s="32">
        <v>46486</v>
      </c>
      <c r="G3771" t="s">
        <v>514</v>
      </c>
      <c r="H3771">
        <v>47128585</v>
      </c>
      <c r="I3771" t="s">
        <v>1141</v>
      </c>
      <c r="J3771" t="s">
        <v>1408</v>
      </c>
      <c r="K3771" t="s">
        <v>530</v>
      </c>
      <c r="N3771">
        <v>0</v>
      </c>
      <c r="O3771">
        <v>0</v>
      </c>
      <c r="P3771" t="str">
        <f t="shared" si="58"/>
        <v>N</v>
      </c>
      <c r="Q3771" t="s">
        <v>9501</v>
      </c>
    </row>
    <row r="3772" spans="1:17" x14ac:dyDescent="0.25">
      <c r="A3772" t="s">
        <v>3673</v>
      </c>
      <c r="B3772" t="s">
        <v>1080</v>
      </c>
      <c r="C3772">
        <v>2027</v>
      </c>
      <c r="D3772" t="s">
        <v>644</v>
      </c>
      <c r="E3772" t="s">
        <v>844</v>
      </c>
      <c r="F3772" s="32">
        <v>46486</v>
      </c>
      <c r="G3772" t="s">
        <v>514</v>
      </c>
      <c r="H3772">
        <v>47128039</v>
      </c>
      <c r="I3772" t="s">
        <v>1405</v>
      </c>
      <c r="J3772" t="s">
        <v>1404</v>
      </c>
      <c r="K3772" t="s">
        <v>530</v>
      </c>
      <c r="N3772">
        <v>0</v>
      </c>
      <c r="O3772">
        <v>0</v>
      </c>
      <c r="P3772" t="str">
        <f t="shared" si="58"/>
        <v>N</v>
      </c>
      <c r="Q3772" t="s">
        <v>9502</v>
      </c>
    </row>
    <row r="3773" spans="1:17" x14ac:dyDescent="0.25">
      <c r="A3773" t="s">
        <v>3674</v>
      </c>
      <c r="B3773" t="s">
        <v>1080</v>
      </c>
      <c r="C3773">
        <v>2027</v>
      </c>
      <c r="D3773" t="s">
        <v>644</v>
      </c>
      <c r="E3773" t="s">
        <v>844</v>
      </c>
      <c r="F3773" s="32">
        <v>46486</v>
      </c>
      <c r="G3773" t="s">
        <v>514</v>
      </c>
      <c r="H3773">
        <v>47128024</v>
      </c>
      <c r="I3773" t="s">
        <v>1108</v>
      </c>
      <c r="J3773" t="s">
        <v>1107</v>
      </c>
      <c r="K3773" t="s">
        <v>530</v>
      </c>
      <c r="N3773">
        <v>0</v>
      </c>
      <c r="O3773">
        <v>0</v>
      </c>
      <c r="P3773" t="str">
        <f t="shared" si="58"/>
        <v>N</v>
      </c>
      <c r="Q3773" t="s">
        <v>9503</v>
      </c>
    </row>
    <row r="3774" spans="1:17" x14ac:dyDescent="0.25">
      <c r="A3774" t="s">
        <v>3675</v>
      </c>
      <c r="B3774" t="s">
        <v>1080</v>
      </c>
      <c r="C3774">
        <v>2027</v>
      </c>
      <c r="D3774" t="s">
        <v>644</v>
      </c>
      <c r="E3774" t="s">
        <v>844</v>
      </c>
      <c r="F3774" s="32">
        <v>46486</v>
      </c>
      <c r="G3774" t="s">
        <v>514</v>
      </c>
      <c r="H3774">
        <v>47128430</v>
      </c>
      <c r="I3774" t="s">
        <v>1401</v>
      </c>
      <c r="J3774" t="s">
        <v>1400</v>
      </c>
      <c r="K3774" t="s">
        <v>530</v>
      </c>
      <c r="N3774">
        <v>0</v>
      </c>
      <c r="O3774">
        <v>0</v>
      </c>
      <c r="P3774" t="str">
        <f t="shared" si="58"/>
        <v>N</v>
      </c>
      <c r="Q3774" t="s">
        <v>9504</v>
      </c>
    </row>
    <row r="3775" spans="1:17" x14ac:dyDescent="0.25">
      <c r="A3775" t="s">
        <v>3676</v>
      </c>
      <c r="B3775" t="s">
        <v>1080</v>
      </c>
      <c r="C3775">
        <v>2027</v>
      </c>
      <c r="D3775" t="s">
        <v>644</v>
      </c>
      <c r="E3775" t="s">
        <v>844</v>
      </c>
      <c r="F3775" s="32">
        <v>46486</v>
      </c>
      <c r="G3775" t="s">
        <v>514</v>
      </c>
      <c r="H3775">
        <v>47128555</v>
      </c>
      <c r="I3775" t="s">
        <v>1209</v>
      </c>
      <c r="J3775" t="s">
        <v>1208</v>
      </c>
      <c r="K3775" t="s">
        <v>530</v>
      </c>
      <c r="N3775">
        <v>0</v>
      </c>
      <c r="O3775">
        <v>0</v>
      </c>
      <c r="P3775" t="str">
        <f t="shared" si="58"/>
        <v>N</v>
      </c>
      <c r="Q3775" t="s">
        <v>9505</v>
      </c>
    </row>
    <row r="3776" spans="1:17" x14ac:dyDescent="0.25">
      <c r="A3776" t="s">
        <v>3677</v>
      </c>
      <c r="B3776" t="s">
        <v>1080</v>
      </c>
      <c r="C3776">
        <v>2027</v>
      </c>
      <c r="D3776" t="s">
        <v>644</v>
      </c>
      <c r="E3776" t="s">
        <v>844</v>
      </c>
      <c r="F3776" s="32">
        <v>46486</v>
      </c>
      <c r="G3776" t="s">
        <v>514</v>
      </c>
      <c r="H3776">
        <v>47128522</v>
      </c>
      <c r="I3776" t="s">
        <v>1092</v>
      </c>
      <c r="J3776" t="s">
        <v>1091</v>
      </c>
      <c r="K3776" t="s">
        <v>530</v>
      </c>
      <c r="N3776">
        <v>0</v>
      </c>
      <c r="O3776">
        <v>0</v>
      </c>
      <c r="P3776" t="str">
        <f t="shared" si="58"/>
        <v>N</v>
      </c>
      <c r="Q3776" t="s">
        <v>9506</v>
      </c>
    </row>
    <row r="3777" spans="1:17" x14ac:dyDescent="0.25">
      <c r="A3777" t="s">
        <v>3678</v>
      </c>
      <c r="B3777" t="s">
        <v>1080</v>
      </c>
      <c r="C3777">
        <v>2027</v>
      </c>
      <c r="D3777" t="s">
        <v>644</v>
      </c>
      <c r="E3777" t="s">
        <v>844</v>
      </c>
      <c r="F3777" s="32">
        <v>46486</v>
      </c>
      <c r="G3777" t="s">
        <v>514</v>
      </c>
      <c r="H3777">
        <v>47147546</v>
      </c>
      <c r="I3777" t="s">
        <v>1077</v>
      </c>
      <c r="J3777" t="s">
        <v>1076</v>
      </c>
      <c r="K3777" t="s">
        <v>530</v>
      </c>
      <c r="N3777">
        <v>0</v>
      </c>
      <c r="O3777">
        <v>0</v>
      </c>
      <c r="P3777" t="str">
        <f t="shared" si="58"/>
        <v>N</v>
      </c>
      <c r="Q3777" t="s">
        <v>9507</v>
      </c>
    </row>
    <row r="3778" spans="1:17" x14ac:dyDescent="0.25">
      <c r="A3778" t="s">
        <v>3679</v>
      </c>
      <c r="B3778" t="s">
        <v>1080</v>
      </c>
      <c r="C3778">
        <v>2027</v>
      </c>
      <c r="D3778" t="s">
        <v>644</v>
      </c>
      <c r="E3778" t="s">
        <v>844</v>
      </c>
      <c r="F3778" s="32">
        <v>46486</v>
      </c>
      <c r="G3778" t="s">
        <v>514</v>
      </c>
      <c r="H3778">
        <v>47128597</v>
      </c>
      <c r="I3778" t="s">
        <v>1510</v>
      </c>
      <c r="J3778" t="s">
        <v>1509</v>
      </c>
      <c r="K3778" t="s">
        <v>530</v>
      </c>
      <c r="N3778">
        <v>0</v>
      </c>
      <c r="O3778">
        <v>0</v>
      </c>
      <c r="P3778" t="str">
        <f t="shared" si="58"/>
        <v>N</v>
      </c>
      <c r="Q3778" t="s">
        <v>9508</v>
      </c>
    </row>
    <row r="3779" spans="1:17" x14ac:dyDescent="0.25">
      <c r="A3779" t="s">
        <v>3680</v>
      </c>
      <c r="B3779" t="s">
        <v>1080</v>
      </c>
      <c r="C3779">
        <v>2027</v>
      </c>
      <c r="D3779" t="s">
        <v>644</v>
      </c>
      <c r="E3779" t="s">
        <v>844</v>
      </c>
      <c r="F3779" s="32">
        <v>46486</v>
      </c>
      <c r="G3779" t="s">
        <v>514</v>
      </c>
      <c r="H3779">
        <v>47128257</v>
      </c>
      <c r="I3779" t="s">
        <v>979</v>
      </c>
      <c r="J3779" t="s">
        <v>978</v>
      </c>
      <c r="K3779" t="s">
        <v>530</v>
      </c>
      <c r="N3779">
        <v>0</v>
      </c>
      <c r="O3779">
        <v>0</v>
      </c>
      <c r="P3779" t="str">
        <f t="shared" ref="P3779:P3842" si="59">IF(N3779=O3779,"N","Y")</f>
        <v>N</v>
      </c>
      <c r="Q3779" t="s">
        <v>9509</v>
      </c>
    </row>
    <row r="3780" spans="1:17" x14ac:dyDescent="0.25">
      <c r="A3780" t="s">
        <v>3681</v>
      </c>
      <c r="B3780" t="s">
        <v>1080</v>
      </c>
      <c r="C3780">
        <v>2027</v>
      </c>
      <c r="D3780" t="s">
        <v>644</v>
      </c>
      <c r="E3780" t="s">
        <v>844</v>
      </c>
      <c r="F3780" s="32">
        <v>46486</v>
      </c>
      <c r="G3780" t="s">
        <v>514</v>
      </c>
      <c r="H3780">
        <v>47128880</v>
      </c>
      <c r="I3780" t="s">
        <v>1014</v>
      </c>
      <c r="J3780" t="s">
        <v>1013</v>
      </c>
      <c r="K3780" t="s">
        <v>530</v>
      </c>
      <c r="N3780">
        <v>0</v>
      </c>
      <c r="O3780">
        <v>0</v>
      </c>
      <c r="P3780" t="str">
        <f t="shared" si="59"/>
        <v>N</v>
      </c>
      <c r="Q3780" t="s">
        <v>9510</v>
      </c>
    </row>
    <row r="3781" spans="1:17" x14ac:dyDescent="0.25">
      <c r="A3781" t="s">
        <v>3682</v>
      </c>
      <c r="B3781" t="s">
        <v>1080</v>
      </c>
      <c r="C3781">
        <v>2027</v>
      </c>
      <c r="D3781" t="s">
        <v>644</v>
      </c>
      <c r="E3781" t="s">
        <v>844</v>
      </c>
      <c r="F3781" s="32">
        <v>46486</v>
      </c>
      <c r="G3781" t="s">
        <v>514</v>
      </c>
      <c r="H3781">
        <v>47128879</v>
      </c>
      <c r="I3781" t="s">
        <v>1132</v>
      </c>
      <c r="J3781" t="s">
        <v>1131</v>
      </c>
      <c r="K3781" t="s">
        <v>530</v>
      </c>
      <c r="N3781">
        <v>0</v>
      </c>
      <c r="O3781">
        <v>0</v>
      </c>
      <c r="P3781" t="str">
        <f t="shared" si="59"/>
        <v>N</v>
      </c>
      <c r="Q3781" t="s">
        <v>9511</v>
      </c>
    </row>
    <row r="3782" spans="1:17" x14ac:dyDescent="0.25">
      <c r="A3782" t="s">
        <v>3683</v>
      </c>
      <c r="B3782" t="s">
        <v>1080</v>
      </c>
      <c r="C3782">
        <v>2027</v>
      </c>
      <c r="D3782" t="s">
        <v>644</v>
      </c>
      <c r="E3782" t="s">
        <v>844</v>
      </c>
      <c r="F3782" s="32">
        <v>46486</v>
      </c>
      <c r="G3782" t="s">
        <v>514</v>
      </c>
      <c r="H3782">
        <v>47128413</v>
      </c>
      <c r="I3782" t="s">
        <v>1397</v>
      </c>
      <c r="J3782" t="s">
        <v>1396</v>
      </c>
      <c r="K3782" t="s">
        <v>530</v>
      </c>
      <c r="N3782">
        <v>0</v>
      </c>
      <c r="O3782">
        <v>0</v>
      </c>
      <c r="P3782" t="str">
        <f t="shared" si="59"/>
        <v>N</v>
      </c>
      <c r="Q3782" t="s">
        <v>9512</v>
      </c>
    </row>
    <row r="3783" spans="1:17" x14ac:dyDescent="0.25">
      <c r="A3783" t="s">
        <v>3684</v>
      </c>
      <c r="B3783" t="s">
        <v>1080</v>
      </c>
      <c r="C3783">
        <v>2027</v>
      </c>
      <c r="D3783" t="s">
        <v>644</v>
      </c>
      <c r="E3783" t="s">
        <v>844</v>
      </c>
      <c r="F3783" s="32">
        <v>46486</v>
      </c>
      <c r="G3783" t="s">
        <v>514</v>
      </c>
      <c r="H3783">
        <v>47146464</v>
      </c>
      <c r="I3783" t="s">
        <v>1438</v>
      </c>
      <c r="J3783" t="s">
        <v>1437</v>
      </c>
      <c r="K3783" t="s">
        <v>530</v>
      </c>
      <c r="N3783">
        <v>0</v>
      </c>
      <c r="O3783">
        <v>0</v>
      </c>
      <c r="P3783" t="str">
        <f t="shared" si="59"/>
        <v>N</v>
      </c>
      <c r="Q3783" t="s">
        <v>9513</v>
      </c>
    </row>
    <row r="3784" spans="1:17" x14ac:dyDescent="0.25">
      <c r="A3784" t="s">
        <v>3685</v>
      </c>
      <c r="B3784" t="s">
        <v>1080</v>
      </c>
      <c r="C3784">
        <v>2027</v>
      </c>
      <c r="D3784" t="s">
        <v>644</v>
      </c>
      <c r="E3784" t="s">
        <v>844</v>
      </c>
      <c r="F3784" s="32">
        <v>46486</v>
      </c>
      <c r="G3784" t="s">
        <v>514</v>
      </c>
      <c r="H3784">
        <v>47147546</v>
      </c>
      <c r="I3784" t="s">
        <v>1077</v>
      </c>
      <c r="J3784" t="s">
        <v>1381</v>
      </c>
      <c r="K3784" t="s">
        <v>530</v>
      </c>
      <c r="N3784">
        <v>0</v>
      </c>
      <c r="O3784">
        <v>0</v>
      </c>
      <c r="P3784" t="str">
        <f t="shared" si="59"/>
        <v>N</v>
      </c>
      <c r="Q3784" t="s">
        <v>9514</v>
      </c>
    </row>
    <row r="3785" spans="1:17" x14ac:dyDescent="0.25">
      <c r="A3785" t="s">
        <v>3686</v>
      </c>
      <c r="B3785" t="s">
        <v>1080</v>
      </c>
      <c r="C3785">
        <v>2027</v>
      </c>
      <c r="D3785" t="s">
        <v>644</v>
      </c>
      <c r="E3785" t="s">
        <v>844</v>
      </c>
      <c r="F3785" s="32">
        <v>46486</v>
      </c>
      <c r="G3785" t="s">
        <v>514</v>
      </c>
      <c r="H3785">
        <v>47128800</v>
      </c>
      <c r="I3785" t="s">
        <v>1145</v>
      </c>
      <c r="J3785" t="s">
        <v>1144</v>
      </c>
      <c r="K3785" t="s">
        <v>530</v>
      </c>
      <c r="N3785">
        <v>0</v>
      </c>
      <c r="O3785">
        <v>0</v>
      </c>
      <c r="P3785" t="str">
        <f t="shared" si="59"/>
        <v>N</v>
      </c>
      <c r="Q3785" t="s">
        <v>9515</v>
      </c>
    </row>
    <row r="3786" spans="1:17" x14ac:dyDescent="0.25">
      <c r="A3786" t="s">
        <v>3687</v>
      </c>
      <c r="B3786" t="s">
        <v>1080</v>
      </c>
      <c r="C3786">
        <v>2027</v>
      </c>
      <c r="D3786" t="s">
        <v>644</v>
      </c>
      <c r="E3786" t="s">
        <v>844</v>
      </c>
      <c r="F3786" s="32">
        <v>46486</v>
      </c>
      <c r="G3786" t="s">
        <v>514</v>
      </c>
      <c r="H3786">
        <v>47128109</v>
      </c>
      <c r="I3786" t="s">
        <v>1336</v>
      </c>
      <c r="J3786" t="s">
        <v>1335</v>
      </c>
      <c r="K3786" t="s">
        <v>530</v>
      </c>
      <c r="N3786">
        <v>0</v>
      </c>
      <c r="O3786">
        <v>0</v>
      </c>
      <c r="P3786" t="str">
        <f t="shared" si="59"/>
        <v>N</v>
      </c>
      <c r="Q3786" t="s">
        <v>9516</v>
      </c>
    </row>
    <row r="3787" spans="1:17" x14ac:dyDescent="0.25">
      <c r="A3787" t="s">
        <v>3688</v>
      </c>
      <c r="B3787" t="s">
        <v>1080</v>
      </c>
      <c r="C3787">
        <v>2027</v>
      </c>
      <c r="D3787" t="s">
        <v>644</v>
      </c>
      <c r="E3787" t="s">
        <v>844</v>
      </c>
      <c r="F3787" s="32">
        <v>46486</v>
      </c>
      <c r="G3787" t="s">
        <v>514</v>
      </c>
      <c r="H3787">
        <v>47128346</v>
      </c>
      <c r="I3787" t="s">
        <v>1157</v>
      </c>
      <c r="J3787" t="s">
        <v>1156</v>
      </c>
      <c r="K3787" t="s">
        <v>530</v>
      </c>
      <c r="N3787">
        <v>0</v>
      </c>
      <c r="O3787">
        <v>0</v>
      </c>
      <c r="P3787" t="str">
        <f t="shared" si="59"/>
        <v>N</v>
      </c>
      <c r="Q3787" t="s">
        <v>9517</v>
      </c>
    </row>
    <row r="3788" spans="1:17" x14ac:dyDescent="0.25">
      <c r="A3788" t="s">
        <v>3689</v>
      </c>
      <c r="B3788" t="s">
        <v>1080</v>
      </c>
      <c r="C3788">
        <v>2027</v>
      </c>
      <c r="D3788" t="s">
        <v>644</v>
      </c>
      <c r="E3788" t="s">
        <v>844</v>
      </c>
      <c r="F3788" s="32">
        <v>46486</v>
      </c>
      <c r="G3788" t="s">
        <v>514</v>
      </c>
      <c r="H3788">
        <v>47128518</v>
      </c>
      <c r="I3788" t="s">
        <v>1232</v>
      </c>
      <c r="J3788" t="s">
        <v>1231</v>
      </c>
      <c r="K3788" t="s">
        <v>530</v>
      </c>
      <c r="N3788">
        <v>0</v>
      </c>
      <c r="O3788">
        <v>0</v>
      </c>
      <c r="P3788" t="str">
        <f t="shared" si="59"/>
        <v>N</v>
      </c>
      <c r="Q3788" t="s">
        <v>9518</v>
      </c>
    </row>
    <row r="3789" spans="1:17" x14ac:dyDescent="0.25">
      <c r="A3789" t="s">
        <v>3690</v>
      </c>
      <c r="B3789" t="s">
        <v>1080</v>
      </c>
      <c r="C3789">
        <v>2027</v>
      </c>
      <c r="D3789" t="s">
        <v>644</v>
      </c>
      <c r="E3789" t="s">
        <v>844</v>
      </c>
      <c r="F3789" s="32">
        <v>46486</v>
      </c>
      <c r="G3789" t="s">
        <v>514</v>
      </c>
      <c r="H3789">
        <v>47128418</v>
      </c>
      <c r="I3789" t="s">
        <v>1082</v>
      </c>
      <c r="J3789" t="s">
        <v>1081</v>
      </c>
      <c r="K3789" t="s">
        <v>530</v>
      </c>
      <c r="N3789">
        <v>0</v>
      </c>
      <c r="O3789">
        <v>0</v>
      </c>
      <c r="P3789" t="str">
        <f t="shared" si="59"/>
        <v>N</v>
      </c>
      <c r="Q3789" t="s">
        <v>9519</v>
      </c>
    </row>
    <row r="3790" spans="1:17" x14ac:dyDescent="0.25">
      <c r="A3790" t="s">
        <v>3691</v>
      </c>
      <c r="B3790" t="s">
        <v>1080</v>
      </c>
      <c r="C3790">
        <v>2027</v>
      </c>
      <c r="D3790" t="s">
        <v>644</v>
      </c>
      <c r="E3790" t="s">
        <v>844</v>
      </c>
      <c r="F3790" s="32">
        <v>46486</v>
      </c>
      <c r="G3790" t="s">
        <v>514</v>
      </c>
      <c r="H3790">
        <v>47128968</v>
      </c>
      <c r="I3790" t="s">
        <v>947</v>
      </c>
      <c r="J3790" t="s">
        <v>946</v>
      </c>
      <c r="K3790" t="s">
        <v>530</v>
      </c>
      <c r="N3790">
        <v>0</v>
      </c>
      <c r="O3790">
        <v>0</v>
      </c>
      <c r="P3790" t="str">
        <f t="shared" si="59"/>
        <v>N</v>
      </c>
      <c r="Q3790" t="s">
        <v>9520</v>
      </c>
    </row>
    <row r="3791" spans="1:17" x14ac:dyDescent="0.25">
      <c r="A3791" t="s">
        <v>3692</v>
      </c>
      <c r="B3791" t="s">
        <v>1080</v>
      </c>
      <c r="C3791">
        <v>2027</v>
      </c>
      <c r="D3791" t="s">
        <v>644</v>
      </c>
      <c r="E3791" t="s">
        <v>844</v>
      </c>
      <c r="F3791" s="32">
        <v>46486</v>
      </c>
      <c r="G3791" t="s">
        <v>514</v>
      </c>
      <c r="H3791">
        <v>47147658</v>
      </c>
      <c r="I3791" t="s">
        <v>1276</v>
      </c>
      <c r="J3791" t="s">
        <v>1275</v>
      </c>
      <c r="K3791" t="s">
        <v>530</v>
      </c>
      <c r="N3791">
        <v>0</v>
      </c>
      <c r="O3791">
        <v>0</v>
      </c>
      <c r="P3791" t="str">
        <f t="shared" si="59"/>
        <v>N</v>
      </c>
      <c r="Q3791" t="s">
        <v>9521</v>
      </c>
    </row>
    <row r="3792" spans="1:17" x14ac:dyDescent="0.25">
      <c r="A3792" t="s">
        <v>3693</v>
      </c>
      <c r="B3792" t="s">
        <v>1080</v>
      </c>
      <c r="C3792">
        <v>2027</v>
      </c>
      <c r="D3792" t="s">
        <v>644</v>
      </c>
      <c r="E3792" t="s">
        <v>844</v>
      </c>
      <c r="F3792" s="32">
        <v>46486</v>
      </c>
      <c r="G3792" t="s">
        <v>514</v>
      </c>
      <c r="H3792">
        <v>47128781</v>
      </c>
      <c r="I3792" t="s">
        <v>1251</v>
      </c>
      <c r="J3792" t="s">
        <v>1250</v>
      </c>
      <c r="K3792" t="s">
        <v>530</v>
      </c>
      <c r="N3792">
        <v>40</v>
      </c>
      <c r="O3792">
        <v>40</v>
      </c>
      <c r="P3792" t="str">
        <f t="shared" si="59"/>
        <v>N</v>
      </c>
      <c r="Q3792" t="s">
        <v>9522</v>
      </c>
    </row>
    <row r="3793" spans="1:17" x14ac:dyDescent="0.25">
      <c r="A3793" t="s">
        <v>3929</v>
      </c>
      <c r="B3793" t="s">
        <v>1043</v>
      </c>
      <c r="C3793">
        <v>2027</v>
      </c>
      <c r="D3793" t="s">
        <v>644</v>
      </c>
      <c r="E3793" t="s">
        <v>844</v>
      </c>
      <c r="F3793" s="32">
        <v>46486</v>
      </c>
      <c r="G3793" t="s">
        <v>514</v>
      </c>
      <c r="H3793">
        <v>47128781</v>
      </c>
      <c r="I3793" t="s">
        <v>1251</v>
      </c>
      <c r="J3793" t="s">
        <v>1250</v>
      </c>
      <c r="K3793" t="s">
        <v>530</v>
      </c>
      <c r="N3793">
        <v>0</v>
      </c>
      <c r="O3793">
        <v>0</v>
      </c>
      <c r="P3793" t="str">
        <f t="shared" si="59"/>
        <v>N</v>
      </c>
      <c r="Q3793" t="s">
        <v>9523</v>
      </c>
    </row>
    <row r="3794" spans="1:17" x14ac:dyDescent="0.25">
      <c r="A3794" t="s">
        <v>3930</v>
      </c>
      <c r="B3794" t="s">
        <v>1043</v>
      </c>
      <c r="C3794">
        <v>2027</v>
      </c>
      <c r="D3794" t="s">
        <v>644</v>
      </c>
      <c r="E3794" t="s">
        <v>844</v>
      </c>
      <c r="F3794" s="32">
        <v>46486</v>
      </c>
      <c r="G3794" t="s">
        <v>514</v>
      </c>
      <c r="H3794">
        <v>47128046</v>
      </c>
      <c r="I3794" t="s">
        <v>1389</v>
      </c>
      <c r="J3794" t="s">
        <v>1388</v>
      </c>
      <c r="K3794" t="s">
        <v>530</v>
      </c>
      <c r="N3794">
        <v>12</v>
      </c>
      <c r="O3794">
        <v>12</v>
      </c>
      <c r="P3794" t="str">
        <f t="shared" si="59"/>
        <v>N</v>
      </c>
      <c r="Q3794" t="s">
        <v>9524</v>
      </c>
    </row>
    <row r="3795" spans="1:17" x14ac:dyDescent="0.25">
      <c r="A3795" t="s">
        <v>4115</v>
      </c>
      <c r="B3795" t="s">
        <v>1489</v>
      </c>
      <c r="C3795">
        <v>2027</v>
      </c>
      <c r="D3795" t="s">
        <v>644</v>
      </c>
      <c r="E3795" t="s">
        <v>844</v>
      </c>
      <c r="F3795" s="32">
        <v>46486</v>
      </c>
      <c r="G3795" t="s">
        <v>514</v>
      </c>
      <c r="H3795">
        <v>47128781</v>
      </c>
      <c r="I3795" t="s">
        <v>1251</v>
      </c>
      <c r="J3795" t="s">
        <v>1250</v>
      </c>
      <c r="K3795" t="s">
        <v>530</v>
      </c>
      <c r="N3795">
        <v>0</v>
      </c>
      <c r="O3795">
        <v>0</v>
      </c>
      <c r="P3795" t="str">
        <f t="shared" si="59"/>
        <v>N</v>
      </c>
      <c r="Q3795" t="s">
        <v>9525</v>
      </c>
    </row>
    <row r="3796" spans="1:17" x14ac:dyDescent="0.25">
      <c r="A3796" t="s">
        <v>4116</v>
      </c>
      <c r="B3796" t="s">
        <v>1489</v>
      </c>
      <c r="C3796">
        <v>2027</v>
      </c>
      <c r="D3796" t="s">
        <v>644</v>
      </c>
      <c r="E3796" t="s">
        <v>844</v>
      </c>
      <c r="F3796" s="32">
        <v>46486</v>
      </c>
      <c r="G3796" t="s">
        <v>514</v>
      </c>
      <c r="H3796">
        <v>47128336</v>
      </c>
      <c r="I3796" t="s">
        <v>1161</v>
      </c>
      <c r="J3796" t="s">
        <v>1160</v>
      </c>
      <c r="K3796" t="s">
        <v>530</v>
      </c>
      <c r="N3796">
        <v>0</v>
      </c>
      <c r="O3796">
        <v>0</v>
      </c>
      <c r="P3796" t="str">
        <f t="shared" si="59"/>
        <v>N</v>
      </c>
      <c r="Q3796" t="s">
        <v>9526</v>
      </c>
    </row>
    <row r="3797" spans="1:17" x14ac:dyDescent="0.25">
      <c r="A3797" t="s">
        <v>4415</v>
      </c>
      <c r="B3797" t="s">
        <v>916</v>
      </c>
      <c r="C3797">
        <v>2027</v>
      </c>
      <c r="D3797" t="s">
        <v>644</v>
      </c>
      <c r="E3797" t="s">
        <v>844</v>
      </c>
      <c r="F3797" s="32">
        <v>46486</v>
      </c>
      <c r="G3797" t="s">
        <v>514</v>
      </c>
      <c r="H3797">
        <v>47128781</v>
      </c>
      <c r="I3797" t="s">
        <v>1251</v>
      </c>
      <c r="J3797" t="s">
        <v>1250</v>
      </c>
      <c r="K3797" t="s">
        <v>530</v>
      </c>
      <c r="N3797">
        <v>40</v>
      </c>
      <c r="O3797">
        <v>40</v>
      </c>
      <c r="P3797" t="str">
        <f t="shared" si="59"/>
        <v>N</v>
      </c>
      <c r="Q3797" t="s">
        <v>9527</v>
      </c>
    </row>
    <row r="3798" spans="1:17" x14ac:dyDescent="0.25">
      <c r="A3798" t="s">
        <v>4416</v>
      </c>
      <c r="B3798" t="s">
        <v>916</v>
      </c>
      <c r="C3798">
        <v>2027</v>
      </c>
      <c r="D3798" t="s">
        <v>644</v>
      </c>
      <c r="E3798" t="s">
        <v>844</v>
      </c>
      <c r="F3798" s="32">
        <v>46486</v>
      </c>
      <c r="G3798" t="s">
        <v>514</v>
      </c>
      <c r="H3798">
        <v>47128046</v>
      </c>
      <c r="I3798" t="s">
        <v>1389</v>
      </c>
      <c r="J3798" t="s">
        <v>1388</v>
      </c>
      <c r="K3798" t="s">
        <v>530</v>
      </c>
      <c r="N3798">
        <v>24</v>
      </c>
      <c r="O3798">
        <v>24</v>
      </c>
      <c r="P3798" t="str">
        <f t="shared" si="59"/>
        <v>N</v>
      </c>
      <c r="Q3798" t="s">
        <v>9528</v>
      </c>
    </row>
    <row r="3799" spans="1:17" x14ac:dyDescent="0.25">
      <c r="A3799" t="s">
        <v>4417</v>
      </c>
      <c r="B3799" t="s">
        <v>916</v>
      </c>
      <c r="C3799">
        <v>2027</v>
      </c>
      <c r="D3799" t="s">
        <v>644</v>
      </c>
      <c r="E3799" t="s">
        <v>844</v>
      </c>
      <c r="F3799" s="32">
        <v>46486</v>
      </c>
      <c r="G3799" t="s">
        <v>514</v>
      </c>
      <c r="H3799">
        <v>47134379</v>
      </c>
      <c r="I3799" t="s">
        <v>1037</v>
      </c>
      <c r="J3799" t="s">
        <v>1417</v>
      </c>
      <c r="K3799" t="s">
        <v>530</v>
      </c>
      <c r="N3799">
        <v>112.4</v>
      </c>
      <c r="O3799">
        <v>112.4</v>
      </c>
      <c r="P3799" t="str">
        <f t="shared" si="59"/>
        <v>N</v>
      </c>
      <c r="Q3799" t="s">
        <v>9529</v>
      </c>
    </row>
    <row r="3800" spans="1:17" x14ac:dyDescent="0.25">
      <c r="A3800" t="s">
        <v>4740</v>
      </c>
      <c r="B3800" t="s">
        <v>1044</v>
      </c>
      <c r="C3800">
        <v>2027</v>
      </c>
      <c r="D3800" t="s">
        <v>644</v>
      </c>
      <c r="E3800" t="s">
        <v>844</v>
      </c>
      <c r="F3800" s="32">
        <v>46486</v>
      </c>
      <c r="G3800" t="s">
        <v>514</v>
      </c>
      <c r="H3800">
        <v>47133720</v>
      </c>
      <c r="I3800" t="s">
        <v>1217</v>
      </c>
      <c r="J3800" t="s">
        <v>1216</v>
      </c>
      <c r="K3800" t="s">
        <v>530</v>
      </c>
      <c r="N3800">
        <v>20</v>
      </c>
      <c r="O3800">
        <v>20</v>
      </c>
      <c r="P3800" t="str">
        <f t="shared" si="59"/>
        <v>N</v>
      </c>
      <c r="Q3800" t="s">
        <v>9530</v>
      </c>
    </row>
    <row r="3801" spans="1:17" x14ac:dyDescent="0.25">
      <c r="A3801" t="s">
        <v>4741</v>
      </c>
      <c r="B3801" t="s">
        <v>1044</v>
      </c>
      <c r="C3801">
        <v>2027</v>
      </c>
      <c r="D3801" t="s">
        <v>644</v>
      </c>
      <c r="E3801" t="s">
        <v>844</v>
      </c>
      <c r="F3801" s="32">
        <v>46486</v>
      </c>
      <c r="G3801" t="s">
        <v>514</v>
      </c>
      <c r="H3801">
        <v>47128781</v>
      </c>
      <c r="I3801" t="s">
        <v>1251</v>
      </c>
      <c r="J3801" t="s">
        <v>1250</v>
      </c>
      <c r="K3801" t="s">
        <v>530</v>
      </c>
      <c r="N3801">
        <v>0</v>
      </c>
      <c r="O3801">
        <v>0</v>
      </c>
      <c r="P3801" t="str">
        <f t="shared" si="59"/>
        <v>N</v>
      </c>
      <c r="Q3801" t="s">
        <v>9531</v>
      </c>
    </row>
    <row r="3802" spans="1:17" x14ac:dyDescent="0.25">
      <c r="A3802" t="s">
        <v>4742</v>
      </c>
      <c r="B3802" t="s">
        <v>1044</v>
      </c>
      <c r="C3802">
        <v>2027</v>
      </c>
      <c r="D3802" t="s">
        <v>644</v>
      </c>
      <c r="E3802" t="s">
        <v>844</v>
      </c>
      <c r="F3802" s="32">
        <v>46486</v>
      </c>
      <c r="G3802" t="s">
        <v>514</v>
      </c>
      <c r="H3802">
        <v>47128481</v>
      </c>
      <c r="I3802" t="s">
        <v>1379</v>
      </c>
      <c r="J3802" t="s">
        <v>1378</v>
      </c>
      <c r="K3802" t="s">
        <v>530</v>
      </c>
      <c r="N3802">
        <v>0</v>
      </c>
      <c r="O3802">
        <v>0</v>
      </c>
      <c r="P3802" t="str">
        <f t="shared" si="59"/>
        <v>N</v>
      </c>
      <c r="Q3802" t="s">
        <v>9532</v>
      </c>
    </row>
    <row r="3803" spans="1:17" x14ac:dyDescent="0.25">
      <c r="A3803" t="s">
        <v>4743</v>
      </c>
      <c r="B3803" t="s">
        <v>1044</v>
      </c>
      <c r="C3803">
        <v>2027</v>
      </c>
      <c r="D3803" t="s">
        <v>644</v>
      </c>
      <c r="E3803" t="s">
        <v>844</v>
      </c>
      <c r="F3803" s="32">
        <v>46486</v>
      </c>
      <c r="G3803" t="s">
        <v>514</v>
      </c>
      <c r="H3803">
        <v>47128336</v>
      </c>
      <c r="I3803" t="s">
        <v>1161</v>
      </c>
      <c r="J3803" t="s">
        <v>1160</v>
      </c>
      <c r="K3803" t="s">
        <v>530</v>
      </c>
      <c r="N3803">
        <v>0</v>
      </c>
      <c r="O3803">
        <v>0</v>
      </c>
      <c r="P3803" t="str">
        <f t="shared" si="59"/>
        <v>N</v>
      </c>
      <c r="Q3803" t="s">
        <v>9533</v>
      </c>
    </row>
    <row r="3804" spans="1:17" x14ac:dyDescent="0.25">
      <c r="A3804" t="s">
        <v>4744</v>
      </c>
      <c r="B3804" t="s">
        <v>1044</v>
      </c>
      <c r="C3804">
        <v>2027</v>
      </c>
      <c r="D3804" t="s">
        <v>644</v>
      </c>
      <c r="E3804" t="s">
        <v>844</v>
      </c>
      <c r="F3804" s="32">
        <v>46486</v>
      </c>
      <c r="G3804" t="s">
        <v>514</v>
      </c>
      <c r="H3804">
        <v>47128169</v>
      </c>
      <c r="I3804" t="s">
        <v>1205</v>
      </c>
      <c r="J3804" t="s">
        <v>1204</v>
      </c>
      <c r="K3804" t="s">
        <v>530</v>
      </c>
      <c r="N3804">
        <v>0</v>
      </c>
      <c r="O3804">
        <v>0</v>
      </c>
      <c r="P3804" t="str">
        <f t="shared" si="59"/>
        <v>N</v>
      </c>
      <c r="Q3804" t="s">
        <v>9534</v>
      </c>
    </row>
    <row r="3805" spans="1:17" x14ac:dyDescent="0.25">
      <c r="A3805" t="s">
        <v>4745</v>
      </c>
      <c r="B3805" t="s">
        <v>1044</v>
      </c>
      <c r="C3805">
        <v>2027</v>
      </c>
      <c r="D3805" t="s">
        <v>644</v>
      </c>
      <c r="E3805" t="s">
        <v>844</v>
      </c>
      <c r="F3805" s="32">
        <v>46486</v>
      </c>
      <c r="G3805" t="s">
        <v>514</v>
      </c>
      <c r="H3805">
        <v>47136340</v>
      </c>
      <c r="I3805" t="s">
        <v>1213</v>
      </c>
      <c r="J3805" t="s">
        <v>1212</v>
      </c>
      <c r="K3805" t="s">
        <v>530</v>
      </c>
      <c r="N3805">
        <v>0</v>
      </c>
      <c r="O3805">
        <v>0</v>
      </c>
      <c r="P3805" t="str">
        <f t="shared" si="59"/>
        <v>N</v>
      </c>
      <c r="Q3805" t="s">
        <v>9535</v>
      </c>
    </row>
    <row r="3806" spans="1:17" x14ac:dyDescent="0.25">
      <c r="A3806" t="s">
        <v>4746</v>
      </c>
      <c r="B3806" t="s">
        <v>1044</v>
      </c>
      <c r="C3806">
        <v>2027</v>
      </c>
      <c r="D3806" t="s">
        <v>644</v>
      </c>
      <c r="E3806" t="s">
        <v>844</v>
      </c>
      <c r="F3806" s="32">
        <v>46486</v>
      </c>
      <c r="G3806" t="s">
        <v>514</v>
      </c>
      <c r="H3806">
        <v>47128022</v>
      </c>
      <c r="I3806" t="s">
        <v>1104</v>
      </c>
      <c r="J3806" t="s">
        <v>1103</v>
      </c>
      <c r="K3806" t="s">
        <v>530</v>
      </c>
      <c r="N3806">
        <v>0</v>
      </c>
      <c r="O3806">
        <v>0</v>
      </c>
      <c r="P3806" t="str">
        <f t="shared" si="59"/>
        <v>N</v>
      </c>
      <c r="Q3806" t="s">
        <v>9536</v>
      </c>
    </row>
    <row r="3807" spans="1:17" x14ac:dyDescent="0.25">
      <c r="A3807" t="s">
        <v>4747</v>
      </c>
      <c r="B3807" t="s">
        <v>1044</v>
      </c>
      <c r="C3807">
        <v>2027</v>
      </c>
      <c r="D3807" t="s">
        <v>644</v>
      </c>
      <c r="E3807" t="s">
        <v>844</v>
      </c>
      <c r="F3807" s="32">
        <v>46486</v>
      </c>
      <c r="G3807" t="s">
        <v>514</v>
      </c>
      <c r="H3807">
        <v>47127948</v>
      </c>
      <c r="I3807" t="s">
        <v>1247</v>
      </c>
      <c r="J3807" t="s">
        <v>1246</v>
      </c>
      <c r="K3807" t="s">
        <v>530</v>
      </c>
      <c r="N3807">
        <v>0</v>
      </c>
      <c r="O3807">
        <v>0</v>
      </c>
      <c r="P3807" t="str">
        <f t="shared" si="59"/>
        <v>N</v>
      </c>
      <c r="Q3807" t="s">
        <v>9537</v>
      </c>
    </row>
    <row r="3808" spans="1:17" x14ac:dyDescent="0.25">
      <c r="A3808" t="s">
        <v>4748</v>
      </c>
      <c r="B3808" t="s">
        <v>1044</v>
      </c>
      <c r="C3808">
        <v>2027</v>
      </c>
      <c r="D3808" t="s">
        <v>644</v>
      </c>
      <c r="E3808" t="s">
        <v>844</v>
      </c>
      <c r="F3808" s="32">
        <v>46486</v>
      </c>
      <c r="G3808" t="s">
        <v>514</v>
      </c>
      <c r="H3808">
        <v>47128427</v>
      </c>
      <c r="I3808" t="s">
        <v>1112</v>
      </c>
      <c r="J3808" t="s">
        <v>1111</v>
      </c>
      <c r="K3808" t="s">
        <v>530</v>
      </c>
      <c r="N3808">
        <v>0</v>
      </c>
      <c r="O3808">
        <v>0</v>
      </c>
      <c r="P3808" t="str">
        <f t="shared" si="59"/>
        <v>N</v>
      </c>
      <c r="Q3808" t="s">
        <v>9538</v>
      </c>
    </row>
    <row r="3809" spans="1:17" x14ac:dyDescent="0.25">
      <c r="A3809" t="s">
        <v>4749</v>
      </c>
      <c r="B3809" t="s">
        <v>1044</v>
      </c>
      <c r="C3809">
        <v>2027</v>
      </c>
      <c r="D3809" t="s">
        <v>644</v>
      </c>
      <c r="E3809" t="s">
        <v>844</v>
      </c>
      <c r="F3809" s="32">
        <v>46486</v>
      </c>
      <c r="G3809" t="s">
        <v>514</v>
      </c>
      <c r="H3809">
        <v>47128513</v>
      </c>
      <c r="I3809" t="s">
        <v>1040</v>
      </c>
      <c r="J3809" t="s">
        <v>1039</v>
      </c>
      <c r="K3809" t="s">
        <v>530</v>
      </c>
      <c r="N3809">
        <v>0</v>
      </c>
      <c r="O3809">
        <v>0</v>
      </c>
      <c r="P3809" t="str">
        <f t="shared" si="59"/>
        <v>N</v>
      </c>
      <c r="Q3809" t="s">
        <v>9539</v>
      </c>
    </row>
    <row r="3810" spans="1:17" x14ac:dyDescent="0.25">
      <c r="A3810" t="s">
        <v>4750</v>
      </c>
      <c r="B3810" t="s">
        <v>1044</v>
      </c>
      <c r="C3810">
        <v>2027</v>
      </c>
      <c r="D3810" t="s">
        <v>644</v>
      </c>
      <c r="E3810" t="s">
        <v>844</v>
      </c>
      <c r="F3810" s="32">
        <v>46486</v>
      </c>
      <c r="G3810" t="s">
        <v>514</v>
      </c>
      <c r="H3810">
        <v>47128489</v>
      </c>
      <c r="I3810" t="s">
        <v>1116</v>
      </c>
      <c r="J3810" t="s">
        <v>1115</v>
      </c>
      <c r="K3810" t="s">
        <v>530</v>
      </c>
      <c r="N3810">
        <v>0</v>
      </c>
      <c r="O3810">
        <v>0</v>
      </c>
      <c r="P3810" t="str">
        <f t="shared" si="59"/>
        <v>N</v>
      </c>
      <c r="Q3810" t="s">
        <v>9540</v>
      </c>
    </row>
    <row r="3811" spans="1:17" x14ac:dyDescent="0.25">
      <c r="A3811" t="s">
        <v>5428</v>
      </c>
      <c r="B3811" t="s">
        <v>1089</v>
      </c>
      <c r="C3811">
        <v>2027</v>
      </c>
      <c r="D3811" t="s">
        <v>644</v>
      </c>
      <c r="E3811" t="s">
        <v>844</v>
      </c>
      <c r="F3811" s="32">
        <v>46486</v>
      </c>
      <c r="G3811" t="s">
        <v>514</v>
      </c>
      <c r="H3811">
        <v>47128781</v>
      </c>
      <c r="I3811" t="s">
        <v>1251</v>
      </c>
      <c r="J3811" t="s">
        <v>1250</v>
      </c>
      <c r="K3811" t="s">
        <v>530</v>
      </c>
      <c r="N3811">
        <v>40</v>
      </c>
      <c r="O3811">
        <v>40</v>
      </c>
      <c r="P3811" t="str">
        <f t="shared" si="59"/>
        <v>N</v>
      </c>
      <c r="Q3811" t="s">
        <v>9541</v>
      </c>
    </row>
    <row r="3812" spans="1:17" x14ac:dyDescent="0.25">
      <c r="A3812" t="s">
        <v>5429</v>
      </c>
      <c r="B3812" t="s">
        <v>1089</v>
      </c>
      <c r="C3812">
        <v>2027</v>
      </c>
      <c r="D3812" t="s">
        <v>644</v>
      </c>
      <c r="E3812" t="s">
        <v>844</v>
      </c>
      <c r="F3812" s="32">
        <v>46486</v>
      </c>
      <c r="G3812" t="s">
        <v>514</v>
      </c>
      <c r="H3812">
        <v>47128046</v>
      </c>
      <c r="I3812" t="s">
        <v>1389</v>
      </c>
      <c r="J3812" t="s">
        <v>1388</v>
      </c>
      <c r="K3812" t="s">
        <v>530</v>
      </c>
      <c r="N3812">
        <v>24</v>
      </c>
      <c r="O3812">
        <v>24</v>
      </c>
      <c r="P3812" t="str">
        <f t="shared" si="59"/>
        <v>N</v>
      </c>
      <c r="Q3812" t="s">
        <v>9542</v>
      </c>
    </row>
    <row r="3813" spans="1:17" x14ac:dyDescent="0.25">
      <c r="A3813" t="s">
        <v>5672</v>
      </c>
      <c r="B3813" t="s">
        <v>5437</v>
      </c>
      <c r="C3813">
        <v>2027</v>
      </c>
      <c r="D3813" t="s">
        <v>644</v>
      </c>
      <c r="E3813" t="s">
        <v>844</v>
      </c>
      <c r="F3813" s="32">
        <v>46486</v>
      </c>
      <c r="G3813" t="s">
        <v>514</v>
      </c>
      <c r="H3813">
        <v>47128781</v>
      </c>
      <c r="I3813" t="s">
        <v>1251</v>
      </c>
      <c r="J3813" t="s">
        <v>1250</v>
      </c>
      <c r="K3813" t="s">
        <v>530</v>
      </c>
      <c r="N3813">
        <v>40</v>
      </c>
      <c r="O3813">
        <v>40</v>
      </c>
      <c r="P3813" t="str">
        <f t="shared" si="59"/>
        <v>N</v>
      </c>
      <c r="Q3813" t="s">
        <v>9543</v>
      </c>
    </row>
    <row r="3814" spans="1:17" x14ac:dyDescent="0.25">
      <c r="A3814" t="s">
        <v>5673</v>
      </c>
      <c r="B3814" t="s">
        <v>5437</v>
      </c>
      <c r="C3814">
        <v>2027</v>
      </c>
      <c r="D3814" t="s">
        <v>644</v>
      </c>
      <c r="E3814" t="s">
        <v>844</v>
      </c>
      <c r="F3814" s="32">
        <v>46486</v>
      </c>
      <c r="G3814" t="s">
        <v>514</v>
      </c>
      <c r="H3814">
        <v>47128481</v>
      </c>
      <c r="I3814" t="s">
        <v>1379</v>
      </c>
      <c r="J3814" t="s">
        <v>1378</v>
      </c>
      <c r="K3814" t="s">
        <v>530</v>
      </c>
      <c r="N3814">
        <v>0</v>
      </c>
      <c r="O3814">
        <v>0</v>
      </c>
      <c r="P3814" t="str">
        <f t="shared" si="59"/>
        <v>N</v>
      </c>
      <c r="Q3814" t="s">
        <v>9544</v>
      </c>
    </row>
    <row r="3815" spans="1:17" x14ac:dyDescent="0.25">
      <c r="A3815" t="s">
        <v>5674</v>
      </c>
      <c r="B3815" t="s">
        <v>5437</v>
      </c>
      <c r="C3815">
        <v>2027</v>
      </c>
      <c r="D3815" t="s">
        <v>644</v>
      </c>
      <c r="E3815" t="s">
        <v>844</v>
      </c>
      <c r="F3815" s="32">
        <v>46486</v>
      </c>
      <c r="G3815" t="s">
        <v>514</v>
      </c>
      <c r="H3815">
        <v>47128336</v>
      </c>
      <c r="I3815" t="s">
        <v>1161</v>
      </c>
      <c r="J3815" t="s">
        <v>1160</v>
      </c>
      <c r="K3815" t="s">
        <v>530</v>
      </c>
      <c r="N3815">
        <v>0</v>
      </c>
      <c r="O3815">
        <v>0</v>
      </c>
      <c r="P3815" t="str">
        <f t="shared" si="59"/>
        <v>N</v>
      </c>
      <c r="Q3815" t="s">
        <v>9545</v>
      </c>
    </row>
    <row r="3816" spans="1:17" x14ac:dyDescent="0.25">
      <c r="A3816" t="s">
        <v>5675</v>
      </c>
      <c r="B3816" t="s">
        <v>5437</v>
      </c>
      <c r="C3816">
        <v>2027</v>
      </c>
      <c r="D3816" t="s">
        <v>644</v>
      </c>
      <c r="E3816" t="s">
        <v>844</v>
      </c>
      <c r="F3816" s="32">
        <v>46486</v>
      </c>
      <c r="G3816" t="s">
        <v>514</v>
      </c>
      <c r="H3816">
        <v>47136340</v>
      </c>
      <c r="I3816" t="s">
        <v>1213</v>
      </c>
      <c r="J3816" t="s">
        <v>1212</v>
      </c>
      <c r="K3816" t="s">
        <v>530</v>
      </c>
      <c r="N3816">
        <v>0</v>
      </c>
      <c r="O3816">
        <v>0</v>
      </c>
      <c r="P3816" t="str">
        <f t="shared" si="59"/>
        <v>N</v>
      </c>
      <c r="Q3816" t="s">
        <v>9546</v>
      </c>
    </row>
    <row r="3817" spans="1:17" x14ac:dyDescent="0.25">
      <c r="A3817" t="s">
        <v>5676</v>
      </c>
      <c r="B3817" t="s">
        <v>5437</v>
      </c>
      <c r="C3817">
        <v>2027</v>
      </c>
      <c r="D3817" t="s">
        <v>644</v>
      </c>
      <c r="E3817" t="s">
        <v>844</v>
      </c>
      <c r="F3817" s="32">
        <v>46486</v>
      </c>
      <c r="G3817" t="s">
        <v>514</v>
      </c>
      <c r="H3817">
        <v>47128169</v>
      </c>
      <c r="I3817" t="s">
        <v>1205</v>
      </c>
      <c r="J3817" t="s">
        <v>1204</v>
      </c>
      <c r="K3817" t="s">
        <v>530</v>
      </c>
      <c r="N3817">
        <v>0</v>
      </c>
      <c r="O3817">
        <v>0</v>
      </c>
      <c r="P3817" t="str">
        <f t="shared" si="59"/>
        <v>N</v>
      </c>
      <c r="Q3817" t="s">
        <v>9547</v>
      </c>
    </row>
    <row r="3818" spans="1:17" x14ac:dyDescent="0.25">
      <c r="A3818" t="s">
        <v>5677</v>
      </c>
      <c r="B3818" t="s">
        <v>5437</v>
      </c>
      <c r="C3818">
        <v>2027</v>
      </c>
      <c r="D3818" t="s">
        <v>644</v>
      </c>
      <c r="E3818" t="s">
        <v>844</v>
      </c>
      <c r="F3818" s="32">
        <v>46486</v>
      </c>
      <c r="G3818" t="s">
        <v>514</v>
      </c>
      <c r="H3818">
        <v>47128022</v>
      </c>
      <c r="I3818" t="s">
        <v>1104</v>
      </c>
      <c r="J3818" t="s">
        <v>1103</v>
      </c>
      <c r="K3818" t="s">
        <v>530</v>
      </c>
      <c r="N3818">
        <v>0</v>
      </c>
      <c r="O3818">
        <v>0</v>
      </c>
      <c r="P3818" t="str">
        <f t="shared" si="59"/>
        <v>N</v>
      </c>
      <c r="Q3818" t="s">
        <v>9548</v>
      </c>
    </row>
    <row r="3819" spans="1:17" x14ac:dyDescent="0.25">
      <c r="A3819" t="s">
        <v>5678</v>
      </c>
      <c r="B3819" t="s">
        <v>5437</v>
      </c>
      <c r="C3819">
        <v>2027</v>
      </c>
      <c r="D3819" t="s">
        <v>644</v>
      </c>
      <c r="E3819" t="s">
        <v>844</v>
      </c>
      <c r="F3819" s="32">
        <v>46486</v>
      </c>
      <c r="G3819" t="s">
        <v>514</v>
      </c>
      <c r="H3819">
        <v>47127948</v>
      </c>
      <c r="I3819" t="s">
        <v>1247</v>
      </c>
      <c r="J3819" t="s">
        <v>1246</v>
      </c>
      <c r="K3819" t="s">
        <v>530</v>
      </c>
      <c r="N3819">
        <v>0</v>
      </c>
      <c r="O3819">
        <v>0</v>
      </c>
      <c r="P3819" t="str">
        <f t="shared" si="59"/>
        <v>N</v>
      </c>
      <c r="Q3819" t="s">
        <v>9549</v>
      </c>
    </row>
    <row r="3820" spans="1:17" x14ac:dyDescent="0.25">
      <c r="A3820" t="s">
        <v>5679</v>
      </c>
      <c r="B3820" t="s">
        <v>5437</v>
      </c>
      <c r="C3820">
        <v>2027</v>
      </c>
      <c r="D3820" t="s">
        <v>644</v>
      </c>
      <c r="E3820" t="s">
        <v>844</v>
      </c>
      <c r="F3820" s="32">
        <v>46486</v>
      </c>
      <c r="G3820" t="s">
        <v>514</v>
      </c>
      <c r="H3820">
        <v>47128489</v>
      </c>
      <c r="I3820" t="s">
        <v>1116</v>
      </c>
      <c r="J3820" t="s">
        <v>1115</v>
      </c>
      <c r="K3820" t="s">
        <v>530</v>
      </c>
      <c r="N3820">
        <v>0</v>
      </c>
      <c r="O3820">
        <v>0</v>
      </c>
      <c r="P3820" t="str">
        <f t="shared" si="59"/>
        <v>N</v>
      </c>
      <c r="Q3820" t="s">
        <v>9550</v>
      </c>
    </row>
    <row r="3821" spans="1:17" x14ac:dyDescent="0.25">
      <c r="A3821" t="s">
        <v>5680</v>
      </c>
      <c r="B3821" t="s">
        <v>5437</v>
      </c>
      <c r="C3821">
        <v>2027</v>
      </c>
      <c r="D3821" t="s">
        <v>644</v>
      </c>
      <c r="E3821" t="s">
        <v>844</v>
      </c>
      <c r="F3821" s="32">
        <v>46486</v>
      </c>
      <c r="G3821" t="s">
        <v>514</v>
      </c>
      <c r="H3821">
        <v>47128427</v>
      </c>
      <c r="I3821" t="s">
        <v>1112</v>
      </c>
      <c r="J3821" t="s">
        <v>1111</v>
      </c>
      <c r="K3821" t="s">
        <v>530</v>
      </c>
      <c r="N3821">
        <v>0</v>
      </c>
      <c r="O3821">
        <v>0</v>
      </c>
      <c r="P3821" t="str">
        <f t="shared" si="59"/>
        <v>N</v>
      </c>
      <c r="Q3821" t="s">
        <v>9551</v>
      </c>
    </row>
    <row r="3822" spans="1:17" x14ac:dyDescent="0.25">
      <c r="A3822" t="s">
        <v>5681</v>
      </c>
      <c r="B3822" t="s">
        <v>5437</v>
      </c>
      <c r="C3822">
        <v>2027</v>
      </c>
      <c r="D3822" t="s">
        <v>644</v>
      </c>
      <c r="E3822" t="s">
        <v>844</v>
      </c>
      <c r="F3822" s="32">
        <v>46486</v>
      </c>
      <c r="G3822" t="s">
        <v>514</v>
      </c>
      <c r="H3822">
        <v>47128513</v>
      </c>
      <c r="I3822" t="s">
        <v>1040</v>
      </c>
      <c r="J3822" t="s">
        <v>1039</v>
      </c>
      <c r="K3822" t="s">
        <v>530</v>
      </c>
      <c r="N3822">
        <v>0</v>
      </c>
      <c r="O3822">
        <v>0</v>
      </c>
      <c r="P3822" t="str">
        <f t="shared" si="59"/>
        <v>N</v>
      </c>
      <c r="Q3822" t="s">
        <v>9552</v>
      </c>
    </row>
    <row r="3823" spans="1:17" x14ac:dyDescent="0.25">
      <c r="A3823" t="s">
        <v>1678</v>
      </c>
      <c r="B3823" t="s">
        <v>1520</v>
      </c>
      <c r="C3823">
        <v>2027</v>
      </c>
      <c r="D3823" t="s">
        <v>647</v>
      </c>
      <c r="E3823" t="s">
        <v>845</v>
      </c>
      <c r="F3823" s="32">
        <v>46493</v>
      </c>
      <c r="G3823" t="s">
        <v>563</v>
      </c>
      <c r="H3823">
        <v>10000015</v>
      </c>
      <c r="I3823" t="s">
        <v>562</v>
      </c>
      <c r="K3823" t="s">
        <v>530</v>
      </c>
      <c r="N3823">
        <v>0</v>
      </c>
      <c r="O3823">
        <v>0</v>
      </c>
      <c r="P3823" t="str">
        <f t="shared" si="59"/>
        <v>N</v>
      </c>
      <c r="Q3823" t="s">
        <v>9553</v>
      </c>
    </row>
    <row r="3824" spans="1:17" x14ac:dyDescent="0.25">
      <c r="A3824" t="s">
        <v>1679</v>
      </c>
      <c r="B3824" t="s">
        <v>1520</v>
      </c>
      <c r="C3824">
        <v>2027</v>
      </c>
      <c r="D3824" t="s">
        <v>647</v>
      </c>
      <c r="E3824" t="s">
        <v>845</v>
      </c>
      <c r="F3824" s="32">
        <v>46493</v>
      </c>
      <c r="G3824" t="s">
        <v>514</v>
      </c>
      <c r="H3824">
        <v>47128781</v>
      </c>
      <c r="I3824" t="s">
        <v>1251</v>
      </c>
      <c r="J3824" t="s">
        <v>1250</v>
      </c>
      <c r="K3824" t="s">
        <v>530</v>
      </c>
      <c r="N3824">
        <v>40</v>
      </c>
      <c r="O3824">
        <v>40</v>
      </c>
      <c r="P3824" t="str">
        <f t="shared" si="59"/>
        <v>N</v>
      </c>
      <c r="Q3824" t="s">
        <v>9554</v>
      </c>
    </row>
    <row r="3825" spans="1:17" x14ac:dyDescent="0.25">
      <c r="A3825" t="s">
        <v>2256</v>
      </c>
      <c r="B3825" t="s">
        <v>1135</v>
      </c>
      <c r="C3825">
        <v>2027</v>
      </c>
      <c r="D3825" t="s">
        <v>647</v>
      </c>
      <c r="E3825" t="s">
        <v>845</v>
      </c>
      <c r="F3825" s="32">
        <v>46493</v>
      </c>
      <c r="G3825" t="s">
        <v>514</v>
      </c>
      <c r="H3825">
        <v>47128168</v>
      </c>
      <c r="I3825" t="s">
        <v>1100</v>
      </c>
      <c r="J3825" t="s">
        <v>1099</v>
      </c>
      <c r="K3825" t="s">
        <v>530</v>
      </c>
      <c r="N3825">
        <v>0</v>
      </c>
      <c r="O3825">
        <v>0</v>
      </c>
      <c r="P3825" t="str">
        <f t="shared" si="59"/>
        <v>N</v>
      </c>
      <c r="Q3825" t="s">
        <v>9555</v>
      </c>
    </row>
    <row r="3826" spans="1:17" x14ac:dyDescent="0.25">
      <c r="A3826" t="s">
        <v>2257</v>
      </c>
      <c r="B3826" t="s">
        <v>1135</v>
      </c>
      <c r="C3826">
        <v>2027</v>
      </c>
      <c r="D3826" t="s">
        <v>647</v>
      </c>
      <c r="E3826" t="s">
        <v>845</v>
      </c>
      <c r="F3826" s="32">
        <v>46493</v>
      </c>
      <c r="G3826" t="s">
        <v>514</v>
      </c>
      <c r="H3826">
        <v>47128906</v>
      </c>
      <c r="I3826" t="s">
        <v>1349</v>
      </c>
      <c r="J3826" t="s">
        <v>1348</v>
      </c>
      <c r="K3826" t="s">
        <v>530</v>
      </c>
      <c r="N3826">
        <v>0</v>
      </c>
      <c r="O3826">
        <v>0</v>
      </c>
      <c r="P3826" t="str">
        <f t="shared" si="59"/>
        <v>N</v>
      </c>
      <c r="Q3826" t="s">
        <v>9556</v>
      </c>
    </row>
    <row r="3827" spans="1:17" x14ac:dyDescent="0.25">
      <c r="A3827" t="s">
        <v>2258</v>
      </c>
      <c r="B3827" t="s">
        <v>1135</v>
      </c>
      <c r="C3827">
        <v>2027</v>
      </c>
      <c r="D3827" t="s">
        <v>647</v>
      </c>
      <c r="E3827" t="s">
        <v>845</v>
      </c>
      <c r="F3827" s="32">
        <v>46493</v>
      </c>
      <c r="G3827" t="s">
        <v>514</v>
      </c>
      <c r="H3827">
        <v>47128783</v>
      </c>
      <c r="I3827" t="s">
        <v>1280</v>
      </c>
      <c r="J3827" t="s">
        <v>1279</v>
      </c>
      <c r="K3827" t="s">
        <v>530</v>
      </c>
      <c r="N3827">
        <v>0</v>
      </c>
      <c r="O3827">
        <v>0</v>
      </c>
      <c r="P3827" t="str">
        <f t="shared" si="59"/>
        <v>N</v>
      </c>
      <c r="Q3827" t="s">
        <v>9557</v>
      </c>
    </row>
    <row r="3828" spans="1:17" x14ac:dyDescent="0.25">
      <c r="A3828" t="s">
        <v>2259</v>
      </c>
      <c r="B3828" t="s">
        <v>1135</v>
      </c>
      <c r="C3828">
        <v>2027</v>
      </c>
      <c r="D3828" t="s">
        <v>647</v>
      </c>
      <c r="E3828" t="s">
        <v>845</v>
      </c>
      <c r="F3828" s="32">
        <v>46493</v>
      </c>
      <c r="G3828" t="s">
        <v>514</v>
      </c>
      <c r="H3828">
        <v>47128944</v>
      </c>
      <c r="I3828" t="s">
        <v>1137</v>
      </c>
      <c r="J3828" t="s">
        <v>1136</v>
      </c>
      <c r="K3828" t="s">
        <v>530</v>
      </c>
      <c r="N3828">
        <v>0</v>
      </c>
      <c r="O3828">
        <v>0</v>
      </c>
      <c r="P3828" t="str">
        <f t="shared" si="59"/>
        <v>N</v>
      </c>
      <c r="Q3828" t="s">
        <v>9558</v>
      </c>
    </row>
    <row r="3829" spans="1:17" x14ac:dyDescent="0.25">
      <c r="A3829" t="s">
        <v>2260</v>
      </c>
      <c r="B3829" t="s">
        <v>1135</v>
      </c>
      <c r="C3829">
        <v>2027</v>
      </c>
      <c r="D3829" t="s">
        <v>647</v>
      </c>
      <c r="E3829" t="s">
        <v>845</v>
      </c>
      <c r="F3829" s="32">
        <v>46493</v>
      </c>
      <c r="G3829" t="s">
        <v>514</v>
      </c>
      <c r="H3829">
        <v>47128729</v>
      </c>
      <c r="I3829" t="s">
        <v>1149</v>
      </c>
      <c r="J3829" t="s">
        <v>1148</v>
      </c>
      <c r="K3829" t="s">
        <v>530</v>
      </c>
      <c r="N3829">
        <v>0</v>
      </c>
      <c r="O3829">
        <v>0</v>
      </c>
      <c r="P3829" t="str">
        <f t="shared" si="59"/>
        <v>N</v>
      </c>
      <c r="Q3829" t="s">
        <v>9559</v>
      </c>
    </row>
    <row r="3830" spans="1:17" x14ac:dyDescent="0.25">
      <c r="A3830" t="s">
        <v>2261</v>
      </c>
      <c r="B3830" t="s">
        <v>1135</v>
      </c>
      <c r="C3830">
        <v>2027</v>
      </c>
      <c r="D3830" t="s">
        <v>647</v>
      </c>
      <c r="E3830" t="s">
        <v>845</v>
      </c>
      <c r="F3830" s="32">
        <v>46493</v>
      </c>
      <c r="G3830" t="s">
        <v>514</v>
      </c>
      <c r="H3830">
        <v>47128585</v>
      </c>
      <c r="I3830" t="s">
        <v>1141</v>
      </c>
      <c r="J3830" t="s">
        <v>1140</v>
      </c>
      <c r="K3830" t="s">
        <v>530</v>
      </c>
      <c r="N3830">
        <v>0</v>
      </c>
      <c r="O3830">
        <v>0</v>
      </c>
      <c r="P3830" t="str">
        <f t="shared" si="59"/>
        <v>N</v>
      </c>
      <c r="Q3830" t="s">
        <v>9560</v>
      </c>
    </row>
    <row r="3831" spans="1:17" x14ac:dyDescent="0.25">
      <c r="A3831" t="s">
        <v>2262</v>
      </c>
      <c r="B3831" t="s">
        <v>1135</v>
      </c>
      <c r="C3831">
        <v>2027</v>
      </c>
      <c r="D3831" t="s">
        <v>647</v>
      </c>
      <c r="E3831" t="s">
        <v>845</v>
      </c>
      <c r="F3831" s="32">
        <v>46493</v>
      </c>
      <c r="G3831" t="s">
        <v>514</v>
      </c>
      <c r="H3831">
        <v>47128680</v>
      </c>
      <c r="I3831" t="s">
        <v>1284</v>
      </c>
      <c r="J3831" t="s">
        <v>1283</v>
      </c>
      <c r="K3831" t="s">
        <v>530</v>
      </c>
      <c r="N3831">
        <v>0</v>
      </c>
      <c r="O3831">
        <v>0</v>
      </c>
      <c r="P3831" t="str">
        <f t="shared" si="59"/>
        <v>N</v>
      </c>
      <c r="Q3831" t="s">
        <v>9561</v>
      </c>
    </row>
    <row r="3832" spans="1:17" x14ac:dyDescent="0.25">
      <c r="A3832" t="s">
        <v>2263</v>
      </c>
      <c r="B3832" t="s">
        <v>1135</v>
      </c>
      <c r="C3832">
        <v>2027</v>
      </c>
      <c r="D3832" t="s">
        <v>647</v>
      </c>
      <c r="E3832" t="s">
        <v>845</v>
      </c>
      <c r="F3832" s="32">
        <v>46493</v>
      </c>
      <c r="G3832" t="s">
        <v>514</v>
      </c>
      <c r="H3832">
        <v>47128585</v>
      </c>
      <c r="I3832" t="s">
        <v>1141</v>
      </c>
      <c r="J3832" t="s">
        <v>1408</v>
      </c>
      <c r="K3832" t="s">
        <v>530</v>
      </c>
      <c r="N3832">
        <v>0</v>
      </c>
      <c r="O3832">
        <v>0</v>
      </c>
      <c r="P3832" t="str">
        <f t="shared" si="59"/>
        <v>N</v>
      </c>
      <c r="Q3832" t="s">
        <v>9562</v>
      </c>
    </row>
    <row r="3833" spans="1:17" x14ac:dyDescent="0.25">
      <c r="A3833" t="s">
        <v>2264</v>
      </c>
      <c r="B3833" t="s">
        <v>1135</v>
      </c>
      <c r="C3833">
        <v>2027</v>
      </c>
      <c r="D3833" t="s">
        <v>647</v>
      </c>
      <c r="E3833" t="s">
        <v>845</v>
      </c>
      <c r="F3833" s="32">
        <v>46493</v>
      </c>
      <c r="G3833" t="s">
        <v>514</v>
      </c>
      <c r="H3833">
        <v>47128039</v>
      </c>
      <c r="I3833" t="s">
        <v>1405</v>
      </c>
      <c r="J3833" t="s">
        <v>1404</v>
      </c>
      <c r="K3833" t="s">
        <v>530</v>
      </c>
      <c r="N3833">
        <v>0</v>
      </c>
      <c r="O3833">
        <v>0</v>
      </c>
      <c r="P3833" t="str">
        <f t="shared" si="59"/>
        <v>N</v>
      </c>
      <c r="Q3833" t="s">
        <v>9563</v>
      </c>
    </row>
    <row r="3834" spans="1:17" x14ac:dyDescent="0.25">
      <c r="A3834" t="s">
        <v>2265</v>
      </c>
      <c r="B3834" t="s">
        <v>1135</v>
      </c>
      <c r="C3834">
        <v>2027</v>
      </c>
      <c r="D3834" t="s">
        <v>647</v>
      </c>
      <c r="E3834" t="s">
        <v>845</v>
      </c>
      <c r="F3834" s="32">
        <v>46493</v>
      </c>
      <c r="G3834" t="s">
        <v>514</v>
      </c>
      <c r="H3834">
        <v>47128024</v>
      </c>
      <c r="I3834" t="s">
        <v>1108</v>
      </c>
      <c r="J3834" t="s">
        <v>1107</v>
      </c>
      <c r="K3834" t="s">
        <v>530</v>
      </c>
      <c r="N3834">
        <v>0</v>
      </c>
      <c r="O3834">
        <v>0</v>
      </c>
      <c r="P3834" t="str">
        <f t="shared" si="59"/>
        <v>N</v>
      </c>
      <c r="Q3834" t="s">
        <v>9564</v>
      </c>
    </row>
    <row r="3835" spans="1:17" x14ac:dyDescent="0.25">
      <c r="A3835" t="s">
        <v>2266</v>
      </c>
      <c r="B3835" t="s">
        <v>1135</v>
      </c>
      <c r="C3835">
        <v>2027</v>
      </c>
      <c r="D3835" t="s">
        <v>647</v>
      </c>
      <c r="E3835" t="s">
        <v>845</v>
      </c>
      <c r="F3835" s="32">
        <v>46493</v>
      </c>
      <c r="G3835" t="s">
        <v>514</v>
      </c>
      <c r="H3835">
        <v>47128430</v>
      </c>
      <c r="I3835" t="s">
        <v>1401</v>
      </c>
      <c r="J3835" t="s">
        <v>1400</v>
      </c>
      <c r="K3835" t="s">
        <v>530</v>
      </c>
      <c r="N3835">
        <v>0</v>
      </c>
      <c r="O3835">
        <v>0</v>
      </c>
      <c r="P3835" t="str">
        <f t="shared" si="59"/>
        <v>N</v>
      </c>
      <c r="Q3835" t="s">
        <v>9565</v>
      </c>
    </row>
    <row r="3836" spans="1:17" x14ac:dyDescent="0.25">
      <c r="A3836" t="s">
        <v>2267</v>
      </c>
      <c r="B3836" t="s">
        <v>1135</v>
      </c>
      <c r="C3836">
        <v>2027</v>
      </c>
      <c r="D3836" t="s">
        <v>647</v>
      </c>
      <c r="E3836" t="s">
        <v>845</v>
      </c>
      <c r="F3836" s="32">
        <v>46493</v>
      </c>
      <c r="G3836" t="s">
        <v>514</v>
      </c>
      <c r="H3836">
        <v>47128555</v>
      </c>
      <c r="I3836" t="s">
        <v>1209</v>
      </c>
      <c r="J3836" t="s">
        <v>1208</v>
      </c>
      <c r="K3836" t="s">
        <v>530</v>
      </c>
      <c r="N3836">
        <v>0</v>
      </c>
      <c r="O3836">
        <v>0</v>
      </c>
      <c r="P3836" t="str">
        <f t="shared" si="59"/>
        <v>N</v>
      </c>
      <c r="Q3836" t="s">
        <v>9566</v>
      </c>
    </row>
    <row r="3837" spans="1:17" x14ac:dyDescent="0.25">
      <c r="A3837" t="s">
        <v>2268</v>
      </c>
      <c r="B3837" t="s">
        <v>1135</v>
      </c>
      <c r="C3837">
        <v>2027</v>
      </c>
      <c r="D3837" t="s">
        <v>647</v>
      </c>
      <c r="E3837" t="s">
        <v>845</v>
      </c>
      <c r="F3837" s="32">
        <v>46493</v>
      </c>
      <c r="G3837" t="s">
        <v>514</v>
      </c>
      <c r="H3837">
        <v>47128522</v>
      </c>
      <c r="I3837" t="s">
        <v>1092</v>
      </c>
      <c r="J3837" t="s">
        <v>1091</v>
      </c>
      <c r="K3837" t="s">
        <v>530</v>
      </c>
      <c r="N3837">
        <v>0</v>
      </c>
      <c r="O3837">
        <v>0</v>
      </c>
      <c r="P3837" t="str">
        <f t="shared" si="59"/>
        <v>N</v>
      </c>
      <c r="Q3837" t="s">
        <v>9567</v>
      </c>
    </row>
    <row r="3838" spans="1:17" x14ac:dyDescent="0.25">
      <c r="A3838" t="s">
        <v>2269</v>
      </c>
      <c r="B3838" t="s">
        <v>1135</v>
      </c>
      <c r="C3838">
        <v>2027</v>
      </c>
      <c r="D3838" t="s">
        <v>647</v>
      </c>
      <c r="E3838" t="s">
        <v>845</v>
      </c>
      <c r="F3838" s="32">
        <v>46493</v>
      </c>
      <c r="G3838" t="s">
        <v>514</v>
      </c>
      <c r="H3838">
        <v>47147546</v>
      </c>
      <c r="I3838" t="s">
        <v>1077</v>
      </c>
      <c r="J3838" t="s">
        <v>1076</v>
      </c>
      <c r="K3838" t="s">
        <v>530</v>
      </c>
      <c r="N3838">
        <v>0</v>
      </c>
      <c r="O3838">
        <v>0</v>
      </c>
      <c r="P3838" t="str">
        <f t="shared" si="59"/>
        <v>N</v>
      </c>
      <c r="Q3838" t="s">
        <v>9568</v>
      </c>
    </row>
    <row r="3839" spans="1:17" x14ac:dyDescent="0.25">
      <c r="A3839" t="s">
        <v>2270</v>
      </c>
      <c r="B3839" t="s">
        <v>1135</v>
      </c>
      <c r="C3839">
        <v>2027</v>
      </c>
      <c r="D3839" t="s">
        <v>647</v>
      </c>
      <c r="E3839" t="s">
        <v>845</v>
      </c>
      <c r="F3839" s="32">
        <v>46493</v>
      </c>
      <c r="G3839" t="s">
        <v>514</v>
      </c>
      <c r="H3839">
        <v>47128597</v>
      </c>
      <c r="I3839" t="s">
        <v>1510</v>
      </c>
      <c r="J3839" t="s">
        <v>1509</v>
      </c>
      <c r="K3839" t="s">
        <v>530</v>
      </c>
      <c r="N3839">
        <v>0</v>
      </c>
      <c r="O3839">
        <v>0</v>
      </c>
      <c r="P3839" t="str">
        <f t="shared" si="59"/>
        <v>N</v>
      </c>
      <c r="Q3839" t="s">
        <v>9569</v>
      </c>
    </row>
    <row r="3840" spans="1:17" x14ac:dyDescent="0.25">
      <c r="A3840" t="s">
        <v>2271</v>
      </c>
      <c r="B3840" t="s">
        <v>1135</v>
      </c>
      <c r="C3840">
        <v>2027</v>
      </c>
      <c r="D3840" t="s">
        <v>647</v>
      </c>
      <c r="E3840" t="s">
        <v>845</v>
      </c>
      <c r="F3840" s="32">
        <v>46493</v>
      </c>
      <c r="G3840" t="s">
        <v>514</v>
      </c>
      <c r="H3840">
        <v>47128257</v>
      </c>
      <c r="I3840" t="s">
        <v>979</v>
      </c>
      <c r="J3840" t="s">
        <v>978</v>
      </c>
      <c r="K3840" t="s">
        <v>530</v>
      </c>
      <c r="N3840">
        <v>0</v>
      </c>
      <c r="O3840">
        <v>0</v>
      </c>
      <c r="P3840" t="str">
        <f t="shared" si="59"/>
        <v>N</v>
      </c>
      <c r="Q3840" t="s">
        <v>9570</v>
      </c>
    </row>
    <row r="3841" spans="1:17" x14ac:dyDescent="0.25">
      <c r="A3841" t="s">
        <v>2272</v>
      </c>
      <c r="B3841" t="s">
        <v>1135</v>
      </c>
      <c r="C3841">
        <v>2027</v>
      </c>
      <c r="D3841" t="s">
        <v>647</v>
      </c>
      <c r="E3841" t="s">
        <v>845</v>
      </c>
      <c r="F3841" s="32">
        <v>46493</v>
      </c>
      <c r="G3841" t="s">
        <v>514</v>
      </c>
      <c r="H3841">
        <v>47128880</v>
      </c>
      <c r="I3841" t="s">
        <v>1014</v>
      </c>
      <c r="J3841" t="s">
        <v>1013</v>
      </c>
      <c r="K3841" t="s">
        <v>530</v>
      </c>
      <c r="N3841">
        <v>0</v>
      </c>
      <c r="O3841">
        <v>0</v>
      </c>
      <c r="P3841" t="str">
        <f t="shared" si="59"/>
        <v>N</v>
      </c>
      <c r="Q3841" t="s">
        <v>9571</v>
      </c>
    </row>
    <row r="3842" spans="1:17" x14ac:dyDescent="0.25">
      <c r="A3842" t="s">
        <v>2273</v>
      </c>
      <c r="B3842" t="s">
        <v>1135</v>
      </c>
      <c r="C3842">
        <v>2027</v>
      </c>
      <c r="D3842" t="s">
        <v>647</v>
      </c>
      <c r="E3842" t="s">
        <v>845</v>
      </c>
      <c r="F3842" s="32">
        <v>46493</v>
      </c>
      <c r="G3842" t="s">
        <v>514</v>
      </c>
      <c r="H3842">
        <v>47128879</v>
      </c>
      <c r="I3842" t="s">
        <v>1132</v>
      </c>
      <c r="J3842" t="s">
        <v>1131</v>
      </c>
      <c r="K3842" t="s">
        <v>530</v>
      </c>
      <c r="N3842">
        <v>0</v>
      </c>
      <c r="O3842">
        <v>0</v>
      </c>
      <c r="P3842" t="str">
        <f t="shared" si="59"/>
        <v>N</v>
      </c>
      <c r="Q3842" t="s">
        <v>9572</v>
      </c>
    </row>
    <row r="3843" spans="1:17" x14ac:dyDescent="0.25">
      <c r="A3843" t="s">
        <v>2274</v>
      </c>
      <c r="B3843" t="s">
        <v>1135</v>
      </c>
      <c r="C3843">
        <v>2027</v>
      </c>
      <c r="D3843" t="s">
        <v>647</v>
      </c>
      <c r="E3843" t="s">
        <v>845</v>
      </c>
      <c r="F3843" s="32">
        <v>46493</v>
      </c>
      <c r="G3843" t="s">
        <v>514</v>
      </c>
      <c r="H3843">
        <v>47128413</v>
      </c>
      <c r="I3843" t="s">
        <v>1397</v>
      </c>
      <c r="J3843" t="s">
        <v>1396</v>
      </c>
      <c r="K3843" t="s">
        <v>530</v>
      </c>
      <c r="N3843">
        <v>0</v>
      </c>
      <c r="O3843">
        <v>0</v>
      </c>
      <c r="P3843" t="str">
        <f t="shared" ref="P3843:P3906" si="60">IF(N3843=O3843,"N","Y")</f>
        <v>N</v>
      </c>
      <c r="Q3843" t="s">
        <v>9573</v>
      </c>
    </row>
    <row r="3844" spans="1:17" x14ac:dyDescent="0.25">
      <c r="A3844" t="s">
        <v>2275</v>
      </c>
      <c r="B3844" t="s">
        <v>1135</v>
      </c>
      <c r="C3844">
        <v>2027</v>
      </c>
      <c r="D3844" t="s">
        <v>647</v>
      </c>
      <c r="E3844" t="s">
        <v>845</v>
      </c>
      <c r="F3844" s="32">
        <v>46493</v>
      </c>
      <c r="G3844" t="s">
        <v>514</v>
      </c>
      <c r="H3844">
        <v>47146464</v>
      </c>
      <c r="I3844" t="s">
        <v>1438</v>
      </c>
      <c r="J3844" t="s">
        <v>1437</v>
      </c>
      <c r="K3844" t="s">
        <v>530</v>
      </c>
      <c r="N3844">
        <v>0</v>
      </c>
      <c r="O3844">
        <v>0</v>
      </c>
      <c r="P3844" t="str">
        <f t="shared" si="60"/>
        <v>N</v>
      </c>
      <c r="Q3844" t="s">
        <v>9574</v>
      </c>
    </row>
    <row r="3845" spans="1:17" x14ac:dyDescent="0.25">
      <c r="A3845" t="s">
        <v>2276</v>
      </c>
      <c r="B3845" t="s">
        <v>1135</v>
      </c>
      <c r="C3845">
        <v>2027</v>
      </c>
      <c r="D3845" t="s">
        <v>647</v>
      </c>
      <c r="E3845" t="s">
        <v>845</v>
      </c>
      <c r="F3845" s="32">
        <v>46493</v>
      </c>
      <c r="G3845" t="s">
        <v>514</v>
      </c>
      <c r="H3845">
        <v>47147546</v>
      </c>
      <c r="I3845" t="s">
        <v>1077</v>
      </c>
      <c r="J3845" t="s">
        <v>1381</v>
      </c>
      <c r="K3845" t="s">
        <v>530</v>
      </c>
      <c r="N3845">
        <v>0</v>
      </c>
      <c r="O3845">
        <v>0</v>
      </c>
      <c r="P3845" t="str">
        <f t="shared" si="60"/>
        <v>N</v>
      </c>
      <c r="Q3845" t="s">
        <v>9575</v>
      </c>
    </row>
    <row r="3846" spans="1:17" x14ac:dyDescent="0.25">
      <c r="A3846" t="s">
        <v>2277</v>
      </c>
      <c r="B3846" t="s">
        <v>1135</v>
      </c>
      <c r="C3846">
        <v>2027</v>
      </c>
      <c r="D3846" t="s">
        <v>647</v>
      </c>
      <c r="E3846" t="s">
        <v>845</v>
      </c>
      <c r="F3846" s="32">
        <v>46493</v>
      </c>
      <c r="G3846" t="s">
        <v>514</v>
      </c>
      <c r="H3846">
        <v>47128800</v>
      </c>
      <c r="I3846" t="s">
        <v>1145</v>
      </c>
      <c r="J3846" t="s">
        <v>1144</v>
      </c>
      <c r="K3846" t="s">
        <v>530</v>
      </c>
      <c r="N3846">
        <v>0</v>
      </c>
      <c r="O3846">
        <v>0</v>
      </c>
      <c r="P3846" t="str">
        <f t="shared" si="60"/>
        <v>N</v>
      </c>
      <c r="Q3846" t="s">
        <v>9576</v>
      </c>
    </row>
    <row r="3847" spans="1:17" x14ac:dyDescent="0.25">
      <c r="A3847" t="s">
        <v>2278</v>
      </c>
      <c r="B3847" t="s">
        <v>1135</v>
      </c>
      <c r="C3847">
        <v>2027</v>
      </c>
      <c r="D3847" t="s">
        <v>647</v>
      </c>
      <c r="E3847" t="s">
        <v>845</v>
      </c>
      <c r="F3847" s="32">
        <v>46493</v>
      </c>
      <c r="G3847" t="s">
        <v>514</v>
      </c>
      <c r="H3847">
        <v>47128109</v>
      </c>
      <c r="I3847" t="s">
        <v>1336</v>
      </c>
      <c r="J3847" t="s">
        <v>1335</v>
      </c>
      <c r="K3847" t="s">
        <v>530</v>
      </c>
      <c r="N3847">
        <v>0</v>
      </c>
      <c r="O3847">
        <v>0</v>
      </c>
      <c r="P3847" t="str">
        <f t="shared" si="60"/>
        <v>N</v>
      </c>
      <c r="Q3847" t="s">
        <v>9577</v>
      </c>
    </row>
    <row r="3848" spans="1:17" x14ac:dyDescent="0.25">
      <c r="A3848" t="s">
        <v>2279</v>
      </c>
      <c r="B3848" t="s">
        <v>1135</v>
      </c>
      <c r="C3848">
        <v>2027</v>
      </c>
      <c r="D3848" t="s">
        <v>647</v>
      </c>
      <c r="E3848" t="s">
        <v>845</v>
      </c>
      <c r="F3848" s="32">
        <v>46493</v>
      </c>
      <c r="G3848" t="s">
        <v>514</v>
      </c>
      <c r="H3848">
        <v>47128346</v>
      </c>
      <c r="I3848" t="s">
        <v>1157</v>
      </c>
      <c r="J3848" t="s">
        <v>1156</v>
      </c>
      <c r="K3848" t="s">
        <v>530</v>
      </c>
      <c r="N3848">
        <v>0</v>
      </c>
      <c r="O3848">
        <v>0</v>
      </c>
      <c r="P3848" t="str">
        <f t="shared" si="60"/>
        <v>N</v>
      </c>
      <c r="Q3848" t="s">
        <v>9578</v>
      </c>
    </row>
    <row r="3849" spans="1:17" x14ac:dyDescent="0.25">
      <c r="A3849" t="s">
        <v>2280</v>
      </c>
      <c r="B3849" t="s">
        <v>1135</v>
      </c>
      <c r="C3849">
        <v>2027</v>
      </c>
      <c r="D3849" t="s">
        <v>647</v>
      </c>
      <c r="E3849" t="s">
        <v>845</v>
      </c>
      <c r="F3849" s="32">
        <v>46493</v>
      </c>
      <c r="G3849" t="s">
        <v>514</v>
      </c>
      <c r="H3849">
        <v>47128518</v>
      </c>
      <c r="I3849" t="s">
        <v>1232</v>
      </c>
      <c r="J3849" t="s">
        <v>1231</v>
      </c>
      <c r="K3849" t="s">
        <v>530</v>
      </c>
      <c r="N3849">
        <v>0</v>
      </c>
      <c r="O3849">
        <v>0</v>
      </c>
      <c r="P3849" t="str">
        <f t="shared" si="60"/>
        <v>N</v>
      </c>
      <c r="Q3849" t="s">
        <v>9579</v>
      </c>
    </row>
    <row r="3850" spans="1:17" x14ac:dyDescent="0.25">
      <c r="A3850" t="s">
        <v>2281</v>
      </c>
      <c r="B3850" t="s">
        <v>1135</v>
      </c>
      <c r="C3850">
        <v>2027</v>
      </c>
      <c r="D3850" t="s">
        <v>647</v>
      </c>
      <c r="E3850" t="s">
        <v>845</v>
      </c>
      <c r="F3850" s="32">
        <v>46493</v>
      </c>
      <c r="G3850" t="s">
        <v>514</v>
      </c>
      <c r="H3850">
        <v>47128418</v>
      </c>
      <c r="I3850" t="s">
        <v>1082</v>
      </c>
      <c r="J3850" t="s">
        <v>1081</v>
      </c>
      <c r="K3850" t="s">
        <v>530</v>
      </c>
      <c r="N3850">
        <v>0</v>
      </c>
      <c r="O3850">
        <v>0</v>
      </c>
      <c r="P3850" t="str">
        <f t="shared" si="60"/>
        <v>N</v>
      </c>
      <c r="Q3850" t="s">
        <v>9580</v>
      </c>
    </row>
    <row r="3851" spans="1:17" x14ac:dyDescent="0.25">
      <c r="A3851" t="s">
        <v>2282</v>
      </c>
      <c r="B3851" t="s">
        <v>1135</v>
      </c>
      <c r="C3851">
        <v>2027</v>
      </c>
      <c r="D3851" t="s">
        <v>647</v>
      </c>
      <c r="E3851" t="s">
        <v>845</v>
      </c>
      <c r="F3851" s="32">
        <v>46493</v>
      </c>
      <c r="G3851" t="s">
        <v>514</v>
      </c>
      <c r="H3851">
        <v>47128968</v>
      </c>
      <c r="I3851" t="s">
        <v>947</v>
      </c>
      <c r="J3851" t="s">
        <v>946</v>
      </c>
      <c r="K3851" t="s">
        <v>530</v>
      </c>
      <c r="N3851">
        <v>0</v>
      </c>
      <c r="O3851">
        <v>0</v>
      </c>
      <c r="P3851" t="str">
        <f t="shared" si="60"/>
        <v>N</v>
      </c>
      <c r="Q3851" t="s">
        <v>9581</v>
      </c>
    </row>
    <row r="3852" spans="1:17" x14ac:dyDescent="0.25">
      <c r="A3852" t="s">
        <v>2283</v>
      </c>
      <c r="B3852" t="s">
        <v>1135</v>
      </c>
      <c r="C3852">
        <v>2027</v>
      </c>
      <c r="D3852" t="s">
        <v>647</v>
      </c>
      <c r="E3852" t="s">
        <v>845</v>
      </c>
      <c r="F3852" s="32">
        <v>46493</v>
      </c>
      <c r="G3852" t="s">
        <v>514</v>
      </c>
      <c r="H3852">
        <v>47147658</v>
      </c>
      <c r="I3852" t="s">
        <v>1276</v>
      </c>
      <c r="J3852" t="s">
        <v>1275</v>
      </c>
      <c r="K3852" t="s">
        <v>530</v>
      </c>
      <c r="N3852">
        <v>0</v>
      </c>
      <c r="O3852">
        <v>0</v>
      </c>
      <c r="P3852" t="str">
        <f t="shared" si="60"/>
        <v>N</v>
      </c>
      <c r="Q3852" t="s">
        <v>9582</v>
      </c>
    </row>
    <row r="3853" spans="1:17" x14ac:dyDescent="0.25">
      <c r="A3853" t="s">
        <v>2284</v>
      </c>
      <c r="B3853" t="s">
        <v>1135</v>
      </c>
      <c r="C3853">
        <v>2027</v>
      </c>
      <c r="D3853" t="s">
        <v>647</v>
      </c>
      <c r="E3853" t="s">
        <v>845</v>
      </c>
      <c r="F3853" s="32">
        <v>46493</v>
      </c>
      <c r="G3853" t="s">
        <v>514</v>
      </c>
      <c r="H3853">
        <v>47128781</v>
      </c>
      <c r="I3853" t="s">
        <v>1251</v>
      </c>
      <c r="J3853" t="s">
        <v>1250</v>
      </c>
      <c r="K3853" t="s">
        <v>530</v>
      </c>
      <c r="N3853">
        <v>40</v>
      </c>
      <c r="O3853">
        <v>40</v>
      </c>
      <c r="P3853" t="str">
        <f t="shared" si="60"/>
        <v>N</v>
      </c>
      <c r="Q3853" t="s">
        <v>9583</v>
      </c>
    </row>
    <row r="3854" spans="1:17" x14ac:dyDescent="0.25">
      <c r="A3854" t="s">
        <v>2773</v>
      </c>
      <c r="B3854" t="s">
        <v>2444</v>
      </c>
      <c r="C3854">
        <v>2027</v>
      </c>
      <c r="D3854" t="s">
        <v>647</v>
      </c>
      <c r="E3854" t="s">
        <v>845</v>
      </c>
      <c r="F3854" s="32">
        <v>46493</v>
      </c>
      <c r="G3854" t="s">
        <v>514</v>
      </c>
      <c r="H3854">
        <v>47128587</v>
      </c>
      <c r="I3854" t="s">
        <v>2489</v>
      </c>
      <c r="J3854" t="s">
        <v>2490</v>
      </c>
      <c r="K3854" t="s">
        <v>530</v>
      </c>
      <c r="N3854">
        <v>40</v>
      </c>
      <c r="O3854">
        <v>40</v>
      </c>
      <c r="P3854" t="str">
        <f t="shared" si="60"/>
        <v>N</v>
      </c>
      <c r="Q3854" t="s">
        <v>9584</v>
      </c>
    </row>
    <row r="3855" spans="1:17" x14ac:dyDescent="0.25">
      <c r="A3855" t="s">
        <v>2774</v>
      </c>
      <c r="B3855" t="s">
        <v>2444</v>
      </c>
      <c r="C3855">
        <v>2027</v>
      </c>
      <c r="D3855" t="s">
        <v>647</v>
      </c>
      <c r="E3855" t="s">
        <v>845</v>
      </c>
      <c r="F3855" s="32">
        <v>46493</v>
      </c>
      <c r="G3855" t="s">
        <v>514</v>
      </c>
      <c r="H3855">
        <v>47128247</v>
      </c>
      <c r="I3855" t="s">
        <v>2492</v>
      </c>
      <c r="J3855" t="s">
        <v>2493</v>
      </c>
      <c r="K3855" t="s">
        <v>530</v>
      </c>
      <c r="N3855">
        <v>0</v>
      </c>
      <c r="O3855">
        <v>0</v>
      </c>
      <c r="P3855" t="str">
        <f t="shared" si="60"/>
        <v>N</v>
      </c>
      <c r="Q3855" t="s">
        <v>9585</v>
      </c>
    </row>
    <row r="3856" spans="1:17" x14ac:dyDescent="0.25">
      <c r="A3856" t="s">
        <v>2775</v>
      </c>
      <c r="B3856" t="s">
        <v>2444</v>
      </c>
      <c r="C3856">
        <v>2027</v>
      </c>
      <c r="D3856" t="s">
        <v>647</v>
      </c>
      <c r="E3856" t="s">
        <v>845</v>
      </c>
      <c r="F3856" s="32">
        <v>46493</v>
      </c>
      <c r="G3856" t="s">
        <v>514</v>
      </c>
      <c r="H3856">
        <v>47128781</v>
      </c>
      <c r="I3856" t="s">
        <v>1251</v>
      </c>
      <c r="J3856" t="s">
        <v>1250</v>
      </c>
      <c r="K3856" t="s">
        <v>530</v>
      </c>
      <c r="N3856">
        <v>40</v>
      </c>
      <c r="O3856">
        <v>40</v>
      </c>
      <c r="P3856" t="str">
        <f t="shared" si="60"/>
        <v>N</v>
      </c>
      <c r="Q3856" t="s">
        <v>9586</v>
      </c>
    </row>
    <row r="3857" spans="1:17" x14ac:dyDescent="0.25">
      <c r="A3857" t="s">
        <v>3079</v>
      </c>
      <c r="B3857" t="s">
        <v>2783</v>
      </c>
      <c r="C3857">
        <v>2027</v>
      </c>
      <c r="D3857" t="s">
        <v>647</v>
      </c>
      <c r="E3857" t="s">
        <v>845</v>
      </c>
      <c r="F3857" s="32">
        <v>46493</v>
      </c>
      <c r="G3857" t="s">
        <v>514</v>
      </c>
      <c r="H3857">
        <v>47128587</v>
      </c>
      <c r="I3857" t="s">
        <v>2489</v>
      </c>
      <c r="J3857" t="s">
        <v>2490</v>
      </c>
      <c r="K3857" t="s">
        <v>530</v>
      </c>
      <c r="N3857">
        <v>40</v>
      </c>
      <c r="O3857">
        <v>40</v>
      </c>
      <c r="P3857" t="str">
        <f t="shared" si="60"/>
        <v>N</v>
      </c>
      <c r="Q3857" t="s">
        <v>9587</v>
      </c>
    </row>
    <row r="3858" spans="1:17" x14ac:dyDescent="0.25">
      <c r="A3858" t="s">
        <v>3080</v>
      </c>
      <c r="B3858" t="s">
        <v>2783</v>
      </c>
      <c r="C3858">
        <v>2027</v>
      </c>
      <c r="D3858" t="s">
        <v>647</v>
      </c>
      <c r="E3858" t="s">
        <v>845</v>
      </c>
      <c r="F3858" s="32">
        <v>46493</v>
      </c>
      <c r="G3858" t="s">
        <v>514</v>
      </c>
      <c r="H3858">
        <v>47128247</v>
      </c>
      <c r="I3858" t="s">
        <v>2492</v>
      </c>
      <c r="J3858" t="s">
        <v>2493</v>
      </c>
      <c r="K3858" t="s">
        <v>530</v>
      </c>
      <c r="N3858">
        <v>0</v>
      </c>
      <c r="O3858">
        <v>0</v>
      </c>
      <c r="P3858" t="str">
        <f t="shared" si="60"/>
        <v>N</v>
      </c>
      <c r="Q3858" t="s">
        <v>9588</v>
      </c>
    </row>
    <row r="3859" spans="1:17" x14ac:dyDescent="0.25">
      <c r="A3859" t="s">
        <v>3081</v>
      </c>
      <c r="B3859" t="s">
        <v>2783</v>
      </c>
      <c r="C3859">
        <v>2027</v>
      </c>
      <c r="D3859" t="s">
        <v>647</v>
      </c>
      <c r="E3859" t="s">
        <v>845</v>
      </c>
      <c r="F3859" s="32">
        <v>46493</v>
      </c>
      <c r="G3859" t="s">
        <v>514</v>
      </c>
      <c r="H3859">
        <v>47128781</v>
      </c>
      <c r="I3859" t="s">
        <v>1251</v>
      </c>
      <c r="J3859" t="s">
        <v>1250</v>
      </c>
      <c r="K3859" t="s">
        <v>530</v>
      </c>
      <c r="N3859">
        <v>40</v>
      </c>
      <c r="O3859">
        <v>40</v>
      </c>
      <c r="P3859" t="str">
        <f t="shared" si="60"/>
        <v>N</v>
      </c>
      <c r="Q3859" t="s">
        <v>9589</v>
      </c>
    </row>
    <row r="3860" spans="1:17" x14ac:dyDescent="0.25">
      <c r="A3860" t="s">
        <v>3694</v>
      </c>
      <c r="B3860" t="s">
        <v>1080</v>
      </c>
      <c r="C3860">
        <v>2027</v>
      </c>
      <c r="D3860" t="s">
        <v>647</v>
      </c>
      <c r="E3860" t="s">
        <v>845</v>
      </c>
      <c r="F3860" s="32">
        <v>46493</v>
      </c>
      <c r="G3860" t="s">
        <v>514</v>
      </c>
      <c r="H3860">
        <v>47128168</v>
      </c>
      <c r="I3860" t="s">
        <v>1100</v>
      </c>
      <c r="J3860" t="s">
        <v>1099</v>
      </c>
      <c r="K3860" t="s">
        <v>530</v>
      </c>
      <c r="N3860">
        <v>0</v>
      </c>
      <c r="O3860">
        <v>0</v>
      </c>
      <c r="P3860" t="str">
        <f t="shared" si="60"/>
        <v>N</v>
      </c>
      <c r="Q3860" t="s">
        <v>9590</v>
      </c>
    </row>
    <row r="3861" spans="1:17" x14ac:dyDescent="0.25">
      <c r="A3861" t="s">
        <v>3695</v>
      </c>
      <c r="B3861" t="s">
        <v>1080</v>
      </c>
      <c r="C3861">
        <v>2027</v>
      </c>
      <c r="D3861" t="s">
        <v>647</v>
      </c>
      <c r="E3861" t="s">
        <v>845</v>
      </c>
      <c r="F3861" s="32">
        <v>46493</v>
      </c>
      <c r="G3861" t="s">
        <v>514</v>
      </c>
      <c r="H3861">
        <v>47128906</v>
      </c>
      <c r="I3861" t="s">
        <v>1349</v>
      </c>
      <c r="J3861" t="s">
        <v>1348</v>
      </c>
      <c r="K3861" t="s">
        <v>530</v>
      </c>
      <c r="N3861">
        <v>0</v>
      </c>
      <c r="O3861">
        <v>0</v>
      </c>
      <c r="P3861" t="str">
        <f t="shared" si="60"/>
        <v>N</v>
      </c>
      <c r="Q3861" t="s">
        <v>9591</v>
      </c>
    </row>
    <row r="3862" spans="1:17" x14ac:dyDescent="0.25">
      <c r="A3862" t="s">
        <v>3696</v>
      </c>
      <c r="B3862" t="s">
        <v>1080</v>
      </c>
      <c r="C3862">
        <v>2027</v>
      </c>
      <c r="D3862" t="s">
        <v>647</v>
      </c>
      <c r="E3862" t="s">
        <v>845</v>
      </c>
      <c r="F3862" s="32">
        <v>46493</v>
      </c>
      <c r="G3862" t="s">
        <v>514</v>
      </c>
      <c r="H3862">
        <v>47128783</v>
      </c>
      <c r="I3862" t="s">
        <v>1280</v>
      </c>
      <c r="J3862" t="s">
        <v>1279</v>
      </c>
      <c r="K3862" t="s">
        <v>530</v>
      </c>
      <c r="N3862">
        <v>0</v>
      </c>
      <c r="O3862">
        <v>0</v>
      </c>
      <c r="P3862" t="str">
        <f t="shared" si="60"/>
        <v>N</v>
      </c>
      <c r="Q3862" t="s">
        <v>9592</v>
      </c>
    </row>
    <row r="3863" spans="1:17" x14ac:dyDescent="0.25">
      <c r="A3863" t="s">
        <v>3697</v>
      </c>
      <c r="B3863" t="s">
        <v>1080</v>
      </c>
      <c r="C3863">
        <v>2027</v>
      </c>
      <c r="D3863" t="s">
        <v>647</v>
      </c>
      <c r="E3863" t="s">
        <v>845</v>
      </c>
      <c r="F3863" s="32">
        <v>46493</v>
      </c>
      <c r="G3863" t="s">
        <v>514</v>
      </c>
      <c r="H3863">
        <v>47128944</v>
      </c>
      <c r="I3863" t="s">
        <v>1137</v>
      </c>
      <c r="J3863" t="s">
        <v>1136</v>
      </c>
      <c r="K3863" t="s">
        <v>530</v>
      </c>
      <c r="N3863">
        <v>0</v>
      </c>
      <c r="O3863">
        <v>0</v>
      </c>
      <c r="P3863" t="str">
        <f t="shared" si="60"/>
        <v>N</v>
      </c>
      <c r="Q3863" t="s">
        <v>9593</v>
      </c>
    </row>
    <row r="3864" spans="1:17" x14ac:dyDescent="0.25">
      <c r="A3864" t="s">
        <v>3698</v>
      </c>
      <c r="B3864" t="s">
        <v>1080</v>
      </c>
      <c r="C3864">
        <v>2027</v>
      </c>
      <c r="D3864" t="s">
        <v>647</v>
      </c>
      <c r="E3864" t="s">
        <v>845</v>
      </c>
      <c r="F3864" s="32">
        <v>46493</v>
      </c>
      <c r="G3864" t="s">
        <v>514</v>
      </c>
      <c r="H3864">
        <v>47128729</v>
      </c>
      <c r="I3864" t="s">
        <v>1149</v>
      </c>
      <c r="J3864" t="s">
        <v>1148</v>
      </c>
      <c r="K3864" t="s">
        <v>530</v>
      </c>
      <c r="N3864">
        <v>0</v>
      </c>
      <c r="O3864">
        <v>0</v>
      </c>
      <c r="P3864" t="str">
        <f t="shared" si="60"/>
        <v>N</v>
      </c>
      <c r="Q3864" t="s">
        <v>9594</v>
      </c>
    </row>
    <row r="3865" spans="1:17" x14ac:dyDescent="0.25">
      <c r="A3865" t="s">
        <v>3699</v>
      </c>
      <c r="B3865" t="s">
        <v>1080</v>
      </c>
      <c r="C3865">
        <v>2027</v>
      </c>
      <c r="D3865" t="s">
        <v>647</v>
      </c>
      <c r="E3865" t="s">
        <v>845</v>
      </c>
      <c r="F3865" s="32">
        <v>46493</v>
      </c>
      <c r="G3865" t="s">
        <v>514</v>
      </c>
      <c r="H3865">
        <v>47128585</v>
      </c>
      <c r="I3865" t="s">
        <v>1141</v>
      </c>
      <c r="J3865" t="s">
        <v>1140</v>
      </c>
      <c r="K3865" t="s">
        <v>530</v>
      </c>
      <c r="N3865">
        <v>0</v>
      </c>
      <c r="O3865">
        <v>0</v>
      </c>
      <c r="P3865" t="str">
        <f t="shared" si="60"/>
        <v>N</v>
      </c>
      <c r="Q3865" t="s">
        <v>9595</v>
      </c>
    </row>
    <row r="3866" spans="1:17" x14ac:dyDescent="0.25">
      <c r="A3866" t="s">
        <v>3700</v>
      </c>
      <c r="B3866" t="s">
        <v>1080</v>
      </c>
      <c r="C3866">
        <v>2027</v>
      </c>
      <c r="D3866" t="s">
        <v>647</v>
      </c>
      <c r="E3866" t="s">
        <v>845</v>
      </c>
      <c r="F3866" s="32">
        <v>46493</v>
      </c>
      <c r="G3866" t="s">
        <v>514</v>
      </c>
      <c r="H3866">
        <v>47128680</v>
      </c>
      <c r="I3866" t="s">
        <v>1284</v>
      </c>
      <c r="J3866" t="s">
        <v>1283</v>
      </c>
      <c r="K3866" t="s">
        <v>530</v>
      </c>
      <c r="N3866">
        <v>0</v>
      </c>
      <c r="O3866">
        <v>0</v>
      </c>
      <c r="P3866" t="str">
        <f t="shared" si="60"/>
        <v>N</v>
      </c>
      <c r="Q3866" t="s">
        <v>9596</v>
      </c>
    </row>
    <row r="3867" spans="1:17" x14ac:dyDescent="0.25">
      <c r="A3867" t="s">
        <v>3701</v>
      </c>
      <c r="B3867" t="s">
        <v>1080</v>
      </c>
      <c r="C3867">
        <v>2027</v>
      </c>
      <c r="D3867" t="s">
        <v>647</v>
      </c>
      <c r="E3867" t="s">
        <v>845</v>
      </c>
      <c r="F3867" s="32">
        <v>46493</v>
      </c>
      <c r="G3867" t="s">
        <v>514</v>
      </c>
      <c r="H3867">
        <v>47128585</v>
      </c>
      <c r="I3867" t="s">
        <v>1141</v>
      </c>
      <c r="J3867" t="s">
        <v>1408</v>
      </c>
      <c r="K3867" t="s">
        <v>530</v>
      </c>
      <c r="N3867">
        <v>0</v>
      </c>
      <c r="O3867">
        <v>0</v>
      </c>
      <c r="P3867" t="str">
        <f t="shared" si="60"/>
        <v>N</v>
      </c>
      <c r="Q3867" t="s">
        <v>9597</v>
      </c>
    </row>
    <row r="3868" spans="1:17" x14ac:dyDescent="0.25">
      <c r="A3868" t="s">
        <v>3702</v>
      </c>
      <c r="B3868" t="s">
        <v>1080</v>
      </c>
      <c r="C3868">
        <v>2027</v>
      </c>
      <c r="D3868" t="s">
        <v>647</v>
      </c>
      <c r="E3868" t="s">
        <v>845</v>
      </c>
      <c r="F3868" s="32">
        <v>46493</v>
      </c>
      <c r="G3868" t="s">
        <v>514</v>
      </c>
      <c r="H3868">
        <v>47128039</v>
      </c>
      <c r="I3868" t="s">
        <v>1405</v>
      </c>
      <c r="J3868" t="s">
        <v>1404</v>
      </c>
      <c r="K3868" t="s">
        <v>530</v>
      </c>
      <c r="N3868">
        <v>0</v>
      </c>
      <c r="O3868">
        <v>0</v>
      </c>
      <c r="P3868" t="str">
        <f t="shared" si="60"/>
        <v>N</v>
      </c>
      <c r="Q3868" t="s">
        <v>9598</v>
      </c>
    </row>
    <row r="3869" spans="1:17" x14ac:dyDescent="0.25">
      <c r="A3869" t="s">
        <v>3703</v>
      </c>
      <c r="B3869" t="s">
        <v>1080</v>
      </c>
      <c r="C3869">
        <v>2027</v>
      </c>
      <c r="D3869" t="s">
        <v>647</v>
      </c>
      <c r="E3869" t="s">
        <v>845</v>
      </c>
      <c r="F3869" s="32">
        <v>46493</v>
      </c>
      <c r="G3869" t="s">
        <v>514</v>
      </c>
      <c r="H3869">
        <v>47128024</v>
      </c>
      <c r="I3869" t="s">
        <v>1108</v>
      </c>
      <c r="J3869" t="s">
        <v>1107</v>
      </c>
      <c r="K3869" t="s">
        <v>530</v>
      </c>
      <c r="N3869">
        <v>0</v>
      </c>
      <c r="O3869">
        <v>0</v>
      </c>
      <c r="P3869" t="str">
        <f t="shared" si="60"/>
        <v>N</v>
      </c>
      <c r="Q3869" t="s">
        <v>9599</v>
      </c>
    </row>
    <row r="3870" spans="1:17" x14ac:dyDescent="0.25">
      <c r="A3870" t="s">
        <v>3704</v>
      </c>
      <c r="B3870" t="s">
        <v>1080</v>
      </c>
      <c r="C3870">
        <v>2027</v>
      </c>
      <c r="D3870" t="s">
        <v>647</v>
      </c>
      <c r="E3870" t="s">
        <v>845</v>
      </c>
      <c r="F3870" s="32">
        <v>46493</v>
      </c>
      <c r="G3870" t="s">
        <v>514</v>
      </c>
      <c r="H3870">
        <v>47128430</v>
      </c>
      <c r="I3870" t="s">
        <v>1401</v>
      </c>
      <c r="J3870" t="s">
        <v>1400</v>
      </c>
      <c r="K3870" t="s">
        <v>530</v>
      </c>
      <c r="N3870">
        <v>0</v>
      </c>
      <c r="O3870">
        <v>0</v>
      </c>
      <c r="P3870" t="str">
        <f t="shared" si="60"/>
        <v>N</v>
      </c>
      <c r="Q3870" t="s">
        <v>9600</v>
      </c>
    </row>
    <row r="3871" spans="1:17" x14ac:dyDescent="0.25">
      <c r="A3871" t="s">
        <v>3705</v>
      </c>
      <c r="B3871" t="s">
        <v>1080</v>
      </c>
      <c r="C3871">
        <v>2027</v>
      </c>
      <c r="D3871" t="s">
        <v>647</v>
      </c>
      <c r="E3871" t="s">
        <v>845</v>
      </c>
      <c r="F3871" s="32">
        <v>46493</v>
      </c>
      <c r="G3871" t="s">
        <v>514</v>
      </c>
      <c r="H3871">
        <v>47128555</v>
      </c>
      <c r="I3871" t="s">
        <v>1209</v>
      </c>
      <c r="J3871" t="s">
        <v>1208</v>
      </c>
      <c r="K3871" t="s">
        <v>530</v>
      </c>
      <c r="N3871">
        <v>0</v>
      </c>
      <c r="O3871">
        <v>0</v>
      </c>
      <c r="P3871" t="str">
        <f t="shared" si="60"/>
        <v>N</v>
      </c>
      <c r="Q3871" t="s">
        <v>9601</v>
      </c>
    </row>
    <row r="3872" spans="1:17" x14ac:dyDescent="0.25">
      <c r="A3872" t="s">
        <v>3706</v>
      </c>
      <c r="B3872" t="s">
        <v>1080</v>
      </c>
      <c r="C3872">
        <v>2027</v>
      </c>
      <c r="D3872" t="s">
        <v>647</v>
      </c>
      <c r="E3872" t="s">
        <v>845</v>
      </c>
      <c r="F3872" s="32">
        <v>46493</v>
      </c>
      <c r="G3872" t="s">
        <v>514</v>
      </c>
      <c r="H3872">
        <v>47128522</v>
      </c>
      <c r="I3872" t="s">
        <v>1092</v>
      </c>
      <c r="J3872" t="s">
        <v>1091</v>
      </c>
      <c r="K3872" t="s">
        <v>530</v>
      </c>
      <c r="N3872">
        <v>0</v>
      </c>
      <c r="O3872">
        <v>0</v>
      </c>
      <c r="P3872" t="str">
        <f t="shared" si="60"/>
        <v>N</v>
      </c>
      <c r="Q3872" t="s">
        <v>9602</v>
      </c>
    </row>
    <row r="3873" spans="1:17" x14ac:dyDescent="0.25">
      <c r="A3873" t="s">
        <v>3707</v>
      </c>
      <c r="B3873" t="s">
        <v>1080</v>
      </c>
      <c r="C3873">
        <v>2027</v>
      </c>
      <c r="D3873" t="s">
        <v>647</v>
      </c>
      <c r="E3873" t="s">
        <v>845</v>
      </c>
      <c r="F3873" s="32">
        <v>46493</v>
      </c>
      <c r="G3873" t="s">
        <v>514</v>
      </c>
      <c r="H3873">
        <v>47147546</v>
      </c>
      <c r="I3873" t="s">
        <v>1077</v>
      </c>
      <c r="J3873" t="s">
        <v>1076</v>
      </c>
      <c r="K3873" t="s">
        <v>530</v>
      </c>
      <c r="N3873">
        <v>0</v>
      </c>
      <c r="O3873">
        <v>0</v>
      </c>
      <c r="P3873" t="str">
        <f t="shared" si="60"/>
        <v>N</v>
      </c>
      <c r="Q3873" t="s">
        <v>9603</v>
      </c>
    </row>
    <row r="3874" spans="1:17" x14ac:dyDescent="0.25">
      <c r="A3874" t="s">
        <v>3708</v>
      </c>
      <c r="B3874" t="s">
        <v>1080</v>
      </c>
      <c r="C3874">
        <v>2027</v>
      </c>
      <c r="D3874" t="s">
        <v>647</v>
      </c>
      <c r="E3874" t="s">
        <v>845</v>
      </c>
      <c r="F3874" s="32">
        <v>46493</v>
      </c>
      <c r="G3874" t="s">
        <v>514</v>
      </c>
      <c r="H3874">
        <v>47128597</v>
      </c>
      <c r="I3874" t="s">
        <v>1510</v>
      </c>
      <c r="J3874" t="s">
        <v>1509</v>
      </c>
      <c r="K3874" t="s">
        <v>530</v>
      </c>
      <c r="N3874">
        <v>0</v>
      </c>
      <c r="O3874">
        <v>0</v>
      </c>
      <c r="P3874" t="str">
        <f t="shared" si="60"/>
        <v>N</v>
      </c>
      <c r="Q3874" t="s">
        <v>9604</v>
      </c>
    </row>
    <row r="3875" spans="1:17" x14ac:dyDescent="0.25">
      <c r="A3875" t="s">
        <v>3709</v>
      </c>
      <c r="B3875" t="s">
        <v>1080</v>
      </c>
      <c r="C3875">
        <v>2027</v>
      </c>
      <c r="D3875" t="s">
        <v>647</v>
      </c>
      <c r="E3875" t="s">
        <v>845</v>
      </c>
      <c r="F3875" s="32">
        <v>46493</v>
      </c>
      <c r="G3875" t="s">
        <v>514</v>
      </c>
      <c r="H3875">
        <v>47128257</v>
      </c>
      <c r="I3875" t="s">
        <v>979</v>
      </c>
      <c r="J3875" t="s">
        <v>978</v>
      </c>
      <c r="K3875" t="s">
        <v>530</v>
      </c>
      <c r="N3875">
        <v>0</v>
      </c>
      <c r="O3875">
        <v>0</v>
      </c>
      <c r="P3875" t="str">
        <f t="shared" si="60"/>
        <v>N</v>
      </c>
      <c r="Q3875" t="s">
        <v>9605</v>
      </c>
    </row>
    <row r="3876" spans="1:17" x14ac:dyDescent="0.25">
      <c r="A3876" t="s">
        <v>3710</v>
      </c>
      <c r="B3876" t="s">
        <v>1080</v>
      </c>
      <c r="C3876">
        <v>2027</v>
      </c>
      <c r="D3876" t="s">
        <v>647</v>
      </c>
      <c r="E3876" t="s">
        <v>845</v>
      </c>
      <c r="F3876" s="32">
        <v>46493</v>
      </c>
      <c r="G3876" t="s">
        <v>514</v>
      </c>
      <c r="H3876">
        <v>47128880</v>
      </c>
      <c r="I3876" t="s">
        <v>1014</v>
      </c>
      <c r="J3876" t="s">
        <v>1013</v>
      </c>
      <c r="K3876" t="s">
        <v>530</v>
      </c>
      <c r="N3876">
        <v>0</v>
      </c>
      <c r="O3876">
        <v>0</v>
      </c>
      <c r="P3876" t="str">
        <f t="shared" si="60"/>
        <v>N</v>
      </c>
      <c r="Q3876" t="s">
        <v>9606</v>
      </c>
    </row>
    <row r="3877" spans="1:17" x14ac:dyDescent="0.25">
      <c r="A3877" t="s">
        <v>3711</v>
      </c>
      <c r="B3877" t="s">
        <v>1080</v>
      </c>
      <c r="C3877">
        <v>2027</v>
      </c>
      <c r="D3877" t="s">
        <v>647</v>
      </c>
      <c r="E3877" t="s">
        <v>845</v>
      </c>
      <c r="F3877" s="32">
        <v>46493</v>
      </c>
      <c r="G3877" t="s">
        <v>514</v>
      </c>
      <c r="H3877">
        <v>47128879</v>
      </c>
      <c r="I3877" t="s">
        <v>1132</v>
      </c>
      <c r="J3877" t="s">
        <v>1131</v>
      </c>
      <c r="K3877" t="s">
        <v>530</v>
      </c>
      <c r="N3877">
        <v>0</v>
      </c>
      <c r="O3877">
        <v>0</v>
      </c>
      <c r="P3877" t="str">
        <f t="shared" si="60"/>
        <v>N</v>
      </c>
      <c r="Q3877" t="s">
        <v>9607</v>
      </c>
    </row>
    <row r="3878" spans="1:17" x14ac:dyDescent="0.25">
      <c r="A3878" t="s">
        <v>3712</v>
      </c>
      <c r="B3878" t="s">
        <v>1080</v>
      </c>
      <c r="C3878">
        <v>2027</v>
      </c>
      <c r="D3878" t="s">
        <v>647</v>
      </c>
      <c r="E3878" t="s">
        <v>845</v>
      </c>
      <c r="F3878" s="32">
        <v>46493</v>
      </c>
      <c r="G3878" t="s">
        <v>514</v>
      </c>
      <c r="H3878">
        <v>47128413</v>
      </c>
      <c r="I3878" t="s">
        <v>1397</v>
      </c>
      <c r="J3878" t="s">
        <v>1396</v>
      </c>
      <c r="K3878" t="s">
        <v>530</v>
      </c>
      <c r="N3878">
        <v>0</v>
      </c>
      <c r="O3878">
        <v>0</v>
      </c>
      <c r="P3878" t="str">
        <f t="shared" si="60"/>
        <v>N</v>
      </c>
      <c r="Q3878" t="s">
        <v>9608</v>
      </c>
    </row>
    <row r="3879" spans="1:17" x14ac:dyDescent="0.25">
      <c r="A3879" t="s">
        <v>3713</v>
      </c>
      <c r="B3879" t="s">
        <v>1080</v>
      </c>
      <c r="C3879">
        <v>2027</v>
      </c>
      <c r="D3879" t="s">
        <v>647</v>
      </c>
      <c r="E3879" t="s">
        <v>845</v>
      </c>
      <c r="F3879" s="32">
        <v>46493</v>
      </c>
      <c r="G3879" t="s">
        <v>514</v>
      </c>
      <c r="H3879">
        <v>47146464</v>
      </c>
      <c r="I3879" t="s">
        <v>1438</v>
      </c>
      <c r="J3879" t="s">
        <v>1437</v>
      </c>
      <c r="K3879" t="s">
        <v>530</v>
      </c>
      <c r="N3879">
        <v>0</v>
      </c>
      <c r="O3879">
        <v>0</v>
      </c>
      <c r="P3879" t="str">
        <f t="shared" si="60"/>
        <v>N</v>
      </c>
      <c r="Q3879" t="s">
        <v>9609</v>
      </c>
    </row>
    <row r="3880" spans="1:17" x14ac:dyDescent="0.25">
      <c r="A3880" t="s">
        <v>3714</v>
      </c>
      <c r="B3880" t="s">
        <v>1080</v>
      </c>
      <c r="C3880">
        <v>2027</v>
      </c>
      <c r="D3880" t="s">
        <v>647</v>
      </c>
      <c r="E3880" t="s">
        <v>845</v>
      </c>
      <c r="F3880" s="32">
        <v>46493</v>
      </c>
      <c r="G3880" t="s">
        <v>514</v>
      </c>
      <c r="H3880">
        <v>47147546</v>
      </c>
      <c r="I3880" t="s">
        <v>1077</v>
      </c>
      <c r="J3880" t="s">
        <v>1381</v>
      </c>
      <c r="K3880" t="s">
        <v>530</v>
      </c>
      <c r="N3880">
        <v>0</v>
      </c>
      <c r="O3880">
        <v>0</v>
      </c>
      <c r="P3880" t="str">
        <f t="shared" si="60"/>
        <v>N</v>
      </c>
      <c r="Q3880" t="s">
        <v>9610</v>
      </c>
    </row>
    <row r="3881" spans="1:17" x14ac:dyDescent="0.25">
      <c r="A3881" t="s">
        <v>3715</v>
      </c>
      <c r="B3881" t="s">
        <v>1080</v>
      </c>
      <c r="C3881">
        <v>2027</v>
      </c>
      <c r="D3881" t="s">
        <v>647</v>
      </c>
      <c r="E3881" t="s">
        <v>845</v>
      </c>
      <c r="F3881" s="32">
        <v>46493</v>
      </c>
      <c r="G3881" t="s">
        <v>514</v>
      </c>
      <c r="H3881">
        <v>47128800</v>
      </c>
      <c r="I3881" t="s">
        <v>1145</v>
      </c>
      <c r="J3881" t="s">
        <v>1144</v>
      </c>
      <c r="K3881" t="s">
        <v>530</v>
      </c>
      <c r="N3881">
        <v>0</v>
      </c>
      <c r="O3881">
        <v>0</v>
      </c>
      <c r="P3881" t="str">
        <f t="shared" si="60"/>
        <v>N</v>
      </c>
      <c r="Q3881" t="s">
        <v>9611</v>
      </c>
    </row>
    <row r="3882" spans="1:17" x14ac:dyDescent="0.25">
      <c r="A3882" t="s">
        <v>3716</v>
      </c>
      <c r="B3882" t="s">
        <v>1080</v>
      </c>
      <c r="C3882">
        <v>2027</v>
      </c>
      <c r="D3882" t="s">
        <v>647</v>
      </c>
      <c r="E3882" t="s">
        <v>845</v>
      </c>
      <c r="F3882" s="32">
        <v>46493</v>
      </c>
      <c r="G3882" t="s">
        <v>514</v>
      </c>
      <c r="H3882">
        <v>47128109</v>
      </c>
      <c r="I3882" t="s">
        <v>1336</v>
      </c>
      <c r="J3882" t="s">
        <v>1335</v>
      </c>
      <c r="K3882" t="s">
        <v>530</v>
      </c>
      <c r="N3882">
        <v>0</v>
      </c>
      <c r="O3882">
        <v>0</v>
      </c>
      <c r="P3882" t="str">
        <f t="shared" si="60"/>
        <v>N</v>
      </c>
      <c r="Q3882" t="s">
        <v>9612</v>
      </c>
    </row>
    <row r="3883" spans="1:17" x14ac:dyDescent="0.25">
      <c r="A3883" t="s">
        <v>3717</v>
      </c>
      <c r="B3883" t="s">
        <v>1080</v>
      </c>
      <c r="C3883">
        <v>2027</v>
      </c>
      <c r="D3883" t="s">
        <v>647</v>
      </c>
      <c r="E3883" t="s">
        <v>845</v>
      </c>
      <c r="F3883" s="32">
        <v>46493</v>
      </c>
      <c r="G3883" t="s">
        <v>514</v>
      </c>
      <c r="H3883">
        <v>47128346</v>
      </c>
      <c r="I3883" t="s">
        <v>1157</v>
      </c>
      <c r="J3883" t="s">
        <v>1156</v>
      </c>
      <c r="K3883" t="s">
        <v>530</v>
      </c>
      <c r="N3883">
        <v>0</v>
      </c>
      <c r="O3883">
        <v>0</v>
      </c>
      <c r="P3883" t="str">
        <f t="shared" si="60"/>
        <v>N</v>
      </c>
      <c r="Q3883" t="s">
        <v>9613</v>
      </c>
    </row>
    <row r="3884" spans="1:17" x14ac:dyDescent="0.25">
      <c r="A3884" t="s">
        <v>3718</v>
      </c>
      <c r="B3884" t="s">
        <v>1080</v>
      </c>
      <c r="C3884">
        <v>2027</v>
      </c>
      <c r="D3884" t="s">
        <v>647</v>
      </c>
      <c r="E3884" t="s">
        <v>845</v>
      </c>
      <c r="F3884" s="32">
        <v>46493</v>
      </c>
      <c r="G3884" t="s">
        <v>514</v>
      </c>
      <c r="H3884">
        <v>47128518</v>
      </c>
      <c r="I3884" t="s">
        <v>1232</v>
      </c>
      <c r="J3884" t="s">
        <v>1231</v>
      </c>
      <c r="K3884" t="s">
        <v>530</v>
      </c>
      <c r="N3884">
        <v>0</v>
      </c>
      <c r="O3884">
        <v>0</v>
      </c>
      <c r="P3884" t="str">
        <f t="shared" si="60"/>
        <v>N</v>
      </c>
      <c r="Q3884" t="s">
        <v>9614</v>
      </c>
    </row>
    <row r="3885" spans="1:17" x14ac:dyDescent="0.25">
      <c r="A3885" t="s">
        <v>3719</v>
      </c>
      <c r="B3885" t="s">
        <v>1080</v>
      </c>
      <c r="C3885">
        <v>2027</v>
      </c>
      <c r="D3885" t="s">
        <v>647</v>
      </c>
      <c r="E3885" t="s">
        <v>845</v>
      </c>
      <c r="F3885" s="32">
        <v>46493</v>
      </c>
      <c r="G3885" t="s">
        <v>514</v>
      </c>
      <c r="H3885">
        <v>47128418</v>
      </c>
      <c r="I3885" t="s">
        <v>1082</v>
      </c>
      <c r="J3885" t="s">
        <v>1081</v>
      </c>
      <c r="K3885" t="s">
        <v>530</v>
      </c>
      <c r="N3885">
        <v>0</v>
      </c>
      <c r="O3885">
        <v>0</v>
      </c>
      <c r="P3885" t="str">
        <f t="shared" si="60"/>
        <v>N</v>
      </c>
      <c r="Q3885" t="s">
        <v>9615</v>
      </c>
    </row>
    <row r="3886" spans="1:17" x14ac:dyDescent="0.25">
      <c r="A3886" t="s">
        <v>3720</v>
      </c>
      <c r="B3886" t="s">
        <v>1080</v>
      </c>
      <c r="C3886">
        <v>2027</v>
      </c>
      <c r="D3886" t="s">
        <v>647</v>
      </c>
      <c r="E3886" t="s">
        <v>845</v>
      </c>
      <c r="F3886" s="32">
        <v>46493</v>
      </c>
      <c r="G3886" t="s">
        <v>514</v>
      </c>
      <c r="H3886">
        <v>47128968</v>
      </c>
      <c r="I3886" t="s">
        <v>947</v>
      </c>
      <c r="J3886" t="s">
        <v>946</v>
      </c>
      <c r="K3886" t="s">
        <v>530</v>
      </c>
      <c r="N3886">
        <v>0</v>
      </c>
      <c r="O3886">
        <v>0</v>
      </c>
      <c r="P3886" t="str">
        <f t="shared" si="60"/>
        <v>N</v>
      </c>
      <c r="Q3886" t="s">
        <v>9616</v>
      </c>
    </row>
    <row r="3887" spans="1:17" x14ac:dyDescent="0.25">
      <c r="A3887" t="s">
        <v>3721</v>
      </c>
      <c r="B3887" t="s">
        <v>1080</v>
      </c>
      <c r="C3887">
        <v>2027</v>
      </c>
      <c r="D3887" t="s">
        <v>647</v>
      </c>
      <c r="E3887" t="s">
        <v>845</v>
      </c>
      <c r="F3887" s="32">
        <v>46493</v>
      </c>
      <c r="G3887" t="s">
        <v>514</v>
      </c>
      <c r="H3887">
        <v>47147658</v>
      </c>
      <c r="I3887" t="s">
        <v>1276</v>
      </c>
      <c r="J3887" t="s">
        <v>1275</v>
      </c>
      <c r="K3887" t="s">
        <v>530</v>
      </c>
      <c r="N3887">
        <v>0</v>
      </c>
      <c r="O3887">
        <v>0</v>
      </c>
      <c r="P3887" t="str">
        <f t="shared" si="60"/>
        <v>N</v>
      </c>
      <c r="Q3887" t="s">
        <v>9617</v>
      </c>
    </row>
    <row r="3888" spans="1:17" x14ac:dyDescent="0.25">
      <c r="A3888" t="s">
        <v>3722</v>
      </c>
      <c r="B3888" t="s">
        <v>1080</v>
      </c>
      <c r="C3888">
        <v>2027</v>
      </c>
      <c r="D3888" t="s">
        <v>647</v>
      </c>
      <c r="E3888" t="s">
        <v>845</v>
      </c>
      <c r="F3888" s="32">
        <v>46493</v>
      </c>
      <c r="G3888" t="s">
        <v>514</v>
      </c>
      <c r="H3888">
        <v>47128781</v>
      </c>
      <c r="I3888" t="s">
        <v>1251</v>
      </c>
      <c r="J3888" t="s">
        <v>1250</v>
      </c>
      <c r="K3888" t="s">
        <v>530</v>
      </c>
      <c r="N3888">
        <v>40</v>
      </c>
      <c r="O3888">
        <v>40</v>
      </c>
      <c r="P3888" t="str">
        <f t="shared" si="60"/>
        <v>N</v>
      </c>
      <c r="Q3888" t="s">
        <v>9618</v>
      </c>
    </row>
    <row r="3889" spans="1:17" x14ac:dyDescent="0.25">
      <c r="A3889" t="s">
        <v>3931</v>
      </c>
      <c r="B3889" t="s">
        <v>1043</v>
      </c>
      <c r="C3889">
        <v>2027</v>
      </c>
      <c r="D3889" t="s">
        <v>647</v>
      </c>
      <c r="E3889" t="s">
        <v>845</v>
      </c>
      <c r="F3889" s="32">
        <v>46493</v>
      </c>
      <c r="G3889" t="s">
        <v>514</v>
      </c>
      <c r="H3889">
        <v>47128781</v>
      </c>
      <c r="I3889" t="s">
        <v>1251</v>
      </c>
      <c r="J3889" t="s">
        <v>1250</v>
      </c>
      <c r="K3889" t="s">
        <v>530</v>
      </c>
      <c r="N3889">
        <v>0</v>
      </c>
      <c r="O3889">
        <v>0</v>
      </c>
      <c r="P3889" t="str">
        <f t="shared" si="60"/>
        <v>N</v>
      </c>
      <c r="Q3889" t="s">
        <v>9619</v>
      </c>
    </row>
    <row r="3890" spans="1:17" x14ac:dyDescent="0.25">
      <c r="A3890" t="s">
        <v>3932</v>
      </c>
      <c r="B3890" t="s">
        <v>1043</v>
      </c>
      <c r="C3890">
        <v>2027</v>
      </c>
      <c r="D3890" t="s">
        <v>647</v>
      </c>
      <c r="E3890" t="s">
        <v>845</v>
      </c>
      <c r="F3890" s="32">
        <v>46493</v>
      </c>
      <c r="G3890" t="s">
        <v>514</v>
      </c>
      <c r="H3890">
        <v>47128046</v>
      </c>
      <c r="I3890" t="s">
        <v>1389</v>
      </c>
      <c r="J3890" t="s">
        <v>1388</v>
      </c>
      <c r="K3890" t="s">
        <v>530</v>
      </c>
      <c r="N3890">
        <v>0</v>
      </c>
      <c r="O3890">
        <v>0</v>
      </c>
      <c r="P3890" t="str">
        <f t="shared" si="60"/>
        <v>N</v>
      </c>
      <c r="Q3890" t="s">
        <v>9620</v>
      </c>
    </row>
    <row r="3891" spans="1:17" x14ac:dyDescent="0.25">
      <c r="A3891" t="s">
        <v>4117</v>
      </c>
      <c r="B3891" t="s">
        <v>1489</v>
      </c>
      <c r="C3891">
        <v>2027</v>
      </c>
      <c r="D3891" t="s">
        <v>647</v>
      </c>
      <c r="E3891" t="s">
        <v>845</v>
      </c>
      <c r="F3891" s="32">
        <v>46493</v>
      </c>
      <c r="G3891" t="s">
        <v>514</v>
      </c>
      <c r="H3891">
        <v>47128781</v>
      </c>
      <c r="I3891" t="s">
        <v>1251</v>
      </c>
      <c r="J3891" t="s">
        <v>1250</v>
      </c>
      <c r="K3891" t="s">
        <v>530</v>
      </c>
      <c r="N3891">
        <v>0</v>
      </c>
      <c r="O3891">
        <v>0</v>
      </c>
      <c r="P3891" t="str">
        <f t="shared" si="60"/>
        <v>N</v>
      </c>
      <c r="Q3891" t="s">
        <v>9621</v>
      </c>
    </row>
    <row r="3892" spans="1:17" x14ac:dyDescent="0.25">
      <c r="A3892" t="s">
        <v>4118</v>
      </c>
      <c r="B3892" t="s">
        <v>1489</v>
      </c>
      <c r="C3892">
        <v>2027</v>
      </c>
      <c r="D3892" t="s">
        <v>647</v>
      </c>
      <c r="E3892" t="s">
        <v>845</v>
      </c>
      <c r="F3892" s="32">
        <v>46493</v>
      </c>
      <c r="G3892" t="s">
        <v>514</v>
      </c>
      <c r="H3892">
        <v>47128336</v>
      </c>
      <c r="I3892" t="s">
        <v>1161</v>
      </c>
      <c r="J3892" t="s">
        <v>1160</v>
      </c>
      <c r="K3892" t="s">
        <v>530</v>
      </c>
      <c r="N3892">
        <v>0</v>
      </c>
      <c r="O3892">
        <v>0</v>
      </c>
      <c r="P3892" t="str">
        <f t="shared" si="60"/>
        <v>N</v>
      </c>
      <c r="Q3892" t="s">
        <v>9622</v>
      </c>
    </row>
    <row r="3893" spans="1:17" x14ac:dyDescent="0.25">
      <c r="A3893" t="s">
        <v>4418</v>
      </c>
      <c r="B3893" t="s">
        <v>916</v>
      </c>
      <c r="C3893">
        <v>2027</v>
      </c>
      <c r="D3893" t="s">
        <v>647</v>
      </c>
      <c r="E3893" t="s">
        <v>845</v>
      </c>
      <c r="F3893" s="32">
        <v>46493</v>
      </c>
      <c r="G3893" t="s">
        <v>514</v>
      </c>
      <c r="H3893">
        <v>47128781</v>
      </c>
      <c r="I3893" t="s">
        <v>1251</v>
      </c>
      <c r="J3893" t="s">
        <v>1250</v>
      </c>
      <c r="K3893" t="s">
        <v>530</v>
      </c>
      <c r="N3893">
        <v>40</v>
      </c>
      <c r="O3893">
        <v>40</v>
      </c>
      <c r="P3893" t="str">
        <f t="shared" si="60"/>
        <v>N</v>
      </c>
      <c r="Q3893" t="s">
        <v>9623</v>
      </c>
    </row>
    <row r="3894" spans="1:17" x14ac:dyDescent="0.25">
      <c r="A3894" t="s">
        <v>4419</v>
      </c>
      <c r="B3894" t="s">
        <v>916</v>
      </c>
      <c r="C3894">
        <v>2027</v>
      </c>
      <c r="D3894" t="s">
        <v>647</v>
      </c>
      <c r="E3894" t="s">
        <v>845</v>
      </c>
      <c r="F3894" s="32">
        <v>46493</v>
      </c>
      <c r="G3894" t="s">
        <v>514</v>
      </c>
      <c r="H3894">
        <v>47128046</v>
      </c>
      <c r="I3894" t="s">
        <v>1389</v>
      </c>
      <c r="J3894" t="s">
        <v>1388</v>
      </c>
      <c r="K3894" t="s">
        <v>530</v>
      </c>
      <c r="N3894">
        <v>0</v>
      </c>
      <c r="O3894">
        <v>0</v>
      </c>
      <c r="P3894" t="str">
        <f t="shared" si="60"/>
        <v>N</v>
      </c>
      <c r="Q3894" t="s">
        <v>9624</v>
      </c>
    </row>
    <row r="3895" spans="1:17" x14ac:dyDescent="0.25">
      <c r="A3895" t="s">
        <v>4420</v>
      </c>
      <c r="B3895" t="s">
        <v>916</v>
      </c>
      <c r="C3895">
        <v>2027</v>
      </c>
      <c r="D3895" t="s">
        <v>647</v>
      </c>
      <c r="E3895" t="s">
        <v>845</v>
      </c>
      <c r="F3895" s="32">
        <v>46493</v>
      </c>
      <c r="G3895" t="s">
        <v>514</v>
      </c>
      <c r="H3895">
        <v>47134379</v>
      </c>
      <c r="I3895" t="s">
        <v>1037</v>
      </c>
      <c r="J3895" t="s">
        <v>1417</v>
      </c>
      <c r="K3895" t="s">
        <v>530</v>
      </c>
      <c r="N3895">
        <v>112.4</v>
      </c>
      <c r="O3895">
        <v>112.4</v>
      </c>
      <c r="P3895" t="str">
        <f t="shared" si="60"/>
        <v>N</v>
      </c>
      <c r="Q3895" t="s">
        <v>9625</v>
      </c>
    </row>
    <row r="3896" spans="1:17" x14ac:dyDescent="0.25">
      <c r="A3896" t="s">
        <v>4751</v>
      </c>
      <c r="B3896" t="s">
        <v>1044</v>
      </c>
      <c r="C3896">
        <v>2027</v>
      </c>
      <c r="D3896" t="s">
        <v>647</v>
      </c>
      <c r="E3896" t="s">
        <v>845</v>
      </c>
      <c r="F3896" s="32">
        <v>46493</v>
      </c>
      <c r="G3896" t="s">
        <v>514</v>
      </c>
      <c r="H3896">
        <v>47133720</v>
      </c>
      <c r="I3896" t="s">
        <v>1217</v>
      </c>
      <c r="J3896" t="s">
        <v>1216</v>
      </c>
      <c r="K3896" t="s">
        <v>530</v>
      </c>
      <c r="N3896">
        <v>20</v>
      </c>
      <c r="O3896">
        <v>20</v>
      </c>
      <c r="P3896" t="str">
        <f t="shared" si="60"/>
        <v>N</v>
      </c>
      <c r="Q3896" t="s">
        <v>9626</v>
      </c>
    </row>
    <row r="3897" spans="1:17" x14ac:dyDescent="0.25">
      <c r="A3897" t="s">
        <v>4752</v>
      </c>
      <c r="B3897" t="s">
        <v>1044</v>
      </c>
      <c r="C3897">
        <v>2027</v>
      </c>
      <c r="D3897" t="s">
        <v>647</v>
      </c>
      <c r="E3897" t="s">
        <v>845</v>
      </c>
      <c r="F3897" s="32">
        <v>46493</v>
      </c>
      <c r="G3897" t="s">
        <v>514</v>
      </c>
      <c r="H3897">
        <v>47128781</v>
      </c>
      <c r="I3897" t="s">
        <v>1251</v>
      </c>
      <c r="J3897" t="s">
        <v>1250</v>
      </c>
      <c r="K3897" t="s">
        <v>530</v>
      </c>
      <c r="N3897">
        <v>0</v>
      </c>
      <c r="O3897">
        <v>0</v>
      </c>
      <c r="P3897" t="str">
        <f t="shared" si="60"/>
        <v>N</v>
      </c>
      <c r="Q3897" t="s">
        <v>9627</v>
      </c>
    </row>
    <row r="3898" spans="1:17" x14ac:dyDescent="0.25">
      <c r="A3898" t="s">
        <v>4753</v>
      </c>
      <c r="B3898" t="s">
        <v>1044</v>
      </c>
      <c r="C3898">
        <v>2027</v>
      </c>
      <c r="D3898" t="s">
        <v>647</v>
      </c>
      <c r="E3898" t="s">
        <v>845</v>
      </c>
      <c r="F3898" s="32">
        <v>46493</v>
      </c>
      <c r="G3898" t="s">
        <v>514</v>
      </c>
      <c r="H3898">
        <v>47128481</v>
      </c>
      <c r="I3898" t="s">
        <v>1379</v>
      </c>
      <c r="J3898" t="s">
        <v>1378</v>
      </c>
      <c r="K3898" t="s">
        <v>530</v>
      </c>
      <c r="N3898">
        <v>0</v>
      </c>
      <c r="O3898">
        <v>0</v>
      </c>
      <c r="P3898" t="str">
        <f t="shared" si="60"/>
        <v>N</v>
      </c>
      <c r="Q3898" t="s">
        <v>9628</v>
      </c>
    </row>
    <row r="3899" spans="1:17" x14ac:dyDescent="0.25">
      <c r="A3899" t="s">
        <v>4754</v>
      </c>
      <c r="B3899" t="s">
        <v>1044</v>
      </c>
      <c r="C3899">
        <v>2027</v>
      </c>
      <c r="D3899" t="s">
        <v>647</v>
      </c>
      <c r="E3899" t="s">
        <v>845</v>
      </c>
      <c r="F3899" s="32">
        <v>46493</v>
      </c>
      <c r="G3899" t="s">
        <v>514</v>
      </c>
      <c r="H3899">
        <v>47128336</v>
      </c>
      <c r="I3899" t="s">
        <v>1161</v>
      </c>
      <c r="J3899" t="s">
        <v>1160</v>
      </c>
      <c r="K3899" t="s">
        <v>530</v>
      </c>
      <c r="N3899">
        <v>0</v>
      </c>
      <c r="O3899">
        <v>0</v>
      </c>
      <c r="P3899" t="str">
        <f t="shared" si="60"/>
        <v>N</v>
      </c>
      <c r="Q3899" t="s">
        <v>9629</v>
      </c>
    </row>
    <row r="3900" spans="1:17" x14ac:dyDescent="0.25">
      <c r="A3900" t="s">
        <v>4755</v>
      </c>
      <c r="B3900" t="s">
        <v>1044</v>
      </c>
      <c r="C3900">
        <v>2027</v>
      </c>
      <c r="D3900" t="s">
        <v>647</v>
      </c>
      <c r="E3900" t="s">
        <v>845</v>
      </c>
      <c r="F3900" s="32">
        <v>46493</v>
      </c>
      <c r="G3900" t="s">
        <v>514</v>
      </c>
      <c r="H3900">
        <v>47128169</v>
      </c>
      <c r="I3900" t="s">
        <v>1205</v>
      </c>
      <c r="J3900" t="s">
        <v>1204</v>
      </c>
      <c r="K3900" t="s">
        <v>530</v>
      </c>
      <c r="N3900">
        <v>0</v>
      </c>
      <c r="O3900">
        <v>0</v>
      </c>
      <c r="P3900" t="str">
        <f t="shared" si="60"/>
        <v>N</v>
      </c>
      <c r="Q3900" t="s">
        <v>9630</v>
      </c>
    </row>
    <row r="3901" spans="1:17" x14ac:dyDescent="0.25">
      <c r="A3901" t="s">
        <v>4756</v>
      </c>
      <c r="B3901" t="s">
        <v>1044</v>
      </c>
      <c r="C3901">
        <v>2027</v>
      </c>
      <c r="D3901" t="s">
        <v>647</v>
      </c>
      <c r="E3901" t="s">
        <v>845</v>
      </c>
      <c r="F3901" s="32">
        <v>46493</v>
      </c>
      <c r="G3901" t="s">
        <v>514</v>
      </c>
      <c r="H3901">
        <v>47136340</v>
      </c>
      <c r="I3901" t="s">
        <v>1213</v>
      </c>
      <c r="J3901" t="s">
        <v>1212</v>
      </c>
      <c r="K3901" t="s">
        <v>530</v>
      </c>
      <c r="N3901">
        <v>20</v>
      </c>
      <c r="O3901">
        <v>20</v>
      </c>
      <c r="P3901" t="str">
        <f t="shared" si="60"/>
        <v>N</v>
      </c>
      <c r="Q3901" t="s">
        <v>9631</v>
      </c>
    </row>
    <row r="3902" spans="1:17" x14ac:dyDescent="0.25">
      <c r="A3902" t="s">
        <v>4757</v>
      </c>
      <c r="B3902" t="s">
        <v>1044</v>
      </c>
      <c r="C3902">
        <v>2027</v>
      </c>
      <c r="D3902" t="s">
        <v>647</v>
      </c>
      <c r="E3902" t="s">
        <v>845</v>
      </c>
      <c r="F3902" s="32">
        <v>46493</v>
      </c>
      <c r="G3902" t="s">
        <v>514</v>
      </c>
      <c r="H3902">
        <v>47128022</v>
      </c>
      <c r="I3902" t="s">
        <v>1104</v>
      </c>
      <c r="J3902" t="s">
        <v>1103</v>
      </c>
      <c r="K3902" t="s">
        <v>530</v>
      </c>
      <c r="N3902">
        <v>0</v>
      </c>
      <c r="O3902">
        <v>0</v>
      </c>
      <c r="P3902" t="str">
        <f t="shared" si="60"/>
        <v>N</v>
      </c>
      <c r="Q3902" t="s">
        <v>9632</v>
      </c>
    </row>
    <row r="3903" spans="1:17" x14ac:dyDescent="0.25">
      <c r="A3903" t="s">
        <v>4758</v>
      </c>
      <c r="B3903" t="s">
        <v>1044</v>
      </c>
      <c r="C3903">
        <v>2027</v>
      </c>
      <c r="D3903" t="s">
        <v>647</v>
      </c>
      <c r="E3903" t="s">
        <v>845</v>
      </c>
      <c r="F3903" s="32">
        <v>46493</v>
      </c>
      <c r="G3903" t="s">
        <v>514</v>
      </c>
      <c r="H3903">
        <v>47127948</v>
      </c>
      <c r="I3903" t="s">
        <v>1247</v>
      </c>
      <c r="J3903" t="s">
        <v>1246</v>
      </c>
      <c r="K3903" t="s">
        <v>530</v>
      </c>
      <c r="N3903">
        <v>0</v>
      </c>
      <c r="O3903">
        <v>0</v>
      </c>
      <c r="P3903" t="str">
        <f t="shared" si="60"/>
        <v>N</v>
      </c>
      <c r="Q3903" t="s">
        <v>9633</v>
      </c>
    </row>
    <row r="3904" spans="1:17" x14ac:dyDescent="0.25">
      <c r="A3904" t="s">
        <v>4759</v>
      </c>
      <c r="B3904" t="s">
        <v>1044</v>
      </c>
      <c r="C3904">
        <v>2027</v>
      </c>
      <c r="D3904" t="s">
        <v>647</v>
      </c>
      <c r="E3904" t="s">
        <v>845</v>
      </c>
      <c r="F3904" s="32">
        <v>46493</v>
      </c>
      <c r="G3904" t="s">
        <v>514</v>
      </c>
      <c r="H3904">
        <v>47128513</v>
      </c>
      <c r="I3904" t="s">
        <v>1040</v>
      </c>
      <c r="J3904" t="s">
        <v>1039</v>
      </c>
      <c r="K3904" t="s">
        <v>530</v>
      </c>
      <c r="N3904">
        <v>0</v>
      </c>
      <c r="O3904">
        <v>0</v>
      </c>
      <c r="P3904" t="str">
        <f t="shared" si="60"/>
        <v>N</v>
      </c>
      <c r="Q3904" t="s">
        <v>9634</v>
      </c>
    </row>
    <row r="3905" spans="1:17" x14ac:dyDescent="0.25">
      <c r="A3905" t="s">
        <v>4760</v>
      </c>
      <c r="B3905" t="s">
        <v>1044</v>
      </c>
      <c r="C3905">
        <v>2027</v>
      </c>
      <c r="D3905" t="s">
        <v>647</v>
      </c>
      <c r="E3905" t="s">
        <v>845</v>
      </c>
      <c r="F3905" s="32">
        <v>46493</v>
      </c>
      <c r="G3905" t="s">
        <v>514</v>
      </c>
      <c r="H3905">
        <v>47128489</v>
      </c>
      <c r="I3905" t="s">
        <v>1116</v>
      </c>
      <c r="J3905" t="s">
        <v>1115</v>
      </c>
      <c r="K3905" t="s">
        <v>530</v>
      </c>
      <c r="N3905">
        <v>0</v>
      </c>
      <c r="O3905">
        <v>0</v>
      </c>
      <c r="P3905" t="str">
        <f t="shared" si="60"/>
        <v>N</v>
      </c>
      <c r="Q3905" t="s">
        <v>9635</v>
      </c>
    </row>
    <row r="3906" spans="1:17" x14ac:dyDescent="0.25">
      <c r="A3906" t="s">
        <v>4761</v>
      </c>
      <c r="B3906" t="s">
        <v>1044</v>
      </c>
      <c r="C3906">
        <v>2027</v>
      </c>
      <c r="D3906" t="s">
        <v>647</v>
      </c>
      <c r="E3906" t="s">
        <v>845</v>
      </c>
      <c r="F3906" s="32">
        <v>46493</v>
      </c>
      <c r="G3906" t="s">
        <v>514</v>
      </c>
      <c r="H3906">
        <v>47128427</v>
      </c>
      <c r="I3906" t="s">
        <v>1112</v>
      </c>
      <c r="J3906" t="s">
        <v>1111</v>
      </c>
      <c r="K3906" t="s">
        <v>530</v>
      </c>
      <c r="N3906">
        <v>0</v>
      </c>
      <c r="O3906">
        <v>0</v>
      </c>
      <c r="P3906" t="str">
        <f t="shared" si="60"/>
        <v>N</v>
      </c>
      <c r="Q3906" t="s">
        <v>9636</v>
      </c>
    </row>
    <row r="3907" spans="1:17" x14ac:dyDescent="0.25">
      <c r="A3907" t="s">
        <v>5430</v>
      </c>
      <c r="B3907" t="s">
        <v>1089</v>
      </c>
      <c r="C3907">
        <v>2027</v>
      </c>
      <c r="D3907" t="s">
        <v>647</v>
      </c>
      <c r="E3907" t="s">
        <v>845</v>
      </c>
      <c r="F3907" s="32">
        <v>46493</v>
      </c>
      <c r="G3907" t="s">
        <v>514</v>
      </c>
      <c r="H3907">
        <v>47128781</v>
      </c>
      <c r="I3907" t="s">
        <v>1251</v>
      </c>
      <c r="J3907" t="s">
        <v>1250</v>
      </c>
      <c r="K3907" t="s">
        <v>530</v>
      </c>
      <c r="N3907">
        <v>40</v>
      </c>
      <c r="O3907">
        <v>40</v>
      </c>
      <c r="P3907" t="str">
        <f t="shared" ref="P3907:P3970" si="61">IF(N3907=O3907,"N","Y")</f>
        <v>N</v>
      </c>
      <c r="Q3907" t="s">
        <v>9637</v>
      </c>
    </row>
    <row r="3908" spans="1:17" x14ac:dyDescent="0.25">
      <c r="A3908" t="s">
        <v>5431</v>
      </c>
      <c r="B3908" t="s">
        <v>1089</v>
      </c>
      <c r="C3908">
        <v>2027</v>
      </c>
      <c r="D3908" t="s">
        <v>647</v>
      </c>
      <c r="E3908" t="s">
        <v>845</v>
      </c>
      <c r="F3908" s="32">
        <v>46493</v>
      </c>
      <c r="G3908" t="s">
        <v>514</v>
      </c>
      <c r="H3908">
        <v>47128046</v>
      </c>
      <c r="I3908" t="s">
        <v>1389</v>
      </c>
      <c r="J3908" t="s">
        <v>1388</v>
      </c>
      <c r="K3908" t="s">
        <v>530</v>
      </c>
      <c r="N3908">
        <v>0</v>
      </c>
      <c r="O3908">
        <v>0</v>
      </c>
      <c r="P3908" t="str">
        <f t="shared" si="61"/>
        <v>N</v>
      </c>
      <c r="Q3908" t="s">
        <v>9638</v>
      </c>
    </row>
    <row r="3909" spans="1:17" x14ac:dyDescent="0.25">
      <c r="A3909" t="s">
        <v>5682</v>
      </c>
      <c r="B3909" t="s">
        <v>5437</v>
      </c>
      <c r="C3909">
        <v>2027</v>
      </c>
      <c r="D3909" t="s">
        <v>647</v>
      </c>
      <c r="E3909" t="s">
        <v>845</v>
      </c>
      <c r="F3909" s="32">
        <v>46493</v>
      </c>
      <c r="G3909" t="s">
        <v>514</v>
      </c>
      <c r="H3909">
        <v>47128781</v>
      </c>
      <c r="I3909" t="s">
        <v>1251</v>
      </c>
      <c r="J3909" t="s">
        <v>1250</v>
      </c>
      <c r="K3909" t="s">
        <v>530</v>
      </c>
      <c r="N3909">
        <v>40</v>
      </c>
      <c r="O3909">
        <v>40</v>
      </c>
      <c r="P3909" t="str">
        <f t="shared" si="61"/>
        <v>N</v>
      </c>
      <c r="Q3909" t="s">
        <v>9639</v>
      </c>
    </row>
    <row r="3910" spans="1:17" x14ac:dyDescent="0.25">
      <c r="A3910" t="s">
        <v>5683</v>
      </c>
      <c r="B3910" t="s">
        <v>5437</v>
      </c>
      <c r="C3910">
        <v>2027</v>
      </c>
      <c r="D3910" t="s">
        <v>647</v>
      </c>
      <c r="E3910" t="s">
        <v>845</v>
      </c>
      <c r="F3910" s="32">
        <v>46493</v>
      </c>
      <c r="G3910" t="s">
        <v>514</v>
      </c>
      <c r="H3910">
        <v>47128481</v>
      </c>
      <c r="I3910" t="s">
        <v>1379</v>
      </c>
      <c r="J3910" t="s">
        <v>1378</v>
      </c>
      <c r="K3910" t="s">
        <v>530</v>
      </c>
      <c r="N3910">
        <v>0</v>
      </c>
      <c r="O3910">
        <v>0</v>
      </c>
      <c r="P3910" t="str">
        <f t="shared" si="61"/>
        <v>N</v>
      </c>
      <c r="Q3910" t="s">
        <v>9640</v>
      </c>
    </row>
    <row r="3911" spans="1:17" x14ac:dyDescent="0.25">
      <c r="A3911" t="s">
        <v>5684</v>
      </c>
      <c r="B3911" t="s">
        <v>5437</v>
      </c>
      <c r="C3911">
        <v>2027</v>
      </c>
      <c r="D3911" t="s">
        <v>647</v>
      </c>
      <c r="E3911" t="s">
        <v>845</v>
      </c>
      <c r="F3911" s="32">
        <v>46493</v>
      </c>
      <c r="G3911" t="s">
        <v>514</v>
      </c>
      <c r="H3911">
        <v>47128336</v>
      </c>
      <c r="I3911" t="s">
        <v>1161</v>
      </c>
      <c r="J3911" t="s">
        <v>1160</v>
      </c>
      <c r="K3911" t="s">
        <v>530</v>
      </c>
      <c r="N3911">
        <v>0</v>
      </c>
      <c r="O3911">
        <v>0</v>
      </c>
      <c r="P3911" t="str">
        <f t="shared" si="61"/>
        <v>N</v>
      </c>
      <c r="Q3911" t="s">
        <v>9641</v>
      </c>
    </row>
    <row r="3912" spans="1:17" x14ac:dyDescent="0.25">
      <c r="A3912" t="s">
        <v>5685</v>
      </c>
      <c r="B3912" t="s">
        <v>5437</v>
      </c>
      <c r="C3912">
        <v>2027</v>
      </c>
      <c r="D3912" t="s">
        <v>647</v>
      </c>
      <c r="E3912" t="s">
        <v>845</v>
      </c>
      <c r="F3912" s="32">
        <v>46493</v>
      </c>
      <c r="G3912" t="s">
        <v>514</v>
      </c>
      <c r="H3912">
        <v>47136340</v>
      </c>
      <c r="I3912" t="s">
        <v>1213</v>
      </c>
      <c r="J3912" t="s">
        <v>1212</v>
      </c>
      <c r="K3912" t="s">
        <v>530</v>
      </c>
      <c r="N3912">
        <v>20</v>
      </c>
      <c r="O3912">
        <v>20</v>
      </c>
      <c r="P3912" t="str">
        <f t="shared" si="61"/>
        <v>N</v>
      </c>
      <c r="Q3912" t="s">
        <v>9642</v>
      </c>
    </row>
    <row r="3913" spans="1:17" x14ac:dyDescent="0.25">
      <c r="A3913" t="s">
        <v>5686</v>
      </c>
      <c r="B3913" t="s">
        <v>5437</v>
      </c>
      <c r="C3913">
        <v>2027</v>
      </c>
      <c r="D3913" t="s">
        <v>647</v>
      </c>
      <c r="E3913" t="s">
        <v>845</v>
      </c>
      <c r="F3913" s="32">
        <v>46493</v>
      </c>
      <c r="G3913" t="s">
        <v>514</v>
      </c>
      <c r="H3913">
        <v>47128169</v>
      </c>
      <c r="I3913" t="s">
        <v>1205</v>
      </c>
      <c r="J3913" t="s">
        <v>1204</v>
      </c>
      <c r="K3913" t="s">
        <v>530</v>
      </c>
      <c r="N3913">
        <v>0</v>
      </c>
      <c r="O3913">
        <v>0</v>
      </c>
      <c r="P3913" t="str">
        <f t="shared" si="61"/>
        <v>N</v>
      </c>
      <c r="Q3913" t="s">
        <v>9643</v>
      </c>
    </row>
    <row r="3914" spans="1:17" x14ac:dyDescent="0.25">
      <c r="A3914" t="s">
        <v>5687</v>
      </c>
      <c r="B3914" t="s">
        <v>5437</v>
      </c>
      <c r="C3914">
        <v>2027</v>
      </c>
      <c r="D3914" t="s">
        <v>647</v>
      </c>
      <c r="E3914" t="s">
        <v>845</v>
      </c>
      <c r="F3914" s="32">
        <v>46493</v>
      </c>
      <c r="G3914" t="s">
        <v>514</v>
      </c>
      <c r="H3914">
        <v>47128022</v>
      </c>
      <c r="I3914" t="s">
        <v>1104</v>
      </c>
      <c r="J3914" t="s">
        <v>1103</v>
      </c>
      <c r="K3914" t="s">
        <v>530</v>
      </c>
      <c r="N3914">
        <v>0</v>
      </c>
      <c r="O3914">
        <v>0</v>
      </c>
      <c r="P3914" t="str">
        <f t="shared" si="61"/>
        <v>N</v>
      </c>
      <c r="Q3914" t="s">
        <v>9644</v>
      </c>
    </row>
    <row r="3915" spans="1:17" x14ac:dyDescent="0.25">
      <c r="A3915" t="s">
        <v>5688</v>
      </c>
      <c r="B3915" t="s">
        <v>5437</v>
      </c>
      <c r="C3915">
        <v>2027</v>
      </c>
      <c r="D3915" t="s">
        <v>647</v>
      </c>
      <c r="E3915" t="s">
        <v>845</v>
      </c>
      <c r="F3915" s="32">
        <v>46493</v>
      </c>
      <c r="G3915" t="s">
        <v>514</v>
      </c>
      <c r="H3915">
        <v>47127948</v>
      </c>
      <c r="I3915" t="s">
        <v>1247</v>
      </c>
      <c r="J3915" t="s">
        <v>1246</v>
      </c>
      <c r="K3915" t="s">
        <v>530</v>
      </c>
      <c r="N3915">
        <v>0</v>
      </c>
      <c r="O3915">
        <v>0</v>
      </c>
      <c r="P3915" t="str">
        <f t="shared" si="61"/>
        <v>N</v>
      </c>
      <c r="Q3915" t="s">
        <v>9645</v>
      </c>
    </row>
    <row r="3916" spans="1:17" x14ac:dyDescent="0.25">
      <c r="A3916" t="s">
        <v>5689</v>
      </c>
      <c r="B3916" t="s">
        <v>5437</v>
      </c>
      <c r="C3916">
        <v>2027</v>
      </c>
      <c r="D3916" t="s">
        <v>647</v>
      </c>
      <c r="E3916" t="s">
        <v>845</v>
      </c>
      <c r="F3916" s="32">
        <v>46493</v>
      </c>
      <c r="G3916" t="s">
        <v>514</v>
      </c>
      <c r="H3916">
        <v>47128427</v>
      </c>
      <c r="I3916" t="s">
        <v>1112</v>
      </c>
      <c r="J3916" t="s">
        <v>1111</v>
      </c>
      <c r="K3916" t="s">
        <v>530</v>
      </c>
      <c r="N3916">
        <v>0</v>
      </c>
      <c r="O3916">
        <v>0</v>
      </c>
      <c r="P3916" t="str">
        <f t="shared" si="61"/>
        <v>N</v>
      </c>
      <c r="Q3916" t="s">
        <v>9646</v>
      </c>
    </row>
    <row r="3917" spans="1:17" x14ac:dyDescent="0.25">
      <c r="A3917" t="s">
        <v>5690</v>
      </c>
      <c r="B3917" t="s">
        <v>5437</v>
      </c>
      <c r="C3917">
        <v>2027</v>
      </c>
      <c r="D3917" t="s">
        <v>647</v>
      </c>
      <c r="E3917" t="s">
        <v>845</v>
      </c>
      <c r="F3917" s="32">
        <v>46493</v>
      </c>
      <c r="G3917" t="s">
        <v>514</v>
      </c>
      <c r="H3917">
        <v>47128513</v>
      </c>
      <c r="I3917" t="s">
        <v>1040</v>
      </c>
      <c r="J3917" t="s">
        <v>1039</v>
      </c>
      <c r="K3917" t="s">
        <v>530</v>
      </c>
      <c r="N3917">
        <v>0</v>
      </c>
      <c r="O3917">
        <v>0</v>
      </c>
      <c r="P3917" t="str">
        <f t="shared" si="61"/>
        <v>N</v>
      </c>
      <c r="Q3917" t="s">
        <v>9647</v>
      </c>
    </row>
    <row r="3918" spans="1:17" x14ac:dyDescent="0.25">
      <c r="A3918" t="s">
        <v>5691</v>
      </c>
      <c r="B3918" t="s">
        <v>5437</v>
      </c>
      <c r="C3918">
        <v>2027</v>
      </c>
      <c r="D3918" t="s">
        <v>647</v>
      </c>
      <c r="E3918" t="s">
        <v>845</v>
      </c>
      <c r="F3918" s="32">
        <v>46493</v>
      </c>
      <c r="G3918" t="s">
        <v>514</v>
      </c>
      <c r="H3918">
        <v>47128489</v>
      </c>
      <c r="I3918" t="s">
        <v>1116</v>
      </c>
      <c r="J3918" t="s">
        <v>1115</v>
      </c>
      <c r="K3918" t="s">
        <v>530</v>
      </c>
      <c r="N3918">
        <v>0</v>
      </c>
      <c r="O3918">
        <v>0</v>
      </c>
      <c r="P3918" t="str">
        <f t="shared" si="61"/>
        <v>N</v>
      </c>
      <c r="Q3918" t="s">
        <v>9648</v>
      </c>
    </row>
    <row r="3919" spans="1:17" x14ac:dyDescent="0.25">
      <c r="A3919" t="s">
        <v>1680</v>
      </c>
      <c r="B3919" t="s">
        <v>1520</v>
      </c>
      <c r="C3919">
        <v>2027</v>
      </c>
      <c r="D3919" t="s">
        <v>649</v>
      </c>
      <c r="E3919" t="s">
        <v>846</v>
      </c>
      <c r="F3919" s="32">
        <v>46500</v>
      </c>
      <c r="G3919" t="s">
        <v>563</v>
      </c>
      <c r="H3919">
        <v>10000015</v>
      </c>
      <c r="I3919" t="s">
        <v>562</v>
      </c>
      <c r="K3919" t="s">
        <v>530</v>
      </c>
      <c r="N3919">
        <v>0</v>
      </c>
      <c r="O3919">
        <v>0</v>
      </c>
      <c r="P3919" t="str">
        <f t="shared" si="61"/>
        <v>N</v>
      </c>
      <c r="Q3919" t="s">
        <v>9649</v>
      </c>
    </row>
    <row r="3920" spans="1:17" x14ac:dyDescent="0.25">
      <c r="A3920" t="s">
        <v>1681</v>
      </c>
      <c r="B3920" t="s">
        <v>1520</v>
      </c>
      <c r="C3920">
        <v>2027</v>
      </c>
      <c r="D3920" t="s">
        <v>649</v>
      </c>
      <c r="E3920" t="s">
        <v>846</v>
      </c>
      <c r="F3920" s="32">
        <v>46500</v>
      </c>
      <c r="G3920" t="s">
        <v>514</v>
      </c>
      <c r="H3920">
        <v>47128781</v>
      </c>
      <c r="I3920" t="s">
        <v>1251</v>
      </c>
      <c r="J3920" t="s">
        <v>1250</v>
      </c>
      <c r="K3920" t="s">
        <v>530</v>
      </c>
      <c r="N3920">
        <v>40</v>
      </c>
      <c r="O3920">
        <v>40</v>
      </c>
      <c r="P3920" t="str">
        <f t="shared" si="61"/>
        <v>N</v>
      </c>
      <c r="Q3920" t="s">
        <v>9650</v>
      </c>
    </row>
    <row r="3921" spans="1:17" x14ac:dyDescent="0.25">
      <c r="A3921" t="s">
        <v>2285</v>
      </c>
      <c r="B3921" t="s">
        <v>1135</v>
      </c>
      <c r="C3921">
        <v>2027</v>
      </c>
      <c r="D3921" t="s">
        <v>649</v>
      </c>
      <c r="E3921" t="s">
        <v>846</v>
      </c>
      <c r="F3921" s="32">
        <v>46500</v>
      </c>
      <c r="G3921" t="s">
        <v>514</v>
      </c>
      <c r="H3921">
        <v>47128168</v>
      </c>
      <c r="I3921" t="s">
        <v>1100</v>
      </c>
      <c r="J3921" t="s">
        <v>1099</v>
      </c>
      <c r="K3921" t="s">
        <v>530</v>
      </c>
      <c r="N3921">
        <v>0</v>
      </c>
      <c r="O3921">
        <v>0</v>
      </c>
      <c r="P3921" t="str">
        <f t="shared" si="61"/>
        <v>N</v>
      </c>
      <c r="Q3921" t="s">
        <v>9651</v>
      </c>
    </row>
    <row r="3922" spans="1:17" x14ac:dyDescent="0.25">
      <c r="A3922" t="s">
        <v>2286</v>
      </c>
      <c r="B3922" t="s">
        <v>1135</v>
      </c>
      <c r="C3922">
        <v>2027</v>
      </c>
      <c r="D3922" t="s">
        <v>649</v>
      </c>
      <c r="E3922" t="s">
        <v>846</v>
      </c>
      <c r="F3922" s="32">
        <v>46500</v>
      </c>
      <c r="G3922" t="s">
        <v>514</v>
      </c>
      <c r="H3922">
        <v>47128906</v>
      </c>
      <c r="I3922" t="s">
        <v>1349</v>
      </c>
      <c r="J3922" t="s">
        <v>1348</v>
      </c>
      <c r="K3922" t="s">
        <v>530</v>
      </c>
      <c r="N3922">
        <v>0</v>
      </c>
      <c r="O3922">
        <v>0</v>
      </c>
      <c r="P3922" t="str">
        <f t="shared" si="61"/>
        <v>N</v>
      </c>
      <c r="Q3922" t="s">
        <v>9652</v>
      </c>
    </row>
    <row r="3923" spans="1:17" x14ac:dyDescent="0.25">
      <c r="A3923" t="s">
        <v>2287</v>
      </c>
      <c r="B3923" t="s">
        <v>1135</v>
      </c>
      <c r="C3923">
        <v>2027</v>
      </c>
      <c r="D3923" t="s">
        <v>649</v>
      </c>
      <c r="E3923" t="s">
        <v>846</v>
      </c>
      <c r="F3923" s="32">
        <v>46500</v>
      </c>
      <c r="G3923" t="s">
        <v>514</v>
      </c>
      <c r="H3923">
        <v>47128783</v>
      </c>
      <c r="I3923" t="s">
        <v>1280</v>
      </c>
      <c r="J3923" t="s">
        <v>1279</v>
      </c>
      <c r="K3923" t="s">
        <v>530</v>
      </c>
      <c r="N3923">
        <v>0</v>
      </c>
      <c r="O3923">
        <v>0</v>
      </c>
      <c r="P3923" t="str">
        <f t="shared" si="61"/>
        <v>N</v>
      </c>
      <c r="Q3923" t="s">
        <v>9653</v>
      </c>
    </row>
    <row r="3924" spans="1:17" x14ac:dyDescent="0.25">
      <c r="A3924" t="s">
        <v>2288</v>
      </c>
      <c r="B3924" t="s">
        <v>1135</v>
      </c>
      <c r="C3924">
        <v>2027</v>
      </c>
      <c r="D3924" t="s">
        <v>649</v>
      </c>
      <c r="E3924" t="s">
        <v>846</v>
      </c>
      <c r="F3924" s="32">
        <v>46500</v>
      </c>
      <c r="G3924" t="s">
        <v>514</v>
      </c>
      <c r="H3924">
        <v>47128944</v>
      </c>
      <c r="I3924" t="s">
        <v>1137</v>
      </c>
      <c r="J3924" t="s">
        <v>1136</v>
      </c>
      <c r="K3924" t="s">
        <v>530</v>
      </c>
      <c r="N3924">
        <v>0</v>
      </c>
      <c r="O3924">
        <v>0</v>
      </c>
      <c r="P3924" t="str">
        <f t="shared" si="61"/>
        <v>N</v>
      </c>
      <c r="Q3924" t="s">
        <v>9654</v>
      </c>
    </row>
    <row r="3925" spans="1:17" x14ac:dyDescent="0.25">
      <c r="A3925" t="s">
        <v>2289</v>
      </c>
      <c r="B3925" t="s">
        <v>1135</v>
      </c>
      <c r="C3925">
        <v>2027</v>
      </c>
      <c r="D3925" t="s">
        <v>649</v>
      </c>
      <c r="E3925" t="s">
        <v>846</v>
      </c>
      <c r="F3925" s="32">
        <v>46500</v>
      </c>
      <c r="G3925" t="s">
        <v>514</v>
      </c>
      <c r="H3925">
        <v>47128729</v>
      </c>
      <c r="I3925" t="s">
        <v>1149</v>
      </c>
      <c r="J3925" t="s">
        <v>1148</v>
      </c>
      <c r="K3925" t="s">
        <v>530</v>
      </c>
      <c r="N3925">
        <v>0</v>
      </c>
      <c r="O3925">
        <v>0</v>
      </c>
      <c r="P3925" t="str">
        <f t="shared" si="61"/>
        <v>N</v>
      </c>
      <c r="Q3925" t="s">
        <v>9655</v>
      </c>
    </row>
    <row r="3926" spans="1:17" x14ac:dyDescent="0.25">
      <c r="A3926" t="s">
        <v>2290</v>
      </c>
      <c r="B3926" t="s">
        <v>1135</v>
      </c>
      <c r="C3926">
        <v>2027</v>
      </c>
      <c r="D3926" t="s">
        <v>649</v>
      </c>
      <c r="E3926" t="s">
        <v>846</v>
      </c>
      <c r="F3926" s="32">
        <v>46500</v>
      </c>
      <c r="G3926" t="s">
        <v>514</v>
      </c>
      <c r="H3926">
        <v>47128585</v>
      </c>
      <c r="I3926" t="s">
        <v>1141</v>
      </c>
      <c r="J3926" t="s">
        <v>1140</v>
      </c>
      <c r="K3926" t="s">
        <v>530</v>
      </c>
      <c r="N3926">
        <v>0</v>
      </c>
      <c r="O3926">
        <v>0</v>
      </c>
      <c r="P3926" t="str">
        <f t="shared" si="61"/>
        <v>N</v>
      </c>
      <c r="Q3926" t="s">
        <v>9656</v>
      </c>
    </row>
    <row r="3927" spans="1:17" x14ac:dyDescent="0.25">
      <c r="A3927" t="s">
        <v>2291</v>
      </c>
      <c r="B3927" t="s">
        <v>1135</v>
      </c>
      <c r="C3927">
        <v>2027</v>
      </c>
      <c r="D3927" t="s">
        <v>649</v>
      </c>
      <c r="E3927" t="s">
        <v>846</v>
      </c>
      <c r="F3927" s="32">
        <v>46500</v>
      </c>
      <c r="G3927" t="s">
        <v>514</v>
      </c>
      <c r="H3927">
        <v>47128680</v>
      </c>
      <c r="I3927" t="s">
        <v>1284</v>
      </c>
      <c r="J3927" t="s">
        <v>1283</v>
      </c>
      <c r="K3927" t="s">
        <v>530</v>
      </c>
      <c r="N3927">
        <v>0</v>
      </c>
      <c r="O3927">
        <v>0</v>
      </c>
      <c r="P3927" t="str">
        <f t="shared" si="61"/>
        <v>N</v>
      </c>
      <c r="Q3927" t="s">
        <v>9657</v>
      </c>
    </row>
    <row r="3928" spans="1:17" x14ac:dyDescent="0.25">
      <c r="A3928" t="s">
        <v>2292</v>
      </c>
      <c r="B3928" t="s">
        <v>1135</v>
      </c>
      <c r="C3928">
        <v>2027</v>
      </c>
      <c r="D3928" t="s">
        <v>649</v>
      </c>
      <c r="E3928" t="s">
        <v>846</v>
      </c>
      <c r="F3928" s="32">
        <v>46500</v>
      </c>
      <c r="G3928" t="s">
        <v>514</v>
      </c>
      <c r="H3928">
        <v>47128585</v>
      </c>
      <c r="I3928" t="s">
        <v>1141</v>
      </c>
      <c r="J3928" t="s">
        <v>1408</v>
      </c>
      <c r="K3928" t="s">
        <v>530</v>
      </c>
      <c r="N3928">
        <v>0</v>
      </c>
      <c r="O3928">
        <v>0</v>
      </c>
      <c r="P3928" t="str">
        <f t="shared" si="61"/>
        <v>N</v>
      </c>
      <c r="Q3928" t="s">
        <v>9658</v>
      </c>
    </row>
    <row r="3929" spans="1:17" x14ac:dyDescent="0.25">
      <c r="A3929" t="s">
        <v>2293</v>
      </c>
      <c r="B3929" t="s">
        <v>1135</v>
      </c>
      <c r="C3929">
        <v>2027</v>
      </c>
      <c r="D3929" t="s">
        <v>649</v>
      </c>
      <c r="E3929" t="s">
        <v>846</v>
      </c>
      <c r="F3929" s="32">
        <v>46500</v>
      </c>
      <c r="G3929" t="s">
        <v>514</v>
      </c>
      <c r="H3929">
        <v>47128039</v>
      </c>
      <c r="I3929" t="s">
        <v>1405</v>
      </c>
      <c r="J3929" t="s">
        <v>1404</v>
      </c>
      <c r="K3929" t="s">
        <v>530</v>
      </c>
      <c r="N3929">
        <v>0</v>
      </c>
      <c r="O3929">
        <v>0</v>
      </c>
      <c r="P3929" t="str">
        <f t="shared" si="61"/>
        <v>N</v>
      </c>
      <c r="Q3929" t="s">
        <v>9659</v>
      </c>
    </row>
    <row r="3930" spans="1:17" x14ac:dyDescent="0.25">
      <c r="A3930" t="s">
        <v>2294</v>
      </c>
      <c r="B3930" t="s">
        <v>1135</v>
      </c>
      <c r="C3930">
        <v>2027</v>
      </c>
      <c r="D3930" t="s">
        <v>649</v>
      </c>
      <c r="E3930" t="s">
        <v>846</v>
      </c>
      <c r="F3930" s="32">
        <v>46500</v>
      </c>
      <c r="G3930" t="s">
        <v>514</v>
      </c>
      <c r="H3930">
        <v>47128024</v>
      </c>
      <c r="I3930" t="s">
        <v>1108</v>
      </c>
      <c r="J3930" t="s">
        <v>1107</v>
      </c>
      <c r="K3930" t="s">
        <v>530</v>
      </c>
      <c r="N3930">
        <v>0</v>
      </c>
      <c r="O3930">
        <v>0</v>
      </c>
      <c r="P3930" t="str">
        <f t="shared" si="61"/>
        <v>N</v>
      </c>
      <c r="Q3930" t="s">
        <v>9660</v>
      </c>
    </row>
    <row r="3931" spans="1:17" x14ac:dyDescent="0.25">
      <c r="A3931" t="s">
        <v>2295</v>
      </c>
      <c r="B3931" t="s">
        <v>1135</v>
      </c>
      <c r="C3931">
        <v>2027</v>
      </c>
      <c r="D3931" t="s">
        <v>649</v>
      </c>
      <c r="E3931" t="s">
        <v>846</v>
      </c>
      <c r="F3931" s="32">
        <v>46500</v>
      </c>
      <c r="G3931" t="s">
        <v>514</v>
      </c>
      <c r="H3931">
        <v>47128430</v>
      </c>
      <c r="I3931" t="s">
        <v>1401</v>
      </c>
      <c r="J3931" t="s">
        <v>1400</v>
      </c>
      <c r="K3931" t="s">
        <v>530</v>
      </c>
      <c r="N3931">
        <v>0</v>
      </c>
      <c r="O3931">
        <v>0</v>
      </c>
      <c r="P3931" t="str">
        <f t="shared" si="61"/>
        <v>N</v>
      </c>
      <c r="Q3931" t="s">
        <v>9661</v>
      </c>
    </row>
    <row r="3932" spans="1:17" x14ac:dyDescent="0.25">
      <c r="A3932" t="s">
        <v>2296</v>
      </c>
      <c r="B3932" t="s">
        <v>1135</v>
      </c>
      <c r="C3932">
        <v>2027</v>
      </c>
      <c r="D3932" t="s">
        <v>649</v>
      </c>
      <c r="E3932" t="s">
        <v>846</v>
      </c>
      <c r="F3932" s="32">
        <v>46500</v>
      </c>
      <c r="G3932" t="s">
        <v>514</v>
      </c>
      <c r="H3932">
        <v>47128555</v>
      </c>
      <c r="I3932" t="s">
        <v>1209</v>
      </c>
      <c r="J3932" t="s">
        <v>1208</v>
      </c>
      <c r="K3932" t="s">
        <v>530</v>
      </c>
      <c r="N3932">
        <v>0</v>
      </c>
      <c r="O3932">
        <v>0</v>
      </c>
      <c r="P3932" t="str">
        <f t="shared" si="61"/>
        <v>N</v>
      </c>
      <c r="Q3932" t="s">
        <v>9662</v>
      </c>
    </row>
    <row r="3933" spans="1:17" x14ac:dyDescent="0.25">
      <c r="A3933" t="s">
        <v>2297</v>
      </c>
      <c r="B3933" t="s">
        <v>1135</v>
      </c>
      <c r="C3933">
        <v>2027</v>
      </c>
      <c r="D3933" t="s">
        <v>649</v>
      </c>
      <c r="E3933" t="s">
        <v>846</v>
      </c>
      <c r="F3933" s="32">
        <v>46500</v>
      </c>
      <c r="G3933" t="s">
        <v>514</v>
      </c>
      <c r="H3933">
        <v>47128522</v>
      </c>
      <c r="I3933" t="s">
        <v>1092</v>
      </c>
      <c r="J3933" t="s">
        <v>1091</v>
      </c>
      <c r="K3933" t="s">
        <v>530</v>
      </c>
      <c r="N3933">
        <v>0</v>
      </c>
      <c r="O3933">
        <v>0</v>
      </c>
      <c r="P3933" t="str">
        <f t="shared" si="61"/>
        <v>N</v>
      </c>
      <c r="Q3933" t="s">
        <v>9663</v>
      </c>
    </row>
    <row r="3934" spans="1:17" x14ac:dyDescent="0.25">
      <c r="A3934" t="s">
        <v>2298</v>
      </c>
      <c r="B3934" t="s">
        <v>1135</v>
      </c>
      <c r="C3934">
        <v>2027</v>
      </c>
      <c r="D3934" t="s">
        <v>649</v>
      </c>
      <c r="E3934" t="s">
        <v>846</v>
      </c>
      <c r="F3934" s="32">
        <v>46500</v>
      </c>
      <c r="G3934" t="s">
        <v>514</v>
      </c>
      <c r="H3934">
        <v>47147546</v>
      </c>
      <c r="I3934" t="s">
        <v>1077</v>
      </c>
      <c r="J3934" t="s">
        <v>1076</v>
      </c>
      <c r="K3934" t="s">
        <v>530</v>
      </c>
      <c r="N3934">
        <v>0</v>
      </c>
      <c r="O3934">
        <v>0</v>
      </c>
      <c r="P3934" t="str">
        <f t="shared" si="61"/>
        <v>N</v>
      </c>
      <c r="Q3934" t="s">
        <v>9664</v>
      </c>
    </row>
    <row r="3935" spans="1:17" x14ac:dyDescent="0.25">
      <c r="A3935" t="s">
        <v>2299</v>
      </c>
      <c r="B3935" t="s">
        <v>1135</v>
      </c>
      <c r="C3935">
        <v>2027</v>
      </c>
      <c r="D3935" t="s">
        <v>649</v>
      </c>
      <c r="E3935" t="s">
        <v>846</v>
      </c>
      <c r="F3935" s="32">
        <v>46500</v>
      </c>
      <c r="G3935" t="s">
        <v>514</v>
      </c>
      <c r="H3935">
        <v>47128597</v>
      </c>
      <c r="I3935" t="s">
        <v>1510</v>
      </c>
      <c r="J3935" t="s">
        <v>1509</v>
      </c>
      <c r="K3935" t="s">
        <v>530</v>
      </c>
      <c r="N3935">
        <v>0</v>
      </c>
      <c r="O3935">
        <v>0</v>
      </c>
      <c r="P3935" t="str">
        <f t="shared" si="61"/>
        <v>N</v>
      </c>
      <c r="Q3935" t="s">
        <v>9665</v>
      </c>
    </row>
    <row r="3936" spans="1:17" x14ac:dyDescent="0.25">
      <c r="A3936" t="s">
        <v>2300</v>
      </c>
      <c r="B3936" t="s">
        <v>1135</v>
      </c>
      <c r="C3936">
        <v>2027</v>
      </c>
      <c r="D3936" t="s">
        <v>649</v>
      </c>
      <c r="E3936" t="s">
        <v>846</v>
      </c>
      <c r="F3936" s="32">
        <v>46500</v>
      </c>
      <c r="G3936" t="s">
        <v>514</v>
      </c>
      <c r="H3936">
        <v>47128257</v>
      </c>
      <c r="I3936" t="s">
        <v>979</v>
      </c>
      <c r="J3936" t="s">
        <v>978</v>
      </c>
      <c r="K3936" t="s">
        <v>530</v>
      </c>
      <c r="N3936">
        <v>0</v>
      </c>
      <c r="O3936">
        <v>0</v>
      </c>
      <c r="P3936" t="str">
        <f t="shared" si="61"/>
        <v>N</v>
      </c>
      <c r="Q3936" t="s">
        <v>9666</v>
      </c>
    </row>
    <row r="3937" spans="1:17" x14ac:dyDescent="0.25">
      <c r="A3937" t="s">
        <v>2301</v>
      </c>
      <c r="B3937" t="s">
        <v>1135</v>
      </c>
      <c r="C3937">
        <v>2027</v>
      </c>
      <c r="D3937" t="s">
        <v>649</v>
      </c>
      <c r="E3937" t="s">
        <v>846</v>
      </c>
      <c r="F3937" s="32">
        <v>46500</v>
      </c>
      <c r="G3937" t="s">
        <v>514</v>
      </c>
      <c r="H3937">
        <v>47128880</v>
      </c>
      <c r="I3937" t="s">
        <v>1014</v>
      </c>
      <c r="J3937" t="s">
        <v>1013</v>
      </c>
      <c r="K3937" t="s">
        <v>530</v>
      </c>
      <c r="N3937">
        <v>0</v>
      </c>
      <c r="O3937">
        <v>0</v>
      </c>
      <c r="P3937" t="str">
        <f t="shared" si="61"/>
        <v>N</v>
      </c>
      <c r="Q3937" t="s">
        <v>9667</v>
      </c>
    </row>
    <row r="3938" spans="1:17" x14ac:dyDescent="0.25">
      <c r="A3938" t="s">
        <v>2302</v>
      </c>
      <c r="B3938" t="s">
        <v>1135</v>
      </c>
      <c r="C3938">
        <v>2027</v>
      </c>
      <c r="D3938" t="s">
        <v>649</v>
      </c>
      <c r="E3938" t="s">
        <v>846</v>
      </c>
      <c r="F3938" s="32">
        <v>46500</v>
      </c>
      <c r="G3938" t="s">
        <v>514</v>
      </c>
      <c r="H3938">
        <v>47128879</v>
      </c>
      <c r="I3938" t="s">
        <v>1132</v>
      </c>
      <c r="J3938" t="s">
        <v>1131</v>
      </c>
      <c r="K3938" t="s">
        <v>530</v>
      </c>
      <c r="N3938">
        <v>0</v>
      </c>
      <c r="O3938">
        <v>0</v>
      </c>
      <c r="P3938" t="str">
        <f t="shared" si="61"/>
        <v>N</v>
      </c>
      <c r="Q3938" t="s">
        <v>9668</v>
      </c>
    </row>
    <row r="3939" spans="1:17" x14ac:dyDescent="0.25">
      <c r="A3939" t="s">
        <v>2303</v>
      </c>
      <c r="B3939" t="s">
        <v>1135</v>
      </c>
      <c r="C3939">
        <v>2027</v>
      </c>
      <c r="D3939" t="s">
        <v>649</v>
      </c>
      <c r="E3939" t="s">
        <v>846</v>
      </c>
      <c r="F3939" s="32">
        <v>46500</v>
      </c>
      <c r="G3939" t="s">
        <v>514</v>
      </c>
      <c r="H3939">
        <v>47128413</v>
      </c>
      <c r="I3939" t="s">
        <v>1397</v>
      </c>
      <c r="J3939" t="s">
        <v>1396</v>
      </c>
      <c r="K3939" t="s">
        <v>530</v>
      </c>
      <c r="N3939">
        <v>0</v>
      </c>
      <c r="O3939">
        <v>0</v>
      </c>
      <c r="P3939" t="str">
        <f t="shared" si="61"/>
        <v>N</v>
      </c>
      <c r="Q3939" t="s">
        <v>9669</v>
      </c>
    </row>
    <row r="3940" spans="1:17" x14ac:dyDescent="0.25">
      <c r="A3940" t="s">
        <v>2304</v>
      </c>
      <c r="B3940" t="s">
        <v>1135</v>
      </c>
      <c r="C3940">
        <v>2027</v>
      </c>
      <c r="D3940" t="s">
        <v>649</v>
      </c>
      <c r="E3940" t="s">
        <v>846</v>
      </c>
      <c r="F3940" s="32">
        <v>46500</v>
      </c>
      <c r="G3940" t="s">
        <v>514</v>
      </c>
      <c r="H3940">
        <v>47146464</v>
      </c>
      <c r="I3940" t="s">
        <v>1438</v>
      </c>
      <c r="J3940" t="s">
        <v>1437</v>
      </c>
      <c r="K3940" t="s">
        <v>530</v>
      </c>
      <c r="N3940">
        <v>0</v>
      </c>
      <c r="O3940">
        <v>0</v>
      </c>
      <c r="P3940" t="str">
        <f t="shared" si="61"/>
        <v>N</v>
      </c>
      <c r="Q3940" t="s">
        <v>9670</v>
      </c>
    </row>
    <row r="3941" spans="1:17" x14ac:dyDescent="0.25">
      <c r="A3941" t="s">
        <v>2305</v>
      </c>
      <c r="B3941" t="s">
        <v>1135</v>
      </c>
      <c r="C3941">
        <v>2027</v>
      </c>
      <c r="D3941" t="s">
        <v>649</v>
      </c>
      <c r="E3941" t="s">
        <v>846</v>
      </c>
      <c r="F3941" s="32">
        <v>46500</v>
      </c>
      <c r="G3941" t="s">
        <v>514</v>
      </c>
      <c r="H3941">
        <v>47147546</v>
      </c>
      <c r="I3941" t="s">
        <v>1077</v>
      </c>
      <c r="J3941" t="s">
        <v>1381</v>
      </c>
      <c r="K3941" t="s">
        <v>530</v>
      </c>
      <c r="N3941">
        <v>0</v>
      </c>
      <c r="O3941">
        <v>0</v>
      </c>
      <c r="P3941" t="str">
        <f t="shared" si="61"/>
        <v>N</v>
      </c>
      <c r="Q3941" t="s">
        <v>9671</v>
      </c>
    </row>
    <row r="3942" spans="1:17" x14ac:dyDescent="0.25">
      <c r="A3942" t="s">
        <v>2306</v>
      </c>
      <c r="B3942" t="s">
        <v>1135</v>
      </c>
      <c r="C3942">
        <v>2027</v>
      </c>
      <c r="D3942" t="s">
        <v>649</v>
      </c>
      <c r="E3942" t="s">
        <v>846</v>
      </c>
      <c r="F3942" s="32">
        <v>46500</v>
      </c>
      <c r="G3942" t="s">
        <v>514</v>
      </c>
      <c r="H3942">
        <v>47128800</v>
      </c>
      <c r="I3942" t="s">
        <v>1145</v>
      </c>
      <c r="J3942" t="s">
        <v>1144</v>
      </c>
      <c r="K3942" t="s">
        <v>530</v>
      </c>
      <c r="N3942">
        <v>0</v>
      </c>
      <c r="O3942">
        <v>0</v>
      </c>
      <c r="P3942" t="str">
        <f t="shared" si="61"/>
        <v>N</v>
      </c>
      <c r="Q3942" t="s">
        <v>9672</v>
      </c>
    </row>
    <row r="3943" spans="1:17" x14ac:dyDescent="0.25">
      <c r="A3943" t="s">
        <v>2307</v>
      </c>
      <c r="B3943" t="s">
        <v>1135</v>
      </c>
      <c r="C3943">
        <v>2027</v>
      </c>
      <c r="D3943" t="s">
        <v>649</v>
      </c>
      <c r="E3943" t="s">
        <v>846</v>
      </c>
      <c r="F3943" s="32">
        <v>46500</v>
      </c>
      <c r="G3943" t="s">
        <v>514</v>
      </c>
      <c r="H3943">
        <v>47128109</v>
      </c>
      <c r="I3943" t="s">
        <v>1336</v>
      </c>
      <c r="J3943" t="s">
        <v>1335</v>
      </c>
      <c r="K3943" t="s">
        <v>530</v>
      </c>
      <c r="N3943">
        <v>0</v>
      </c>
      <c r="O3943">
        <v>0</v>
      </c>
      <c r="P3943" t="str">
        <f t="shared" si="61"/>
        <v>N</v>
      </c>
      <c r="Q3943" t="s">
        <v>9673</v>
      </c>
    </row>
    <row r="3944" spans="1:17" x14ac:dyDescent="0.25">
      <c r="A3944" t="s">
        <v>2308</v>
      </c>
      <c r="B3944" t="s">
        <v>1135</v>
      </c>
      <c r="C3944">
        <v>2027</v>
      </c>
      <c r="D3944" t="s">
        <v>649</v>
      </c>
      <c r="E3944" t="s">
        <v>846</v>
      </c>
      <c r="F3944" s="32">
        <v>46500</v>
      </c>
      <c r="G3944" t="s">
        <v>514</v>
      </c>
      <c r="H3944">
        <v>47128346</v>
      </c>
      <c r="I3944" t="s">
        <v>1157</v>
      </c>
      <c r="J3944" t="s">
        <v>1156</v>
      </c>
      <c r="K3944" t="s">
        <v>530</v>
      </c>
      <c r="N3944">
        <v>0</v>
      </c>
      <c r="O3944">
        <v>0</v>
      </c>
      <c r="P3944" t="str">
        <f t="shared" si="61"/>
        <v>N</v>
      </c>
      <c r="Q3944" t="s">
        <v>9674</v>
      </c>
    </row>
    <row r="3945" spans="1:17" x14ac:dyDescent="0.25">
      <c r="A3945" t="s">
        <v>2309</v>
      </c>
      <c r="B3945" t="s">
        <v>1135</v>
      </c>
      <c r="C3945">
        <v>2027</v>
      </c>
      <c r="D3945" t="s">
        <v>649</v>
      </c>
      <c r="E3945" t="s">
        <v>846</v>
      </c>
      <c r="F3945" s="32">
        <v>46500</v>
      </c>
      <c r="G3945" t="s">
        <v>514</v>
      </c>
      <c r="H3945">
        <v>47128518</v>
      </c>
      <c r="I3945" t="s">
        <v>1232</v>
      </c>
      <c r="J3945" t="s">
        <v>1231</v>
      </c>
      <c r="K3945" t="s">
        <v>530</v>
      </c>
      <c r="N3945">
        <v>0</v>
      </c>
      <c r="O3945">
        <v>0</v>
      </c>
      <c r="P3945" t="str">
        <f t="shared" si="61"/>
        <v>N</v>
      </c>
      <c r="Q3945" t="s">
        <v>9675</v>
      </c>
    </row>
    <row r="3946" spans="1:17" x14ac:dyDescent="0.25">
      <c r="A3946" t="s">
        <v>2310</v>
      </c>
      <c r="B3946" t="s">
        <v>1135</v>
      </c>
      <c r="C3946">
        <v>2027</v>
      </c>
      <c r="D3946" t="s">
        <v>649</v>
      </c>
      <c r="E3946" t="s">
        <v>846</v>
      </c>
      <c r="F3946" s="32">
        <v>46500</v>
      </c>
      <c r="G3946" t="s">
        <v>514</v>
      </c>
      <c r="H3946">
        <v>47128418</v>
      </c>
      <c r="I3946" t="s">
        <v>1082</v>
      </c>
      <c r="J3946" t="s">
        <v>1081</v>
      </c>
      <c r="K3946" t="s">
        <v>530</v>
      </c>
      <c r="N3946">
        <v>0</v>
      </c>
      <c r="O3946">
        <v>0</v>
      </c>
      <c r="P3946" t="str">
        <f t="shared" si="61"/>
        <v>N</v>
      </c>
      <c r="Q3946" t="s">
        <v>9676</v>
      </c>
    </row>
    <row r="3947" spans="1:17" x14ac:dyDescent="0.25">
      <c r="A3947" t="s">
        <v>2311</v>
      </c>
      <c r="B3947" t="s">
        <v>1135</v>
      </c>
      <c r="C3947">
        <v>2027</v>
      </c>
      <c r="D3947" t="s">
        <v>649</v>
      </c>
      <c r="E3947" t="s">
        <v>846</v>
      </c>
      <c r="F3947" s="32">
        <v>46500</v>
      </c>
      <c r="G3947" t="s">
        <v>514</v>
      </c>
      <c r="H3947">
        <v>47128968</v>
      </c>
      <c r="I3947" t="s">
        <v>947</v>
      </c>
      <c r="J3947" t="s">
        <v>946</v>
      </c>
      <c r="K3947" t="s">
        <v>530</v>
      </c>
      <c r="N3947">
        <v>0</v>
      </c>
      <c r="O3947">
        <v>0</v>
      </c>
      <c r="P3947" t="str">
        <f t="shared" si="61"/>
        <v>N</v>
      </c>
      <c r="Q3947" t="s">
        <v>9677</v>
      </c>
    </row>
    <row r="3948" spans="1:17" x14ac:dyDescent="0.25">
      <c r="A3948" t="s">
        <v>2312</v>
      </c>
      <c r="B3948" t="s">
        <v>1135</v>
      </c>
      <c r="C3948">
        <v>2027</v>
      </c>
      <c r="D3948" t="s">
        <v>649</v>
      </c>
      <c r="E3948" t="s">
        <v>846</v>
      </c>
      <c r="F3948" s="32">
        <v>46500</v>
      </c>
      <c r="G3948" t="s">
        <v>514</v>
      </c>
      <c r="H3948">
        <v>47147658</v>
      </c>
      <c r="I3948" t="s">
        <v>1276</v>
      </c>
      <c r="J3948" t="s">
        <v>1275</v>
      </c>
      <c r="K3948" t="s">
        <v>530</v>
      </c>
      <c r="N3948">
        <v>0</v>
      </c>
      <c r="O3948">
        <v>0</v>
      </c>
      <c r="P3948" t="str">
        <f t="shared" si="61"/>
        <v>N</v>
      </c>
      <c r="Q3948" t="s">
        <v>9678</v>
      </c>
    </row>
    <row r="3949" spans="1:17" x14ac:dyDescent="0.25">
      <c r="A3949" t="s">
        <v>2313</v>
      </c>
      <c r="B3949" t="s">
        <v>1135</v>
      </c>
      <c r="C3949">
        <v>2027</v>
      </c>
      <c r="D3949" t="s">
        <v>649</v>
      </c>
      <c r="E3949" t="s">
        <v>846</v>
      </c>
      <c r="F3949" s="32">
        <v>46500</v>
      </c>
      <c r="G3949" t="s">
        <v>514</v>
      </c>
      <c r="H3949">
        <v>47128781</v>
      </c>
      <c r="I3949" t="s">
        <v>1251</v>
      </c>
      <c r="J3949" t="s">
        <v>1250</v>
      </c>
      <c r="K3949" t="s">
        <v>530</v>
      </c>
      <c r="N3949">
        <v>40</v>
      </c>
      <c r="O3949">
        <v>40</v>
      </c>
      <c r="P3949" t="str">
        <f t="shared" si="61"/>
        <v>N</v>
      </c>
      <c r="Q3949" t="s">
        <v>9679</v>
      </c>
    </row>
    <row r="3950" spans="1:17" x14ac:dyDescent="0.25">
      <c r="A3950" t="s">
        <v>2776</v>
      </c>
      <c r="B3950" t="s">
        <v>2444</v>
      </c>
      <c r="C3950">
        <v>2027</v>
      </c>
      <c r="D3950" t="s">
        <v>649</v>
      </c>
      <c r="E3950" t="s">
        <v>846</v>
      </c>
      <c r="F3950" s="32">
        <v>46500</v>
      </c>
      <c r="G3950" t="s">
        <v>514</v>
      </c>
      <c r="H3950">
        <v>47128587</v>
      </c>
      <c r="I3950" t="s">
        <v>2489</v>
      </c>
      <c r="J3950" t="s">
        <v>2490</v>
      </c>
      <c r="K3950" t="s">
        <v>530</v>
      </c>
      <c r="N3950">
        <v>40</v>
      </c>
      <c r="O3950">
        <v>40</v>
      </c>
      <c r="P3950" t="str">
        <f t="shared" si="61"/>
        <v>N</v>
      </c>
      <c r="Q3950" t="s">
        <v>9680</v>
      </c>
    </row>
    <row r="3951" spans="1:17" x14ac:dyDescent="0.25">
      <c r="A3951" t="s">
        <v>2777</v>
      </c>
      <c r="B3951" t="s">
        <v>2444</v>
      </c>
      <c r="C3951">
        <v>2027</v>
      </c>
      <c r="D3951" t="s">
        <v>649</v>
      </c>
      <c r="E3951" t="s">
        <v>846</v>
      </c>
      <c r="F3951" s="32">
        <v>46500</v>
      </c>
      <c r="G3951" t="s">
        <v>514</v>
      </c>
      <c r="H3951">
        <v>47128247</v>
      </c>
      <c r="I3951" t="s">
        <v>2492</v>
      </c>
      <c r="J3951" t="s">
        <v>2493</v>
      </c>
      <c r="K3951" t="s">
        <v>530</v>
      </c>
      <c r="N3951">
        <v>0</v>
      </c>
      <c r="O3951">
        <v>0</v>
      </c>
      <c r="P3951" t="str">
        <f t="shared" si="61"/>
        <v>N</v>
      </c>
      <c r="Q3951" t="s">
        <v>9681</v>
      </c>
    </row>
    <row r="3952" spans="1:17" x14ac:dyDescent="0.25">
      <c r="A3952" t="s">
        <v>2778</v>
      </c>
      <c r="B3952" t="s">
        <v>2444</v>
      </c>
      <c r="C3952">
        <v>2027</v>
      </c>
      <c r="D3952" t="s">
        <v>649</v>
      </c>
      <c r="E3952" t="s">
        <v>846</v>
      </c>
      <c r="F3952" s="32">
        <v>46500</v>
      </c>
      <c r="G3952" t="s">
        <v>514</v>
      </c>
      <c r="H3952">
        <v>47128781</v>
      </c>
      <c r="I3952" t="s">
        <v>1251</v>
      </c>
      <c r="J3952" t="s">
        <v>1250</v>
      </c>
      <c r="K3952" t="s">
        <v>530</v>
      </c>
      <c r="N3952">
        <v>40</v>
      </c>
      <c r="O3952">
        <v>40</v>
      </c>
      <c r="P3952" t="str">
        <f t="shared" si="61"/>
        <v>N</v>
      </c>
      <c r="Q3952" t="s">
        <v>9682</v>
      </c>
    </row>
    <row r="3953" spans="1:17" x14ac:dyDescent="0.25">
      <c r="A3953" t="s">
        <v>3082</v>
      </c>
      <c r="B3953" t="s">
        <v>2783</v>
      </c>
      <c r="C3953">
        <v>2027</v>
      </c>
      <c r="D3953" t="s">
        <v>649</v>
      </c>
      <c r="E3953" t="s">
        <v>846</v>
      </c>
      <c r="F3953" s="32">
        <v>46500</v>
      </c>
      <c r="G3953" t="s">
        <v>514</v>
      </c>
      <c r="H3953">
        <v>47128587</v>
      </c>
      <c r="I3953" t="s">
        <v>2489</v>
      </c>
      <c r="J3953" t="s">
        <v>2490</v>
      </c>
      <c r="K3953" t="s">
        <v>530</v>
      </c>
      <c r="N3953">
        <v>40</v>
      </c>
      <c r="O3953">
        <v>40</v>
      </c>
      <c r="P3953" t="str">
        <f t="shared" si="61"/>
        <v>N</v>
      </c>
      <c r="Q3953" t="s">
        <v>9683</v>
      </c>
    </row>
    <row r="3954" spans="1:17" x14ac:dyDescent="0.25">
      <c r="A3954" t="s">
        <v>3083</v>
      </c>
      <c r="B3954" t="s">
        <v>2783</v>
      </c>
      <c r="C3954">
        <v>2027</v>
      </c>
      <c r="D3954" t="s">
        <v>649</v>
      </c>
      <c r="E3954" t="s">
        <v>846</v>
      </c>
      <c r="F3954" s="32">
        <v>46500</v>
      </c>
      <c r="G3954" t="s">
        <v>514</v>
      </c>
      <c r="H3954">
        <v>47128247</v>
      </c>
      <c r="I3954" t="s">
        <v>2492</v>
      </c>
      <c r="J3954" t="s">
        <v>2493</v>
      </c>
      <c r="K3954" t="s">
        <v>530</v>
      </c>
      <c r="N3954">
        <v>0</v>
      </c>
      <c r="O3954">
        <v>0</v>
      </c>
      <c r="P3954" t="str">
        <f t="shared" si="61"/>
        <v>N</v>
      </c>
      <c r="Q3954" t="s">
        <v>9684</v>
      </c>
    </row>
    <row r="3955" spans="1:17" x14ac:dyDescent="0.25">
      <c r="A3955" t="s">
        <v>3084</v>
      </c>
      <c r="B3955" t="s">
        <v>2783</v>
      </c>
      <c r="C3955">
        <v>2027</v>
      </c>
      <c r="D3955" t="s">
        <v>649</v>
      </c>
      <c r="E3955" t="s">
        <v>846</v>
      </c>
      <c r="F3955" s="32">
        <v>46500</v>
      </c>
      <c r="G3955" t="s">
        <v>514</v>
      </c>
      <c r="H3955">
        <v>47128781</v>
      </c>
      <c r="I3955" t="s">
        <v>1251</v>
      </c>
      <c r="J3955" t="s">
        <v>1250</v>
      </c>
      <c r="K3955" t="s">
        <v>530</v>
      </c>
      <c r="N3955">
        <v>40</v>
      </c>
      <c r="O3955">
        <v>40</v>
      </c>
      <c r="P3955" t="str">
        <f t="shared" si="61"/>
        <v>N</v>
      </c>
      <c r="Q3955" t="s">
        <v>9685</v>
      </c>
    </row>
    <row r="3956" spans="1:17" x14ac:dyDescent="0.25">
      <c r="A3956" t="s">
        <v>3723</v>
      </c>
      <c r="B3956" t="s">
        <v>1080</v>
      </c>
      <c r="C3956">
        <v>2027</v>
      </c>
      <c r="D3956" t="s">
        <v>649</v>
      </c>
      <c r="E3956" t="s">
        <v>846</v>
      </c>
      <c r="F3956" s="32">
        <v>46500</v>
      </c>
      <c r="G3956" t="s">
        <v>514</v>
      </c>
      <c r="H3956">
        <v>47128168</v>
      </c>
      <c r="I3956" t="s">
        <v>1100</v>
      </c>
      <c r="J3956" t="s">
        <v>1099</v>
      </c>
      <c r="K3956" t="s">
        <v>530</v>
      </c>
      <c r="N3956">
        <v>0</v>
      </c>
      <c r="O3956">
        <v>0</v>
      </c>
      <c r="P3956" t="str">
        <f t="shared" si="61"/>
        <v>N</v>
      </c>
      <c r="Q3956" t="s">
        <v>9686</v>
      </c>
    </row>
    <row r="3957" spans="1:17" x14ac:dyDescent="0.25">
      <c r="A3957" t="s">
        <v>3724</v>
      </c>
      <c r="B3957" t="s">
        <v>1080</v>
      </c>
      <c r="C3957">
        <v>2027</v>
      </c>
      <c r="D3957" t="s">
        <v>649</v>
      </c>
      <c r="E3957" t="s">
        <v>846</v>
      </c>
      <c r="F3957" s="32">
        <v>46500</v>
      </c>
      <c r="G3957" t="s">
        <v>514</v>
      </c>
      <c r="H3957">
        <v>47128906</v>
      </c>
      <c r="I3957" t="s">
        <v>1349</v>
      </c>
      <c r="J3957" t="s">
        <v>1348</v>
      </c>
      <c r="K3957" t="s">
        <v>530</v>
      </c>
      <c r="N3957">
        <v>0</v>
      </c>
      <c r="O3957">
        <v>0</v>
      </c>
      <c r="P3957" t="str">
        <f t="shared" si="61"/>
        <v>N</v>
      </c>
      <c r="Q3957" t="s">
        <v>9687</v>
      </c>
    </row>
    <row r="3958" spans="1:17" x14ac:dyDescent="0.25">
      <c r="A3958" t="s">
        <v>3725</v>
      </c>
      <c r="B3958" t="s">
        <v>1080</v>
      </c>
      <c r="C3958">
        <v>2027</v>
      </c>
      <c r="D3958" t="s">
        <v>649</v>
      </c>
      <c r="E3958" t="s">
        <v>846</v>
      </c>
      <c r="F3958" s="32">
        <v>46500</v>
      </c>
      <c r="G3958" t="s">
        <v>514</v>
      </c>
      <c r="H3958">
        <v>47128783</v>
      </c>
      <c r="I3958" t="s">
        <v>1280</v>
      </c>
      <c r="J3958" t="s">
        <v>1279</v>
      </c>
      <c r="K3958" t="s">
        <v>530</v>
      </c>
      <c r="N3958">
        <v>0</v>
      </c>
      <c r="O3958">
        <v>0</v>
      </c>
      <c r="P3958" t="str">
        <f t="shared" si="61"/>
        <v>N</v>
      </c>
      <c r="Q3958" t="s">
        <v>9688</v>
      </c>
    </row>
    <row r="3959" spans="1:17" x14ac:dyDescent="0.25">
      <c r="A3959" t="s">
        <v>3726</v>
      </c>
      <c r="B3959" t="s">
        <v>1080</v>
      </c>
      <c r="C3959">
        <v>2027</v>
      </c>
      <c r="D3959" t="s">
        <v>649</v>
      </c>
      <c r="E3959" t="s">
        <v>846</v>
      </c>
      <c r="F3959" s="32">
        <v>46500</v>
      </c>
      <c r="G3959" t="s">
        <v>514</v>
      </c>
      <c r="H3959">
        <v>47128944</v>
      </c>
      <c r="I3959" t="s">
        <v>1137</v>
      </c>
      <c r="J3959" t="s">
        <v>1136</v>
      </c>
      <c r="K3959" t="s">
        <v>530</v>
      </c>
      <c r="N3959">
        <v>0</v>
      </c>
      <c r="O3959">
        <v>0</v>
      </c>
      <c r="P3959" t="str">
        <f t="shared" si="61"/>
        <v>N</v>
      </c>
      <c r="Q3959" t="s">
        <v>9689</v>
      </c>
    </row>
    <row r="3960" spans="1:17" x14ac:dyDescent="0.25">
      <c r="A3960" t="s">
        <v>3727</v>
      </c>
      <c r="B3960" t="s">
        <v>1080</v>
      </c>
      <c r="C3960">
        <v>2027</v>
      </c>
      <c r="D3960" t="s">
        <v>649</v>
      </c>
      <c r="E3960" t="s">
        <v>846</v>
      </c>
      <c r="F3960" s="32">
        <v>46500</v>
      </c>
      <c r="G3960" t="s">
        <v>514</v>
      </c>
      <c r="H3960">
        <v>47128729</v>
      </c>
      <c r="I3960" t="s">
        <v>1149</v>
      </c>
      <c r="J3960" t="s">
        <v>1148</v>
      </c>
      <c r="K3960" t="s">
        <v>530</v>
      </c>
      <c r="N3960">
        <v>0</v>
      </c>
      <c r="O3960">
        <v>0</v>
      </c>
      <c r="P3960" t="str">
        <f t="shared" si="61"/>
        <v>N</v>
      </c>
      <c r="Q3960" t="s">
        <v>9690</v>
      </c>
    </row>
    <row r="3961" spans="1:17" x14ac:dyDescent="0.25">
      <c r="A3961" t="s">
        <v>3728</v>
      </c>
      <c r="B3961" t="s">
        <v>1080</v>
      </c>
      <c r="C3961">
        <v>2027</v>
      </c>
      <c r="D3961" t="s">
        <v>649</v>
      </c>
      <c r="E3961" t="s">
        <v>846</v>
      </c>
      <c r="F3961" s="32">
        <v>46500</v>
      </c>
      <c r="G3961" t="s">
        <v>514</v>
      </c>
      <c r="H3961">
        <v>47128585</v>
      </c>
      <c r="I3961" t="s">
        <v>1141</v>
      </c>
      <c r="J3961" t="s">
        <v>1140</v>
      </c>
      <c r="K3961" t="s">
        <v>530</v>
      </c>
      <c r="N3961">
        <v>0</v>
      </c>
      <c r="O3961">
        <v>0</v>
      </c>
      <c r="P3961" t="str">
        <f t="shared" si="61"/>
        <v>N</v>
      </c>
      <c r="Q3961" t="s">
        <v>9691</v>
      </c>
    </row>
    <row r="3962" spans="1:17" x14ac:dyDescent="0.25">
      <c r="A3962" t="s">
        <v>3729</v>
      </c>
      <c r="B3962" t="s">
        <v>1080</v>
      </c>
      <c r="C3962">
        <v>2027</v>
      </c>
      <c r="D3962" t="s">
        <v>649</v>
      </c>
      <c r="E3962" t="s">
        <v>846</v>
      </c>
      <c r="F3962" s="32">
        <v>46500</v>
      </c>
      <c r="G3962" t="s">
        <v>514</v>
      </c>
      <c r="H3962">
        <v>47128680</v>
      </c>
      <c r="I3962" t="s">
        <v>1284</v>
      </c>
      <c r="J3962" t="s">
        <v>1283</v>
      </c>
      <c r="K3962" t="s">
        <v>530</v>
      </c>
      <c r="N3962">
        <v>0</v>
      </c>
      <c r="O3962">
        <v>0</v>
      </c>
      <c r="P3962" t="str">
        <f t="shared" si="61"/>
        <v>N</v>
      </c>
      <c r="Q3962" t="s">
        <v>9692</v>
      </c>
    </row>
    <row r="3963" spans="1:17" x14ac:dyDescent="0.25">
      <c r="A3963" t="s">
        <v>3730</v>
      </c>
      <c r="B3963" t="s">
        <v>1080</v>
      </c>
      <c r="C3963">
        <v>2027</v>
      </c>
      <c r="D3963" t="s">
        <v>649</v>
      </c>
      <c r="E3963" t="s">
        <v>846</v>
      </c>
      <c r="F3963" s="32">
        <v>46500</v>
      </c>
      <c r="G3963" t="s">
        <v>514</v>
      </c>
      <c r="H3963">
        <v>47128585</v>
      </c>
      <c r="I3963" t="s">
        <v>1141</v>
      </c>
      <c r="J3963" t="s">
        <v>1408</v>
      </c>
      <c r="K3963" t="s">
        <v>530</v>
      </c>
      <c r="N3963">
        <v>0</v>
      </c>
      <c r="O3963">
        <v>0</v>
      </c>
      <c r="P3963" t="str">
        <f t="shared" si="61"/>
        <v>N</v>
      </c>
      <c r="Q3963" t="s">
        <v>9693</v>
      </c>
    </row>
    <row r="3964" spans="1:17" x14ac:dyDescent="0.25">
      <c r="A3964" t="s">
        <v>3731</v>
      </c>
      <c r="B3964" t="s">
        <v>1080</v>
      </c>
      <c r="C3964">
        <v>2027</v>
      </c>
      <c r="D3964" t="s">
        <v>649</v>
      </c>
      <c r="E3964" t="s">
        <v>846</v>
      </c>
      <c r="F3964" s="32">
        <v>46500</v>
      </c>
      <c r="G3964" t="s">
        <v>514</v>
      </c>
      <c r="H3964">
        <v>47128039</v>
      </c>
      <c r="I3964" t="s">
        <v>1405</v>
      </c>
      <c r="J3964" t="s">
        <v>1404</v>
      </c>
      <c r="K3964" t="s">
        <v>530</v>
      </c>
      <c r="N3964">
        <v>0</v>
      </c>
      <c r="O3964">
        <v>0</v>
      </c>
      <c r="P3964" t="str">
        <f t="shared" si="61"/>
        <v>N</v>
      </c>
      <c r="Q3964" t="s">
        <v>9694</v>
      </c>
    </row>
    <row r="3965" spans="1:17" x14ac:dyDescent="0.25">
      <c r="A3965" t="s">
        <v>3732</v>
      </c>
      <c r="B3965" t="s">
        <v>1080</v>
      </c>
      <c r="C3965">
        <v>2027</v>
      </c>
      <c r="D3965" t="s">
        <v>649</v>
      </c>
      <c r="E3965" t="s">
        <v>846</v>
      </c>
      <c r="F3965" s="32">
        <v>46500</v>
      </c>
      <c r="G3965" t="s">
        <v>514</v>
      </c>
      <c r="H3965">
        <v>47128024</v>
      </c>
      <c r="I3965" t="s">
        <v>1108</v>
      </c>
      <c r="J3965" t="s">
        <v>1107</v>
      </c>
      <c r="K3965" t="s">
        <v>530</v>
      </c>
      <c r="N3965">
        <v>0</v>
      </c>
      <c r="O3965">
        <v>0</v>
      </c>
      <c r="P3965" t="str">
        <f t="shared" si="61"/>
        <v>N</v>
      </c>
      <c r="Q3965" t="s">
        <v>9695</v>
      </c>
    </row>
    <row r="3966" spans="1:17" x14ac:dyDescent="0.25">
      <c r="A3966" t="s">
        <v>3733</v>
      </c>
      <c r="B3966" t="s">
        <v>1080</v>
      </c>
      <c r="C3966">
        <v>2027</v>
      </c>
      <c r="D3966" t="s">
        <v>649</v>
      </c>
      <c r="E3966" t="s">
        <v>846</v>
      </c>
      <c r="F3966" s="32">
        <v>46500</v>
      </c>
      <c r="G3966" t="s">
        <v>514</v>
      </c>
      <c r="H3966">
        <v>47128430</v>
      </c>
      <c r="I3966" t="s">
        <v>1401</v>
      </c>
      <c r="J3966" t="s">
        <v>1400</v>
      </c>
      <c r="K3966" t="s">
        <v>530</v>
      </c>
      <c r="N3966">
        <v>0</v>
      </c>
      <c r="O3966">
        <v>0</v>
      </c>
      <c r="P3966" t="str">
        <f t="shared" si="61"/>
        <v>N</v>
      </c>
      <c r="Q3966" t="s">
        <v>9696</v>
      </c>
    </row>
    <row r="3967" spans="1:17" x14ac:dyDescent="0.25">
      <c r="A3967" t="s">
        <v>3734</v>
      </c>
      <c r="B3967" t="s">
        <v>1080</v>
      </c>
      <c r="C3967">
        <v>2027</v>
      </c>
      <c r="D3967" t="s">
        <v>649</v>
      </c>
      <c r="E3967" t="s">
        <v>846</v>
      </c>
      <c r="F3967" s="32">
        <v>46500</v>
      </c>
      <c r="G3967" t="s">
        <v>514</v>
      </c>
      <c r="H3967">
        <v>47128555</v>
      </c>
      <c r="I3967" t="s">
        <v>1209</v>
      </c>
      <c r="J3967" t="s">
        <v>1208</v>
      </c>
      <c r="K3967" t="s">
        <v>530</v>
      </c>
      <c r="N3967">
        <v>0</v>
      </c>
      <c r="O3967">
        <v>0</v>
      </c>
      <c r="P3967" t="str">
        <f t="shared" si="61"/>
        <v>N</v>
      </c>
      <c r="Q3967" t="s">
        <v>9697</v>
      </c>
    </row>
    <row r="3968" spans="1:17" x14ac:dyDescent="0.25">
      <c r="A3968" t="s">
        <v>3735</v>
      </c>
      <c r="B3968" t="s">
        <v>1080</v>
      </c>
      <c r="C3968">
        <v>2027</v>
      </c>
      <c r="D3968" t="s">
        <v>649</v>
      </c>
      <c r="E3968" t="s">
        <v>846</v>
      </c>
      <c r="F3968" s="32">
        <v>46500</v>
      </c>
      <c r="G3968" t="s">
        <v>514</v>
      </c>
      <c r="H3968">
        <v>47128522</v>
      </c>
      <c r="I3968" t="s">
        <v>1092</v>
      </c>
      <c r="J3968" t="s">
        <v>1091</v>
      </c>
      <c r="K3968" t="s">
        <v>530</v>
      </c>
      <c r="N3968">
        <v>0</v>
      </c>
      <c r="O3968">
        <v>0</v>
      </c>
      <c r="P3968" t="str">
        <f t="shared" si="61"/>
        <v>N</v>
      </c>
      <c r="Q3968" t="s">
        <v>9698</v>
      </c>
    </row>
    <row r="3969" spans="1:17" x14ac:dyDescent="0.25">
      <c r="A3969" t="s">
        <v>3736</v>
      </c>
      <c r="B3969" t="s">
        <v>1080</v>
      </c>
      <c r="C3969">
        <v>2027</v>
      </c>
      <c r="D3969" t="s">
        <v>649</v>
      </c>
      <c r="E3969" t="s">
        <v>846</v>
      </c>
      <c r="F3969" s="32">
        <v>46500</v>
      </c>
      <c r="G3969" t="s">
        <v>514</v>
      </c>
      <c r="H3969">
        <v>47147546</v>
      </c>
      <c r="I3969" t="s">
        <v>1077</v>
      </c>
      <c r="J3969" t="s">
        <v>1076</v>
      </c>
      <c r="K3969" t="s">
        <v>530</v>
      </c>
      <c r="N3969">
        <v>0</v>
      </c>
      <c r="O3969">
        <v>0</v>
      </c>
      <c r="P3969" t="str">
        <f t="shared" si="61"/>
        <v>N</v>
      </c>
      <c r="Q3969" t="s">
        <v>9699</v>
      </c>
    </row>
    <row r="3970" spans="1:17" x14ac:dyDescent="0.25">
      <c r="A3970" t="s">
        <v>3737</v>
      </c>
      <c r="B3970" t="s">
        <v>1080</v>
      </c>
      <c r="C3970">
        <v>2027</v>
      </c>
      <c r="D3970" t="s">
        <v>649</v>
      </c>
      <c r="E3970" t="s">
        <v>846</v>
      </c>
      <c r="F3970" s="32">
        <v>46500</v>
      </c>
      <c r="G3970" t="s">
        <v>514</v>
      </c>
      <c r="H3970">
        <v>47128597</v>
      </c>
      <c r="I3970" t="s">
        <v>1510</v>
      </c>
      <c r="J3970" t="s">
        <v>1509</v>
      </c>
      <c r="K3970" t="s">
        <v>530</v>
      </c>
      <c r="N3970">
        <v>0</v>
      </c>
      <c r="O3970">
        <v>0</v>
      </c>
      <c r="P3970" t="str">
        <f t="shared" si="61"/>
        <v>N</v>
      </c>
      <c r="Q3970" t="s">
        <v>9700</v>
      </c>
    </row>
    <row r="3971" spans="1:17" x14ac:dyDescent="0.25">
      <c r="A3971" t="s">
        <v>3738</v>
      </c>
      <c r="B3971" t="s">
        <v>1080</v>
      </c>
      <c r="C3971">
        <v>2027</v>
      </c>
      <c r="D3971" t="s">
        <v>649</v>
      </c>
      <c r="E3971" t="s">
        <v>846</v>
      </c>
      <c r="F3971" s="32">
        <v>46500</v>
      </c>
      <c r="G3971" t="s">
        <v>514</v>
      </c>
      <c r="H3971">
        <v>47128257</v>
      </c>
      <c r="I3971" t="s">
        <v>979</v>
      </c>
      <c r="J3971" t="s">
        <v>978</v>
      </c>
      <c r="K3971" t="s">
        <v>530</v>
      </c>
      <c r="N3971">
        <v>0</v>
      </c>
      <c r="O3971">
        <v>0</v>
      </c>
      <c r="P3971" t="str">
        <f t="shared" ref="P3971:P4034" si="62">IF(N3971=O3971,"N","Y")</f>
        <v>N</v>
      </c>
      <c r="Q3971" t="s">
        <v>9701</v>
      </c>
    </row>
    <row r="3972" spans="1:17" x14ac:dyDescent="0.25">
      <c r="A3972" t="s">
        <v>3739</v>
      </c>
      <c r="B3972" t="s">
        <v>1080</v>
      </c>
      <c r="C3972">
        <v>2027</v>
      </c>
      <c r="D3972" t="s">
        <v>649</v>
      </c>
      <c r="E3972" t="s">
        <v>846</v>
      </c>
      <c r="F3972" s="32">
        <v>46500</v>
      </c>
      <c r="G3972" t="s">
        <v>514</v>
      </c>
      <c r="H3972">
        <v>47128880</v>
      </c>
      <c r="I3972" t="s">
        <v>1014</v>
      </c>
      <c r="J3972" t="s">
        <v>1013</v>
      </c>
      <c r="K3972" t="s">
        <v>530</v>
      </c>
      <c r="N3972">
        <v>0</v>
      </c>
      <c r="O3972">
        <v>0</v>
      </c>
      <c r="P3972" t="str">
        <f t="shared" si="62"/>
        <v>N</v>
      </c>
      <c r="Q3972" t="s">
        <v>9702</v>
      </c>
    </row>
    <row r="3973" spans="1:17" x14ac:dyDescent="0.25">
      <c r="A3973" t="s">
        <v>3740</v>
      </c>
      <c r="B3973" t="s">
        <v>1080</v>
      </c>
      <c r="C3973">
        <v>2027</v>
      </c>
      <c r="D3973" t="s">
        <v>649</v>
      </c>
      <c r="E3973" t="s">
        <v>846</v>
      </c>
      <c r="F3973" s="32">
        <v>46500</v>
      </c>
      <c r="G3973" t="s">
        <v>514</v>
      </c>
      <c r="H3973">
        <v>47128879</v>
      </c>
      <c r="I3973" t="s">
        <v>1132</v>
      </c>
      <c r="J3973" t="s">
        <v>1131</v>
      </c>
      <c r="K3973" t="s">
        <v>530</v>
      </c>
      <c r="N3973">
        <v>0</v>
      </c>
      <c r="O3973">
        <v>0</v>
      </c>
      <c r="P3973" t="str">
        <f t="shared" si="62"/>
        <v>N</v>
      </c>
      <c r="Q3973" t="s">
        <v>9703</v>
      </c>
    </row>
    <row r="3974" spans="1:17" x14ac:dyDescent="0.25">
      <c r="A3974" t="s">
        <v>3741</v>
      </c>
      <c r="B3974" t="s">
        <v>1080</v>
      </c>
      <c r="C3974">
        <v>2027</v>
      </c>
      <c r="D3974" t="s">
        <v>649</v>
      </c>
      <c r="E3974" t="s">
        <v>846</v>
      </c>
      <c r="F3974" s="32">
        <v>46500</v>
      </c>
      <c r="G3974" t="s">
        <v>514</v>
      </c>
      <c r="H3974">
        <v>47128413</v>
      </c>
      <c r="I3974" t="s">
        <v>1397</v>
      </c>
      <c r="J3974" t="s">
        <v>1396</v>
      </c>
      <c r="K3974" t="s">
        <v>530</v>
      </c>
      <c r="N3974">
        <v>0</v>
      </c>
      <c r="O3974">
        <v>0</v>
      </c>
      <c r="P3974" t="str">
        <f t="shared" si="62"/>
        <v>N</v>
      </c>
      <c r="Q3974" t="s">
        <v>9704</v>
      </c>
    </row>
    <row r="3975" spans="1:17" x14ac:dyDescent="0.25">
      <c r="A3975" t="s">
        <v>3742</v>
      </c>
      <c r="B3975" t="s">
        <v>1080</v>
      </c>
      <c r="C3975">
        <v>2027</v>
      </c>
      <c r="D3975" t="s">
        <v>649</v>
      </c>
      <c r="E3975" t="s">
        <v>846</v>
      </c>
      <c r="F3975" s="32">
        <v>46500</v>
      </c>
      <c r="G3975" t="s">
        <v>514</v>
      </c>
      <c r="H3975">
        <v>47146464</v>
      </c>
      <c r="I3975" t="s">
        <v>1438</v>
      </c>
      <c r="J3975" t="s">
        <v>1437</v>
      </c>
      <c r="K3975" t="s">
        <v>530</v>
      </c>
      <c r="N3975">
        <v>0</v>
      </c>
      <c r="O3975">
        <v>0</v>
      </c>
      <c r="P3975" t="str">
        <f t="shared" si="62"/>
        <v>N</v>
      </c>
      <c r="Q3975" t="s">
        <v>9705</v>
      </c>
    </row>
    <row r="3976" spans="1:17" x14ac:dyDescent="0.25">
      <c r="A3976" t="s">
        <v>3743</v>
      </c>
      <c r="B3976" t="s">
        <v>1080</v>
      </c>
      <c r="C3976">
        <v>2027</v>
      </c>
      <c r="D3976" t="s">
        <v>649</v>
      </c>
      <c r="E3976" t="s">
        <v>846</v>
      </c>
      <c r="F3976" s="32">
        <v>46500</v>
      </c>
      <c r="G3976" t="s">
        <v>514</v>
      </c>
      <c r="H3976">
        <v>47147546</v>
      </c>
      <c r="I3976" t="s">
        <v>1077</v>
      </c>
      <c r="J3976" t="s">
        <v>1381</v>
      </c>
      <c r="K3976" t="s">
        <v>530</v>
      </c>
      <c r="N3976">
        <v>0</v>
      </c>
      <c r="O3976">
        <v>0</v>
      </c>
      <c r="P3976" t="str">
        <f t="shared" si="62"/>
        <v>N</v>
      </c>
      <c r="Q3976" t="s">
        <v>9706</v>
      </c>
    </row>
    <row r="3977" spans="1:17" x14ac:dyDescent="0.25">
      <c r="A3977" t="s">
        <v>3744</v>
      </c>
      <c r="B3977" t="s">
        <v>1080</v>
      </c>
      <c r="C3977">
        <v>2027</v>
      </c>
      <c r="D3977" t="s">
        <v>649</v>
      </c>
      <c r="E3977" t="s">
        <v>846</v>
      </c>
      <c r="F3977" s="32">
        <v>46500</v>
      </c>
      <c r="G3977" t="s">
        <v>514</v>
      </c>
      <c r="H3977">
        <v>47128800</v>
      </c>
      <c r="I3977" t="s">
        <v>1145</v>
      </c>
      <c r="J3977" t="s">
        <v>1144</v>
      </c>
      <c r="K3977" t="s">
        <v>530</v>
      </c>
      <c r="N3977">
        <v>0</v>
      </c>
      <c r="O3977">
        <v>0</v>
      </c>
      <c r="P3977" t="str">
        <f t="shared" si="62"/>
        <v>N</v>
      </c>
      <c r="Q3977" t="s">
        <v>9707</v>
      </c>
    </row>
    <row r="3978" spans="1:17" x14ac:dyDescent="0.25">
      <c r="A3978" t="s">
        <v>3745</v>
      </c>
      <c r="B3978" t="s">
        <v>1080</v>
      </c>
      <c r="C3978">
        <v>2027</v>
      </c>
      <c r="D3978" t="s">
        <v>649</v>
      </c>
      <c r="E3978" t="s">
        <v>846</v>
      </c>
      <c r="F3978" s="32">
        <v>46500</v>
      </c>
      <c r="G3978" t="s">
        <v>514</v>
      </c>
      <c r="H3978">
        <v>47128109</v>
      </c>
      <c r="I3978" t="s">
        <v>1336</v>
      </c>
      <c r="J3978" t="s">
        <v>1335</v>
      </c>
      <c r="K3978" t="s">
        <v>530</v>
      </c>
      <c r="N3978">
        <v>0</v>
      </c>
      <c r="O3978">
        <v>0</v>
      </c>
      <c r="P3978" t="str">
        <f t="shared" si="62"/>
        <v>N</v>
      </c>
      <c r="Q3978" t="s">
        <v>9708</v>
      </c>
    </row>
    <row r="3979" spans="1:17" x14ac:dyDescent="0.25">
      <c r="A3979" t="s">
        <v>3746</v>
      </c>
      <c r="B3979" t="s">
        <v>1080</v>
      </c>
      <c r="C3979">
        <v>2027</v>
      </c>
      <c r="D3979" t="s">
        <v>649</v>
      </c>
      <c r="E3979" t="s">
        <v>846</v>
      </c>
      <c r="F3979" s="32">
        <v>46500</v>
      </c>
      <c r="G3979" t="s">
        <v>514</v>
      </c>
      <c r="H3979">
        <v>47128346</v>
      </c>
      <c r="I3979" t="s">
        <v>1157</v>
      </c>
      <c r="J3979" t="s">
        <v>1156</v>
      </c>
      <c r="K3979" t="s">
        <v>530</v>
      </c>
      <c r="N3979">
        <v>0</v>
      </c>
      <c r="O3979">
        <v>0</v>
      </c>
      <c r="P3979" t="str">
        <f t="shared" si="62"/>
        <v>N</v>
      </c>
      <c r="Q3979" t="s">
        <v>9709</v>
      </c>
    </row>
    <row r="3980" spans="1:17" x14ac:dyDescent="0.25">
      <c r="A3980" t="s">
        <v>3747</v>
      </c>
      <c r="B3980" t="s">
        <v>1080</v>
      </c>
      <c r="C3980">
        <v>2027</v>
      </c>
      <c r="D3980" t="s">
        <v>649</v>
      </c>
      <c r="E3980" t="s">
        <v>846</v>
      </c>
      <c r="F3980" s="32">
        <v>46500</v>
      </c>
      <c r="G3980" t="s">
        <v>514</v>
      </c>
      <c r="H3980">
        <v>47128518</v>
      </c>
      <c r="I3980" t="s">
        <v>1232</v>
      </c>
      <c r="J3980" t="s">
        <v>1231</v>
      </c>
      <c r="K3980" t="s">
        <v>530</v>
      </c>
      <c r="N3980">
        <v>0</v>
      </c>
      <c r="O3980">
        <v>0</v>
      </c>
      <c r="P3980" t="str">
        <f t="shared" si="62"/>
        <v>N</v>
      </c>
      <c r="Q3980" t="s">
        <v>9710</v>
      </c>
    </row>
    <row r="3981" spans="1:17" x14ac:dyDescent="0.25">
      <c r="A3981" t="s">
        <v>3748</v>
      </c>
      <c r="B3981" t="s">
        <v>1080</v>
      </c>
      <c r="C3981">
        <v>2027</v>
      </c>
      <c r="D3981" t="s">
        <v>649</v>
      </c>
      <c r="E3981" t="s">
        <v>846</v>
      </c>
      <c r="F3981" s="32">
        <v>46500</v>
      </c>
      <c r="G3981" t="s">
        <v>514</v>
      </c>
      <c r="H3981">
        <v>47128418</v>
      </c>
      <c r="I3981" t="s">
        <v>1082</v>
      </c>
      <c r="J3981" t="s">
        <v>1081</v>
      </c>
      <c r="K3981" t="s">
        <v>530</v>
      </c>
      <c r="N3981">
        <v>0</v>
      </c>
      <c r="O3981">
        <v>0</v>
      </c>
      <c r="P3981" t="str">
        <f t="shared" si="62"/>
        <v>N</v>
      </c>
      <c r="Q3981" t="s">
        <v>9711</v>
      </c>
    </row>
    <row r="3982" spans="1:17" x14ac:dyDescent="0.25">
      <c r="A3982" t="s">
        <v>3749</v>
      </c>
      <c r="B3982" t="s">
        <v>1080</v>
      </c>
      <c r="C3982">
        <v>2027</v>
      </c>
      <c r="D3982" t="s">
        <v>649</v>
      </c>
      <c r="E3982" t="s">
        <v>846</v>
      </c>
      <c r="F3982" s="32">
        <v>46500</v>
      </c>
      <c r="G3982" t="s">
        <v>514</v>
      </c>
      <c r="H3982">
        <v>47128968</v>
      </c>
      <c r="I3982" t="s">
        <v>947</v>
      </c>
      <c r="J3982" t="s">
        <v>946</v>
      </c>
      <c r="K3982" t="s">
        <v>530</v>
      </c>
      <c r="N3982">
        <v>0</v>
      </c>
      <c r="O3982">
        <v>0</v>
      </c>
      <c r="P3982" t="str">
        <f t="shared" si="62"/>
        <v>N</v>
      </c>
      <c r="Q3982" t="s">
        <v>9712</v>
      </c>
    </row>
    <row r="3983" spans="1:17" x14ac:dyDescent="0.25">
      <c r="A3983" t="s">
        <v>3750</v>
      </c>
      <c r="B3983" t="s">
        <v>1080</v>
      </c>
      <c r="C3983">
        <v>2027</v>
      </c>
      <c r="D3983" t="s">
        <v>649</v>
      </c>
      <c r="E3983" t="s">
        <v>846</v>
      </c>
      <c r="F3983" s="32">
        <v>46500</v>
      </c>
      <c r="G3983" t="s">
        <v>514</v>
      </c>
      <c r="H3983">
        <v>47147658</v>
      </c>
      <c r="I3983" t="s">
        <v>1276</v>
      </c>
      <c r="J3983" t="s">
        <v>1275</v>
      </c>
      <c r="K3983" t="s">
        <v>530</v>
      </c>
      <c r="N3983">
        <v>0</v>
      </c>
      <c r="O3983">
        <v>0</v>
      </c>
      <c r="P3983" t="str">
        <f t="shared" si="62"/>
        <v>N</v>
      </c>
      <c r="Q3983" t="s">
        <v>9713</v>
      </c>
    </row>
    <row r="3984" spans="1:17" x14ac:dyDescent="0.25">
      <c r="A3984" t="s">
        <v>3751</v>
      </c>
      <c r="B3984" t="s">
        <v>1080</v>
      </c>
      <c r="C3984">
        <v>2027</v>
      </c>
      <c r="D3984" t="s">
        <v>649</v>
      </c>
      <c r="E3984" t="s">
        <v>846</v>
      </c>
      <c r="F3984" s="32">
        <v>46500</v>
      </c>
      <c r="G3984" t="s">
        <v>514</v>
      </c>
      <c r="H3984">
        <v>47128781</v>
      </c>
      <c r="I3984" t="s">
        <v>1251</v>
      </c>
      <c r="J3984" t="s">
        <v>1250</v>
      </c>
      <c r="K3984" t="s">
        <v>530</v>
      </c>
      <c r="N3984">
        <v>40</v>
      </c>
      <c r="O3984">
        <v>40</v>
      </c>
      <c r="P3984" t="str">
        <f t="shared" si="62"/>
        <v>N</v>
      </c>
      <c r="Q3984" t="s">
        <v>9714</v>
      </c>
    </row>
    <row r="3985" spans="1:17" x14ac:dyDescent="0.25">
      <c r="A3985" t="s">
        <v>3933</v>
      </c>
      <c r="B3985" t="s">
        <v>1043</v>
      </c>
      <c r="C3985">
        <v>2027</v>
      </c>
      <c r="D3985" t="s">
        <v>649</v>
      </c>
      <c r="E3985" t="s">
        <v>846</v>
      </c>
      <c r="F3985" s="32">
        <v>46500</v>
      </c>
      <c r="G3985" t="s">
        <v>514</v>
      </c>
      <c r="H3985">
        <v>47128781</v>
      </c>
      <c r="I3985" t="s">
        <v>1251</v>
      </c>
      <c r="J3985" t="s">
        <v>1250</v>
      </c>
      <c r="K3985" t="s">
        <v>530</v>
      </c>
      <c r="N3985">
        <v>0</v>
      </c>
      <c r="O3985">
        <v>0</v>
      </c>
      <c r="P3985" t="str">
        <f t="shared" si="62"/>
        <v>N</v>
      </c>
      <c r="Q3985" t="s">
        <v>9715</v>
      </c>
    </row>
    <row r="3986" spans="1:17" x14ac:dyDescent="0.25">
      <c r="A3986" t="s">
        <v>3934</v>
      </c>
      <c r="B3986" t="s">
        <v>1043</v>
      </c>
      <c r="C3986">
        <v>2027</v>
      </c>
      <c r="D3986" t="s">
        <v>649</v>
      </c>
      <c r="E3986" t="s">
        <v>846</v>
      </c>
      <c r="F3986" s="32">
        <v>46500</v>
      </c>
      <c r="G3986" t="s">
        <v>514</v>
      </c>
      <c r="H3986">
        <v>47128046</v>
      </c>
      <c r="I3986" t="s">
        <v>1389</v>
      </c>
      <c r="J3986" t="s">
        <v>1388</v>
      </c>
      <c r="K3986" t="s">
        <v>530</v>
      </c>
      <c r="N3986">
        <v>0</v>
      </c>
      <c r="O3986">
        <v>0</v>
      </c>
      <c r="P3986" t="str">
        <f t="shared" si="62"/>
        <v>N</v>
      </c>
      <c r="Q3986" t="s">
        <v>9716</v>
      </c>
    </row>
    <row r="3987" spans="1:17" x14ac:dyDescent="0.25">
      <c r="A3987" t="s">
        <v>4119</v>
      </c>
      <c r="B3987" t="s">
        <v>1489</v>
      </c>
      <c r="C3987">
        <v>2027</v>
      </c>
      <c r="D3987" t="s">
        <v>649</v>
      </c>
      <c r="E3987" t="s">
        <v>846</v>
      </c>
      <c r="F3987" s="32">
        <v>46500</v>
      </c>
      <c r="G3987" t="s">
        <v>514</v>
      </c>
      <c r="H3987">
        <v>47128781</v>
      </c>
      <c r="I3987" t="s">
        <v>1251</v>
      </c>
      <c r="J3987" t="s">
        <v>1250</v>
      </c>
      <c r="K3987" t="s">
        <v>530</v>
      </c>
      <c r="N3987">
        <v>0</v>
      </c>
      <c r="O3987">
        <v>0</v>
      </c>
      <c r="P3987" t="str">
        <f t="shared" si="62"/>
        <v>N</v>
      </c>
      <c r="Q3987" t="s">
        <v>9717</v>
      </c>
    </row>
    <row r="3988" spans="1:17" x14ac:dyDescent="0.25">
      <c r="A3988" t="s">
        <v>4120</v>
      </c>
      <c r="B3988" t="s">
        <v>1489</v>
      </c>
      <c r="C3988">
        <v>2027</v>
      </c>
      <c r="D3988" t="s">
        <v>649</v>
      </c>
      <c r="E3988" t="s">
        <v>846</v>
      </c>
      <c r="F3988" s="32">
        <v>46500</v>
      </c>
      <c r="G3988" t="s">
        <v>514</v>
      </c>
      <c r="H3988">
        <v>47128336</v>
      </c>
      <c r="I3988" t="s">
        <v>1161</v>
      </c>
      <c r="J3988" t="s">
        <v>1160</v>
      </c>
      <c r="K3988" t="s">
        <v>530</v>
      </c>
      <c r="N3988">
        <v>20</v>
      </c>
      <c r="O3988">
        <v>20</v>
      </c>
      <c r="P3988" t="str">
        <f t="shared" si="62"/>
        <v>N</v>
      </c>
      <c r="Q3988" t="s">
        <v>9718</v>
      </c>
    </row>
    <row r="3989" spans="1:17" x14ac:dyDescent="0.25">
      <c r="A3989" t="s">
        <v>4421</v>
      </c>
      <c r="B3989" t="s">
        <v>916</v>
      </c>
      <c r="C3989">
        <v>2027</v>
      </c>
      <c r="D3989" t="s">
        <v>649</v>
      </c>
      <c r="E3989" t="s">
        <v>846</v>
      </c>
      <c r="F3989" s="32">
        <v>46500</v>
      </c>
      <c r="G3989" t="s">
        <v>514</v>
      </c>
      <c r="H3989">
        <v>47128781</v>
      </c>
      <c r="I3989" t="s">
        <v>1251</v>
      </c>
      <c r="J3989" t="s">
        <v>1250</v>
      </c>
      <c r="K3989" t="s">
        <v>530</v>
      </c>
      <c r="N3989">
        <v>40</v>
      </c>
      <c r="O3989">
        <v>40</v>
      </c>
      <c r="P3989" t="str">
        <f t="shared" si="62"/>
        <v>N</v>
      </c>
      <c r="Q3989" t="s">
        <v>9719</v>
      </c>
    </row>
    <row r="3990" spans="1:17" x14ac:dyDescent="0.25">
      <c r="A3990" t="s">
        <v>4422</v>
      </c>
      <c r="B3990" t="s">
        <v>916</v>
      </c>
      <c r="C3990">
        <v>2027</v>
      </c>
      <c r="D3990" t="s">
        <v>649</v>
      </c>
      <c r="E3990" t="s">
        <v>846</v>
      </c>
      <c r="F3990" s="32">
        <v>46500</v>
      </c>
      <c r="G3990" t="s">
        <v>514</v>
      </c>
      <c r="H3990">
        <v>47128046</v>
      </c>
      <c r="I3990" t="s">
        <v>1389</v>
      </c>
      <c r="J3990" t="s">
        <v>1388</v>
      </c>
      <c r="K3990" t="s">
        <v>530</v>
      </c>
      <c r="N3990">
        <v>0</v>
      </c>
      <c r="O3990">
        <v>0</v>
      </c>
      <c r="P3990" t="str">
        <f t="shared" si="62"/>
        <v>N</v>
      </c>
      <c r="Q3990" t="s">
        <v>9720</v>
      </c>
    </row>
    <row r="3991" spans="1:17" x14ac:dyDescent="0.25">
      <c r="A3991" t="s">
        <v>4423</v>
      </c>
      <c r="B3991" t="s">
        <v>916</v>
      </c>
      <c r="C3991">
        <v>2027</v>
      </c>
      <c r="D3991" t="s">
        <v>649</v>
      </c>
      <c r="E3991" t="s">
        <v>846</v>
      </c>
      <c r="F3991" s="32">
        <v>46500</v>
      </c>
      <c r="G3991" t="s">
        <v>514</v>
      </c>
      <c r="H3991">
        <v>47134379</v>
      </c>
      <c r="I3991" t="s">
        <v>1037</v>
      </c>
      <c r="J3991" t="s">
        <v>1417</v>
      </c>
      <c r="K3991" t="s">
        <v>530</v>
      </c>
      <c r="N3991">
        <v>112.4</v>
      </c>
      <c r="O3991">
        <v>112.4</v>
      </c>
      <c r="P3991" t="str">
        <f t="shared" si="62"/>
        <v>N</v>
      </c>
      <c r="Q3991" t="s">
        <v>9721</v>
      </c>
    </row>
    <row r="3992" spans="1:17" x14ac:dyDescent="0.25">
      <c r="A3992" t="s">
        <v>4762</v>
      </c>
      <c r="B3992" t="s">
        <v>1044</v>
      </c>
      <c r="C3992">
        <v>2027</v>
      </c>
      <c r="D3992" t="s">
        <v>649</v>
      </c>
      <c r="E3992" t="s">
        <v>846</v>
      </c>
      <c r="F3992" s="32">
        <v>46500</v>
      </c>
      <c r="G3992" t="s">
        <v>514</v>
      </c>
      <c r="H3992">
        <v>47133720</v>
      </c>
      <c r="I3992" t="s">
        <v>1217</v>
      </c>
      <c r="J3992" t="s">
        <v>1216</v>
      </c>
      <c r="K3992" t="s">
        <v>530</v>
      </c>
      <c r="N3992">
        <v>0</v>
      </c>
      <c r="O3992">
        <v>0</v>
      </c>
      <c r="P3992" t="str">
        <f t="shared" si="62"/>
        <v>N</v>
      </c>
      <c r="Q3992" t="s">
        <v>9722</v>
      </c>
    </row>
    <row r="3993" spans="1:17" x14ac:dyDescent="0.25">
      <c r="A3993" t="s">
        <v>4763</v>
      </c>
      <c r="B3993" t="s">
        <v>1044</v>
      </c>
      <c r="C3993">
        <v>2027</v>
      </c>
      <c r="D3993" t="s">
        <v>649</v>
      </c>
      <c r="E3993" t="s">
        <v>846</v>
      </c>
      <c r="F3993" s="32">
        <v>46500</v>
      </c>
      <c r="G3993" t="s">
        <v>514</v>
      </c>
      <c r="H3993">
        <v>47128781</v>
      </c>
      <c r="I3993" t="s">
        <v>1251</v>
      </c>
      <c r="J3993" t="s">
        <v>1250</v>
      </c>
      <c r="K3993" t="s">
        <v>530</v>
      </c>
      <c r="N3993">
        <v>0</v>
      </c>
      <c r="O3993">
        <v>0</v>
      </c>
      <c r="P3993" t="str">
        <f t="shared" si="62"/>
        <v>N</v>
      </c>
      <c r="Q3993" t="s">
        <v>9723</v>
      </c>
    </row>
    <row r="3994" spans="1:17" x14ac:dyDescent="0.25">
      <c r="A3994" t="s">
        <v>4764</v>
      </c>
      <c r="B3994" t="s">
        <v>1044</v>
      </c>
      <c r="C3994">
        <v>2027</v>
      </c>
      <c r="D3994" t="s">
        <v>649</v>
      </c>
      <c r="E3994" t="s">
        <v>846</v>
      </c>
      <c r="F3994" s="32">
        <v>46500</v>
      </c>
      <c r="G3994" t="s">
        <v>514</v>
      </c>
      <c r="H3994">
        <v>47128481</v>
      </c>
      <c r="I3994" t="s">
        <v>1379</v>
      </c>
      <c r="J3994" t="s">
        <v>1378</v>
      </c>
      <c r="K3994" t="s">
        <v>530</v>
      </c>
      <c r="N3994">
        <v>0</v>
      </c>
      <c r="O3994">
        <v>0</v>
      </c>
      <c r="P3994" t="str">
        <f t="shared" si="62"/>
        <v>N</v>
      </c>
      <c r="Q3994" t="s">
        <v>9724</v>
      </c>
    </row>
    <row r="3995" spans="1:17" x14ac:dyDescent="0.25">
      <c r="A3995" t="s">
        <v>4765</v>
      </c>
      <c r="B3995" t="s">
        <v>1044</v>
      </c>
      <c r="C3995">
        <v>2027</v>
      </c>
      <c r="D3995" t="s">
        <v>649</v>
      </c>
      <c r="E3995" t="s">
        <v>846</v>
      </c>
      <c r="F3995" s="32">
        <v>46500</v>
      </c>
      <c r="G3995" t="s">
        <v>514</v>
      </c>
      <c r="H3995">
        <v>47128336</v>
      </c>
      <c r="I3995" t="s">
        <v>1161</v>
      </c>
      <c r="J3995" t="s">
        <v>1160</v>
      </c>
      <c r="K3995" t="s">
        <v>530</v>
      </c>
      <c r="N3995">
        <v>20</v>
      </c>
      <c r="O3995">
        <v>20</v>
      </c>
      <c r="P3995" t="str">
        <f t="shared" si="62"/>
        <v>N</v>
      </c>
      <c r="Q3995" t="s">
        <v>9725</v>
      </c>
    </row>
    <row r="3996" spans="1:17" x14ac:dyDescent="0.25">
      <c r="A3996" t="s">
        <v>4766</v>
      </c>
      <c r="B3996" t="s">
        <v>1044</v>
      </c>
      <c r="C3996">
        <v>2027</v>
      </c>
      <c r="D3996" t="s">
        <v>649</v>
      </c>
      <c r="E3996" t="s">
        <v>846</v>
      </c>
      <c r="F3996" s="32">
        <v>46500</v>
      </c>
      <c r="G3996" t="s">
        <v>514</v>
      </c>
      <c r="H3996">
        <v>47128169</v>
      </c>
      <c r="I3996" t="s">
        <v>1205</v>
      </c>
      <c r="J3996" t="s">
        <v>1204</v>
      </c>
      <c r="K3996" t="s">
        <v>530</v>
      </c>
      <c r="N3996">
        <v>0</v>
      </c>
      <c r="O3996">
        <v>0</v>
      </c>
      <c r="P3996" t="str">
        <f t="shared" si="62"/>
        <v>N</v>
      </c>
      <c r="Q3996" t="s">
        <v>9726</v>
      </c>
    </row>
    <row r="3997" spans="1:17" x14ac:dyDescent="0.25">
      <c r="A3997" t="s">
        <v>4767</v>
      </c>
      <c r="B3997" t="s">
        <v>1044</v>
      </c>
      <c r="C3997">
        <v>2027</v>
      </c>
      <c r="D3997" t="s">
        <v>649</v>
      </c>
      <c r="E3997" t="s">
        <v>846</v>
      </c>
      <c r="F3997" s="32">
        <v>46500</v>
      </c>
      <c r="G3997" t="s">
        <v>514</v>
      </c>
      <c r="H3997">
        <v>47136340</v>
      </c>
      <c r="I3997" t="s">
        <v>1213</v>
      </c>
      <c r="J3997" t="s">
        <v>1212</v>
      </c>
      <c r="K3997" t="s">
        <v>530</v>
      </c>
      <c r="N3997">
        <v>20</v>
      </c>
      <c r="O3997">
        <v>20</v>
      </c>
      <c r="P3997" t="str">
        <f t="shared" si="62"/>
        <v>N</v>
      </c>
      <c r="Q3997" t="s">
        <v>9727</v>
      </c>
    </row>
    <row r="3998" spans="1:17" x14ac:dyDescent="0.25">
      <c r="A3998" t="s">
        <v>4768</v>
      </c>
      <c r="B3998" t="s">
        <v>1044</v>
      </c>
      <c r="C3998">
        <v>2027</v>
      </c>
      <c r="D3998" t="s">
        <v>649</v>
      </c>
      <c r="E3998" t="s">
        <v>846</v>
      </c>
      <c r="F3998" s="32">
        <v>46500</v>
      </c>
      <c r="G3998" t="s">
        <v>514</v>
      </c>
      <c r="H3998">
        <v>47128022</v>
      </c>
      <c r="I3998" t="s">
        <v>1104</v>
      </c>
      <c r="J3998" t="s">
        <v>1103</v>
      </c>
      <c r="K3998" t="s">
        <v>530</v>
      </c>
      <c r="N3998">
        <v>30</v>
      </c>
      <c r="O3998">
        <v>30</v>
      </c>
      <c r="P3998" t="str">
        <f t="shared" si="62"/>
        <v>N</v>
      </c>
      <c r="Q3998" t="s">
        <v>9728</v>
      </c>
    </row>
    <row r="3999" spans="1:17" x14ac:dyDescent="0.25">
      <c r="A3999" t="s">
        <v>4769</v>
      </c>
      <c r="B3999" t="s">
        <v>1044</v>
      </c>
      <c r="C3999">
        <v>2027</v>
      </c>
      <c r="D3999" t="s">
        <v>649</v>
      </c>
      <c r="E3999" t="s">
        <v>846</v>
      </c>
      <c r="F3999" s="32">
        <v>46500</v>
      </c>
      <c r="G3999" t="s">
        <v>514</v>
      </c>
      <c r="H3999">
        <v>47127948</v>
      </c>
      <c r="I3999" t="s">
        <v>1247</v>
      </c>
      <c r="J3999" t="s">
        <v>1246</v>
      </c>
      <c r="K3999" t="s">
        <v>530</v>
      </c>
      <c r="N3999">
        <v>0</v>
      </c>
      <c r="O3999">
        <v>0</v>
      </c>
      <c r="P3999" t="str">
        <f t="shared" si="62"/>
        <v>N</v>
      </c>
      <c r="Q3999" t="s">
        <v>9729</v>
      </c>
    </row>
    <row r="4000" spans="1:17" x14ac:dyDescent="0.25">
      <c r="A4000" t="s">
        <v>4770</v>
      </c>
      <c r="B4000" t="s">
        <v>1044</v>
      </c>
      <c r="C4000">
        <v>2027</v>
      </c>
      <c r="D4000" t="s">
        <v>649</v>
      </c>
      <c r="E4000" t="s">
        <v>846</v>
      </c>
      <c r="F4000" s="32">
        <v>46500</v>
      </c>
      <c r="G4000" t="s">
        <v>514</v>
      </c>
      <c r="H4000">
        <v>47128513</v>
      </c>
      <c r="I4000" t="s">
        <v>1040</v>
      </c>
      <c r="J4000" t="s">
        <v>1039</v>
      </c>
      <c r="K4000" t="s">
        <v>530</v>
      </c>
      <c r="N4000">
        <v>0</v>
      </c>
      <c r="O4000">
        <v>0</v>
      </c>
      <c r="P4000" t="str">
        <f t="shared" si="62"/>
        <v>N</v>
      </c>
      <c r="Q4000" t="s">
        <v>9730</v>
      </c>
    </row>
    <row r="4001" spans="1:17" x14ac:dyDescent="0.25">
      <c r="A4001" t="s">
        <v>4771</v>
      </c>
      <c r="B4001" t="s">
        <v>1044</v>
      </c>
      <c r="C4001">
        <v>2027</v>
      </c>
      <c r="D4001" t="s">
        <v>649</v>
      </c>
      <c r="E4001" t="s">
        <v>846</v>
      </c>
      <c r="F4001" s="32">
        <v>46500</v>
      </c>
      <c r="G4001" t="s">
        <v>514</v>
      </c>
      <c r="H4001">
        <v>47128489</v>
      </c>
      <c r="I4001" t="s">
        <v>1116</v>
      </c>
      <c r="J4001" t="s">
        <v>1115</v>
      </c>
      <c r="K4001" t="s">
        <v>530</v>
      </c>
      <c r="N4001">
        <v>0</v>
      </c>
      <c r="O4001">
        <v>0</v>
      </c>
      <c r="P4001" t="str">
        <f t="shared" si="62"/>
        <v>N</v>
      </c>
      <c r="Q4001" t="s">
        <v>9731</v>
      </c>
    </row>
    <row r="4002" spans="1:17" x14ac:dyDescent="0.25">
      <c r="A4002" t="s">
        <v>4772</v>
      </c>
      <c r="B4002" t="s">
        <v>1044</v>
      </c>
      <c r="C4002">
        <v>2027</v>
      </c>
      <c r="D4002" t="s">
        <v>649</v>
      </c>
      <c r="E4002" t="s">
        <v>846</v>
      </c>
      <c r="F4002" s="32">
        <v>46500</v>
      </c>
      <c r="G4002" t="s">
        <v>514</v>
      </c>
      <c r="H4002">
        <v>47128427</v>
      </c>
      <c r="I4002" t="s">
        <v>1112</v>
      </c>
      <c r="J4002" t="s">
        <v>1111</v>
      </c>
      <c r="K4002" t="s">
        <v>530</v>
      </c>
      <c r="N4002">
        <v>0</v>
      </c>
      <c r="O4002">
        <v>0</v>
      </c>
      <c r="P4002" t="str">
        <f t="shared" si="62"/>
        <v>N</v>
      </c>
      <c r="Q4002" t="s">
        <v>9732</v>
      </c>
    </row>
    <row r="4003" spans="1:17" x14ac:dyDescent="0.25">
      <c r="A4003" t="s">
        <v>5432</v>
      </c>
      <c r="B4003" t="s">
        <v>1089</v>
      </c>
      <c r="C4003">
        <v>2027</v>
      </c>
      <c r="D4003" t="s">
        <v>649</v>
      </c>
      <c r="E4003" t="s">
        <v>846</v>
      </c>
      <c r="F4003" s="32">
        <v>46500</v>
      </c>
      <c r="G4003" t="s">
        <v>514</v>
      </c>
      <c r="H4003">
        <v>47128781</v>
      </c>
      <c r="I4003" t="s">
        <v>1251</v>
      </c>
      <c r="J4003" t="s">
        <v>1250</v>
      </c>
      <c r="K4003" t="s">
        <v>530</v>
      </c>
      <c r="N4003">
        <v>40</v>
      </c>
      <c r="O4003">
        <v>40</v>
      </c>
      <c r="P4003" t="str">
        <f t="shared" si="62"/>
        <v>N</v>
      </c>
      <c r="Q4003" t="s">
        <v>9733</v>
      </c>
    </row>
    <row r="4004" spans="1:17" x14ac:dyDescent="0.25">
      <c r="A4004" t="s">
        <v>5433</v>
      </c>
      <c r="B4004" t="s">
        <v>1089</v>
      </c>
      <c r="C4004">
        <v>2027</v>
      </c>
      <c r="D4004" t="s">
        <v>649</v>
      </c>
      <c r="E4004" t="s">
        <v>846</v>
      </c>
      <c r="F4004" s="32">
        <v>46500</v>
      </c>
      <c r="G4004" t="s">
        <v>514</v>
      </c>
      <c r="H4004">
        <v>47128046</v>
      </c>
      <c r="I4004" t="s">
        <v>1389</v>
      </c>
      <c r="J4004" t="s">
        <v>1388</v>
      </c>
      <c r="K4004" t="s">
        <v>530</v>
      </c>
      <c r="N4004">
        <v>0</v>
      </c>
      <c r="O4004">
        <v>0</v>
      </c>
      <c r="P4004" t="str">
        <f t="shared" si="62"/>
        <v>N</v>
      </c>
      <c r="Q4004" t="s">
        <v>9734</v>
      </c>
    </row>
    <row r="4005" spans="1:17" x14ac:dyDescent="0.25">
      <c r="A4005" t="s">
        <v>5692</v>
      </c>
      <c r="B4005" t="s">
        <v>5437</v>
      </c>
      <c r="C4005">
        <v>2027</v>
      </c>
      <c r="D4005" t="s">
        <v>649</v>
      </c>
      <c r="E4005" t="s">
        <v>846</v>
      </c>
      <c r="F4005" s="32">
        <v>46500</v>
      </c>
      <c r="G4005" t="s">
        <v>514</v>
      </c>
      <c r="H4005">
        <v>47128781</v>
      </c>
      <c r="I4005" t="s">
        <v>1251</v>
      </c>
      <c r="J4005" t="s">
        <v>1250</v>
      </c>
      <c r="K4005" t="s">
        <v>530</v>
      </c>
      <c r="N4005">
        <v>40</v>
      </c>
      <c r="O4005">
        <v>40</v>
      </c>
      <c r="P4005" t="str">
        <f t="shared" si="62"/>
        <v>N</v>
      </c>
      <c r="Q4005" t="s">
        <v>9735</v>
      </c>
    </row>
    <row r="4006" spans="1:17" x14ac:dyDescent="0.25">
      <c r="A4006" t="s">
        <v>5693</v>
      </c>
      <c r="B4006" t="s">
        <v>5437</v>
      </c>
      <c r="C4006">
        <v>2027</v>
      </c>
      <c r="D4006" t="s">
        <v>649</v>
      </c>
      <c r="E4006" t="s">
        <v>846</v>
      </c>
      <c r="F4006" s="32">
        <v>46500</v>
      </c>
      <c r="G4006" t="s">
        <v>514</v>
      </c>
      <c r="H4006">
        <v>47128481</v>
      </c>
      <c r="I4006" t="s">
        <v>1379</v>
      </c>
      <c r="J4006" t="s">
        <v>1378</v>
      </c>
      <c r="K4006" t="s">
        <v>530</v>
      </c>
      <c r="N4006">
        <v>0</v>
      </c>
      <c r="O4006">
        <v>0</v>
      </c>
      <c r="P4006" t="str">
        <f t="shared" si="62"/>
        <v>N</v>
      </c>
      <c r="Q4006" t="s">
        <v>9736</v>
      </c>
    </row>
    <row r="4007" spans="1:17" x14ac:dyDescent="0.25">
      <c r="A4007" t="s">
        <v>5694</v>
      </c>
      <c r="B4007" t="s">
        <v>5437</v>
      </c>
      <c r="C4007">
        <v>2027</v>
      </c>
      <c r="D4007" t="s">
        <v>649</v>
      </c>
      <c r="E4007" t="s">
        <v>846</v>
      </c>
      <c r="F4007" s="32">
        <v>46500</v>
      </c>
      <c r="G4007" t="s">
        <v>514</v>
      </c>
      <c r="H4007">
        <v>47128336</v>
      </c>
      <c r="I4007" t="s">
        <v>1161</v>
      </c>
      <c r="J4007" t="s">
        <v>1160</v>
      </c>
      <c r="K4007" t="s">
        <v>530</v>
      </c>
      <c r="N4007">
        <v>20</v>
      </c>
      <c r="O4007">
        <v>20</v>
      </c>
      <c r="P4007" t="str">
        <f t="shared" si="62"/>
        <v>N</v>
      </c>
      <c r="Q4007" t="s">
        <v>9737</v>
      </c>
    </row>
    <row r="4008" spans="1:17" x14ac:dyDescent="0.25">
      <c r="A4008" t="s">
        <v>5695</v>
      </c>
      <c r="B4008" t="s">
        <v>5437</v>
      </c>
      <c r="C4008">
        <v>2027</v>
      </c>
      <c r="D4008" t="s">
        <v>649</v>
      </c>
      <c r="E4008" t="s">
        <v>846</v>
      </c>
      <c r="F4008" s="32">
        <v>46500</v>
      </c>
      <c r="G4008" t="s">
        <v>514</v>
      </c>
      <c r="H4008">
        <v>47136340</v>
      </c>
      <c r="I4008" t="s">
        <v>1213</v>
      </c>
      <c r="J4008" t="s">
        <v>1212</v>
      </c>
      <c r="K4008" t="s">
        <v>530</v>
      </c>
      <c r="N4008">
        <v>23</v>
      </c>
      <c r="O4008">
        <v>23</v>
      </c>
      <c r="P4008" t="str">
        <f t="shared" si="62"/>
        <v>N</v>
      </c>
      <c r="Q4008" t="s">
        <v>9738</v>
      </c>
    </row>
    <row r="4009" spans="1:17" x14ac:dyDescent="0.25">
      <c r="A4009" t="s">
        <v>5696</v>
      </c>
      <c r="B4009" t="s">
        <v>5437</v>
      </c>
      <c r="C4009">
        <v>2027</v>
      </c>
      <c r="D4009" t="s">
        <v>649</v>
      </c>
      <c r="E4009" t="s">
        <v>846</v>
      </c>
      <c r="F4009" s="32">
        <v>46500</v>
      </c>
      <c r="G4009" t="s">
        <v>514</v>
      </c>
      <c r="H4009">
        <v>47128169</v>
      </c>
      <c r="I4009" t="s">
        <v>1205</v>
      </c>
      <c r="J4009" t="s">
        <v>1204</v>
      </c>
      <c r="K4009" t="s">
        <v>530</v>
      </c>
      <c r="N4009">
        <v>0</v>
      </c>
      <c r="O4009">
        <v>0</v>
      </c>
      <c r="P4009" t="str">
        <f t="shared" si="62"/>
        <v>N</v>
      </c>
      <c r="Q4009" t="s">
        <v>9739</v>
      </c>
    </row>
    <row r="4010" spans="1:17" x14ac:dyDescent="0.25">
      <c r="A4010" t="s">
        <v>5697</v>
      </c>
      <c r="B4010" t="s">
        <v>5437</v>
      </c>
      <c r="C4010">
        <v>2027</v>
      </c>
      <c r="D4010" t="s">
        <v>649</v>
      </c>
      <c r="E4010" t="s">
        <v>846</v>
      </c>
      <c r="F4010" s="32">
        <v>46500</v>
      </c>
      <c r="G4010" t="s">
        <v>514</v>
      </c>
      <c r="H4010">
        <v>47128022</v>
      </c>
      <c r="I4010" t="s">
        <v>1104</v>
      </c>
      <c r="J4010" t="s">
        <v>1103</v>
      </c>
      <c r="K4010" t="s">
        <v>530</v>
      </c>
      <c r="N4010">
        <v>30</v>
      </c>
      <c r="O4010">
        <v>30</v>
      </c>
      <c r="P4010" t="str">
        <f t="shared" si="62"/>
        <v>N</v>
      </c>
      <c r="Q4010" t="s">
        <v>9740</v>
      </c>
    </row>
    <row r="4011" spans="1:17" x14ac:dyDescent="0.25">
      <c r="A4011" t="s">
        <v>5698</v>
      </c>
      <c r="B4011" t="s">
        <v>5437</v>
      </c>
      <c r="C4011">
        <v>2027</v>
      </c>
      <c r="D4011" t="s">
        <v>649</v>
      </c>
      <c r="E4011" t="s">
        <v>846</v>
      </c>
      <c r="F4011" s="32">
        <v>46500</v>
      </c>
      <c r="G4011" t="s">
        <v>514</v>
      </c>
      <c r="H4011">
        <v>47127948</v>
      </c>
      <c r="I4011" t="s">
        <v>1247</v>
      </c>
      <c r="J4011" t="s">
        <v>1246</v>
      </c>
      <c r="K4011" t="s">
        <v>530</v>
      </c>
      <c r="N4011">
        <v>0</v>
      </c>
      <c r="O4011">
        <v>0</v>
      </c>
      <c r="P4011" t="str">
        <f t="shared" si="62"/>
        <v>N</v>
      </c>
      <c r="Q4011" t="s">
        <v>9741</v>
      </c>
    </row>
    <row r="4012" spans="1:17" x14ac:dyDescent="0.25">
      <c r="A4012" t="s">
        <v>5699</v>
      </c>
      <c r="B4012" t="s">
        <v>5437</v>
      </c>
      <c r="C4012">
        <v>2027</v>
      </c>
      <c r="D4012" t="s">
        <v>649</v>
      </c>
      <c r="E4012" t="s">
        <v>846</v>
      </c>
      <c r="F4012" s="32">
        <v>46500</v>
      </c>
      <c r="G4012" t="s">
        <v>514</v>
      </c>
      <c r="H4012">
        <v>47128427</v>
      </c>
      <c r="I4012" t="s">
        <v>1112</v>
      </c>
      <c r="J4012" t="s">
        <v>1111</v>
      </c>
      <c r="K4012" t="s">
        <v>530</v>
      </c>
      <c r="N4012">
        <v>0</v>
      </c>
      <c r="O4012">
        <v>0</v>
      </c>
      <c r="P4012" t="str">
        <f t="shared" si="62"/>
        <v>N</v>
      </c>
      <c r="Q4012" t="s">
        <v>9742</v>
      </c>
    </row>
    <row r="4013" spans="1:17" x14ac:dyDescent="0.25">
      <c r="A4013" t="s">
        <v>5700</v>
      </c>
      <c r="B4013" t="s">
        <v>5437</v>
      </c>
      <c r="C4013">
        <v>2027</v>
      </c>
      <c r="D4013" t="s">
        <v>649</v>
      </c>
      <c r="E4013" t="s">
        <v>846</v>
      </c>
      <c r="F4013" s="32">
        <v>46500</v>
      </c>
      <c r="G4013" t="s">
        <v>514</v>
      </c>
      <c r="H4013">
        <v>47128513</v>
      </c>
      <c r="I4013" t="s">
        <v>1040</v>
      </c>
      <c r="J4013" t="s">
        <v>1039</v>
      </c>
      <c r="K4013" t="s">
        <v>530</v>
      </c>
      <c r="N4013">
        <v>0</v>
      </c>
      <c r="O4013">
        <v>0</v>
      </c>
      <c r="P4013" t="str">
        <f t="shared" si="62"/>
        <v>N</v>
      </c>
      <c r="Q4013" t="s">
        <v>9743</v>
      </c>
    </row>
    <row r="4014" spans="1:17" x14ac:dyDescent="0.25">
      <c r="A4014" t="s">
        <v>5701</v>
      </c>
      <c r="B4014" t="s">
        <v>5437</v>
      </c>
      <c r="C4014">
        <v>2027</v>
      </c>
      <c r="D4014" t="s">
        <v>649</v>
      </c>
      <c r="E4014" t="s">
        <v>846</v>
      </c>
      <c r="F4014" s="32">
        <v>46500</v>
      </c>
      <c r="G4014" t="s">
        <v>514</v>
      </c>
      <c r="H4014">
        <v>47128489</v>
      </c>
      <c r="I4014" t="s">
        <v>1116</v>
      </c>
      <c r="J4014" t="s">
        <v>1115</v>
      </c>
      <c r="K4014" t="s">
        <v>530</v>
      </c>
      <c r="N4014">
        <v>0</v>
      </c>
      <c r="O4014">
        <v>0</v>
      </c>
      <c r="P4014" t="str">
        <f t="shared" si="62"/>
        <v>N</v>
      </c>
      <c r="Q4014" t="s">
        <v>9744</v>
      </c>
    </row>
    <row r="4015" spans="1:17" x14ac:dyDescent="0.25">
      <c r="A4015" t="s">
        <v>1682</v>
      </c>
      <c r="B4015" t="s">
        <v>1520</v>
      </c>
      <c r="C4015">
        <v>2027</v>
      </c>
      <c r="D4015" t="s">
        <v>651</v>
      </c>
      <c r="E4015" t="s">
        <v>847</v>
      </c>
      <c r="F4015" s="32">
        <v>46507</v>
      </c>
      <c r="G4015" t="s">
        <v>563</v>
      </c>
      <c r="H4015">
        <v>10000015</v>
      </c>
      <c r="I4015" t="s">
        <v>562</v>
      </c>
      <c r="K4015" t="s">
        <v>530</v>
      </c>
      <c r="N4015">
        <v>0</v>
      </c>
      <c r="O4015">
        <v>0</v>
      </c>
      <c r="P4015" t="str">
        <f t="shared" si="62"/>
        <v>N</v>
      </c>
      <c r="Q4015" t="s">
        <v>9745</v>
      </c>
    </row>
    <row r="4016" spans="1:17" x14ac:dyDescent="0.25">
      <c r="A4016" t="s">
        <v>1683</v>
      </c>
      <c r="B4016" t="s">
        <v>1520</v>
      </c>
      <c r="C4016">
        <v>2027</v>
      </c>
      <c r="D4016" t="s">
        <v>651</v>
      </c>
      <c r="E4016" t="s">
        <v>847</v>
      </c>
      <c r="F4016" s="32">
        <v>46507</v>
      </c>
      <c r="G4016" t="s">
        <v>514</v>
      </c>
      <c r="H4016">
        <v>47128781</v>
      </c>
      <c r="I4016" t="s">
        <v>1251</v>
      </c>
      <c r="J4016" t="s">
        <v>1250</v>
      </c>
      <c r="K4016" t="s">
        <v>530</v>
      </c>
      <c r="N4016">
        <v>40</v>
      </c>
      <c r="O4016">
        <v>40</v>
      </c>
      <c r="P4016" t="str">
        <f t="shared" si="62"/>
        <v>N</v>
      </c>
      <c r="Q4016" t="s">
        <v>9746</v>
      </c>
    </row>
    <row r="4017" spans="1:17" x14ac:dyDescent="0.25">
      <c r="A4017" t="s">
        <v>2314</v>
      </c>
      <c r="B4017" t="s">
        <v>1135</v>
      </c>
      <c r="C4017">
        <v>2027</v>
      </c>
      <c r="D4017" t="s">
        <v>651</v>
      </c>
      <c r="E4017" t="s">
        <v>847</v>
      </c>
      <c r="F4017" s="32">
        <v>46507</v>
      </c>
      <c r="G4017" t="s">
        <v>514</v>
      </c>
      <c r="H4017">
        <v>47128168</v>
      </c>
      <c r="I4017" t="s">
        <v>1100</v>
      </c>
      <c r="J4017" t="s">
        <v>1099</v>
      </c>
      <c r="K4017" t="s">
        <v>530</v>
      </c>
      <c r="N4017">
        <v>0</v>
      </c>
      <c r="O4017">
        <v>0</v>
      </c>
      <c r="P4017" t="str">
        <f t="shared" si="62"/>
        <v>N</v>
      </c>
      <c r="Q4017" t="s">
        <v>9747</v>
      </c>
    </row>
    <row r="4018" spans="1:17" x14ac:dyDescent="0.25">
      <c r="A4018" t="s">
        <v>2315</v>
      </c>
      <c r="B4018" t="s">
        <v>1135</v>
      </c>
      <c r="C4018">
        <v>2027</v>
      </c>
      <c r="D4018" t="s">
        <v>651</v>
      </c>
      <c r="E4018" t="s">
        <v>847</v>
      </c>
      <c r="F4018" s="32">
        <v>46507</v>
      </c>
      <c r="G4018" t="s">
        <v>514</v>
      </c>
      <c r="H4018">
        <v>47128906</v>
      </c>
      <c r="I4018" t="s">
        <v>1349</v>
      </c>
      <c r="J4018" t="s">
        <v>1348</v>
      </c>
      <c r="K4018" t="s">
        <v>530</v>
      </c>
      <c r="N4018">
        <v>0</v>
      </c>
      <c r="O4018">
        <v>0</v>
      </c>
      <c r="P4018" t="str">
        <f t="shared" si="62"/>
        <v>N</v>
      </c>
      <c r="Q4018" t="s">
        <v>9748</v>
      </c>
    </row>
    <row r="4019" spans="1:17" x14ac:dyDescent="0.25">
      <c r="A4019" t="s">
        <v>2316</v>
      </c>
      <c r="B4019" t="s">
        <v>1135</v>
      </c>
      <c r="C4019">
        <v>2027</v>
      </c>
      <c r="D4019" t="s">
        <v>651</v>
      </c>
      <c r="E4019" t="s">
        <v>847</v>
      </c>
      <c r="F4019" s="32">
        <v>46507</v>
      </c>
      <c r="G4019" t="s">
        <v>514</v>
      </c>
      <c r="H4019">
        <v>47128783</v>
      </c>
      <c r="I4019" t="s">
        <v>1280</v>
      </c>
      <c r="J4019" t="s">
        <v>1279</v>
      </c>
      <c r="K4019" t="s">
        <v>530</v>
      </c>
      <c r="N4019">
        <v>0</v>
      </c>
      <c r="O4019">
        <v>0</v>
      </c>
      <c r="P4019" t="str">
        <f t="shared" si="62"/>
        <v>N</v>
      </c>
      <c r="Q4019" t="s">
        <v>9749</v>
      </c>
    </row>
    <row r="4020" spans="1:17" x14ac:dyDescent="0.25">
      <c r="A4020" t="s">
        <v>2317</v>
      </c>
      <c r="B4020" t="s">
        <v>1135</v>
      </c>
      <c r="C4020">
        <v>2027</v>
      </c>
      <c r="D4020" t="s">
        <v>651</v>
      </c>
      <c r="E4020" t="s">
        <v>847</v>
      </c>
      <c r="F4020" s="32">
        <v>46507</v>
      </c>
      <c r="G4020" t="s">
        <v>514</v>
      </c>
      <c r="H4020">
        <v>47128944</v>
      </c>
      <c r="I4020" t="s">
        <v>1137</v>
      </c>
      <c r="J4020" t="s">
        <v>1136</v>
      </c>
      <c r="K4020" t="s">
        <v>530</v>
      </c>
      <c r="N4020">
        <v>0</v>
      </c>
      <c r="O4020">
        <v>0</v>
      </c>
      <c r="P4020" t="str">
        <f t="shared" si="62"/>
        <v>N</v>
      </c>
      <c r="Q4020" t="s">
        <v>9750</v>
      </c>
    </row>
    <row r="4021" spans="1:17" x14ac:dyDescent="0.25">
      <c r="A4021" t="s">
        <v>2318</v>
      </c>
      <c r="B4021" t="s">
        <v>1135</v>
      </c>
      <c r="C4021">
        <v>2027</v>
      </c>
      <c r="D4021" t="s">
        <v>651</v>
      </c>
      <c r="E4021" t="s">
        <v>847</v>
      </c>
      <c r="F4021" s="32">
        <v>46507</v>
      </c>
      <c r="G4021" t="s">
        <v>514</v>
      </c>
      <c r="H4021">
        <v>47128729</v>
      </c>
      <c r="I4021" t="s">
        <v>1149</v>
      </c>
      <c r="J4021" t="s">
        <v>1148</v>
      </c>
      <c r="K4021" t="s">
        <v>530</v>
      </c>
      <c r="N4021">
        <v>0</v>
      </c>
      <c r="O4021">
        <v>0</v>
      </c>
      <c r="P4021" t="str">
        <f t="shared" si="62"/>
        <v>N</v>
      </c>
      <c r="Q4021" t="s">
        <v>9751</v>
      </c>
    </row>
    <row r="4022" spans="1:17" x14ac:dyDescent="0.25">
      <c r="A4022" t="s">
        <v>2319</v>
      </c>
      <c r="B4022" t="s">
        <v>1135</v>
      </c>
      <c r="C4022">
        <v>2027</v>
      </c>
      <c r="D4022" t="s">
        <v>651</v>
      </c>
      <c r="E4022" t="s">
        <v>847</v>
      </c>
      <c r="F4022" s="32">
        <v>46507</v>
      </c>
      <c r="G4022" t="s">
        <v>514</v>
      </c>
      <c r="H4022">
        <v>47128585</v>
      </c>
      <c r="I4022" t="s">
        <v>1141</v>
      </c>
      <c r="J4022" t="s">
        <v>1140</v>
      </c>
      <c r="K4022" t="s">
        <v>530</v>
      </c>
      <c r="N4022">
        <v>0</v>
      </c>
      <c r="O4022">
        <v>0</v>
      </c>
      <c r="P4022" t="str">
        <f t="shared" si="62"/>
        <v>N</v>
      </c>
      <c r="Q4022" t="s">
        <v>9752</v>
      </c>
    </row>
    <row r="4023" spans="1:17" x14ac:dyDescent="0.25">
      <c r="A4023" t="s">
        <v>2320</v>
      </c>
      <c r="B4023" t="s">
        <v>1135</v>
      </c>
      <c r="C4023">
        <v>2027</v>
      </c>
      <c r="D4023" t="s">
        <v>651</v>
      </c>
      <c r="E4023" t="s">
        <v>847</v>
      </c>
      <c r="F4023" s="32">
        <v>46507</v>
      </c>
      <c r="G4023" t="s">
        <v>514</v>
      </c>
      <c r="H4023">
        <v>47128680</v>
      </c>
      <c r="I4023" t="s">
        <v>1284</v>
      </c>
      <c r="J4023" t="s">
        <v>1283</v>
      </c>
      <c r="K4023" t="s">
        <v>530</v>
      </c>
      <c r="N4023">
        <v>0</v>
      </c>
      <c r="O4023">
        <v>0</v>
      </c>
      <c r="P4023" t="str">
        <f t="shared" si="62"/>
        <v>N</v>
      </c>
      <c r="Q4023" t="s">
        <v>9753</v>
      </c>
    </row>
    <row r="4024" spans="1:17" x14ac:dyDescent="0.25">
      <c r="A4024" t="s">
        <v>2321</v>
      </c>
      <c r="B4024" t="s">
        <v>1135</v>
      </c>
      <c r="C4024">
        <v>2027</v>
      </c>
      <c r="D4024" t="s">
        <v>651</v>
      </c>
      <c r="E4024" t="s">
        <v>847</v>
      </c>
      <c r="F4024" s="32">
        <v>46507</v>
      </c>
      <c r="G4024" t="s">
        <v>514</v>
      </c>
      <c r="H4024">
        <v>47128585</v>
      </c>
      <c r="I4024" t="s">
        <v>1141</v>
      </c>
      <c r="J4024" t="s">
        <v>1408</v>
      </c>
      <c r="K4024" t="s">
        <v>530</v>
      </c>
      <c r="N4024">
        <v>0</v>
      </c>
      <c r="O4024">
        <v>0</v>
      </c>
      <c r="P4024" t="str">
        <f t="shared" si="62"/>
        <v>N</v>
      </c>
      <c r="Q4024" t="s">
        <v>9754</v>
      </c>
    </row>
    <row r="4025" spans="1:17" x14ac:dyDescent="0.25">
      <c r="A4025" t="s">
        <v>2322</v>
      </c>
      <c r="B4025" t="s">
        <v>1135</v>
      </c>
      <c r="C4025">
        <v>2027</v>
      </c>
      <c r="D4025" t="s">
        <v>651</v>
      </c>
      <c r="E4025" t="s">
        <v>847</v>
      </c>
      <c r="F4025" s="32">
        <v>46507</v>
      </c>
      <c r="G4025" t="s">
        <v>514</v>
      </c>
      <c r="H4025">
        <v>47128039</v>
      </c>
      <c r="I4025" t="s">
        <v>1405</v>
      </c>
      <c r="J4025" t="s">
        <v>1404</v>
      </c>
      <c r="K4025" t="s">
        <v>530</v>
      </c>
      <c r="N4025">
        <v>0</v>
      </c>
      <c r="O4025">
        <v>0</v>
      </c>
      <c r="P4025" t="str">
        <f t="shared" si="62"/>
        <v>N</v>
      </c>
      <c r="Q4025" t="s">
        <v>9755</v>
      </c>
    </row>
    <row r="4026" spans="1:17" x14ac:dyDescent="0.25">
      <c r="A4026" t="s">
        <v>2323</v>
      </c>
      <c r="B4026" t="s">
        <v>1135</v>
      </c>
      <c r="C4026">
        <v>2027</v>
      </c>
      <c r="D4026" t="s">
        <v>651</v>
      </c>
      <c r="E4026" t="s">
        <v>847</v>
      </c>
      <c r="F4026" s="32">
        <v>46507</v>
      </c>
      <c r="G4026" t="s">
        <v>514</v>
      </c>
      <c r="H4026">
        <v>47128024</v>
      </c>
      <c r="I4026" t="s">
        <v>1108</v>
      </c>
      <c r="J4026" t="s">
        <v>1107</v>
      </c>
      <c r="K4026" t="s">
        <v>530</v>
      </c>
      <c r="N4026">
        <v>0</v>
      </c>
      <c r="O4026">
        <v>0</v>
      </c>
      <c r="P4026" t="str">
        <f t="shared" si="62"/>
        <v>N</v>
      </c>
      <c r="Q4026" t="s">
        <v>9756</v>
      </c>
    </row>
    <row r="4027" spans="1:17" x14ac:dyDescent="0.25">
      <c r="A4027" t="s">
        <v>2324</v>
      </c>
      <c r="B4027" t="s">
        <v>1135</v>
      </c>
      <c r="C4027">
        <v>2027</v>
      </c>
      <c r="D4027" t="s">
        <v>651</v>
      </c>
      <c r="E4027" t="s">
        <v>847</v>
      </c>
      <c r="F4027" s="32">
        <v>46507</v>
      </c>
      <c r="G4027" t="s">
        <v>514</v>
      </c>
      <c r="H4027">
        <v>47128430</v>
      </c>
      <c r="I4027" t="s">
        <v>1401</v>
      </c>
      <c r="J4027" t="s">
        <v>1400</v>
      </c>
      <c r="K4027" t="s">
        <v>530</v>
      </c>
      <c r="N4027">
        <v>0</v>
      </c>
      <c r="O4027">
        <v>0</v>
      </c>
      <c r="P4027" t="str">
        <f t="shared" si="62"/>
        <v>N</v>
      </c>
      <c r="Q4027" t="s">
        <v>9757</v>
      </c>
    </row>
    <row r="4028" spans="1:17" x14ac:dyDescent="0.25">
      <c r="A4028" t="s">
        <v>2325</v>
      </c>
      <c r="B4028" t="s">
        <v>1135</v>
      </c>
      <c r="C4028">
        <v>2027</v>
      </c>
      <c r="D4028" t="s">
        <v>651</v>
      </c>
      <c r="E4028" t="s">
        <v>847</v>
      </c>
      <c r="F4028" s="32">
        <v>46507</v>
      </c>
      <c r="G4028" t="s">
        <v>514</v>
      </c>
      <c r="H4028">
        <v>47128555</v>
      </c>
      <c r="I4028" t="s">
        <v>1209</v>
      </c>
      <c r="J4028" t="s">
        <v>1208</v>
      </c>
      <c r="K4028" t="s">
        <v>530</v>
      </c>
      <c r="N4028">
        <v>0</v>
      </c>
      <c r="O4028">
        <v>0</v>
      </c>
      <c r="P4028" t="str">
        <f t="shared" si="62"/>
        <v>N</v>
      </c>
      <c r="Q4028" t="s">
        <v>9758</v>
      </c>
    </row>
    <row r="4029" spans="1:17" x14ac:dyDescent="0.25">
      <c r="A4029" t="s">
        <v>2326</v>
      </c>
      <c r="B4029" t="s">
        <v>1135</v>
      </c>
      <c r="C4029">
        <v>2027</v>
      </c>
      <c r="D4029" t="s">
        <v>651</v>
      </c>
      <c r="E4029" t="s">
        <v>847</v>
      </c>
      <c r="F4029" s="32">
        <v>46507</v>
      </c>
      <c r="G4029" t="s">
        <v>514</v>
      </c>
      <c r="H4029">
        <v>47128522</v>
      </c>
      <c r="I4029" t="s">
        <v>1092</v>
      </c>
      <c r="J4029" t="s">
        <v>1091</v>
      </c>
      <c r="K4029" t="s">
        <v>530</v>
      </c>
      <c r="N4029">
        <v>0</v>
      </c>
      <c r="O4029">
        <v>0</v>
      </c>
      <c r="P4029" t="str">
        <f t="shared" si="62"/>
        <v>N</v>
      </c>
      <c r="Q4029" t="s">
        <v>9759</v>
      </c>
    </row>
    <row r="4030" spans="1:17" x14ac:dyDescent="0.25">
      <c r="A4030" t="s">
        <v>2327</v>
      </c>
      <c r="B4030" t="s">
        <v>1135</v>
      </c>
      <c r="C4030">
        <v>2027</v>
      </c>
      <c r="D4030" t="s">
        <v>651</v>
      </c>
      <c r="E4030" t="s">
        <v>847</v>
      </c>
      <c r="F4030" s="32">
        <v>46507</v>
      </c>
      <c r="G4030" t="s">
        <v>514</v>
      </c>
      <c r="H4030">
        <v>47147546</v>
      </c>
      <c r="I4030" t="s">
        <v>1077</v>
      </c>
      <c r="J4030" t="s">
        <v>1076</v>
      </c>
      <c r="K4030" t="s">
        <v>530</v>
      </c>
      <c r="N4030">
        <v>0</v>
      </c>
      <c r="O4030">
        <v>0</v>
      </c>
      <c r="P4030" t="str">
        <f t="shared" si="62"/>
        <v>N</v>
      </c>
      <c r="Q4030" t="s">
        <v>9760</v>
      </c>
    </row>
    <row r="4031" spans="1:17" x14ac:dyDescent="0.25">
      <c r="A4031" t="s">
        <v>2328</v>
      </c>
      <c r="B4031" t="s">
        <v>1135</v>
      </c>
      <c r="C4031">
        <v>2027</v>
      </c>
      <c r="D4031" t="s">
        <v>651</v>
      </c>
      <c r="E4031" t="s">
        <v>847</v>
      </c>
      <c r="F4031" s="32">
        <v>46507</v>
      </c>
      <c r="G4031" t="s">
        <v>514</v>
      </c>
      <c r="H4031">
        <v>47128597</v>
      </c>
      <c r="I4031" t="s">
        <v>1510</v>
      </c>
      <c r="J4031" t="s">
        <v>1509</v>
      </c>
      <c r="K4031" t="s">
        <v>530</v>
      </c>
      <c r="N4031">
        <v>0</v>
      </c>
      <c r="O4031">
        <v>0</v>
      </c>
      <c r="P4031" t="str">
        <f t="shared" si="62"/>
        <v>N</v>
      </c>
      <c r="Q4031" t="s">
        <v>9761</v>
      </c>
    </row>
    <row r="4032" spans="1:17" x14ac:dyDescent="0.25">
      <c r="A4032" t="s">
        <v>2329</v>
      </c>
      <c r="B4032" t="s">
        <v>1135</v>
      </c>
      <c r="C4032">
        <v>2027</v>
      </c>
      <c r="D4032" t="s">
        <v>651</v>
      </c>
      <c r="E4032" t="s">
        <v>847</v>
      </c>
      <c r="F4032" s="32">
        <v>46507</v>
      </c>
      <c r="G4032" t="s">
        <v>514</v>
      </c>
      <c r="H4032">
        <v>47128257</v>
      </c>
      <c r="I4032" t="s">
        <v>979</v>
      </c>
      <c r="J4032" t="s">
        <v>978</v>
      </c>
      <c r="K4032" t="s">
        <v>530</v>
      </c>
      <c r="N4032">
        <v>0</v>
      </c>
      <c r="O4032">
        <v>0</v>
      </c>
      <c r="P4032" t="str">
        <f t="shared" si="62"/>
        <v>N</v>
      </c>
      <c r="Q4032" t="s">
        <v>9762</v>
      </c>
    </row>
    <row r="4033" spans="1:17" x14ac:dyDescent="0.25">
      <c r="A4033" t="s">
        <v>2330</v>
      </c>
      <c r="B4033" t="s">
        <v>1135</v>
      </c>
      <c r="C4033">
        <v>2027</v>
      </c>
      <c r="D4033" t="s">
        <v>651</v>
      </c>
      <c r="E4033" t="s">
        <v>847</v>
      </c>
      <c r="F4033" s="32">
        <v>46507</v>
      </c>
      <c r="G4033" t="s">
        <v>514</v>
      </c>
      <c r="H4033">
        <v>47128880</v>
      </c>
      <c r="I4033" t="s">
        <v>1014</v>
      </c>
      <c r="J4033" t="s">
        <v>1013</v>
      </c>
      <c r="K4033" t="s">
        <v>530</v>
      </c>
      <c r="N4033">
        <v>0</v>
      </c>
      <c r="O4033">
        <v>0</v>
      </c>
      <c r="P4033" t="str">
        <f t="shared" si="62"/>
        <v>N</v>
      </c>
      <c r="Q4033" t="s">
        <v>9763</v>
      </c>
    </row>
    <row r="4034" spans="1:17" x14ac:dyDescent="0.25">
      <c r="A4034" t="s">
        <v>2331</v>
      </c>
      <c r="B4034" t="s">
        <v>1135</v>
      </c>
      <c r="C4034">
        <v>2027</v>
      </c>
      <c r="D4034" t="s">
        <v>651</v>
      </c>
      <c r="E4034" t="s">
        <v>847</v>
      </c>
      <c r="F4034" s="32">
        <v>46507</v>
      </c>
      <c r="G4034" t="s">
        <v>514</v>
      </c>
      <c r="H4034">
        <v>47128879</v>
      </c>
      <c r="I4034" t="s">
        <v>1132</v>
      </c>
      <c r="J4034" t="s">
        <v>1131</v>
      </c>
      <c r="K4034" t="s">
        <v>530</v>
      </c>
      <c r="N4034">
        <v>0</v>
      </c>
      <c r="O4034">
        <v>0</v>
      </c>
      <c r="P4034" t="str">
        <f t="shared" si="62"/>
        <v>N</v>
      </c>
      <c r="Q4034" t="s">
        <v>9764</v>
      </c>
    </row>
    <row r="4035" spans="1:17" x14ac:dyDescent="0.25">
      <c r="A4035" t="s">
        <v>2332</v>
      </c>
      <c r="B4035" t="s">
        <v>1135</v>
      </c>
      <c r="C4035">
        <v>2027</v>
      </c>
      <c r="D4035" t="s">
        <v>651</v>
      </c>
      <c r="E4035" t="s">
        <v>847</v>
      </c>
      <c r="F4035" s="32">
        <v>46507</v>
      </c>
      <c r="G4035" t="s">
        <v>514</v>
      </c>
      <c r="H4035">
        <v>47128413</v>
      </c>
      <c r="I4035" t="s">
        <v>1397</v>
      </c>
      <c r="J4035" t="s">
        <v>1396</v>
      </c>
      <c r="K4035" t="s">
        <v>530</v>
      </c>
      <c r="N4035">
        <v>0</v>
      </c>
      <c r="O4035">
        <v>0</v>
      </c>
      <c r="P4035" t="str">
        <f t="shared" ref="P4035:P4098" si="63">IF(N4035=O4035,"N","Y")</f>
        <v>N</v>
      </c>
      <c r="Q4035" t="s">
        <v>9765</v>
      </c>
    </row>
    <row r="4036" spans="1:17" x14ac:dyDescent="0.25">
      <c r="A4036" t="s">
        <v>2333</v>
      </c>
      <c r="B4036" t="s">
        <v>1135</v>
      </c>
      <c r="C4036">
        <v>2027</v>
      </c>
      <c r="D4036" t="s">
        <v>651</v>
      </c>
      <c r="E4036" t="s">
        <v>847</v>
      </c>
      <c r="F4036" s="32">
        <v>46507</v>
      </c>
      <c r="G4036" t="s">
        <v>514</v>
      </c>
      <c r="H4036">
        <v>47146464</v>
      </c>
      <c r="I4036" t="s">
        <v>1438</v>
      </c>
      <c r="J4036" t="s">
        <v>1437</v>
      </c>
      <c r="K4036" t="s">
        <v>530</v>
      </c>
      <c r="N4036">
        <v>0</v>
      </c>
      <c r="O4036">
        <v>0</v>
      </c>
      <c r="P4036" t="str">
        <f t="shared" si="63"/>
        <v>N</v>
      </c>
      <c r="Q4036" t="s">
        <v>9766</v>
      </c>
    </row>
    <row r="4037" spans="1:17" x14ac:dyDescent="0.25">
      <c r="A4037" t="s">
        <v>2334</v>
      </c>
      <c r="B4037" t="s">
        <v>1135</v>
      </c>
      <c r="C4037">
        <v>2027</v>
      </c>
      <c r="D4037" t="s">
        <v>651</v>
      </c>
      <c r="E4037" t="s">
        <v>847</v>
      </c>
      <c r="F4037" s="32">
        <v>46507</v>
      </c>
      <c r="G4037" t="s">
        <v>514</v>
      </c>
      <c r="H4037">
        <v>47147546</v>
      </c>
      <c r="I4037" t="s">
        <v>1077</v>
      </c>
      <c r="J4037" t="s">
        <v>1381</v>
      </c>
      <c r="K4037" t="s">
        <v>530</v>
      </c>
      <c r="N4037">
        <v>0</v>
      </c>
      <c r="O4037">
        <v>0</v>
      </c>
      <c r="P4037" t="str">
        <f t="shared" si="63"/>
        <v>N</v>
      </c>
      <c r="Q4037" t="s">
        <v>9767</v>
      </c>
    </row>
    <row r="4038" spans="1:17" x14ac:dyDescent="0.25">
      <c r="A4038" t="s">
        <v>2335</v>
      </c>
      <c r="B4038" t="s">
        <v>1135</v>
      </c>
      <c r="C4038">
        <v>2027</v>
      </c>
      <c r="D4038" t="s">
        <v>651</v>
      </c>
      <c r="E4038" t="s">
        <v>847</v>
      </c>
      <c r="F4038" s="32">
        <v>46507</v>
      </c>
      <c r="G4038" t="s">
        <v>514</v>
      </c>
      <c r="H4038">
        <v>47128800</v>
      </c>
      <c r="I4038" t="s">
        <v>1145</v>
      </c>
      <c r="J4038" t="s">
        <v>1144</v>
      </c>
      <c r="K4038" t="s">
        <v>530</v>
      </c>
      <c r="N4038">
        <v>0</v>
      </c>
      <c r="O4038">
        <v>0</v>
      </c>
      <c r="P4038" t="str">
        <f t="shared" si="63"/>
        <v>N</v>
      </c>
      <c r="Q4038" t="s">
        <v>9768</v>
      </c>
    </row>
    <row r="4039" spans="1:17" x14ac:dyDescent="0.25">
      <c r="A4039" t="s">
        <v>2336</v>
      </c>
      <c r="B4039" t="s">
        <v>1135</v>
      </c>
      <c r="C4039">
        <v>2027</v>
      </c>
      <c r="D4039" t="s">
        <v>651</v>
      </c>
      <c r="E4039" t="s">
        <v>847</v>
      </c>
      <c r="F4039" s="32">
        <v>46507</v>
      </c>
      <c r="G4039" t="s">
        <v>514</v>
      </c>
      <c r="H4039">
        <v>47128109</v>
      </c>
      <c r="I4039" t="s">
        <v>1336</v>
      </c>
      <c r="J4039" t="s">
        <v>1335</v>
      </c>
      <c r="K4039" t="s">
        <v>530</v>
      </c>
      <c r="N4039">
        <v>0</v>
      </c>
      <c r="O4039">
        <v>0</v>
      </c>
      <c r="P4039" t="str">
        <f t="shared" si="63"/>
        <v>N</v>
      </c>
      <c r="Q4039" t="s">
        <v>9769</v>
      </c>
    </row>
    <row r="4040" spans="1:17" x14ac:dyDescent="0.25">
      <c r="A4040" t="s">
        <v>2337</v>
      </c>
      <c r="B4040" t="s">
        <v>1135</v>
      </c>
      <c r="C4040">
        <v>2027</v>
      </c>
      <c r="D4040" t="s">
        <v>651</v>
      </c>
      <c r="E4040" t="s">
        <v>847</v>
      </c>
      <c r="F4040" s="32">
        <v>46507</v>
      </c>
      <c r="G4040" t="s">
        <v>514</v>
      </c>
      <c r="H4040">
        <v>47128346</v>
      </c>
      <c r="I4040" t="s">
        <v>1157</v>
      </c>
      <c r="J4040" t="s">
        <v>1156</v>
      </c>
      <c r="K4040" t="s">
        <v>530</v>
      </c>
      <c r="N4040">
        <v>0</v>
      </c>
      <c r="O4040">
        <v>0</v>
      </c>
      <c r="P4040" t="str">
        <f t="shared" si="63"/>
        <v>N</v>
      </c>
      <c r="Q4040" t="s">
        <v>9770</v>
      </c>
    </row>
    <row r="4041" spans="1:17" x14ac:dyDescent="0.25">
      <c r="A4041" t="s">
        <v>2338</v>
      </c>
      <c r="B4041" t="s">
        <v>1135</v>
      </c>
      <c r="C4041">
        <v>2027</v>
      </c>
      <c r="D4041" t="s">
        <v>651</v>
      </c>
      <c r="E4041" t="s">
        <v>847</v>
      </c>
      <c r="F4041" s="32">
        <v>46507</v>
      </c>
      <c r="G4041" t="s">
        <v>514</v>
      </c>
      <c r="H4041">
        <v>47128518</v>
      </c>
      <c r="I4041" t="s">
        <v>1232</v>
      </c>
      <c r="J4041" t="s">
        <v>1231</v>
      </c>
      <c r="K4041" t="s">
        <v>530</v>
      </c>
      <c r="N4041">
        <v>0</v>
      </c>
      <c r="O4041">
        <v>0</v>
      </c>
      <c r="P4041" t="str">
        <f t="shared" si="63"/>
        <v>N</v>
      </c>
      <c r="Q4041" t="s">
        <v>9771</v>
      </c>
    </row>
    <row r="4042" spans="1:17" x14ac:dyDescent="0.25">
      <c r="A4042" t="s">
        <v>2339</v>
      </c>
      <c r="B4042" t="s">
        <v>1135</v>
      </c>
      <c r="C4042">
        <v>2027</v>
      </c>
      <c r="D4042" t="s">
        <v>651</v>
      </c>
      <c r="E4042" t="s">
        <v>847</v>
      </c>
      <c r="F4042" s="32">
        <v>46507</v>
      </c>
      <c r="G4042" t="s">
        <v>514</v>
      </c>
      <c r="H4042">
        <v>47128418</v>
      </c>
      <c r="I4042" t="s">
        <v>1082</v>
      </c>
      <c r="J4042" t="s">
        <v>1081</v>
      </c>
      <c r="K4042" t="s">
        <v>530</v>
      </c>
      <c r="N4042">
        <v>0</v>
      </c>
      <c r="O4042">
        <v>0</v>
      </c>
      <c r="P4042" t="str">
        <f t="shared" si="63"/>
        <v>N</v>
      </c>
      <c r="Q4042" t="s">
        <v>9772</v>
      </c>
    </row>
    <row r="4043" spans="1:17" x14ac:dyDescent="0.25">
      <c r="A4043" t="s">
        <v>2340</v>
      </c>
      <c r="B4043" t="s">
        <v>1135</v>
      </c>
      <c r="C4043">
        <v>2027</v>
      </c>
      <c r="D4043" t="s">
        <v>651</v>
      </c>
      <c r="E4043" t="s">
        <v>847</v>
      </c>
      <c r="F4043" s="32">
        <v>46507</v>
      </c>
      <c r="G4043" t="s">
        <v>514</v>
      </c>
      <c r="H4043">
        <v>47128968</v>
      </c>
      <c r="I4043" t="s">
        <v>947</v>
      </c>
      <c r="J4043" t="s">
        <v>946</v>
      </c>
      <c r="K4043" t="s">
        <v>530</v>
      </c>
      <c r="N4043">
        <v>0</v>
      </c>
      <c r="O4043">
        <v>0</v>
      </c>
      <c r="P4043" t="str">
        <f t="shared" si="63"/>
        <v>N</v>
      </c>
      <c r="Q4043" t="s">
        <v>9773</v>
      </c>
    </row>
    <row r="4044" spans="1:17" x14ac:dyDescent="0.25">
      <c r="A4044" t="s">
        <v>2341</v>
      </c>
      <c r="B4044" t="s">
        <v>1135</v>
      </c>
      <c r="C4044">
        <v>2027</v>
      </c>
      <c r="D4044" t="s">
        <v>651</v>
      </c>
      <c r="E4044" t="s">
        <v>847</v>
      </c>
      <c r="F4044" s="32">
        <v>46507</v>
      </c>
      <c r="G4044" t="s">
        <v>514</v>
      </c>
      <c r="H4044">
        <v>47147658</v>
      </c>
      <c r="I4044" t="s">
        <v>1276</v>
      </c>
      <c r="J4044" t="s">
        <v>1275</v>
      </c>
      <c r="K4044" t="s">
        <v>530</v>
      </c>
      <c r="N4044">
        <v>0</v>
      </c>
      <c r="O4044">
        <v>0</v>
      </c>
      <c r="P4044" t="str">
        <f t="shared" si="63"/>
        <v>N</v>
      </c>
      <c r="Q4044" t="s">
        <v>9774</v>
      </c>
    </row>
    <row r="4045" spans="1:17" x14ac:dyDescent="0.25">
      <c r="A4045" t="s">
        <v>2342</v>
      </c>
      <c r="B4045" t="s">
        <v>1135</v>
      </c>
      <c r="C4045">
        <v>2027</v>
      </c>
      <c r="D4045" t="s">
        <v>651</v>
      </c>
      <c r="E4045" t="s">
        <v>847</v>
      </c>
      <c r="F4045" s="32">
        <v>46507</v>
      </c>
      <c r="G4045" t="s">
        <v>514</v>
      </c>
      <c r="H4045">
        <v>47128781</v>
      </c>
      <c r="I4045" t="s">
        <v>1251</v>
      </c>
      <c r="J4045" t="s">
        <v>1250</v>
      </c>
      <c r="K4045" t="s">
        <v>530</v>
      </c>
      <c r="N4045">
        <v>40</v>
      </c>
      <c r="O4045">
        <v>40</v>
      </c>
      <c r="P4045" t="str">
        <f t="shared" si="63"/>
        <v>N</v>
      </c>
      <c r="Q4045" t="s">
        <v>9775</v>
      </c>
    </row>
    <row r="4046" spans="1:17" x14ac:dyDescent="0.25">
      <c r="A4046" t="s">
        <v>2779</v>
      </c>
      <c r="B4046" t="s">
        <v>2444</v>
      </c>
      <c r="C4046">
        <v>2027</v>
      </c>
      <c r="D4046" t="s">
        <v>651</v>
      </c>
      <c r="E4046" t="s">
        <v>847</v>
      </c>
      <c r="F4046" s="32">
        <v>46507</v>
      </c>
      <c r="G4046" t="s">
        <v>514</v>
      </c>
      <c r="H4046">
        <v>47128587</v>
      </c>
      <c r="I4046" t="s">
        <v>2489</v>
      </c>
      <c r="J4046" t="s">
        <v>2490</v>
      </c>
      <c r="K4046" t="s">
        <v>530</v>
      </c>
      <c r="N4046">
        <v>40</v>
      </c>
      <c r="O4046">
        <v>40</v>
      </c>
      <c r="P4046" t="str">
        <f t="shared" si="63"/>
        <v>N</v>
      </c>
      <c r="Q4046" t="s">
        <v>9776</v>
      </c>
    </row>
    <row r="4047" spans="1:17" x14ac:dyDescent="0.25">
      <c r="A4047" t="s">
        <v>2780</v>
      </c>
      <c r="B4047" t="s">
        <v>2444</v>
      </c>
      <c r="C4047">
        <v>2027</v>
      </c>
      <c r="D4047" t="s">
        <v>651</v>
      </c>
      <c r="E4047" t="s">
        <v>847</v>
      </c>
      <c r="F4047" s="32">
        <v>46507</v>
      </c>
      <c r="G4047" t="s">
        <v>514</v>
      </c>
      <c r="H4047">
        <v>47128247</v>
      </c>
      <c r="I4047" t="s">
        <v>2492</v>
      </c>
      <c r="J4047" t="s">
        <v>2493</v>
      </c>
      <c r="K4047" t="s">
        <v>530</v>
      </c>
      <c r="N4047">
        <v>0</v>
      </c>
      <c r="O4047">
        <v>0</v>
      </c>
      <c r="P4047" t="str">
        <f t="shared" si="63"/>
        <v>N</v>
      </c>
      <c r="Q4047" t="s">
        <v>9777</v>
      </c>
    </row>
    <row r="4048" spans="1:17" x14ac:dyDescent="0.25">
      <c r="A4048" t="s">
        <v>2781</v>
      </c>
      <c r="B4048" t="s">
        <v>2444</v>
      </c>
      <c r="C4048">
        <v>2027</v>
      </c>
      <c r="D4048" t="s">
        <v>651</v>
      </c>
      <c r="E4048" t="s">
        <v>847</v>
      </c>
      <c r="F4048" s="32">
        <v>46507</v>
      </c>
      <c r="G4048" t="s">
        <v>514</v>
      </c>
      <c r="H4048">
        <v>47128781</v>
      </c>
      <c r="I4048" t="s">
        <v>1251</v>
      </c>
      <c r="J4048" t="s">
        <v>1250</v>
      </c>
      <c r="K4048" t="s">
        <v>530</v>
      </c>
      <c r="N4048">
        <v>40</v>
      </c>
      <c r="O4048">
        <v>40</v>
      </c>
      <c r="P4048" t="str">
        <f t="shared" si="63"/>
        <v>N</v>
      </c>
      <c r="Q4048" t="s">
        <v>9778</v>
      </c>
    </row>
    <row r="4049" spans="1:17" x14ac:dyDescent="0.25">
      <c r="A4049" t="s">
        <v>3085</v>
      </c>
      <c r="B4049" t="s">
        <v>2783</v>
      </c>
      <c r="C4049">
        <v>2027</v>
      </c>
      <c r="D4049" t="s">
        <v>651</v>
      </c>
      <c r="E4049" t="s">
        <v>847</v>
      </c>
      <c r="F4049" s="32">
        <v>46507</v>
      </c>
      <c r="G4049" t="s">
        <v>514</v>
      </c>
      <c r="H4049">
        <v>47128587</v>
      </c>
      <c r="I4049" t="s">
        <v>2489</v>
      </c>
      <c r="J4049" t="s">
        <v>2490</v>
      </c>
      <c r="K4049" t="s">
        <v>530</v>
      </c>
      <c r="N4049">
        <v>40</v>
      </c>
      <c r="O4049">
        <v>40</v>
      </c>
      <c r="P4049" t="str">
        <f t="shared" si="63"/>
        <v>N</v>
      </c>
      <c r="Q4049" t="s">
        <v>9779</v>
      </c>
    </row>
    <row r="4050" spans="1:17" x14ac:dyDescent="0.25">
      <c r="A4050" t="s">
        <v>3086</v>
      </c>
      <c r="B4050" t="s">
        <v>2783</v>
      </c>
      <c r="C4050">
        <v>2027</v>
      </c>
      <c r="D4050" t="s">
        <v>651</v>
      </c>
      <c r="E4050" t="s">
        <v>847</v>
      </c>
      <c r="F4050" s="32">
        <v>46507</v>
      </c>
      <c r="G4050" t="s">
        <v>514</v>
      </c>
      <c r="H4050">
        <v>47128247</v>
      </c>
      <c r="I4050" t="s">
        <v>2492</v>
      </c>
      <c r="J4050" t="s">
        <v>2493</v>
      </c>
      <c r="K4050" t="s">
        <v>530</v>
      </c>
      <c r="N4050">
        <v>0</v>
      </c>
      <c r="O4050">
        <v>0</v>
      </c>
      <c r="P4050" t="str">
        <f t="shared" si="63"/>
        <v>N</v>
      </c>
      <c r="Q4050" t="s">
        <v>9780</v>
      </c>
    </row>
    <row r="4051" spans="1:17" x14ac:dyDescent="0.25">
      <c r="A4051" t="s">
        <v>3087</v>
      </c>
      <c r="B4051" t="s">
        <v>2783</v>
      </c>
      <c r="C4051">
        <v>2027</v>
      </c>
      <c r="D4051" t="s">
        <v>651</v>
      </c>
      <c r="E4051" t="s">
        <v>847</v>
      </c>
      <c r="F4051" s="32">
        <v>46507</v>
      </c>
      <c r="G4051" t="s">
        <v>514</v>
      </c>
      <c r="H4051">
        <v>47128781</v>
      </c>
      <c r="I4051" t="s">
        <v>1251</v>
      </c>
      <c r="J4051" t="s">
        <v>1250</v>
      </c>
      <c r="K4051" t="s">
        <v>530</v>
      </c>
      <c r="N4051">
        <v>40</v>
      </c>
      <c r="O4051">
        <v>40</v>
      </c>
      <c r="P4051" t="str">
        <f t="shared" si="63"/>
        <v>N</v>
      </c>
      <c r="Q4051" t="s">
        <v>9781</v>
      </c>
    </row>
    <row r="4052" spans="1:17" x14ac:dyDescent="0.25">
      <c r="A4052" t="s">
        <v>3752</v>
      </c>
      <c r="B4052" t="s">
        <v>1080</v>
      </c>
      <c r="C4052">
        <v>2027</v>
      </c>
      <c r="D4052" t="s">
        <v>651</v>
      </c>
      <c r="E4052" t="s">
        <v>847</v>
      </c>
      <c r="F4052" s="32">
        <v>46507</v>
      </c>
      <c r="G4052" t="s">
        <v>514</v>
      </c>
      <c r="H4052">
        <v>47128168</v>
      </c>
      <c r="I4052" t="s">
        <v>1100</v>
      </c>
      <c r="J4052" t="s">
        <v>1099</v>
      </c>
      <c r="K4052" t="s">
        <v>530</v>
      </c>
      <c r="N4052">
        <v>0</v>
      </c>
      <c r="O4052">
        <v>0</v>
      </c>
      <c r="P4052" t="str">
        <f t="shared" si="63"/>
        <v>N</v>
      </c>
      <c r="Q4052" t="s">
        <v>9782</v>
      </c>
    </row>
    <row r="4053" spans="1:17" x14ac:dyDescent="0.25">
      <c r="A4053" t="s">
        <v>3753</v>
      </c>
      <c r="B4053" t="s">
        <v>1080</v>
      </c>
      <c r="C4053">
        <v>2027</v>
      </c>
      <c r="D4053" t="s">
        <v>651</v>
      </c>
      <c r="E4053" t="s">
        <v>847</v>
      </c>
      <c r="F4053" s="32">
        <v>46507</v>
      </c>
      <c r="G4053" t="s">
        <v>514</v>
      </c>
      <c r="H4053">
        <v>47128906</v>
      </c>
      <c r="I4053" t="s">
        <v>1349</v>
      </c>
      <c r="J4053" t="s">
        <v>1348</v>
      </c>
      <c r="K4053" t="s">
        <v>530</v>
      </c>
      <c r="N4053">
        <v>0</v>
      </c>
      <c r="O4053">
        <v>0</v>
      </c>
      <c r="P4053" t="str">
        <f t="shared" si="63"/>
        <v>N</v>
      </c>
      <c r="Q4053" t="s">
        <v>9783</v>
      </c>
    </row>
    <row r="4054" spans="1:17" x14ac:dyDescent="0.25">
      <c r="A4054" t="s">
        <v>3754</v>
      </c>
      <c r="B4054" t="s">
        <v>1080</v>
      </c>
      <c r="C4054">
        <v>2027</v>
      </c>
      <c r="D4054" t="s">
        <v>651</v>
      </c>
      <c r="E4054" t="s">
        <v>847</v>
      </c>
      <c r="F4054" s="32">
        <v>46507</v>
      </c>
      <c r="G4054" t="s">
        <v>514</v>
      </c>
      <c r="H4054">
        <v>47128783</v>
      </c>
      <c r="I4054" t="s">
        <v>1280</v>
      </c>
      <c r="J4054" t="s">
        <v>1279</v>
      </c>
      <c r="K4054" t="s">
        <v>530</v>
      </c>
      <c r="N4054">
        <v>0</v>
      </c>
      <c r="O4054">
        <v>0</v>
      </c>
      <c r="P4054" t="str">
        <f t="shared" si="63"/>
        <v>N</v>
      </c>
      <c r="Q4054" t="s">
        <v>9784</v>
      </c>
    </row>
    <row r="4055" spans="1:17" x14ac:dyDescent="0.25">
      <c r="A4055" t="s">
        <v>3755</v>
      </c>
      <c r="B4055" t="s">
        <v>1080</v>
      </c>
      <c r="C4055">
        <v>2027</v>
      </c>
      <c r="D4055" t="s">
        <v>651</v>
      </c>
      <c r="E4055" t="s">
        <v>847</v>
      </c>
      <c r="F4055" s="32">
        <v>46507</v>
      </c>
      <c r="G4055" t="s">
        <v>514</v>
      </c>
      <c r="H4055">
        <v>47128944</v>
      </c>
      <c r="I4055" t="s">
        <v>1137</v>
      </c>
      <c r="J4055" t="s">
        <v>1136</v>
      </c>
      <c r="K4055" t="s">
        <v>530</v>
      </c>
      <c r="N4055">
        <v>0</v>
      </c>
      <c r="O4055">
        <v>0</v>
      </c>
      <c r="P4055" t="str">
        <f t="shared" si="63"/>
        <v>N</v>
      </c>
      <c r="Q4055" t="s">
        <v>9785</v>
      </c>
    </row>
    <row r="4056" spans="1:17" x14ac:dyDescent="0.25">
      <c r="A4056" t="s">
        <v>3756</v>
      </c>
      <c r="B4056" t="s">
        <v>1080</v>
      </c>
      <c r="C4056">
        <v>2027</v>
      </c>
      <c r="D4056" t="s">
        <v>651</v>
      </c>
      <c r="E4056" t="s">
        <v>847</v>
      </c>
      <c r="F4056" s="32">
        <v>46507</v>
      </c>
      <c r="G4056" t="s">
        <v>514</v>
      </c>
      <c r="H4056">
        <v>47128729</v>
      </c>
      <c r="I4056" t="s">
        <v>1149</v>
      </c>
      <c r="J4056" t="s">
        <v>1148</v>
      </c>
      <c r="K4056" t="s">
        <v>530</v>
      </c>
      <c r="N4056">
        <v>0</v>
      </c>
      <c r="O4056">
        <v>0</v>
      </c>
      <c r="P4056" t="str">
        <f t="shared" si="63"/>
        <v>N</v>
      </c>
      <c r="Q4056" t="s">
        <v>9786</v>
      </c>
    </row>
    <row r="4057" spans="1:17" x14ac:dyDescent="0.25">
      <c r="A4057" t="s">
        <v>3757</v>
      </c>
      <c r="B4057" t="s">
        <v>1080</v>
      </c>
      <c r="C4057">
        <v>2027</v>
      </c>
      <c r="D4057" t="s">
        <v>651</v>
      </c>
      <c r="E4057" t="s">
        <v>847</v>
      </c>
      <c r="F4057" s="32">
        <v>46507</v>
      </c>
      <c r="G4057" t="s">
        <v>514</v>
      </c>
      <c r="H4057">
        <v>47128585</v>
      </c>
      <c r="I4057" t="s">
        <v>1141</v>
      </c>
      <c r="J4057" t="s">
        <v>1140</v>
      </c>
      <c r="K4057" t="s">
        <v>530</v>
      </c>
      <c r="N4057">
        <v>0</v>
      </c>
      <c r="O4057">
        <v>0</v>
      </c>
      <c r="P4057" t="str">
        <f t="shared" si="63"/>
        <v>N</v>
      </c>
      <c r="Q4057" t="s">
        <v>9787</v>
      </c>
    </row>
    <row r="4058" spans="1:17" x14ac:dyDescent="0.25">
      <c r="A4058" t="s">
        <v>3758</v>
      </c>
      <c r="B4058" t="s">
        <v>1080</v>
      </c>
      <c r="C4058">
        <v>2027</v>
      </c>
      <c r="D4058" t="s">
        <v>651</v>
      </c>
      <c r="E4058" t="s">
        <v>847</v>
      </c>
      <c r="F4058" s="32">
        <v>46507</v>
      </c>
      <c r="G4058" t="s">
        <v>514</v>
      </c>
      <c r="H4058">
        <v>47128680</v>
      </c>
      <c r="I4058" t="s">
        <v>1284</v>
      </c>
      <c r="J4058" t="s">
        <v>1283</v>
      </c>
      <c r="K4058" t="s">
        <v>530</v>
      </c>
      <c r="N4058">
        <v>0</v>
      </c>
      <c r="O4058">
        <v>0</v>
      </c>
      <c r="P4058" t="str">
        <f t="shared" si="63"/>
        <v>N</v>
      </c>
      <c r="Q4058" t="s">
        <v>9788</v>
      </c>
    </row>
    <row r="4059" spans="1:17" x14ac:dyDescent="0.25">
      <c r="A4059" t="s">
        <v>3759</v>
      </c>
      <c r="B4059" t="s">
        <v>1080</v>
      </c>
      <c r="C4059">
        <v>2027</v>
      </c>
      <c r="D4059" t="s">
        <v>651</v>
      </c>
      <c r="E4059" t="s">
        <v>847</v>
      </c>
      <c r="F4059" s="32">
        <v>46507</v>
      </c>
      <c r="G4059" t="s">
        <v>514</v>
      </c>
      <c r="H4059">
        <v>47128585</v>
      </c>
      <c r="I4059" t="s">
        <v>1141</v>
      </c>
      <c r="J4059" t="s">
        <v>1408</v>
      </c>
      <c r="K4059" t="s">
        <v>530</v>
      </c>
      <c r="N4059">
        <v>0</v>
      </c>
      <c r="O4059">
        <v>0</v>
      </c>
      <c r="P4059" t="str">
        <f t="shared" si="63"/>
        <v>N</v>
      </c>
      <c r="Q4059" t="s">
        <v>9789</v>
      </c>
    </row>
    <row r="4060" spans="1:17" x14ac:dyDescent="0.25">
      <c r="A4060" t="s">
        <v>3760</v>
      </c>
      <c r="B4060" t="s">
        <v>1080</v>
      </c>
      <c r="C4060">
        <v>2027</v>
      </c>
      <c r="D4060" t="s">
        <v>651</v>
      </c>
      <c r="E4060" t="s">
        <v>847</v>
      </c>
      <c r="F4060" s="32">
        <v>46507</v>
      </c>
      <c r="G4060" t="s">
        <v>514</v>
      </c>
      <c r="H4060">
        <v>47128039</v>
      </c>
      <c r="I4060" t="s">
        <v>1405</v>
      </c>
      <c r="J4060" t="s">
        <v>1404</v>
      </c>
      <c r="K4060" t="s">
        <v>530</v>
      </c>
      <c r="N4060">
        <v>0</v>
      </c>
      <c r="O4060">
        <v>0</v>
      </c>
      <c r="P4060" t="str">
        <f t="shared" si="63"/>
        <v>N</v>
      </c>
      <c r="Q4060" t="s">
        <v>9790</v>
      </c>
    </row>
    <row r="4061" spans="1:17" x14ac:dyDescent="0.25">
      <c r="A4061" t="s">
        <v>3761</v>
      </c>
      <c r="B4061" t="s">
        <v>1080</v>
      </c>
      <c r="C4061">
        <v>2027</v>
      </c>
      <c r="D4061" t="s">
        <v>651</v>
      </c>
      <c r="E4061" t="s">
        <v>847</v>
      </c>
      <c r="F4061" s="32">
        <v>46507</v>
      </c>
      <c r="G4061" t="s">
        <v>514</v>
      </c>
      <c r="H4061">
        <v>47128024</v>
      </c>
      <c r="I4061" t="s">
        <v>1108</v>
      </c>
      <c r="J4061" t="s">
        <v>1107</v>
      </c>
      <c r="K4061" t="s">
        <v>530</v>
      </c>
      <c r="N4061">
        <v>0</v>
      </c>
      <c r="O4061">
        <v>0</v>
      </c>
      <c r="P4061" t="str">
        <f t="shared" si="63"/>
        <v>N</v>
      </c>
      <c r="Q4061" t="s">
        <v>9791</v>
      </c>
    </row>
    <row r="4062" spans="1:17" x14ac:dyDescent="0.25">
      <c r="A4062" t="s">
        <v>3762</v>
      </c>
      <c r="B4062" t="s">
        <v>1080</v>
      </c>
      <c r="C4062">
        <v>2027</v>
      </c>
      <c r="D4062" t="s">
        <v>651</v>
      </c>
      <c r="E4062" t="s">
        <v>847</v>
      </c>
      <c r="F4062" s="32">
        <v>46507</v>
      </c>
      <c r="G4062" t="s">
        <v>514</v>
      </c>
      <c r="H4062">
        <v>47128430</v>
      </c>
      <c r="I4062" t="s">
        <v>1401</v>
      </c>
      <c r="J4062" t="s">
        <v>1400</v>
      </c>
      <c r="K4062" t="s">
        <v>530</v>
      </c>
      <c r="N4062">
        <v>0</v>
      </c>
      <c r="O4062">
        <v>0</v>
      </c>
      <c r="P4062" t="str">
        <f t="shared" si="63"/>
        <v>N</v>
      </c>
      <c r="Q4062" t="s">
        <v>9792</v>
      </c>
    </row>
    <row r="4063" spans="1:17" x14ac:dyDescent="0.25">
      <c r="A4063" t="s">
        <v>3763</v>
      </c>
      <c r="B4063" t="s">
        <v>1080</v>
      </c>
      <c r="C4063">
        <v>2027</v>
      </c>
      <c r="D4063" t="s">
        <v>651</v>
      </c>
      <c r="E4063" t="s">
        <v>847</v>
      </c>
      <c r="F4063" s="32">
        <v>46507</v>
      </c>
      <c r="G4063" t="s">
        <v>514</v>
      </c>
      <c r="H4063">
        <v>47128555</v>
      </c>
      <c r="I4063" t="s">
        <v>1209</v>
      </c>
      <c r="J4063" t="s">
        <v>1208</v>
      </c>
      <c r="K4063" t="s">
        <v>530</v>
      </c>
      <c r="N4063">
        <v>0</v>
      </c>
      <c r="O4063">
        <v>0</v>
      </c>
      <c r="P4063" t="str">
        <f t="shared" si="63"/>
        <v>N</v>
      </c>
      <c r="Q4063" t="s">
        <v>9793</v>
      </c>
    </row>
    <row r="4064" spans="1:17" x14ac:dyDescent="0.25">
      <c r="A4064" t="s">
        <v>3764</v>
      </c>
      <c r="B4064" t="s">
        <v>1080</v>
      </c>
      <c r="C4064">
        <v>2027</v>
      </c>
      <c r="D4064" t="s">
        <v>651</v>
      </c>
      <c r="E4064" t="s">
        <v>847</v>
      </c>
      <c r="F4064" s="32">
        <v>46507</v>
      </c>
      <c r="G4064" t="s">
        <v>514</v>
      </c>
      <c r="H4064">
        <v>47128522</v>
      </c>
      <c r="I4064" t="s">
        <v>1092</v>
      </c>
      <c r="J4064" t="s">
        <v>1091</v>
      </c>
      <c r="K4064" t="s">
        <v>530</v>
      </c>
      <c r="N4064">
        <v>0</v>
      </c>
      <c r="O4064">
        <v>0</v>
      </c>
      <c r="P4064" t="str">
        <f t="shared" si="63"/>
        <v>N</v>
      </c>
      <c r="Q4064" t="s">
        <v>9794</v>
      </c>
    </row>
    <row r="4065" spans="1:17" x14ac:dyDescent="0.25">
      <c r="A4065" t="s">
        <v>3765</v>
      </c>
      <c r="B4065" t="s">
        <v>1080</v>
      </c>
      <c r="C4065">
        <v>2027</v>
      </c>
      <c r="D4065" t="s">
        <v>651</v>
      </c>
      <c r="E4065" t="s">
        <v>847</v>
      </c>
      <c r="F4065" s="32">
        <v>46507</v>
      </c>
      <c r="G4065" t="s">
        <v>514</v>
      </c>
      <c r="H4065">
        <v>47147546</v>
      </c>
      <c r="I4065" t="s">
        <v>1077</v>
      </c>
      <c r="J4065" t="s">
        <v>1076</v>
      </c>
      <c r="K4065" t="s">
        <v>530</v>
      </c>
      <c r="N4065">
        <v>0</v>
      </c>
      <c r="O4065">
        <v>0</v>
      </c>
      <c r="P4065" t="str">
        <f t="shared" si="63"/>
        <v>N</v>
      </c>
      <c r="Q4065" t="s">
        <v>9795</v>
      </c>
    </row>
    <row r="4066" spans="1:17" x14ac:dyDescent="0.25">
      <c r="A4066" t="s">
        <v>3766</v>
      </c>
      <c r="B4066" t="s">
        <v>1080</v>
      </c>
      <c r="C4066">
        <v>2027</v>
      </c>
      <c r="D4066" t="s">
        <v>651</v>
      </c>
      <c r="E4066" t="s">
        <v>847</v>
      </c>
      <c r="F4066" s="32">
        <v>46507</v>
      </c>
      <c r="G4066" t="s">
        <v>514</v>
      </c>
      <c r="H4066">
        <v>47128597</v>
      </c>
      <c r="I4066" t="s">
        <v>1510</v>
      </c>
      <c r="J4066" t="s">
        <v>1509</v>
      </c>
      <c r="K4066" t="s">
        <v>530</v>
      </c>
      <c r="N4066">
        <v>0</v>
      </c>
      <c r="O4066">
        <v>0</v>
      </c>
      <c r="P4066" t="str">
        <f t="shared" si="63"/>
        <v>N</v>
      </c>
      <c r="Q4066" t="s">
        <v>9796</v>
      </c>
    </row>
    <row r="4067" spans="1:17" x14ac:dyDescent="0.25">
      <c r="A4067" t="s">
        <v>3767</v>
      </c>
      <c r="B4067" t="s">
        <v>1080</v>
      </c>
      <c r="C4067">
        <v>2027</v>
      </c>
      <c r="D4067" t="s">
        <v>651</v>
      </c>
      <c r="E4067" t="s">
        <v>847</v>
      </c>
      <c r="F4067" s="32">
        <v>46507</v>
      </c>
      <c r="G4067" t="s">
        <v>514</v>
      </c>
      <c r="H4067">
        <v>47128257</v>
      </c>
      <c r="I4067" t="s">
        <v>979</v>
      </c>
      <c r="J4067" t="s">
        <v>978</v>
      </c>
      <c r="K4067" t="s">
        <v>530</v>
      </c>
      <c r="N4067">
        <v>0</v>
      </c>
      <c r="O4067">
        <v>0</v>
      </c>
      <c r="P4067" t="str">
        <f t="shared" si="63"/>
        <v>N</v>
      </c>
      <c r="Q4067" t="s">
        <v>9797</v>
      </c>
    </row>
    <row r="4068" spans="1:17" x14ac:dyDescent="0.25">
      <c r="A4068" t="s">
        <v>3768</v>
      </c>
      <c r="B4068" t="s">
        <v>1080</v>
      </c>
      <c r="C4068">
        <v>2027</v>
      </c>
      <c r="D4068" t="s">
        <v>651</v>
      </c>
      <c r="E4068" t="s">
        <v>847</v>
      </c>
      <c r="F4068" s="32">
        <v>46507</v>
      </c>
      <c r="G4068" t="s">
        <v>514</v>
      </c>
      <c r="H4068">
        <v>47128880</v>
      </c>
      <c r="I4068" t="s">
        <v>1014</v>
      </c>
      <c r="J4068" t="s">
        <v>1013</v>
      </c>
      <c r="K4068" t="s">
        <v>530</v>
      </c>
      <c r="N4068">
        <v>0</v>
      </c>
      <c r="O4068">
        <v>0</v>
      </c>
      <c r="P4068" t="str">
        <f t="shared" si="63"/>
        <v>N</v>
      </c>
      <c r="Q4068" t="s">
        <v>9798</v>
      </c>
    </row>
    <row r="4069" spans="1:17" x14ac:dyDescent="0.25">
      <c r="A4069" t="s">
        <v>3769</v>
      </c>
      <c r="B4069" t="s">
        <v>1080</v>
      </c>
      <c r="C4069">
        <v>2027</v>
      </c>
      <c r="D4069" t="s">
        <v>651</v>
      </c>
      <c r="E4069" t="s">
        <v>847</v>
      </c>
      <c r="F4069" s="32">
        <v>46507</v>
      </c>
      <c r="G4069" t="s">
        <v>514</v>
      </c>
      <c r="H4069">
        <v>47128879</v>
      </c>
      <c r="I4069" t="s">
        <v>1132</v>
      </c>
      <c r="J4069" t="s">
        <v>1131</v>
      </c>
      <c r="K4069" t="s">
        <v>530</v>
      </c>
      <c r="N4069">
        <v>0</v>
      </c>
      <c r="O4069">
        <v>0</v>
      </c>
      <c r="P4069" t="str">
        <f t="shared" si="63"/>
        <v>N</v>
      </c>
      <c r="Q4069" t="s">
        <v>9799</v>
      </c>
    </row>
    <row r="4070" spans="1:17" x14ac:dyDescent="0.25">
      <c r="A4070" t="s">
        <v>3770</v>
      </c>
      <c r="B4070" t="s">
        <v>1080</v>
      </c>
      <c r="C4070">
        <v>2027</v>
      </c>
      <c r="D4070" t="s">
        <v>651</v>
      </c>
      <c r="E4070" t="s">
        <v>847</v>
      </c>
      <c r="F4070" s="32">
        <v>46507</v>
      </c>
      <c r="G4070" t="s">
        <v>514</v>
      </c>
      <c r="H4070">
        <v>47128413</v>
      </c>
      <c r="I4070" t="s">
        <v>1397</v>
      </c>
      <c r="J4070" t="s">
        <v>1396</v>
      </c>
      <c r="K4070" t="s">
        <v>530</v>
      </c>
      <c r="N4070">
        <v>0</v>
      </c>
      <c r="O4070">
        <v>0</v>
      </c>
      <c r="P4070" t="str">
        <f t="shared" si="63"/>
        <v>N</v>
      </c>
      <c r="Q4070" t="s">
        <v>9800</v>
      </c>
    </row>
    <row r="4071" spans="1:17" x14ac:dyDescent="0.25">
      <c r="A4071" t="s">
        <v>3771</v>
      </c>
      <c r="B4071" t="s">
        <v>1080</v>
      </c>
      <c r="C4071">
        <v>2027</v>
      </c>
      <c r="D4071" t="s">
        <v>651</v>
      </c>
      <c r="E4071" t="s">
        <v>847</v>
      </c>
      <c r="F4071" s="32">
        <v>46507</v>
      </c>
      <c r="G4071" t="s">
        <v>514</v>
      </c>
      <c r="H4071">
        <v>47146464</v>
      </c>
      <c r="I4071" t="s">
        <v>1438</v>
      </c>
      <c r="J4071" t="s">
        <v>1437</v>
      </c>
      <c r="K4071" t="s">
        <v>530</v>
      </c>
      <c r="N4071">
        <v>0</v>
      </c>
      <c r="O4071">
        <v>0</v>
      </c>
      <c r="P4071" t="str">
        <f t="shared" si="63"/>
        <v>N</v>
      </c>
      <c r="Q4071" t="s">
        <v>9801</v>
      </c>
    </row>
    <row r="4072" spans="1:17" x14ac:dyDescent="0.25">
      <c r="A4072" t="s">
        <v>3772</v>
      </c>
      <c r="B4072" t="s">
        <v>1080</v>
      </c>
      <c r="C4072">
        <v>2027</v>
      </c>
      <c r="D4072" t="s">
        <v>651</v>
      </c>
      <c r="E4072" t="s">
        <v>847</v>
      </c>
      <c r="F4072" s="32">
        <v>46507</v>
      </c>
      <c r="G4072" t="s">
        <v>514</v>
      </c>
      <c r="H4072">
        <v>47147546</v>
      </c>
      <c r="I4072" t="s">
        <v>1077</v>
      </c>
      <c r="J4072" t="s">
        <v>1381</v>
      </c>
      <c r="K4072" t="s">
        <v>530</v>
      </c>
      <c r="N4072">
        <v>0</v>
      </c>
      <c r="O4072">
        <v>0</v>
      </c>
      <c r="P4072" t="str">
        <f t="shared" si="63"/>
        <v>N</v>
      </c>
      <c r="Q4072" t="s">
        <v>9802</v>
      </c>
    </row>
    <row r="4073" spans="1:17" x14ac:dyDescent="0.25">
      <c r="A4073" t="s">
        <v>3773</v>
      </c>
      <c r="B4073" t="s">
        <v>1080</v>
      </c>
      <c r="C4073">
        <v>2027</v>
      </c>
      <c r="D4073" t="s">
        <v>651</v>
      </c>
      <c r="E4073" t="s">
        <v>847</v>
      </c>
      <c r="F4073" s="32">
        <v>46507</v>
      </c>
      <c r="G4073" t="s">
        <v>514</v>
      </c>
      <c r="H4073">
        <v>47128800</v>
      </c>
      <c r="I4073" t="s">
        <v>1145</v>
      </c>
      <c r="J4073" t="s">
        <v>1144</v>
      </c>
      <c r="K4073" t="s">
        <v>530</v>
      </c>
      <c r="N4073">
        <v>0</v>
      </c>
      <c r="O4073">
        <v>0</v>
      </c>
      <c r="P4073" t="str">
        <f t="shared" si="63"/>
        <v>N</v>
      </c>
      <c r="Q4073" t="s">
        <v>9803</v>
      </c>
    </row>
    <row r="4074" spans="1:17" x14ac:dyDescent="0.25">
      <c r="A4074" t="s">
        <v>3774</v>
      </c>
      <c r="B4074" t="s">
        <v>1080</v>
      </c>
      <c r="C4074">
        <v>2027</v>
      </c>
      <c r="D4074" t="s">
        <v>651</v>
      </c>
      <c r="E4074" t="s">
        <v>847</v>
      </c>
      <c r="F4074" s="32">
        <v>46507</v>
      </c>
      <c r="G4074" t="s">
        <v>514</v>
      </c>
      <c r="H4074">
        <v>47128109</v>
      </c>
      <c r="I4074" t="s">
        <v>1336</v>
      </c>
      <c r="J4074" t="s">
        <v>1335</v>
      </c>
      <c r="K4074" t="s">
        <v>530</v>
      </c>
      <c r="N4074">
        <v>0</v>
      </c>
      <c r="O4074">
        <v>0</v>
      </c>
      <c r="P4074" t="str">
        <f t="shared" si="63"/>
        <v>N</v>
      </c>
      <c r="Q4074" t="s">
        <v>9804</v>
      </c>
    </row>
    <row r="4075" spans="1:17" x14ac:dyDescent="0.25">
      <c r="A4075" t="s">
        <v>3775</v>
      </c>
      <c r="B4075" t="s">
        <v>1080</v>
      </c>
      <c r="C4075">
        <v>2027</v>
      </c>
      <c r="D4075" t="s">
        <v>651</v>
      </c>
      <c r="E4075" t="s">
        <v>847</v>
      </c>
      <c r="F4075" s="32">
        <v>46507</v>
      </c>
      <c r="G4075" t="s">
        <v>514</v>
      </c>
      <c r="H4075">
        <v>47128346</v>
      </c>
      <c r="I4075" t="s">
        <v>1157</v>
      </c>
      <c r="J4075" t="s">
        <v>1156</v>
      </c>
      <c r="K4075" t="s">
        <v>530</v>
      </c>
      <c r="N4075">
        <v>0</v>
      </c>
      <c r="O4075">
        <v>0</v>
      </c>
      <c r="P4075" t="str">
        <f t="shared" si="63"/>
        <v>N</v>
      </c>
      <c r="Q4075" t="s">
        <v>9805</v>
      </c>
    </row>
    <row r="4076" spans="1:17" x14ac:dyDescent="0.25">
      <c r="A4076" t="s">
        <v>3776</v>
      </c>
      <c r="B4076" t="s">
        <v>1080</v>
      </c>
      <c r="C4076">
        <v>2027</v>
      </c>
      <c r="D4076" t="s">
        <v>651</v>
      </c>
      <c r="E4076" t="s">
        <v>847</v>
      </c>
      <c r="F4076" s="32">
        <v>46507</v>
      </c>
      <c r="G4076" t="s">
        <v>514</v>
      </c>
      <c r="H4076">
        <v>47128518</v>
      </c>
      <c r="I4076" t="s">
        <v>1232</v>
      </c>
      <c r="J4076" t="s">
        <v>1231</v>
      </c>
      <c r="K4076" t="s">
        <v>530</v>
      </c>
      <c r="N4076">
        <v>0</v>
      </c>
      <c r="O4076">
        <v>0</v>
      </c>
      <c r="P4076" t="str">
        <f t="shared" si="63"/>
        <v>N</v>
      </c>
      <c r="Q4076" t="s">
        <v>9806</v>
      </c>
    </row>
    <row r="4077" spans="1:17" x14ac:dyDescent="0.25">
      <c r="A4077" t="s">
        <v>3777</v>
      </c>
      <c r="B4077" t="s">
        <v>1080</v>
      </c>
      <c r="C4077">
        <v>2027</v>
      </c>
      <c r="D4077" t="s">
        <v>651</v>
      </c>
      <c r="E4077" t="s">
        <v>847</v>
      </c>
      <c r="F4077" s="32">
        <v>46507</v>
      </c>
      <c r="G4077" t="s">
        <v>514</v>
      </c>
      <c r="H4077">
        <v>47128418</v>
      </c>
      <c r="I4077" t="s">
        <v>1082</v>
      </c>
      <c r="J4077" t="s">
        <v>1081</v>
      </c>
      <c r="K4077" t="s">
        <v>530</v>
      </c>
      <c r="N4077">
        <v>0</v>
      </c>
      <c r="O4077">
        <v>0</v>
      </c>
      <c r="P4077" t="str">
        <f t="shared" si="63"/>
        <v>N</v>
      </c>
      <c r="Q4077" t="s">
        <v>9807</v>
      </c>
    </row>
    <row r="4078" spans="1:17" x14ac:dyDescent="0.25">
      <c r="A4078" t="s">
        <v>3778</v>
      </c>
      <c r="B4078" t="s">
        <v>1080</v>
      </c>
      <c r="C4078">
        <v>2027</v>
      </c>
      <c r="D4078" t="s">
        <v>651</v>
      </c>
      <c r="E4078" t="s">
        <v>847</v>
      </c>
      <c r="F4078" s="32">
        <v>46507</v>
      </c>
      <c r="G4078" t="s">
        <v>514</v>
      </c>
      <c r="H4078">
        <v>47128968</v>
      </c>
      <c r="I4078" t="s">
        <v>947</v>
      </c>
      <c r="J4078" t="s">
        <v>946</v>
      </c>
      <c r="K4078" t="s">
        <v>530</v>
      </c>
      <c r="N4078">
        <v>0</v>
      </c>
      <c r="O4078">
        <v>0</v>
      </c>
      <c r="P4078" t="str">
        <f t="shared" si="63"/>
        <v>N</v>
      </c>
      <c r="Q4078" t="s">
        <v>9808</v>
      </c>
    </row>
    <row r="4079" spans="1:17" x14ac:dyDescent="0.25">
      <c r="A4079" t="s">
        <v>3779</v>
      </c>
      <c r="B4079" t="s">
        <v>1080</v>
      </c>
      <c r="C4079">
        <v>2027</v>
      </c>
      <c r="D4079" t="s">
        <v>651</v>
      </c>
      <c r="E4079" t="s">
        <v>847</v>
      </c>
      <c r="F4079" s="32">
        <v>46507</v>
      </c>
      <c r="G4079" t="s">
        <v>514</v>
      </c>
      <c r="H4079">
        <v>47147658</v>
      </c>
      <c r="I4079" t="s">
        <v>1276</v>
      </c>
      <c r="J4079" t="s">
        <v>1275</v>
      </c>
      <c r="K4079" t="s">
        <v>530</v>
      </c>
      <c r="N4079">
        <v>0</v>
      </c>
      <c r="O4079">
        <v>0</v>
      </c>
      <c r="P4079" t="str">
        <f t="shared" si="63"/>
        <v>N</v>
      </c>
      <c r="Q4079" t="s">
        <v>9809</v>
      </c>
    </row>
    <row r="4080" spans="1:17" x14ac:dyDescent="0.25">
      <c r="A4080" t="s">
        <v>3780</v>
      </c>
      <c r="B4080" t="s">
        <v>1080</v>
      </c>
      <c r="C4080">
        <v>2027</v>
      </c>
      <c r="D4080" t="s">
        <v>651</v>
      </c>
      <c r="E4080" t="s">
        <v>847</v>
      </c>
      <c r="F4080" s="32">
        <v>46507</v>
      </c>
      <c r="G4080" t="s">
        <v>514</v>
      </c>
      <c r="H4080">
        <v>47128781</v>
      </c>
      <c r="I4080" t="s">
        <v>1251</v>
      </c>
      <c r="J4080" t="s">
        <v>1250</v>
      </c>
      <c r="K4080" t="s">
        <v>530</v>
      </c>
      <c r="N4080">
        <v>40</v>
      </c>
      <c r="O4080">
        <v>40</v>
      </c>
      <c r="P4080" t="str">
        <f t="shared" si="63"/>
        <v>N</v>
      </c>
      <c r="Q4080" t="s">
        <v>9810</v>
      </c>
    </row>
    <row r="4081" spans="1:17" x14ac:dyDescent="0.25">
      <c r="A4081" t="s">
        <v>3935</v>
      </c>
      <c r="B4081" t="s">
        <v>1043</v>
      </c>
      <c r="C4081">
        <v>2027</v>
      </c>
      <c r="D4081" t="s">
        <v>651</v>
      </c>
      <c r="E4081" t="s">
        <v>847</v>
      </c>
      <c r="F4081" s="32">
        <v>46507</v>
      </c>
      <c r="G4081" t="s">
        <v>514</v>
      </c>
      <c r="H4081">
        <v>47128781</v>
      </c>
      <c r="I4081" t="s">
        <v>1251</v>
      </c>
      <c r="J4081" t="s">
        <v>1250</v>
      </c>
      <c r="K4081" t="s">
        <v>530</v>
      </c>
      <c r="N4081">
        <v>0</v>
      </c>
      <c r="O4081">
        <v>0</v>
      </c>
      <c r="P4081" t="str">
        <f t="shared" si="63"/>
        <v>N</v>
      </c>
      <c r="Q4081" t="s">
        <v>9811</v>
      </c>
    </row>
    <row r="4082" spans="1:17" x14ac:dyDescent="0.25">
      <c r="A4082" t="s">
        <v>3936</v>
      </c>
      <c r="B4082" t="s">
        <v>1043</v>
      </c>
      <c r="C4082">
        <v>2027</v>
      </c>
      <c r="D4082" t="s">
        <v>651</v>
      </c>
      <c r="E4082" t="s">
        <v>847</v>
      </c>
      <c r="F4082" s="32">
        <v>46507</v>
      </c>
      <c r="G4082" t="s">
        <v>514</v>
      </c>
      <c r="H4082">
        <v>47128046</v>
      </c>
      <c r="I4082" t="s">
        <v>1389</v>
      </c>
      <c r="J4082" t="s">
        <v>1388</v>
      </c>
      <c r="K4082" t="s">
        <v>530</v>
      </c>
      <c r="N4082">
        <v>0</v>
      </c>
      <c r="O4082">
        <v>0</v>
      </c>
      <c r="P4082" t="str">
        <f t="shared" si="63"/>
        <v>N</v>
      </c>
      <c r="Q4082" t="s">
        <v>9812</v>
      </c>
    </row>
    <row r="4083" spans="1:17" x14ac:dyDescent="0.25">
      <c r="A4083" t="s">
        <v>4121</v>
      </c>
      <c r="B4083" t="s">
        <v>1489</v>
      </c>
      <c r="C4083">
        <v>2027</v>
      </c>
      <c r="D4083" t="s">
        <v>651</v>
      </c>
      <c r="E4083" t="s">
        <v>847</v>
      </c>
      <c r="F4083" s="32">
        <v>46507</v>
      </c>
      <c r="G4083" t="s">
        <v>514</v>
      </c>
      <c r="H4083">
        <v>47128781</v>
      </c>
      <c r="I4083" t="s">
        <v>1251</v>
      </c>
      <c r="J4083" t="s">
        <v>1250</v>
      </c>
      <c r="K4083" t="s">
        <v>530</v>
      </c>
      <c r="N4083">
        <v>0</v>
      </c>
      <c r="O4083">
        <v>0</v>
      </c>
      <c r="P4083" t="str">
        <f t="shared" si="63"/>
        <v>N</v>
      </c>
      <c r="Q4083" t="s">
        <v>9813</v>
      </c>
    </row>
    <row r="4084" spans="1:17" x14ac:dyDescent="0.25">
      <c r="A4084" t="s">
        <v>4122</v>
      </c>
      <c r="B4084" t="s">
        <v>1489</v>
      </c>
      <c r="C4084">
        <v>2027</v>
      </c>
      <c r="D4084" t="s">
        <v>651</v>
      </c>
      <c r="E4084" t="s">
        <v>847</v>
      </c>
      <c r="F4084" s="32">
        <v>46507</v>
      </c>
      <c r="G4084" t="s">
        <v>514</v>
      </c>
      <c r="H4084">
        <v>47128336</v>
      </c>
      <c r="I4084" t="s">
        <v>1161</v>
      </c>
      <c r="J4084" t="s">
        <v>1160</v>
      </c>
      <c r="K4084" t="s">
        <v>530</v>
      </c>
      <c r="N4084">
        <v>30</v>
      </c>
      <c r="O4084">
        <v>30</v>
      </c>
      <c r="P4084" t="str">
        <f t="shared" si="63"/>
        <v>N</v>
      </c>
      <c r="Q4084" t="s">
        <v>9814</v>
      </c>
    </row>
    <row r="4085" spans="1:17" x14ac:dyDescent="0.25">
      <c r="A4085" t="s">
        <v>4424</v>
      </c>
      <c r="B4085" t="s">
        <v>916</v>
      </c>
      <c r="C4085">
        <v>2027</v>
      </c>
      <c r="D4085" t="s">
        <v>651</v>
      </c>
      <c r="E4085" t="s">
        <v>847</v>
      </c>
      <c r="F4085" s="32">
        <v>46507</v>
      </c>
      <c r="G4085" t="s">
        <v>514</v>
      </c>
      <c r="H4085">
        <v>47128781</v>
      </c>
      <c r="I4085" t="s">
        <v>1251</v>
      </c>
      <c r="J4085" t="s">
        <v>1250</v>
      </c>
      <c r="K4085" t="s">
        <v>530</v>
      </c>
      <c r="N4085">
        <v>40</v>
      </c>
      <c r="O4085">
        <v>40</v>
      </c>
      <c r="P4085" t="str">
        <f t="shared" si="63"/>
        <v>N</v>
      </c>
      <c r="Q4085" t="s">
        <v>9815</v>
      </c>
    </row>
    <row r="4086" spans="1:17" x14ac:dyDescent="0.25">
      <c r="A4086" t="s">
        <v>4425</v>
      </c>
      <c r="B4086" t="s">
        <v>916</v>
      </c>
      <c r="C4086">
        <v>2027</v>
      </c>
      <c r="D4086" t="s">
        <v>651</v>
      </c>
      <c r="E4086" t="s">
        <v>847</v>
      </c>
      <c r="F4086" s="32">
        <v>46507</v>
      </c>
      <c r="G4086" t="s">
        <v>514</v>
      </c>
      <c r="H4086">
        <v>47128046</v>
      </c>
      <c r="I4086" t="s">
        <v>1389</v>
      </c>
      <c r="J4086" t="s">
        <v>1388</v>
      </c>
      <c r="K4086" t="s">
        <v>530</v>
      </c>
      <c r="N4086">
        <v>0</v>
      </c>
      <c r="O4086">
        <v>0</v>
      </c>
      <c r="P4086" t="str">
        <f t="shared" si="63"/>
        <v>N</v>
      </c>
      <c r="Q4086" t="s">
        <v>9816</v>
      </c>
    </row>
    <row r="4087" spans="1:17" x14ac:dyDescent="0.25">
      <c r="A4087" t="s">
        <v>4426</v>
      </c>
      <c r="B4087" t="s">
        <v>916</v>
      </c>
      <c r="C4087">
        <v>2027</v>
      </c>
      <c r="D4087" t="s">
        <v>651</v>
      </c>
      <c r="E4087" t="s">
        <v>847</v>
      </c>
      <c r="F4087" s="32">
        <v>46507</v>
      </c>
      <c r="G4087" t="s">
        <v>514</v>
      </c>
      <c r="H4087">
        <v>47134379</v>
      </c>
      <c r="I4087" t="s">
        <v>1037</v>
      </c>
      <c r="J4087" t="s">
        <v>1417</v>
      </c>
      <c r="K4087" t="s">
        <v>530</v>
      </c>
      <c r="N4087">
        <v>112.4</v>
      </c>
      <c r="O4087">
        <v>112.4</v>
      </c>
      <c r="P4087" t="str">
        <f t="shared" si="63"/>
        <v>N</v>
      </c>
      <c r="Q4087" t="s">
        <v>9817</v>
      </c>
    </row>
    <row r="4088" spans="1:17" x14ac:dyDescent="0.25">
      <c r="A4088" t="s">
        <v>4773</v>
      </c>
      <c r="B4088" t="s">
        <v>1044</v>
      </c>
      <c r="C4088">
        <v>2027</v>
      </c>
      <c r="D4088" t="s">
        <v>651</v>
      </c>
      <c r="E4088" t="s">
        <v>847</v>
      </c>
      <c r="F4088" s="32">
        <v>46507</v>
      </c>
      <c r="G4088" t="s">
        <v>514</v>
      </c>
      <c r="H4088">
        <v>47133720</v>
      </c>
      <c r="I4088" t="s">
        <v>1217</v>
      </c>
      <c r="J4088" t="s">
        <v>1216</v>
      </c>
      <c r="K4088" t="s">
        <v>530</v>
      </c>
      <c r="N4088">
        <v>0</v>
      </c>
      <c r="O4088">
        <v>0</v>
      </c>
      <c r="P4088" t="str">
        <f t="shared" si="63"/>
        <v>N</v>
      </c>
      <c r="Q4088" t="s">
        <v>9818</v>
      </c>
    </row>
    <row r="4089" spans="1:17" x14ac:dyDescent="0.25">
      <c r="A4089" t="s">
        <v>4774</v>
      </c>
      <c r="B4089" t="s">
        <v>1044</v>
      </c>
      <c r="C4089">
        <v>2027</v>
      </c>
      <c r="D4089" t="s">
        <v>651</v>
      </c>
      <c r="E4089" t="s">
        <v>847</v>
      </c>
      <c r="F4089" s="32">
        <v>46507</v>
      </c>
      <c r="G4089" t="s">
        <v>514</v>
      </c>
      <c r="H4089">
        <v>47128781</v>
      </c>
      <c r="I4089" t="s">
        <v>1251</v>
      </c>
      <c r="J4089" t="s">
        <v>1250</v>
      </c>
      <c r="K4089" t="s">
        <v>530</v>
      </c>
      <c r="N4089">
        <v>0</v>
      </c>
      <c r="O4089">
        <v>0</v>
      </c>
      <c r="P4089" t="str">
        <f t="shared" si="63"/>
        <v>N</v>
      </c>
      <c r="Q4089" t="s">
        <v>9819</v>
      </c>
    </row>
    <row r="4090" spans="1:17" x14ac:dyDescent="0.25">
      <c r="A4090" t="s">
        <v>4775</v>
      </c>
      <c r="B4090" t="s">
        <v>1044</v>
      </c>
      <c r="C4090">
        <v>2027</v>
      </c>
      <c r="D4090" t="s">
        <v>651</v>
      </c>
      <c r="E4090" t="s">
        <v>847</v>
      </c>
      <c r="F4090" s="32">
        <v>46507</v>
      </c>
      <c r="G4090" t="s">
        <v>514</v>
      </c>
      <c r="H4090">
        <v>47128481</v>
      </c>
      <c r="I4090" t="s">
        <v>1379</v>
      </c>
      <c r="J4090" t="s">
        <v>1378</v>
      </c>
      <c r="K4090" t="s">
        <v>530</v>
      </c>
      <c r="N4090">
        <v>0</v>
      </c>
      <c r="O4090">
        <v>0</v>
      </c>
      <c r="P4090" t="str">
        <f t="shared" si="63"/>
        <v>N</v>
      </c>
      <c r="Q4090" t="s">
        <v>9820</v>
      </c>
    </row>
    <row r="4091" spans="1:17" x14ac:dyDescent="0.25">
      <c r="A4091" t="s">
        <v>4776</v>
      </c>
      <c r="B4091" t="s">
        <v>1044</v>
      </c>
      <c r="C4091">
        <v>2027</v>
      </c>
      <c r="D4091" t="s">
        <v>651</v>
      </c>
      <c r="E4091" t="s">
        <v>847</v>
      </c>
      <c r="F4091" s="32">
        <v>46507</v>
      </c>
      <c r="G4091" t="s">
        <v>514</v>
      </c>
      <c r="H4091">
        <v>47128336</v>
      </c>
      <c r="I4091" t="s">
        <v>1161</v>
      </c>
      <c r="J4091" t="s">
        <v>1160</v>
      </c>
      <c r="K4091" t="s">
        <v>530</v>
      </c>
      <c r="N4091">
        <v>30</v>
      </c>
      <c r="O4091">
        <v>30</v>
      </c>
      <c r="P4091" t="str">
        <f t="shared" si="63"/>
        <v>N</v>
      </c>
      <c r="Q4091" t="s">
        <v>9821</v>
      </c>
    </row>
    <row r="4092" spans="1:17" x14ac:dyDescent="0.25">
      <c r="A4092" t="s">
        <v>4777</v>
      </c>
      <c r="B4092" t="s">
        <v>1044</v>
      </c>
      <c r="C4092">
        <v>2027</v>
      </c>
      <c r="D4092" t="s">
        <v>651</v>
      </c>
      <c r="E4092" t="s">
        <v>847</v>
      </c>
      <c r="F4092" s="32">
        <v>46507</v>
      </c>
      <c r="G4092" t="s">
        <v>514</v>
      </c>
      <c r="H4092">
        <v>47128169</v>
      </c>
      <c r="I4092" t="s">
        <v>1205</v>
      </c>
      <c r="J4092" t="s">
        <v>1204</v>
      </c>
      <c r="K4092" t="s">
        <v>530</v>
      </c>
      <c r="N4092">
        <v>0</v>
      </c>
      <c r="O4092">
        <v>0</v>
      </c>
      <c r="P4092" t="str">
        <f t="shared" si="63"/>
        <v>N</v>
      </c>
      <c r="Q4092" t="s">
        <v>9822</v>
      </c>
    </row>
    <row r="4093" spans="1:17" x14ac:dyDescent="0.25">
      <c r="A4093" t="s">
        <v>4778</v>
      </c>
      <c r="B4093" t="s">
        <v>1044</v>
      </c>
      <c r="C4093">
        <v>2027</v>
      </c>
      <c r="D4093" t="s">
        <v>651</v>
      </c>
      <c r="E4093" t="s">
        <v>847</v>
      </c>
      <c r="F4093" s="32">
        <v>46507</v>
      </c>
      <c r="G4093" t="s">
        <v>514</v>
      </c>
      <c r="H4093">
        <v>47136340</v>
      </c>
      <c r="I4093" t="s">
        <v>1213</v>
      </c>
      <c r="J4093" t="s">
        <v>1212</v>
      </c>
      <c r="K4093" t="s">
        <v>530</v>
      </c>
      <c r="N4093">
        <v>0</v>
      </c>
      <c r="O4093">
        <v>0</v>
      </c>
      <c r="P4093" t="str">
        <f t="shared" si="63"/>
        <v>N</v>
      </c>
      <c r="Q4093" t="s">
        <v>9823</v>
      </c>
    </row>
    <row r="4094" spans="1:17" x14ac:dyDescent="0.25">
      <c r="A4094" t="s">
        <v>4779</v>
      </c>
      <c r="B4094" t="s">
        <v>1044</v>
      </c>
      <c r="C4094">
        <v>2027</v>
      </c>
      <c r="D4094" t="s">
        <v>651</v>
      </c>
      <c r="E4094" t="s">
        <v>847</v>
      </c>
      <c r="F4094" s="32">
        <v>46507</v>
      </c>
      <c r="G4094" t="s">
        <v>514</v>
      </c>
      <c r="H4094">
        <v>47128022</v>
      </c>
      <c r="I4094" t="s">
        <v>1104</v>
      </c>
      <c r="J4094" t="s">
        <v>1103</v>
      </c>
      <c r="K4094" t="s">
        <v>530</v>
      </c>
      <c r="N4094">
        <v>0</v>
      </c>
      <c r="O4094">
        <v>0</v>
      </c>
      <c r="P4094" t="str">
        <f t="shared" si="63"/>
        <v>N</v>
      </c>
      <c r="Q4094" t="s">
        <v>9824</v>
      </c>
    </row>
    <row r="4095" spans="1:17" x14ac:dyDescent="0.25">
      <c r="A4095" t="s">
        <v>4780</v>
      </c>
      <c r="B4095" t="s">
        <v>1044</v>
      </c>
      <c r="C4095">
        <v>2027</v>
      </c>
      <c r="D4095" t="s">
        <v>651</v>
      </c>
      <c r="E4095" t="s">
        <v>847</v>
      </c>
      <c r="F4095" s="32">
        <v>46507</v>
      </c>
      <c r="G4095" t="s">
        <v>514</v>
      </c>
      <c r="H4095">
        <v>47127948</v>
      </c>
      <c r="I4095" t="s">
        <v>1247</v>
      </c>
      <c r="J4095" t="s">
        <v>1246</v>
      </c>
      <c r="K4095" t="s">
        <v>530</v>
      </c>
      <c r="N4095">
        <v>0</v>
      </c>
      <c r="O4095">
        <v>0</v>
      </c>
      <c r="P4095" t="str">
        <f t="shared" si="63"/>
        <v>N</v>
      </c>
      <c r="Q4095" t="s">
        <v>9825</v>
      </c>
    </row>
    <row r="4096" spans="1:17" x14ac:dyDescent="0.25">
      <c r="A4096" t="s">
        <v>4781</v>
      </c>
      <c r="B4096" t="s">
        <v>1044</v>
      </c>
      <c r="C4096">
        <v>2027</v>
      </c>
      <c r="D4096" t="s">
        <v>651</v>
      </c>
      <c r="E4096" t="s">
        <v>847</v>
      </c>
      <c r="F4096" s="32">
        <v>46507</v>
      </c>
      <c r="G4096" t="s">
        <v>514</v>
      </c>
      <c r="H4096">
        <v>47128513</v>
      </c>
      <c r="I4096" t="s">
        <v>1040</v>
      </c>
      <c r="J4096" t="s">
        <v>1039</v>
      </c>
      <c r="K4096" t="s">
        <v>530</v>
      </c>
      <c r="N4096">
        <v>0</v>
      </c>
      <c r="O4096">
        <v>0</v>
      </c>
      <c r="P4096" t="str">
        <f t="shared" si="63"/>
        <v>N</v>
      </c>
      <c r="Q4096" t="s">
        <v>9826</v>
      </c>
    </row>
    <row r="4097" spans="1:17" x14ac:dyDescent="0.25">
      <c r="A4097" t="s">
        <v>4782</v>
      </c>
      <c r="B4097" t="s">
        <v>1044</v>
      </c>
      <c r="C4097">
        <v>2027</v>
      </c>
      <c r="D4097" t="s">
        <v>651</v>
      </c>
      <c r="E4097" t="s">
        <v>847</v>
      </c>
      <c r="F4097" s="32">
        <v>46507</v>
      </c>
      <c r="G4097" t="s">
        <v>514</v>
      </c>
      <c r="H4097">
        <v>47128489</v>
      </c>
      <c r="I4097" t="s">
        <v>1116</v>
      </c>
      <c r="J4097" t="s">
        <v>1115</v>
      </c>
      <c r="K4097" t="s">
        <v>530</v>
      </c>
      <c r="N4097">
        <v>0</v>
      </c>
      <c r="O4097">
        <v>0</v>
      </c>
      <c r="P4097" t="str">
        <f t="shared" si="63"/>
        <v>N</v>
      </c>
      <c r="Q4097" t="s">
        <v>9827</v>
      </c>
    </row>
    <row r="4098" spans="1:17" x14ac:dyDescent="0.25">
      <c r="A4098" t="s">
        <v>4783</v>
      </c>
      <c r="B4098" t="s">
        <v>1044</v>
      </c>
      <c r="C4098">
        <v>2027</v>
      </c>
      <c r="D4098" t="s">
        <v>651</v>
      </c>
      <c r="E4098" t="s">
        <v>847</v>
      </c>
      <c r="F4098" s="32">
        <v>46507</v>
      </c>
      <c r="G4098" t="s">
        <v>514</v>
      </c>
      <c r="H4098">
        <v>47128427</v>
      </c>
      <c r="I4098" t="s">
        <v>1112</v>
      </c>
      <c r="J4098" t="s">
        <v>1111</v>
      </c>
      <c r="K4098" t="s">
        <v>530</v>
      </c>
      <c r="N4098">
        <v>0</v>
      </c>
      <c r="O4098">
        <v>0</v>
      </c>
      <c r="P4098" t="str">
        <f t="shared" si="63"/>
        <v>N</v>
      </c>
      <c r="Q4098" t="s">
        <v>9828</v>
      </c>
    </row>
    <row r="4099" spans="1:17" x14ac:dyDescent="0.25">
      <c r="A4099" t="s">
        <v>5434</v>
      </c>
      <c r="B4099" t="s">
        <v>1089</v>
      </c>
      <c r="C4099">
        <v>2027</v>
      </c>
      <c r="D4099" t="s">
        <v>651</v>
      </c>
      <c r="E4099" t="s">
        <v>847</v>
      </c>
      <c r="F4099" s="32">
        <v>46507</v>
      </c>
      <c r="G4099" t="s">
        <v>514</v>
      </c>
      <c r="H4099">
        <v>47128781</v>
      </c>
      <c r="I4099" t="s">
        <v>1251</v>
      </c>
      <c r="J4099" t="s">
        <v>1250</v>
      </c>
      <c r="K4099" t="s">
        <v>530</v>
      </c>
      <c r="N4099">
        <v>40</v>
      </c>
      <c r="O4099">
        <v>40</v>
      </c>
      <c r="P4099" t="str">
        <f t="shared" ref="P4099:P4110" si="64">IF(N4099=O4099,"N","Y")</f>
        <v>N</v>
      </c>
      <c r="Q4099" t="s">
        <v>9829</v>
      </c>
    </row>
    <row r="4100" spans="1:17" x14ac:dyDescent="0.25">
      <c r="A4100" t="s">
        <v>5435</v>
      </c>
      <c r="B4100" t="s">
        <v>1089</v>
      </c>
      <c r="C4100">
        <v>2027</v>
      </c>
      <c r="D4100" t="s">
        <v>651</v>
      </c>
      <c r="E4100" t="s">
        <v>847</v>
      </c>
      <c r="F4100" s="32">
        <v>46507</v>
      </c>
      <c r="G4100" t="s">
        <v>514</v>
      </c>
      <c r="H4100">
        <v>47128046</v>
      </c>
      <c r="I4100" t="s">
        <v>1389</v>
      </c>
      <c r="J4100" t="s">
        <v>1388</v>
      </c>
      <c r="K4100" t="s">
        <v>530</v>
      </c>
      <c r="N4100">
        <v>0</v>
      </c>
      <c r="O4100">
        <v>0</v>
      </c>
      <c r="P4100" t="str">
        <f t="shared" si="64"/>
        <v>N</v>
      </c>
      <c r="Q4100" t="s">
        <v>9830</v>
      </c>
    </row>
    <row r="4101" spans="1:17" x14ac:dyDescent="0.25">
      <c r="A4101" t="s">
        <v>5702</v>
      </c>
      <c r="B4101" t="s">
        <v>5437</v>
      </c>
      <c r="C4101">
        <v>2027</v>
      </c>
      <c r="D4101" t="s">
        <v>651</v>
      </c>
      <c r="E4101" t="s">
        <v>847</v>
      </c>
      <c r="F4101" s="32">
        <v>46507</v>
      </c>
      <c r="G4101" t="s">
        <v>514</v>
      </c>
      <c r="H4101">
        <v>47128781</v>
      </c>
      <c r="I4101" t="s">
        <v>1251</v>
      </c>
      <c r="J4101" t="s">
        <v>1250</v>
      </c>
      <c r="K4101" t="s">
        <v>530</v>
      </c>
      <c r="N4101">
        <v>0</v>
      </c>
      <c r="O4101">
        <v>0</v>
      </c>
      <c r="P4101" t="str">
        <f t="shared" si="64"/>
        <v>N</v>
      </c>
      <c r="Q4101" t="s">
        <v>9831</v>
      </c>
    </row>
    <row r="4102" spans="1:17" x14ac:dyDescent="0.25">
      <c r="A4102" t="s">
        <v>5703</v>
      </c>
      <c r="B4102" t="s">
        <v>5437</v>
      </c>
      <c r="C4102">
        <v>2027</v>
      </c>
      <c r="D4102" t="s">
        <v>651</v>
      </c>
      <c r="E4102" t="s">
        <v>847</v>
      </c>
      <c r="F4102" s="32">
        <v>46507</v>
      </c>
      <c r="G4102" t="s">
        <v>514</v>
      </c>
      <c r="H4102">
        <v>47128481</v>
      </c>
      <c r="I4102" t="s">
        <v>1379</v>
      </c>
      <c r="J4102" t="s">
        <v>1378</v>
      </c>
      <c r="K4102" t="s">
        <v>530</v>
      </c>
      <c r="N4102">
        <v>0</v>
      </c>
      <c r="O4102">
        <v>0</v>
      </c>
      <c r="P4102" t="str">
        <f t="shared" si="64"/>
        <v>N</v>
      </c>
      <c r="Q4102" t="s">
        <v>9832</v>
      </c>
    </row>
    <row r="4103" spans="1:17" x14ac:dyDescent="0.25">
      <c r="A4103" t="s">
        <v>5704</v>
      </c>
      <c r="B4103" t="s">
        <v>5437</v>
      </c>
      <c r="C4103">
        <v>2027</v>
      </c>
      <c r="D4103" t="s">
        <v>651</v>
      </c>
      <c r="E4103" t="s">
        <v>847</v>
      </c>
      <c r="F4103" s="32">
        <v>46507</v>
      </c>
      <c r="G4103" t="s">
        <v>514</v>
      </c>
      <c r="H4103">
        <v>47128336</v>
      </c>
      <c r="I4103" t="s">
        <v>1161</v>
      </c>
      <c r="J4103" t="s">
        <v>1160</v>
      </c>
      <c r="K4103" t="s">
        <v>530</v>
      </c>
      <c r="N4103">
        <v>30</v>
      </c>
      <c r="O4103">
        <v>30</v>
      </c>
      <c r="P4103" t="str">
        <f t="shared" si="64"/>
        <v>N</v>
      </c>
      <c r="Q4103" t="s">
        <v>9833</v>
      </c>
    </row>
    <row r="4104" spans="1:17" x14ac:dyDescent="0.25">
      <c r="A4104" t="s">
        <v>5705</v>
      </c>
      <c r="B4104" t="s">
        <v>5437</v>
      </c>
      <c r="C4104">
        <v>2027</v>
      </c>
      <c r="D4104" t="s">
        <v>651</v>
      </c>
      <c r="E4104" t="s">
        <v>847</v>
      </c>
      <c r="F4104" s="32">
        <v>46507</v>
      </c>
      <c r="G4104" t="s">
        <v>514</v>
      </c>
      <c r="H4104">
        <v>47136340</v>
      </c>
      <c r="I4104" t="s">
        <v>1213</v>
      </c>
      <c r="J4104" t="s">
        <v>1212</v>
      </c>
      <c r="K4104" t="s">
        <v>530</v>
      </c>
      <c r="N4104">
        <v>0</v>
      </c>
      <c r="O4104">
        <v>0</v>
      </c>
      <c r="P4104" t="str">
        <f t="shared" si="64"/>
        <v>N</v>
      </c>
      <c r="Q4104" t="s">
        <v>9834</v>
      </c>
    </row>
    <row r="4105" spans="1:17" x14ac:dyDescent="0.25">
      <c r="A4105" t="s">
        <v>5706</v>
      </c>
      <c r="B4105" t="s">
        <v>5437</v>
      </c>
      <c r="C4105">
        <v>2027</v>
      </c>
      <c r="D4105" t="s">
        <v>651</v>
      </c>
      <c r="E4105" t="s">
        <v>847</v>
      </c>
      <c r="F4105" s="32">
        <v>46507</v>
      </c>
      <c r="G4105" t="s">
        <v>514</v>
      </c>
      <c r="H4105">
        <v>47128169</v>
      </c>
      <c r="I4105" t="s">
        <v>1205</v>
      </c>
      <c r="J4105" t="s">
        <v>1204</v>
      </c>
      <c r="K4105" t="s">
        <v>530</v>
      </c>
      <c r="N4105">
        <v>0</v>
      </c>
      <c r="O4105">
        <v>0</v>
      </c>
      <c r="P4105" t="str">
        <f t="shared" si="64"/>
        <v>N</v>
      </c>
      <c r="Q4105" t="s">
        <v>9835</v>
      </c>
    </row>
    <row r="4106" spans="1:17" x14ac:dyDescent="0.25">
      <c r="A4106" t="s">
        <v>5707</v>
      </c>
      <c r="B4106" t="s">
        <v>5437</v>
      </c>
      <c r="C4106">
        <v>2027</v>
      </c>
      <c r="D4106" t="s">
        <v>651</v>
      </c>
      <c r="E4106" t="s">
        <v>847</v>
      </c>
      <c r="F4106" s="32">
        <v>46507</v>
      </c>
      <c r="G4106" t="s">
        <v>514</v>
      </c>
      <c r="H4106">
        <v>47128022</v>
      </c>
      <c r="I4106" t="s">
        <v>1104</v>
      </c>
      <c r="J4106" t="s">
        <v>1103</v>
      </c>
      <c r="K4106" t="s">
        <v>530</v>
      </c>
      <c r="N4106">
        <v>0</v>
      </c>
      <c r="O4106">
        <v>0</v>
      </c>
      <c r="P4106" t="str">
        <f t="shared" si="64"/>
        <v>N</v>
      </c>
      <c r="Q4106" t="s">
        <v>9836</v>
      </c>
    </row>
    <row r="4107" spans="1:17" x14ac:dyDescent="0.25">
      <c r="A4107" t="s">
        <v>5708</v>
      </c>
      <c r="B4107" t="s">
        <v>5437</v>
      </c>
      <c r="C4107">
        <v>2027</v>
      </c>
      <c r="D4107" t="s">
        <v>651</v>
      </c>
      <c r="E4107" t="s">
        <v>847</v>
      </c>
      <c r="F4107" s="32">
        <v>46507</v>
      </c>
      <c r="G4107" t="s">
        <v>514</v>
      </c>
      <c r="H4107">
        <v>47127948</v>
      </c>
      <c r="I4107" t="s">
        <v>1247</v>
      </c>
      <c r="J4107" t="s">
        <v>1246</v>
      </c>
      <c r="K4107" t="s">
        <v>530</v>
      </c>
      <c r="N4107">
        <v>40</v>
      </c>
      <c r="O4107">
        <v>40</v>
      </c>
      <c r="P4107" t="str">
        <f t="shared" si="64"/>
        <v>N</v>
      </c>
      <c r="Q4107" t="s">
        <v>9837</v>
      </c>
    </row>
    <row r="4108" spans="1:17" x14ac:dyDescent="0.25">
      <c r="A4108" t="s">
        <v>5709</v>
      </c>
      <c r="B4108" t="s">
        <v>5437</v>
      </c>
      <c r="C4108">
        <v>2027</v>
      </c>
      <c r="D4108" t="s">
        <v>651</v>
      </c>
      <c r="E4108" t="s">
        <v>847</v>
      </c>
      <c r="F4108" s="32">
        <v>46507</v>
      </c>
      <c r="G4108" t="s">
        <v>514</v>
      </c>
      <c r="H4108">
        <v>47128513</v>
      </c>
      <c r="I4108" t="s">
        <v>1040</v>
      </c>
      <c r="J4108" t="s">
        <v>1039</v>
      </c>
      <c r="K4108" t="s">
        <v>530</v>
      </c>
      <c r="N4108">
        <v>0</v>
      </c>
      <c r="O4108">
        <v>0</v>
      </c>
      <c r="P4108" t="str">
        <f t="shared" si="64"/>
        <v>N</v>
      </c>
      <c r="Q4108" t="s">
        <v>9838</v>
      </c>
    </row>
    <row r="4109" spans="1:17" x14ac:dyDescent="0.25">
      <c r="A4109" t="s">
        <v>5710</v>
      </c>
      <c r="B4109" t="s">
        <v>5437</v>
      </c>
      <c r="C4109">
        <v>2027</v>
      </c>
      <c r="D4109" t="s">
        <v>651</v>
      </c>
      <c r="E4109" t="s">
        <v>847</v>
      </c>
      <c r="F4109" s="32">
        <v>46507</v>
      </c>
      <c r="G4109" t="s">
        <v>514</v>
      </c>
      <c r="H4109">
        <v>47128489</v>
      </c>
      <c r="I4109" t="s">
        <v>1116</v>
      </c>
      <c r="J4109" t="s">
        <v>1115</v>
      </c>
      <c r="K4109" t="s">
        <v>530</v>
      </c>
      <c r="N4109">
        <v>0</v>
      </c>
      <c r="O4109">
        <v>0</v>
      </c>
      <c r="P4109" t="str">
        <f t="shared" si="64"/>
        <v>N</v>
      </c>
      <c r="Q4109" t="s">
        <v>9839</v>
      </c>
    </row>
    <row r="4110" spans="1:17" x14ac:dyDescent="0.25">
      <c r="A4110" t="s">
        <v>5711</v>
      </c>
      <c r="B4110" t="s">
        <v>5437</v>
      </c>
      <c r="C4110">
        <v>2027</v>
      </c>
      <c r="D4110" t="s">
        <v>651</v>
      </c>
      <c r="E4110" t="s">
        <v>847</v>
      </c>
      <c r="F4110" s="32">
        <v>46507</v>
      </c>
      <c r="G4110" t="s">
        <v>514</v>
      </c>
      <c r="H4110">
        <v>47128427</v>
      </c>
      <c r="I4110" t="s">
        <v>1112</v>
      </c>
      <c r="J4110" t="s">
        <v>1111</v>
      </c>
      <c r="K4110" t="s">
        <v>530</v>
      </c>
      <c r="N4110">
        <v>0</v>
      </c>
      <c r="O4110">
        <v>0</v>
      </c>
      <c r="P4110" t="str">
        <f t="shared" si="64"/>
        <v>N</v>
      </c>
      <c r="Q4110" t="s">
        <v>9840</v>
      </c>
    </row>
  </sheetData>
  <sheetProtection algorithmName="SHA-512" hashValue="mF/Y/n482zwOKWxdfLVqpylu9SbWvLrcbx7BAn+MXcxZ7VlHaDEZ6UUW68rn+qOOFgQoNN6zRkKimUQ3ys+2Ww==" saltValue="yKhCw4Qe7qcOH7mdthXRgw==" spinCount="100000" sheet="1" objects="1" scenarios="1" formatCells="0" formatColumns="0" formatRows="0" deleteRows="0" sort="0" autoFilter="0"/>
  <protectedRanges>
    <protectedRange sqref="O3:O1048576" name="Range1"/>
  </protectedRanges>
  <autoFilter ref="A2:P341" xr:uid="{00000000-0001-0000-0000-000000000000}"/>
  <sortState xmlns:xlrd2="http://schemas.microsoft.com/office/spreadsheetml/2017/richdata2" ref="A3:Q4110">
    <sortCondition ref="F2"/>
  </sortState>
  <mergeCells count="1">
    <mergeCell ref="A1:P1"/>
  </mergeCells>
  <phoneticPr fontId="1" type="noConversion"/>
  <conditionalFormatting sqref="A2:Q2">
    <cfRule type="cellIs" dxfId="423" priority="425" operator="equal">
      <formula>"Y"</formula>
    </cfRule>
  </conditionalFormatting>
  <conditionalFormatting sqref="A2:Q2">
    <cfRule type="cellIs" priority="427" operator="equal">
      <formula>"Y"</formula>
    </cfRule>
  </conditionalFormatting>
  <conditionalFormatting sqref="A2:Q2">
    <cfRule type="cellIs" priority="428" stopIfTrue="1" operator="equal">
      <formula>"Y"</formula>
    </cfRule>
  </conditionalFormatting>
  <conditionalFormatting sqref="P2:Q2">
    <cfRule type="cellIs" dxfId="422" priority="424" operator="equal">
      <formula>"Y"</formula>
    </cfRule>
  </conditionalFormatting>
  <conditionalFormatting sqref="P2:Q2">
    <cfRule type="cellIs" dxfId="421" priority="423" operator="equal">
      <formula>"Y"</formula>
    </cfRule>
  </conditionalFormatting>
  <conditionalFormatting sqref="P2:Q2">
    <cfRule type="cellIs" dxfId="420" priority="422" operator="equal">
      <formula>"Y"</formula>
    </cfRule>
  </conditionalFormatting>
  <conditionalFormatting sqref="P2:Q2">
    <cfRule type="cellIs" dxfId="419" priority="421" operator="equal">
      <formula>"Y"</formula>
    </cfRule>
  </conditionalFormatting>
  <conditionalFormatting sqref="P2:Q2">
    <cfRule type="cellIs" dxfId="418" priority="420" operator="equal">
      <formula>"Y"</formula>
    </cfRule>
  </conditionalFormatting>
  <conditionalFormatting sqref="P2:Q2">
    <cfRule type="cellIs" dxfId="417" priority="419" operator="equal">
      <formula>"Y"</formula>
    </cfRule>
  </conditionalFormatting>
  <conditionalFormatting sqref="P2:Q2">
    <cfRule type="cellIs" dxfId="416" priority="418" operator="equal">
      <formula>"Y"</formula>
    </cfRule>
  </conditionalFormatting>
  <conditionalFormatting sqref="P2:Q2">
    <cfRule type="cellIs" dxfId="415" priority="417" operator="equal">
      <formula>"Y"</formula>
    </cfRule>
  </conditionalFormatting>
  <conditionalFormatting sqref="P2:Q2">
    <cfRule type="cellIs" dxfId="414" priority="416" operator="equal">
      <formula>"Y"</formula>
    </cfRule>
  </conditionalFormatting>
  <conditionalFormatting sqref="P2:Q2">
    <cfRule type="cellIs" dxfId="413" priority="415" operator="equal">
      <formula>"Y"</formula>
    </cfRule>
  </conditionalFormatting>
  <conditionalFormatting sqref="P2:Q2">
    <cfRule type="cellIs" dxfId="412" priority="414" operator="equal">
      <formula>"Y"</formula>
    </cfRule>
  </conditionalFormatting>
  <conditionalFormatting sqref="P2:Q2">
    <cfRule type="cellIs" dxfId="411" priority="413" operator="equal">
      <formula>"Y"</formula>
    </cfRule>
  </conditionalFormatting>
  <conditionalFormatting sqref="P2:Q2">
    <cfRule type="cellIs" dxfId="410" priority="412" operator="equal">
      <formula>"Y"</formula>
    </cfRule>
  </conditionalFormatting>
  <conditionalFormatting sqref="P2:Q2">
    <cfRule type="cellIs" dxfId="409" priority="411" operator="equal">
      <formula>"Y"</formula>
    </cfRule>
  </conditionalFormatting>
  <conditionalFormatting sqref="P2:Q2">
    <cfRule type="cellIs" dxfId="408" priority="410" operator="equal">
      <formula>"Y"</formula>
    </cfRule>
  </conditionalFormatting>
  <conditionalFormatting sqref="P2:Q2">
    <cfRule type="cellIs" dxfId="407" priority="409" operator="equal">
      <formula>"Y"</formula>
    </cfRule>
  </conditionalFormatting>
  <conditionalFormatting sqref="P2:Q2">
    <cfRule type="cellIs" dxfId="406" priority="408" operator="equal">
      <formula>"Y"</formula>
    </cfRule>
  </conditionalFormatting>
  <conditionalFormatting sqref="P2:Q2">
    <cfRule type="cellIs" dxfId="405" priority="407" operator="equal">
      <formula>"Y"</formula>
    </cfRule>
  </conditionalFormatting>
  <conditionalFormatting sqref="P2:Q2">
    <cfRule type="cellIs" dxfId="404" priority="406" operator="equal">
      <formula>"Y"</formula>
    </cfRule>
  </conditionalFormatting>
  <conditionalFormatting sqref="P2:Q2">
    <cfRule type="cellIs" dxfId="403" priority="405" operator="equal">
      <formula>"Y"</formula>
    </cfRule>
  </conditionalFormatting>
  <conditionalFormatting sqref="P2:Q2">
    <cfRule type="cellIs" dxfId="402" priority="404" operator="equal">
      <formula>"Y"</formula>
    </cfRule>
  </conditionalFormatting>
  <conditionalFormatting sqref="P2:Q2">
    <cfRule type="cellIs" dxfId="401" priority="403" operator="equal">
      <formula>"Y"</formula>
    </cfRule>
  </conditionalFormatting>
  <conditionalFormatting sqref="P2:Q2">
    <cfRule type="cellIs" dxfId="400" priority="402" operator="equal">
      <formula>"Y"</formula>
    </cfRule>
  </conditionalFormatting>
  <conditionalFormatting sqref="P2:Q2">
    <cfRule type="cellIs" dxfId="399" priority="401" operator="equal">
      <formula>"Y"</formula>
    </cfRule>
  </conditionalFormatting>
  <conditionalFormatting sqref="P2:Q2">
    <cfRule type="cellIs" dxfId="398" priority="400" operator="equal">
      <formula>"Y"</formula>
    </cfRule>
  </conditionalFormatting>
  <conditionalFormatting sqref="P2:Q2">
    <cfRule type="cellIs" dxfId="397" priority="399" operator="equal">
      <formula>"Y"</formula>
    </cfRule>
  </conditionalFormatting>
  <conditionalFormatting sqref="P2:Q2">
    <cfRule type="cellIs" dxfId="396" priority="397" operator="equal">
      <formula>"Y"</formula>
    </cfRule>
    <cfRule type="cellIs" dxfId="395" priority="398" operator="equal">
      <formula>"Y"</formula>
    </cfRule>
  </conditionalFormatting>
  <conditionalFormatting sqref="P2:Q2">
    <cfRule type="cellIs" dxfId="394" priority="396" operator="equal">
      <formula>"Y"</formula>
    </cfRule>
  </conditionalFormatting>
  <conditionalFormatting sqref="P2:Q2">
    <cfRule type="cellIs" dxfId="393" priority="395" operator="equal">
      <formula>"Y"</formula>
    </cfRule>
  </conditionalFormatting>
  <conditionalFormatting sqref="P2:Q2">
    <cfRule type="cellIs" dxfId="392" priority="394" operator="equal">
      <formula>"Y"</formula>
    </cfRule>
  </conditionalFormatting>
  <conditionalFormatting sqref="P2:Q2">
    <cfRule type="cellIs" dxfId="391" priority="393" operator="equal">
      <formula>"Y"</formula>
    </cfRule>
  </conditionalFormatting>
  <conditionalFormatting sqref="P2:Q2">
    <cfRule type="cellIs" dxfId="390" priority="390" operator="equal">
      <formula>"Y"</formula>
    </cfRule>
    <cfRule type="cellIs" dxfId="389" priority="391" operator="equal">
      <formula>"Y"</formula>
    </cfRule>
    <cfRule type="cellIs" dxfId="388" priority="392" operator="equal">
      <formula>"Y"</formula>
    </cfRule>
  </conditionalFormatting>
  <conditionalFormatting sqref="P2:Q2">
    <cfRule type="cellIs" dxfId="387" priority="389" operator="equal">
      <formula>"Y"</formula>
    </cfRule>
  </conditionalFormatting>
  <conditionalFormatting sqref="P2:Q2">
    <cfRule type="cellIs" dxfId="386" priority="388" operator="equal">
      <formula>"Y"</formula>
    </cfRule>
  </conditionalFormatting>
  <conditionalFormatting sqref="P2:Q2">
    <cfRule type="cellIs" dxfId="385" priority="387" operator="equal">
      <formula>"Y"</formula>
    </cfRule>
  </conditionalFormatting>
  <conditionalFormatting sqref="P2:Q2">
    <cfRule type="cellIs" dxfId="384" priority="386" operator="equal">
      <formula>"Y"</formula>
    </cfRule>
  </conditionalFormatting>
  <conditionalFormatting sqref="P2:Q2">
    <cfRule type="cellIs" dxfId="383" priority="385" operator="equal">
      <formula>"Y"</formula>
    </cfRule>
  </conditionalFormatting>
  <conditionalFormatting sqref="P2:Q2">
    <cfRule type="cellIs" dxfId="382" priority="384" operator="equal">
      <formula>"Y"</formula>
    </cfRule>
  </conditionalFormatting>
  <conditionalFormatting sqref="P2:Q2">
    <cfRule type="cellIs" dxfId="381" priority="383" operator="equal">
      <formula>"Y"</formula>
    </cfRule>
  </conditionalFormatting>
  <conditionalFormatting sqref="P2:Q2">
    <cfRule type="cellIs" dxfId="380" priority="380" operator="equal">
      <formula>"Y"</formula>
    </cfRule>
    <cfRule type="cellIs" dxfId="379" priority="381" operator="equal">
      <formula>"Y"</formula>
    </cfRule>
    <cfRule type="cellIs" dxfId="378" priority="382" operator="equal">
      <formula>"Y"</formula>
    </cfRule>
  </conditionalFormatting>
  <conditionalFormatting sqref="P2:Q2">
    <cfRule type="cellIs" dxfId="377" priority="378" operator="equal">
      <formula>"Y"</formula>
    </cfRule>
    <cfRule type="cellIs" dxfId="376" priority="379" operator="equal">
      <formula>"Y"</formula>
    </cfRule>
  </conditionalFormatting>
  <conditionalFormatting sqref="P2:Q2">
    <cfRule type="cellIs" dxfId="375" priority="377" operator="equal">
      <formula>"Y"</formula>
    </cfRule>
  </conditionalFormatting>
  <conditionalFormatting sqref="P2:Q2">
    <cfRule type="cellIs" dxfId="374" priority="376" operator="equal">
      <formula>"Y"</formula>
    </cfRule>
  </conditionalFormatting>
  <conditionalFormatting sqref="P2:Q2">
    <cfRule type="cellIs" dxfId="373" priority="374" operator="equal">
      <formula>"Y"</formula>
    </cfRule>
    <cfRule type="cellIs" dxfId="372" priority="375" operator="equal">
      <formula>"Y"</formula>
    </cfRule>
  </conditionalFormatting>
  <conditionalFormatting sqref="P2:Q2">
    <cfRule type="cellIs" dxfId="371" priority="368" operator="equal">
      <formula>"Y"</formula>
    </cfRule>
    <cfRule type="cellIs" dxfId="370" priority="369" operator="equal">
      <formula>"Y"</formula>
    </cfRule>
    <cfRule type="cellIs" dxfId="369" priority="370" operator="equal">
      <formula>"Y"</formula>
    </cfRule>
    <cfRule type="cellIs" dxfId="368" priority="371" operator="equal">
      <formula>"Y"</formula>
    </cfRule>
    <cfRule type="cellIs" dxfId="367" priority="372" operator="equal">
      <formula>"Y"</formula>
    </cfRule>
    <cfRule type="cellIs" dxfId="366" priority="373" operator="equal">
      <formula>"Y"</formula>
    </cfRule>
  </conditionalFormatting>
  <conditionalFormatting sqref="P2:Q2">
    <cfRule type="cellIs" dxfId="365" priority="367" operator="equal">
      <formula>"Y"</formula>
    </cfRule>
  </conditionalFormatting>
  <conditionalFormatting sqref="P2:Q2">
    <cfRule type="cellIs" dxfId="364" priority="366" operator="equal">
      <formula>"Y"</formula>
    </cfRule>
  </conditionalFormatting>
  <conditionalFormatting sqref="P2:Q2">
    <cfRule type="cellIs" dxfId="363" priority="365" operator="equal">
      <formula>"Y"</formula>
    </cfRule>
  </conditionalFormatting>
  <conditionalFormatting sqref="P2:Q2">
    <cfRule type="cellIs" dxfId="362" priority="364" operator="equal">
      <formula>"Y"</formula>
    </cfRule>
  </conditionalFormatting>
  <conditionalFormatting sqref="P2:Q2">
    <cfRule type="cellIs" dxfId="361" priority="363" operator="equal">
      <formula>"Y"</formula>
    </cfRule>
  </conditionalFormatting>
  <conditionalFormatting sqref="P2:Q2">
    <cfRule type="cellIs" dxfId="360" priority="362" operator="equal">
      <formula>"Y"</formula>
    </cfRule>
  </conditionalFormatting>
  <conditionalFormatting sqref="P2:Q2">
    <cfRule type="cellIs" dxfId="359" priority="361" operator="equal">
      <formula>"Y"</formula>
    </cfRule>
  </conditionalFormatting>
  <conditionalFormatting sqref="P2:Q2">
    <cfRule type="cellIs" dxfId="358" priority="360" operator="equal">
      <formula>"Y"</formula>
    </cfRule>
  </conditionalFormatting>
  <conditionalFormatting sqref="P2:Q2">
    <cfRule type="cellIs" dxfId="357" priority="359" operator="equal">
      <formula>"Y"</formula>
    </cfRule>
  </conditionalFormatting>
  <conditionalFormatting sqref="P2:Q2">
    <cfRule type="cellIs" dxfId="356" priority="352" operator="equal">
      <formula>"Y"</formula>
    </cfRule>
    <cfRule type="cellIs" dxfId="355" priority="353" operator="equal">
      <formula>"Y"</formula>
    </cfRule>
    <cfRule type="cellIs" dxfId="354" priority="354" operator="equal">
      <formula>"Y"</formula>
    </cfRule>
    <cfRule type="cellIs" dxfId="353" priority="355" operator="equal">
      <formula>"Y"</formula>
    </cfRule>
    <cfRule type="cellIs" dxfId="352" priority="356" operator="equal">
      <formula>"Y"</formula>
    </cfRule>
    <cfRule type="cellIs" dxfId="351" priority="357" operator="equal">
      <formula>"Y"</formula>
    </cfRule>
    <cfRule type="cellIs" dxfId="350" priority="358" operator="equal">
      <formula>"Y"</formula>
    </cfRule>
  </conditionalFormatting>
  <conditionalFormatting sqref="P2">
    <cfRule type="cellIs" dxfId="349" priority="348" operator="equal">
      <formula>"Y"</formula>
    </cfRule>
    <cfRule type="cellIs" dxfId="348" priority="349" operator="equal">
      <formula>"Y"</formula>
    </cfRule>
    <cfRule type="cellIs" dxfId="347" priority="350" operator="equal">
      <formula>"Y"</formula>
    </cfRule>
    <cfRule type="cellIs" dxfId="346" priority="351" operator="equal">
      <formula>"Y"</formula>
    </cfRule>
  </conditionalFormatting>
  <conditionalFormatting sqref="Q2">
    <cfRule type="cellIs" dxfId="345" priority="344" operator="equal">
      <formula>"Y"</formula>
    </cfRule>
    <cfRule type="cellIs" dxfId="344" priority="345" operator="equal">
      <formula>"Y"</formula>
    </cfRule>
    <cfRule type="cellIs" dxfId="343" priority="346" operator="equal">
      <formula>"Y"</formula>
    </cfRule>
    <cfRule type="cellIs" dxfId="342" priority="347" operator="equal">
      <formula>"Y"</formula>
    </cfRule>
  </conditionalFormatting>
  <conditionalFormatting sqref="P2">
    <cfRule type="cellIs" dxfId="341" priority="343" operator="equal">
      <formula>"Y"</formula>
    </cfRule>
  </conditionalFormatting>
  <conditionalFormatting sqref="P2">
    <cfRule type="cellIs" dxfId="340" priority="342" operator="equal">
      <formula>"Y"</formula>
    </cfRule>
  </conditionalFormatting>
  <conditionalFormatting sqref="P2">
    <cfRule type="cellIs" dxfId="339" priority="341" operator="equal">
      <formula>"Y"</formula>
    </cfRule>
  </conditionalFormatting>
  <conditionalFormatting sqref="P2">
    <cfRule type="cellIs" dxfId="338" priority="340" operator="equal">
      <formula>"Y"</formula>
    </cfRule>
  </conditionalFormatting>
  <conditionalFormatting sqref="P2">
    <cfRule type="cellIs" dxfId="337" priority="339" operator="equal">
      <formula>"Y"</formula>
    </cfRule>
  </conditionalFormatting>
  <conditionalFormatting sqref="P2">
    <cfRule type="cellIs" dxfId="336" priority="338" operator="equal">
      <formula>"Y"</formula>
    </cfRule>
  </conditionalFormatting>
  <conditionalFormatting sqref="P2">
    <cfRule type="cellIs" dxfId="335" priority="337" operator="equal">
      <formula>"Y"</formula>
    </cfRule>
  </conditionalFormatting>
  <conditionalFormatting sqref="P2">
    <cfRule type="cellIs" dxfId="334" priority="336" operator="equal">
      <formula>"Y"</formula>
    </cfRule>
  </conditionalFormatting>
  <conditionalFormatting sqref="P2">
    <cfRule type="cellIs" dxfId="333" priority="335" operator="equal">
      <formula>"Y"</formula>
    </cfRule>
  </conditionalFormatting>
  <conditionalFormatting sqref="P2">
    <cfRule type="cellIs" dxfId="332" priority="334" operator="equal">
      <formula>"Y"</formula>
    </cfRule>
  </conditionalFormatting>
  <conditionalFormatting sqref="P2">
    <cfRule type="cellIs" dxfId="331" priority="333" operator="equal">
      <formula>"Y"</formula>
    </cfRule>
  </conditionalFormatting>
  <conditionalFormatting sqref="P2">
    <cfRule type="cellIs" dxfId="330" priority="332" operator="equal">
      <formula>"Y"</formula>
    </cfRule>
  </conditionalFormatting>
  <conditionalFormatting sqref="P2">
    <cfRule type="cellIs" dxfId="329" priority="331" operator="equal">
      <formula>"Y"</formula>
    </cfRule>
  </conditionalFormatting>
  <conditionalFormatting sqref="P2">
    <cfRule type="cellIs" dxfId="328" priority="330" operator="equal">
      <formula>"Y"</formula>
    </cfRule>
  </conditionalFormatting>
  <conditionalFormatting sqref="P2">
    <cfRule type="cellIs" dxfId="327" priority="329" operator="equal">
      <formula>"Y"</formula>
    </cfRule>
  </conditionalFormatting>
  <conditionalFormatting sqref="P2">
    <cfRule type="cellIs" dxfId="326" priority="327" operator="equal">
      <formula>"Y"</formula>
    </cfRule>
    <cfRule type="cellIs" dxfId="325" priority="328" operator="equal">
      <formula>"Y"</formula>
    </cfRule>
  </conditionalFormatting>
  <conditionalFormatting sqref="P2">
    <cfRule type="cellIs" dxfId="324" priority="326" operator="equal">
      <formula>"Y"</formula>
    </cfRule>
  </conditionalFormatting>
  <conditionalFormatting sqref="P2">
    <cfRule type="cellIs" dxfId="323" priority="325" operator="equal">
      <formula>"Y"</formula>
    </cfRule>
  </conditionalFormatting>
  <conditionalFormatting sqref="P2">
    <cfRule type="cellIs" dxfId="322" priority="324" operator="equal">
      <formula>"Y"</formula>
    </cfRule>
  </conditionalFormatting>
  <conditionalFormatting sqref="P2">
    <cfRule type="cellIs" dxfId="321" priority="323" operator="equal">
      <formula>"Y"</formula>
    </cfRule>
  </conditionalFormatting>
  <conditionalFormatting sqref="P2">
    <cfRule type="cellIs" dxfId="320" priority="322" operator="equal">
      <formula>"Y"</formula>
    </cfRule>
  </conditionalFormatting>
  <conditionalFormatting sqref="P2">
    <cfRule type="cellIs" dxfId="319" priority="321" operator="equal">
      <formula>"Y"</formula>
    </cfRule>
  </conditionalFormatting>
  <conditionalFormatting sqref="P2">
    <cfRule type="cellIs" dxfId="318" priority="320" operator="equal">
      <formula>"Y"</formula>
    </cfRule>
  </conditionalFormatting>
  <conditionalFormatting sqref="P2">
    <cfRule type="cellIs" dxfId="317" priority="319" operator="equal">
      <formula>"Y"</formula>
    </cfRule>
  </conditionalFormatting>
  <conditionalFormatting sqref="P2">
    <cfRule type="cellIs" dxfId="316" priority="318" operator="equal">
      <formula>"Y"</formula>
    </cfRule>
  </conditionalFormatting>
  <conditionalFormatting sqref="P2">
    <cfRule type="cellIs" dxfId="315" priority="317" operator="equal">
      <formula>"Y"</formula>
    </cfRule>
  </conditionalFormatting>
  <conditionalFormatting sqref="P2">
    <cfRule type="cellIs" dxfId="314" priority="316" operator="equal">
      <formula>"Y"</formula>
    </cfRule>
  </conditionalFormatting>
  <conditionalFormatting sqref="P2">
    <cfRule type="cellIs" dxfId="313" priority="315" operator="equal">
      <formula>"Y"</formula>
    </cfRule>
  </conditionalFormatting>
  <conditionalFormatting sqref="P2">
    <cfRule type="cellIs" dxfId="312" priority="314" operator="equal">
      <formula>"Y"</formula>
    </cfRule>
  </conditionalFormatting>
  <conditionalFormatting sqref="P2">
    <cfRule type="cellIs" dxfId="311" priority="312" operator="equal">
      <formula>"Y"</formula>
    </cfRule>
  </conditionalFormatting>
  <conditionalFormatting sqref="P2">
    <cfRule type="cellIs" dxfId="310" priority="307" operator="equal">
      <formula>"Y"</formula>
    </cfRule>
    <cfRule type="cellIs" dxfId="309" priority="308" operator="equal">
      <formula>"Y"</formula>
    </cfRule>
    <cfRule type="cellIs" dxfId="308" priority="309" operator="equal">
      <formula>"Y"</formula>
    </cfRule>
    <cfRule type="cellIs" dxfId="307" priority="310" operator="equal">
      <formula>"Y"</formula>
    </cfRule>
    <cfRule type="cellIs" dxfId="306" priority="311" operator="equal">
      <formula>"Y"</formula>
    </cfRule>
  </conditionalFormatting>
  <conditionalFormatting sqref="P2">
    <cfRule type="cellIs" dxfId="305" priority="306" operator="equal">
      <formula>"Y"</formula>
    </cfRule>
  </conditionalFormatting>
  <conditionalFormatting sqref="P2">
    <cfRule type="cellIs" dxfId="304" priority="305" operator="equal">
      <formula>"Y"</formula>
    </cfRule>
  </conditionalFormatting>
  <conditionalFormatting sqref="P2">
    <cfRule type="cellIs" dxfId="303" priority="304" operator="equal">
      <formula>"Y"</formula>
    </cfRule>
  </conditionalFormatting>
  <conditionalFormatting sqref="P2">
    <cfRule type="cellIs" dxfId="302" priority="302" operator="equal">
      <formula>"Y"</formula>
    </cfRule>
    <cfRule type="cellIs" dxfId="301" priority="303" operator="equal">
      <formula>"Y"</formula>
    </cfRule>
  </conditionalFormatting>
  <conditionalFormatting sqref="P2">
    <cfRule type="cellIs" dxfId="300" priority="301" operator="equal">
      <formula>"Y"</formula>
    </cfRule>
  </conditionalFormatting>
  <conditionalFormatting sqref="P2">
    <cfRule type="cellIs" dxfId="299" priority="299" operator="equal">
      <formula>"Y"</formula>
    </cfRule>
    <cfRule type="cellIs" dxfId="298" priority="300" operator="equal">
      <formula>"Y"</formula>
    </cfRule>
  </conditionalFormatting>
  <conditionalFormatting sqref="P2">
    <cfRule type="cellIs" dxfId="297" priority="298" operator="equal">
      <formula>"Y"</formula>
    </cfRule>
  </conditionalFormatting>
  <conditionalFormatting sqref="P2">
    <cfRule type="cellIs" dxfId="296" priority="297" operator="equal">
      <formula>"Y"</formula>
    </cfRule>
  </conditionalFormatting>
  <conditionalFormatting sqref="P2">
    <cfRule type="cellIs" dxfId="295" priority="287" operator="equal">
      <formula>"Y"</formula>
    </cfRule>
    <cfRule type="cellIs" dxfId="294" priority="288" operator="equal">
      <formula>"Y"</formula>
    </cfRule>
    <cfRule type="cellIs" dxfId="293" priority="289" operator="equal">
      <formula>"Y"</formula>
    </cfRule>
    <cfRule type="cellIs" dxfId="292" priority="290" operator="equal">
      <formula>"Y"</formula>
    </cfRule>
    <cfRule type="cellIs" dxfId="291" priority="291" operator="equal">
      <formula>"Y"</formula>
    </cfRule>
    <cfRule type="cellIs" dxfId="290" priority="292" operator="equal">
      <formula>"Y"</formula>
    </cfRule>
    <cfRule type="cellIs" dxfId="289" priority="293" operator="equal">
      <formula>"Y"</formula>
    </cfRule>
    <cfRule type="cellIs" dxfId="288" priority="294" operator="equal">
      <formula>"Y"</formula>
    </cfRule>
    <cfRule type="cellIs" dxfId="287" priority="295" operator="equal">
      <formula>"Y"</formula>
    </cfRule>
    <cfRule type="cellIs" dxfId="286" priority="296" operator="equal">
      <formula>"Y"</formula>
    </cfRule>
  </conditionalFormatting>
  <conditionalFormatting sqref="P2">
    <cfRule type="cellIs" dxfId="285" priority="286" operator="equal">
      <formula>"Y"</formula>
    </cfRule>
  </conditionalFormatting>
  <conditionalFormatting sqref="P2">
    <cfRule type="cellIs" dxfId="284" priority="285" operator="equal">
      <formula>"Y"</formula>
    </cfRule>
  </conditionalFormatting>
  <conditionalFormatting sqref="P2">
    <cfRule type="cellIs" dxfId="283" priority="284" operator="equal">
      <formula>"Y"</formula>
    </cfRule>
  </conditionalFormatting>
  <conditionalFormatting sqref="P2">
    <cfRule type="cellIs" dxfId="282" priority="282" operator="equal">
      <formula>"Y"</formula>
    </cfRule>
    <cfRule type="cellIs" dxfId="281" priority="283" operator="equal">
      <formula>"Y"</formula>
    </cfRule>
  </conditionalFormatting>
  <conditionalFormatting sqref="P2">
    <cfRule type="cellIs" dxfId="280" priority="281" operator="equal">
      <formula>"Y"</formula>
    </cfRule>
    <cfRule type="cellIs" dxfId="279" priority="280" operator="equal">
      <formula>"Y"</formula>
    </cfRule>
    <cfRule type="cellIs" dxfId="278" priority="279" operator="equal">
      <formula>"Y"</formula>
    </cfRule>
    <cfRule type="cellIs" dxfId="277" priority="278" operator="equal">
      <formula>"Y"</formula>
    </cfRule>
    <cfRule type="cellIs" dxfId="276" priority="277" operator="equal">
      <formula>"Y"</formula>
    </cfRule>
  </conditionalFormatting>
  <conditionalFormatting sqref="P2">
    <cfRule type="cellIs" dxfId="275" priority="276" operator="equal">
      <formula>"Y"</formula>
    </cfRule>
    <cfRule type="cellIs" dxfId="274" priority="275" operator="equal">
      <formula>"Y"</formula>
    </cfRule>
    <cfRule type="cellIs" dxfId="273" priority="274" operator="equal">
      <formula>"Y"</formula>
    </cfRule>
  </conditionalFormatting>
  <conditionalFormatting sqref="P2">
    <cfRule type="cellIs" dxfId="272" priority="273" operator="equal">
      <formula>"Y"</formula>
    </cfRule>
  </conditionalFormatting>
  <conditionalFormatting sqref="P2">
    <cfRule type="cellIs" dxfId="271" priority="272" operator="equal">
      <formula>"Y"</formula>
    </cfRule>
    <cfRule type="cellIs" dxfId="270" priority="271" operator="equal">
      <formula>"Y"</formula>
    </cfRule>
    <cfRule type="cellIs" dxfId="269" priority="270" operator="equal">
      <formula>"Y"</formula>
    </cfRule>
  </conditionalFormatting>
  <conditionalFormatting sqref="P2">
    <cfRule type="cellIs" dxfId="268" priority="269" operator="equal">
      <formula>"Y"</formula>
    </cfRule>
    <cfRule type="cellIs" dxfId="267" priority="268" operator="equal">
      <formula>"Y"</formula>
    </cfRule>
  </conditionalFormatting>
  <conditionalFormatting sqref="P2">
    <cfRule type="cellIs" dxfId="266" priority="267" operator="equal">
      <formula>"Y"</formula>
    </cfRule>
  </conditionalFormatting>
  <conditionalFormatting sqref="P2">
    <cfRule type="cellIs" dxfId="265" priority="266" operator="equal">
      <formula>"Y"</formula>
    </cfRule>
  </conditionalFormatting>
  <conditionalFormatting sqref="P2">
    <cfRule type="cellIs" dxfId="264" priority="265" operator="equal">
      <formula>"Y"</formula>
    </cfRule>
  </conditionalFormatting>
  <conditionalFormatting sqref="P2">
    <cfRule type="cellIs" dxfId="263" priority="264" operator="equal">
      <formula>"Y"</formula>
    </cfRule>
  </conditionalFormatting>
  <conditionalFormatting sqref="P2">
    <cfRule type="cellIs" dxfId="262" priority="263" operator="equal">
      <formula>"Y"</formula>
    </cfRule>
    <cfRule type="cellIs" dxfId="261" priority="262" operator="equal">
      <formula>"Y"</formula>
    </cfRule>
    <cfRule type="cellIs" dxfId="260" priority="261" operator="equal">
      <formula>"Y"</formula>
    </cfRule>
    <cfRule type="cellIs" dxfId="259" priority="260" operator="equal">
      <formula>"Y"</formula>
    </cfRule>
    <cfRule type="cellIs" dxfId="258" priority="259" operator="equal">
      <formula>"Y"</formula>
    </cfRule>
    <cfRule type="cellIs" dxfId="257" priority="258" operator="equal">
      <formula>"Y"</formula>
    </cfRule>
  </conditionalFormatting>
  <conditionalFormatting sqref="P2">
    <cfRule type="cellIs" dxfId="256" priority="257" operator="equal">
      <formula>"Y"</formula>
    </cfRule>
  </conditionalFormatting>
  <conditionalFormatting sqref="P2">
    <cfRule type="cellIs" dxfId="255" priority="256" operator="equal">
      <formula>"Y"</formula>
    </cfRule>
  </conditionalFormatting>
  <conditionalFormatting sqref="P2">
    <cfRule type="cellIs" dxfId="254" priority="255" operator="equal">
      <formula>"Y"</formula>
    </cfRule>
  </conditionalFormatting>
  <conditionalFormatting sqref="P2">
    <cfRule type="cellIs" dxfId="253" priority="254" operator="equal">
      <formula>"Y"</formula>
    </cfRule>
  </conditionalFormatting>
  <conditionalFormatting sqref="P2">
    <cfRule type="cellIs" dxfId="252" priority="253" operator="equal">
      <formula>"Y"</formula>
    </cfRule>
  </conditionalFormatting>
  <conditionalFormatting sqref="P2">
    <cfRule type="cellIs" dxfId="251" priority="252" operator="equal">
      <formula>"Y"</formula>
    </cfRule>
  </conditionalFormatting>
  <conditionalFormatting sqref="P2">
    <cfRule type="cellIs" dxfId="250" priority="251" operator="equal">
      <formula>"Y"</formula>
    </cfRule>
  </conditionalFormatting>
  <conditionalFormatting sqref="P2">
    <cfRule type="cellIs" dxfId="249" priority="250" operator="equal">
      <formula>"Y"</formula>
    </cfRule>
    <cfRule type="cellIs" dxfId="248" priority="249" operator="equal">
      <formula>"Y"</formula>
    </cfRule>
    <cfRule type="cellIs" dxfId="247" priority="248" operator="equal">
      <formula>"Y"</formula>
    </cfRule>
  </conditionalFormatting>
  <conditionalFormatting sqref="P2">
    <cfRule type="cellIs" dxfId="246" priority="247" operator="equal">
      <formula>"Y"</formula>
    </cfRule>
    <cfRule type="cellIs" dxfId="245" priority="246" operator="equal">
      <formula>"Y"</formula>
    </cfRule>
    <cfRule type="cellIs" dxfId="244" priority="245" operator="equal">
      <formula>"Y"</formula>
    </cfRule>
    <cfRule type="cellIs" dxfId="243" priority="244" operator="equal">
      <formula>"Y"</formula>
    </cfRule>
    <cfRule type="cellIs" dxfId="242" priority="243" operator="equal">
      <formula>"Y"</formula>
    </cfRule>
  </conditionalFormatting>
  <conditionalFormatting sqref="P2">
    <cfRule type="cellIs" dxfId="241" priority="242" operator="equal">
      <formula>"Y"</formula>
    </cfRule>
    <cfRule type="cellIs" dxfId="240" priority="241" operator="equal">
      <formula>"Y"</formula>
    </cfRule>
    <cfRule type="cellIs" dxfId="239" priority="240" operator="equal">
      <formula>"Y"</formula>
    </cfRule>
    <cfRule type="cellIs" dxfId="238" priority="239" operator="equal">
      <formula>"Y"</formula>
    </cfRule>
    <cfRule type="cellIs" dxfId="237" priority="238" operator="equal">
      <formula>"Y"</formula>
    </cfRule>
    <cfRule type="cellIs" dxfId="236" priority="237" operator="equal">
      <formula>"Y"</formula>
    </cfRule>
    <cfRule type="cellIs" dxfId="235" priority="236" operator="equal">
      <formula>"Y"</formula>
    </cfRule>
    <cfRule type="cellIs" dxfId="234" priority="235" operator="equal">
      <formula>"Y"</formula>
    </cfRule>
    <cfRule type="cellIs" dxfId="233" priority="234" operator="equal">
      <formula>"Y"</formula>
    </cfRule>
  </conditionalFormatting>
  <conditionalFormatting sqref="P2">
    <cfRule type="cellIs" dxfId="232" priority="233" operator="equal">
      <formula>"Y"</formula>
    </cfRule>
  </conditionalFormatting>
  <conditionalFormatting sqref="P2">
    <cfRule type="cellIs" dxfId="231" priority="232" operator="equal">
      <formula>"Y"</formula>
    </cfRule>
  </conditionalFormatting>
  <conditionalFormatting sqref="P2">
    <cfRule type="cellIs" dxfId="230" priority="231" operator="equal">
      <formula>"Y"</formula>
    </cfRule>
  </conditionalFormatting>
  <conditionalFormatting sqref="P2">
    <cfRule type="cellIs" dxfId="229" priority="230" operator="equal">
      <formula>"Y"</formula>
    </cfRule>
  </conditionalFormatting>
  <conditionalFormatting sqref="P2">
    <cfRule type="cellIs" dxfId="228" priority="229" operator="equal">
      <formula>"Y"</formula>
    </cfRule>
  </conditionalFormatting>
  <conditionalFormatting sqref="P2">
    <cfRule type="cellIs" dxfId="227" priority="228" operator="equal">
      <formula>"Y"</formula>
    </cfRule>
  </conditionalFormatting>
  <conditionalFormatting sqref="P2">
    <cfRule type="cellIs" dxfId="226" priority="227" operator="equal">
      <formula>"Y"</formula>
    </cfRule>
  </conditionalFormatting>
  <conditionalFormatting sqref="P2">
    <cfRule type="cellIs" dxfId="225" priority="226" operator="equal">
      <formula>"Y"</formula>
    </cfRule>
  </conditionalFormatting>
  <conditionalFormatting sqref="P2">
    <cfRule type="cellIs" dxfId="224" priority="225" operator="equal">
      <formula>"Y"</formula>
    </cfRule>
    <cfRule type="cellIs" dxfId="223" priority="224" operator="equal">
      <formula>"Y"</formula>
    </cfRule>
    <cfRule type="cellIs" dxfId="222" priority="223" operator="equal">
      <formula>"Y"</formula>
    </cfRule>
    <cfRule type="cellIs" dxfId="221" priority="222" operator="equal">
      <formula>"Y"</formula>
    </cfRule>
    <cfRule type="cellIs" dxfId="220" priority="221" operator="equal">
      <formula>"Y"</formula>
    </cfRule>
  </conditionalFormatting>
  <conditionalFormatting sqref="P2">
    <cfRule type="cellIs" dxfId="219" priority="220" operator="equal">
      <formula>"Y"</formula>
    </cfRule>
  </conditionalFormatting>
  <conditionalFormatting sqref="P2">
    <cfRule type="cellIs" dxfId="218" priority="219" operator="equal">
      <formula>"Y"</formula>
    </cfRule>
    <cfRule type="cellIs" dxfId="217" priority="218" operator="equal">
      <formula>"Y"</formula>
    </cfRule>
    <cfRule type="cellIs" dxfId="216" priority="217" operator="equal">
      <formula>"Y"</formula>
    </cfRule>
    <cfRule type="cellIs" dxfId="215" priority="216" operator="equal">
      <formula>"Y"</formula>
    </cfRule>
    <cfRule type="cellIs" dxfId="214" priority="215" operator="equal">
      <formula>"Y"</formula>
    </cfRule>
    <cfRule type="cellIs" dxfId="213" priority="214" operator="equal">
      <formula>"Y"</formula>
    </cfRule>
    <cfRule type="cellIs" dxfId="212" priority="213" operator="equal">
      <formula>"Y"</formula>
    </cfRule>
    <cfRule type="cellIs" dxfId="211" priority="212" operator="equal">
      <formula>"Y"</formula>
    </cfRule>
  </conditionalFormatting>
  <conditionalFormatting sqref="P2">
    <cfRule type="cellIs" dxfId="210" priority="211" operator="equal">
      <formula>"Y"</formula>
    </cfRule>
    <cfRule type="cellIs" dxfId="209" priority="210" operator="equal">
      <formula>"Y"</formula>
    </cfRule>
    <cfRule type="cellIs" dxfId="208" priority="209" operator="equal">
      <formula>"Y"</formula>
    </cfRule>
    <cfRule type="cellIs" dxfId="207" priority="208" operator="equal">
      <formula>"Y"</formula>
    </cfRule>
  </conditionalFormatting>
  <conditionalFormatting sqref="P2">
    <cfRule type="cellIs" dxfId="206" priority="207" operator="equal">
      <formula>"Y"</formula>
    </cfRule>
  </conditionalFormatting>
  <conditionalFormatting sqref="P2">
    <cfRule type="cellIs" dxfId="205" priority="206" operator="equal">
      <formula>"Y"</formula>
    </cfRule>
    <cfRule type="cellIs" dxfId="204" priority="205" operator="equal">
      <formula>"Y"</formula>
    </cfRule>
    <cfRule type="cellIs" dxfId="203" priority="204" operator="equal">
      <formula>"Y"</formula>
    </cfRule>
  </conditionalFormatting>
  <conditionalFormatting sqref="P2">
    <cfRule type="cellIs" dxfId="202" priority="203" operator="equal">
      <formula>"Y"</formula>
    </cfRule>
  </conditionalFormatting>
  <conditionalFormatting sqref="P2">
    <cfRule type="cellIs" dxfId="201" priority="202" operator="equal">
      <formula>"Y"</formula>
    </cfRule>
    <cfRule type="cellIs" dxfId="200" priority="201" operator="equal">
      <formula>"Y"</formula>
    </cfRule>
    <cfRule type="cellIs" dxfId="199" priority="200" operator="equal">
      <formula>"Y"</formula>
    </cfRule>
    <cfRule type="cellIs" dxfId="198" priority="199" operator="equal">
      <formula>"Y"</formula>
    </cfRule>
  </conditionalFormatting>
  <conditionalFormatting sqref="P2">
    <cfRule type="cellIs" dxfId="197" priority="198" operator="equal">
      <formula>"Y"</formula>
    </cfRule>
  </conditionalFormatting>
  <conditionalFormatting sqref="P2">
    <cfRule type="cellIs" dxfId="196" priority="197" operator="equal">
      <formula>"Y"</formula>
    </cfRule>
  </conditionalFormatting>
  <conditionalFormatting sqref="P2">
    <cfRule type="cellIs" dxfId="195" priority="196" operator="equal">
      <formula>"Y"</formula>
    </cfRule>
    <cfRule type="cellIs" dxfId="194" priority="195" operator="equal">
      <formula>"Y"</formula>
    </cfRule>
    <cfRule type="cellIs" dxfId="193" priority="194" operator="equal">
      <formula>"Y"</formula>
    </cfRule>
    <cfRule type="cellIs" dxfId="192" priority="193" operator="equal">
      <formula>"Y"</formula>
    </cfRule>
  </conditionalFormatting>
  <conditionalFormatting sqref="P2">
    <cfRule type="cellIs" dxfId="191" priority="192" operator="equal">
      <formula>"Y"</formula>
    </cfRule>
    <cfRule type="cellIs" dxfId="190" priority="191" operator="equal">
      <formula>"Y"</formula>
    </cfRule>
    <cfRule type="cellIs" dxfId="189" priority="190" operator="equal">
      <formula>"Y"</formula>
    </cfRule>
  </conditionalFormatting>
  <conditionalFormatting sqref="P2">
    <cfRule type="cellIs" dxfId="188" priority="189" operator="equal">
      <formula>"Y"</formula>
    </cfRule>
  </conditionalFormatting>
  <conditionalFormatting sqref="P2">
    <cfRule type="cellIs" dxfId="187" priority="188" operator="equal">
      <formula>"Y"</formula>
    </cfRule>
  </conditionalFormatting>
  <conditionalFormatting sqref="P2">
    <cfRule type="cellIs" dxfId="186" priority="187" operator="equal">
      <formula>"Y"</formula>
    </cfRule>
  </conditionalFormatting>
  <conditionalFormatting sqref="P2">
    <cfRule type="cellIs" dxfId="185" priority="186" operator="equal">
      <formula>"Y"</formula>
    </cfRule>
    <cfRule type="cellIs" dxfId="184" priority="185" operator="equal">
      <formula>"Y"</formula>
    </cfRule>
    <cfRule type="cellIs" dxfId="183" priority="184" operator="equal">
      <formula>"Y"</formula>
    </cfRule>
    <cfRule type="cellIs" dxfId="182" priority="183" operator="equal">
      <formula>"Y"</formula>
    </cfRule>
    <cfRule type="cellIs" dxfId="181" priority="182" operator="equal">
      <formula>"Y"</formula>
    </cfRule>
  </conditionalFormatting>
  <conditionalFormatting sqref="P2">
    <cfRule type="cellIs" dxfId="180" priority="181" operator="equal">
      <formula>"Y"</formula>
    </cfRule>
  </conditionalFormatting>
  <conditionalFormatting sqref="P2">
    <cfRule type="cellIs" dxfId="179" priority="180" operator="equal">
      <formula>"Y"</formula>
    </cfRule>
    <cfRule type="cellIs" dxfId="178" priority="179" operator="equal">
      <formula>"Y"</formula>
    </cfRule>
    <cfRule type="cellIs" dxfId="177" priority="178" operator="equal">
      <formula>"Y"</formula>
    </cfRule>
    <cfRule type="cellIs" dxfId="176" priority="177" operator="equal">
      <formula>"Y"</formula>
    </cfRule>
    <cfRule type="cellIs" dxfId="175" priority="176" operator="equal">
      <formula>"Y"</formula>
    </cfRule>
    <cfRule type="cellIs" dxfId="174" priority="175" operator="equal">
      <formula>"Y"</formula>
    </cfRule>
    <cfRule type="cellIs" dxfId="173" priority="174" operator="equal">
      <formula>"Y"</formula>
    </cfRule>
  </conditionalFormatting>
  <conditionalFormatting sqref="P2">
    <cfRule type="cellIs" dxfId="172" priority="173" operator="equal">
      <formula>"Y"</formula>
    </cfRule>
  </conditionalFormatting>
  <conditionalFormatting sqref="P2">
    <cfRule type="cellIs" dxfId="171" priority="172" operator="equal">
      <formula>"Y"</formula>
    </cfRule>
  </conditionalFormatting>
  <conditionalFormatting sqref="P2">
    <cfRule type="cellIs" dxfId="170" priority="171" operator="equal">
      <formula>"Y"</formula>
    </cfRule>
  </conditionalFormatting>
  <conditionalFormatting sqref="P2">
    <cfRule type="cellIs" dxfId="169" priority="170" operator="equal">
      <formula>"Y"</formula>
    </cfRule>
  </conditionalFormatting>
  <conditionalFormatting sqref="P2">
    <cfRule type="cellIs" dxfId="168" priority="169" operator="equal">
      <formula>"Y"</formula>
    </cfRule>
  </conditionalFormatting>
  <conditionalFormatting sqref="P2">
    <cfRule type="cellIs" dxfId="167" priority="168" operator="equal">
      <formula>"Y"</formula>
    </cfRule>
  </conditionalFormatting>
  <conditionalFormatting sqref="P2">
    <cfRule type="cellIs" dxfId="166" priority="167" operator="equal">
      <formula>"Y"</formula>
    </cfRule>
  </conditionalFormatting>
  <conditionalFormatting sqref="P2">
    <cfRule type="cellIs" dxfId="165" priority="166" operator="equal">
      <formula>"Y"</formula>
    </cfRule>
  </conditionalFormatting>
  <conditionalFormatting sqref="P2">
    <cfRule type="cellIs" dxfId="164" priority="165" operator="equal">
      <formula>"Y"</formula>
    </cfRule>
  </conditionalFormatting>
  <conditionalFormatting sqref="P2">
    <cfRule type="cellIs" dxfId="163" priority="164" operator="equal">
      <formula>"Y"</formula>
    </cfRule>
  </conditionalFormatting>
  <conditionalFormatting sqref="P2">
    <cfRule type="cellIs" dxfId="162" priority="163" operator="equal">
      <formula>"Y"</formula>
    </cfRule>
  </conditionalFormatting>
  <conditionalFormatting sqref="P2">
    <cfRule type="cellIs" dxfId="161" priority="162" operator="equal">
      <formula>"Y"</formula>
    </cfRule>
  </conditionalFormatting>
  <conditionalFormatting sqref="P2">
    <cfRule type="cellIs" dxfId="160" priority="161" operator="equal">
      <formula>"Y"</formula>
    </cfRule>
    <cfRule type="cellIs" dxfId="159" priority="160" operator="equal">
      <formula>"Y"</formula>
    </cfRule>
    <cfRule type="cellIs" dxfId="158" priority="159" operator="equal">
      <formula>"Y"</formula>
    </cfRule>
    <cfRule type="cellIs" dxfId="157" priority="158" operator="equal">
      <formula>"Y"</formula>
    </cfRule>
    <cfRule type="cellIs" dxfId="156" priority="157" operator="equal">
      <formula>"Y"</formula>
    </cfRule>
    <cfRule type="cellIs" dxfId="155" priority="156" operator="equal">
      <formula>"Y"</formula>
    </cfRule>
  </conditionalFormatting>
  <conditionalFormatting sqref="P2">
    <cfRule type="cellIs" dxfId="154" priority="155" operator="equal">
      <formula>"Y"</formula>
    </cfRule>
    <cfRule type="cellIs" dxfId="153" priority="154" operator="equal">
      <formula>"Y"</formula>
    </cfRule>
  </conditionalFormatting>
  <conditionalFormatting sqref="P2">
    <cfRule type="cellIs" dxfId="152" priority="153" operator="equal">
      <formula>"Y"</formula>
    </cfRule>
  </conditionalFormatting>
  <conditionalFormatting sqref="P2">
    <cfRule type="cellIs" dxfId="151" priority="152" operator="equal">
      <formula>"Y"</formula>
    </cfRule>
  </conditionalFormatting>
  <conditionalFormatting sqref="P2">
    <cfRule type="cellIs" dxfId="150" priority="151" operator="equal">
      <formula>"Y"</formula>
    </cfRule>
    <cfRule type="cellIs" dxfId="149" priority="150" operator="equal">
      <formula>"Y"</formula>
    </cfRule>
    <cfRule type="cellIs" dxfId="148" priority="149" operator="equal">
      <formula>"Y"</formula>
    </cfRule>
    <cfRule type="cellIs" dxfId="147" priority="148" operator="equal">
      <formula>"Y"</formula>
    </cfRule>
    <cfRule type="cellIs" dxfId="146" priority="147" operator="equal">
      <formula>"Y"</formula>
    </cfRule>
    <cfRule type="cellIs" dxfId="145" priority="146" operator="equal">
      <formula>"Y"</formula>
    </cfRule>
    <cfRule type="cellIs" dxfId="144" priority="145" operator="equal">
      <formula>"Y"</formula>
    </cfRule>
    <cfRule type="cellIs" dxfId="143" priority="144" operator="equal">
      <formula>"Y"</formula>
    </cfRule>
    <cfRule type="cellIs" dxfId="142" priority="143" operator="equal">
      <formula>"Y"</formula>
    </cfRule>
    <cfRule type="cellIs" dxfId="141" priority="142" operator="equal">
      <formula>"Y"</formula>
    </cfRule>
    <cfRule type="cellIs" dxfId="140" priority="141" operator="equal">
      <formula>"Y"</formula>
    </cfRule>
    <cfRule type="cellIs" dxfId="139" priority="140" operator="equal">
      <formula>"Y"</formula>
    </cfRule>
    <cfRule type="cellIs" dxfId="138" priority="139" operator="equal">
      <formula>"Y"</formula>
    </cfRule>
    <cfRule type="cellIs" dxfId="137" priority="138" operator="equal">
      <formula>"Y"</formula>
    </cfRule>
    <cfRule type="cellIs" dxfId="136" priority="137" operator="equal">
      <formula>"Y"</formula>
    </cfRule>
  </conditionalFormatting>
  <conditionalFormatting sqref="P2">
    <cfRule type="cellIs" dxfId="135" priority="136" operator="equal">
      <formula>"Y"</formula>
    </cfRule>
    <cfRule type="cellIs" dxfId="134" priority="135" operator="equal">
      <formula>"Y"</formula>
    </cfRule>
    <cfRule type="cellIs" dxfId="133" priority="134" operator="equal">
      <formula>"Y"</formula>
    </cfRule>
    <cfRule type="cellIs" dxfId="132" priority="133" operator="equal">
      <formula>"Y"</formula>
    </cfRule>
    <cfRule type="cellIs" dxfId="131" priority="132" operator="equal">
      <formula>"Y"</formula>
    </cfRule>
    <cfRule type="cellIs" dxfId="130" priority="131" operator="equal">
      <formula>"Y"</formula>
    </cfRule>
  </conditionalFormatting>
  <conditionalFormatting sqref="P2">
    <cfRule type="cellIs" dxfId="129" priority="130" operator="equal">
      <formula>"Y"</formula>
    </cfRule>
    <cfRule type="cellIs" dxfId="128" priority="129" operator="equal">
      <formula>"Y"</formula>
    </cfRule>
    <cfRule type="cellIs" dxfId="127" priority="128" operator="equal">
      <formula>"Y"</formula>
    </cfRule>
    <cfRule type="cellIs" dxfId="126" priority="127" operator="equal">
      <formula>"Y"</formula>
    </cfRule>
    <cfRule type="cellIs" dxfId="125" priority="126" operator="equal">
      <formula>"Y"</formula>
    </cfRule>
    <cfRule type="cellIs" dxfId="124" priority="125" operator="equal">
      <formula>"Y"</formula>
    </cfRule>
  </conditionalFormatting>
  <conditionalFormatting sqref="P2">
    <cfRule type="cellIs" dxfId="123" priority="124" operator="equal">
      <formula>"Y"</formula>
    </cfRule>
    <cfRule type="cellIs" dxfId="122" priority="123" operator="equal">
      <formula>"Y"</formula>
    </cfRule>
    <cfRule type="cellIs" dxfId="121" priority="122" operator="equal">
      <formula>"Y"</formula>
    </cfRule>
    <cfRule type="cellIs" dxfId="120" priority="121" operator="equal">
      <formula>"Y"</formula>
    </cfRule>
    <cfRule type="cellIs" dxfId="119" priority="120" operator="equal">
      <formula>"Y"</formula>
    </cfRule>
    <cfRule type="cellIs" dxfId="118" priority="119" operator="equal">
      <formula>"Y"</formula>
    </cfRule>
    <cfRule type="cellIs" dxfId="117" priority="118" operator="equal">
      <formula>"Y"</formula>
    </cfRule>
  </conditionalFormatting>
  <conditionalFormatting sqref="P2">
    <cfRule type="cellIs" dxfId="116" priority="117" operator="equal">
      <formula>"Y"</formula>
    </cfRule>
    <cfRule type="cellIs" dxfId="115" priority="116" operator="equal">
      <formula>"Y"</formula>
    </cfRule>
    <cfRule type="cellIs" dxfId="114" priority="115" operator="equal">
      <formula>"Y"</formula>
    </cfRule>
    <cfRule type="cellIs" dxfId="113" priority="114" operator="equal">
      <formula>"Y"</formula>
    </cfRule>
  </conditionalFormatting>
  <conditionalFormatting sqref="P2">
    <cfRule type="cellIs" dxfId="112" priority="113" operator="equal">
      <formula>"Y"</formula>
    </cfRule>
  </conditionalFormatting>
  <conditionalFormatting sqref="P2">
    <cfRule type="cellIs" dxfId="111" priority="112" operator="equal">
      <formula>"Y"</formula>
    </cfRule>
  </conditionalFormatting>
  <conditionalFormatting sqref="P2">
    <cfRule type="cellIs" dxfId="110" priority="111" operator="equal">
      <formula>"Y"</formula>
    </cfRule>
    <cfRule type="cellIs" dxfId="109" priority="110" operator="equal">
      <formula>"Y"</formula>
    </cfRule>
    <cfRule type="cellIs" dxfId="108" priority="109" operator="equal">
      <formula>"Y"</formula>
    </cfRule>
    <cfRule type="cellIs" dxfId="107" priority="108" operator="equal">
      <formula>"Y"</formula>
    </cfRule>
  </conditionalFormatting>
  <conditionalFormatting sqref="P2">
    <cfRule type="cellIs" dxfId="106" priority="107" operator="equal">
      <formula>"Y"</formula>
    </cfRule>
  </conditionalFormatting>
  <conditionalFormatting sqref="P2">
    <cfRule type="cellIs" dxfId="105" priority="106" operator="equal">
      <formula>"Y"</formula>
    </cfRule>
    <cfRule type="cellIs" dxfId="104" priority="105" operator="equal">
      <formula>"Y"</formula>
    </cfRule>
    <cfRule type="cellIs" dxfId="103" priority="104" operator="equal">
      <formula>"Y"</formula>
    </cfRule>
    <cfRule type="cellIs" dxfId="102" priority="103" operator="equal">
      <formula>"Y"</formula>
    </cfRule>
    <cfRule type="cellIs" dxfId="101" priority="102" operator="equal">
      <formula>"Y"</formula>
    </cfRule>
  </conditionalFormatting>
  <conditionalFormatting sqref="P2">
    <cfRule type="cellIs" dxfId="100" priority="101" operator="equal">
      <formula>"Y"</formula>
    </cfRule>
  </conditionalFormatting>
  <conditionalFormatting sqref="P2">
    <cfRule type="cellIs" dxfId="99" priority="100" operator="equal">
      <formula>"Y"</formula>
    </cfRule>
  </conditionalFormatting>
  <conditionalFormatting sqref="P2">
    <cfRule type="cellIs" dxfId="98" priority="99" operator="equal">
      <formula>"Y"</formula>
    </cfRule>
    <cfRule type="cellIs" dxfId="97" priority="98" operator="equal">
      <formula>"Y"</formula>
    </cfRule>
    <cfRule type="cellIs" dxfId="96" priority="97" operator="equal">
      <formula>"Y"</formula>
    </cfRule>
    <cfRule type="cellIs" dxfId="95" priority="96" operator="equal">
      <formula>"Y"</formula>
    </cfRule>
    <cfRule type="cellIs" dxfId="94" priority="95" operator="equal">
      <formula>"Y"</formula>
    </cfRule>
    <cfRule type="cellIs" dxfId="93" priority="94" operator="equal">
      <formula>"Y"</formula>
    </cfRule>
    <cfRule type="cellIs" dxfId="92" priority="93" operator="equal">
      <formula>"Y"</formula>
    </cfRule>
  </conditionalFormatting>
  <conditionalFormatting sqref="P2">
    <cfRule type="cellIs" dxfId="91" priority="92" operator="equal">
      <formula>"Y"</formula>
    </cfRule>
    <cfRule type="cellIs" dxfId="90" priority="91" operator="equal">
      <formula>"Y"</formula>
    </cfRule>
    <cfRule type="cellIs" dxfId="89" priority="90" operator="equal">
      <formula>"Y"</formula>
    </cfRule>
    <cfRule type="cellIs" dxfId="88" priority="89" operator="equal">
      <formula>"Y"</formula>
    </cfRule>
    <cfRule type="cellIs" dxfId="87" priority="88" operator="equal">
      <formula>"Y"</formula>
    </cfRule>
    <cfRule type="cellIs" dxfId="86" priority="87" operator="equal">
      <formula>"Y"</formula>
    </cfRule>
  </conditionalFormatting>
  <conditionalFormatting sqref="P2">
    <cfRule type="cellIs" dxfId="85" priority="86" operator="equal">
      <formula>"Y"</formula>
    </cfRule>
    <cfRule type="cellIs" dxfId="84" priority="85" operator="equal">
      <formula>"Y"</formula>
    </cfRule>
    <cfRule type="cellIs" dxfId="83" priority="84" operator="equal">
      <formula>"Y"</formula>
    </cfRule>
    <cfRule type="cellIs" dxfId="82" priority="83" operator="equal">
      <formula>"Y"</formula>
    </cfRule>
    <cfRule type="cellIs" dxfId="81" priority="82" operator="equal">
      <formula>"Y"</formula>
    </cfRule>
    <cfRule type="cellIs" dxfId="80" priority="81" operator="equal">
      <formula>"Y"</formula>
    </cfRule>
    <cfRule type="cellIs" dxfId="79" priority="80" operator="equal">
      <formula>"Y"</formula>
    </cfRule>
    <cfRule type="cellIs" dxfId="78" priority="79" operator="equal">
      <formula>"Y"</formula>
    </cfRule>
  </conditionalFormatting>
  <conditionalFormatting sqref="P2">
    <cfRule type="cellIs" dxfId="77" priority="78" operator="equal">
      <formula>"Y"</formula>
    </cfRule>
    <cfRule type="cellIs" dxfId="76" priority="77" operator="equal">
      <formula>"Y"</formula>
    </cfRule>
    <cfRule type="cellIs" dxfId="75" priority="76" operator="equal">
      <formula>"Y"</formula>
    </cfRule>
    <cfRule type="cellIs" dxfId="74" priority="75" operator="equal">
      <formula>"Y"</formula>
    </cfRule>
    <cfRule type="cellIs" dxfId="73" priority="74" operator="equal">
      <formula>"Y"</formula>
    </cfRule>
    <cfRule type="cellIs" dxfId="72" priority="73" operator="equal">
      <formula>"Y"</formula>
    </cfRule>
    <cfRule type="cellIs" dxfId="71" priority="72" operator="equal">
      <formula>"Y"</formula>
    </cfRule>
    <cfRule type="cellIs" dxfId="70" priority="71" operator="equal">
      <formula>"Y"</formula>
    </cfRule>
  </conditionalFormatting>
  <conditionalFormatting sqref="P2">
    <cfRule type="cellIs" dxfId="69" priority="70" operator="equal">
      <formula>"Y"</formula>
    </cfRule>
    <cfRule type="cellIs" dxfId="68" priority="69" operator="equal">
      <formula>"Y"</formula>
    </cfRule>
    <cfRule type="cellIs" dxfId="67" priority="68" operator="equal">
      <formula>"Y"</formula>
    </cfRule>
    <cfRule type="cellIs" dxfId="66" priority="67" operator="equal">
      <formula>"Y"</formula>
    </cfRule>
    <cfRule type="cellIs" dxfId="65" priority="66" operator="equal">
      <formula>"Y"</formula>
    </cfRule>
    <cfRule type="cellIs" dxfId="64" priority="65" operator="equal">
      <formula>"Y"</formula>
    </cfRule>
    <cfRule type="cellIs" dxfId="63" priority="64" operator="equal">
      <formula>"Y"</formula>
    </cfRule>
    <cfRule type="cellIs" dxfId="62" priority="63" operator="equal">
      <formula>"Y"</formula>
    </cfRule>
  </conditionalFormatting>
  <conditionalFormatting sqref="P2">
    <cfRule type="cellIs" dxfId="61" priority="62" operator="equal">
      <formula>"Y"</formula>
    </cfRule>
    <cfRule type="cellIs" dxfId="60" priority="61" operator="equal">
      <formula>"Y"</formula>
    </cfRule>
    <cfRule type="cellIs" dxfId="59" priority="60" operator="equal">
      <formula>"Y"</formula>
    </cfRule>
    <cfRule type="cellIs" dxfId="58" priority="59" operator="equal">
      <formula>"Y"</formula>
    </cfRule>
    <cfRule type="cellIs" dxfId="57" priority="58" operator="equal">
      <formula>"Y"</formula>
    </cfRule>
    <cfRule type="cellIs" dxfId="56" priority="57" operator="equal">
      <formula>"Y"</formula>
    </cfRule>
    <cfRule type="cellIs" dxfId="55" priority="56" operator="equal">
      <formula>"Y"</formula>
    </cfRule>
    <cfRule type="cellIs" dxfId="54" priority="55" operator="equal">
      <formula>"Y"</formula>
    </cfRule>
  </conditionalFormatting>
  <conditionalFormatting sqref="P2">
    <cfRule type="cellIs" dxfId="53" priority="54" operator="equal">
      <formula>"Y"</formula>
    </cfRule>
    <cfRule type="cellIs" dxfId="52" priority="53" operator="equal">
      <formula>"Y"</formula>
    </cfRule>
  </conditionalFormatting>
  <conditionalFormatting sqref="P2">
    <cfRule type="cellIs" dxfId="51" priority="52" operator="equal">
      <formula>"Y"</formula>
    </cfRule>
  </conditionalFormatting>
  <conditionalFormatting sqref="P2">
    <cfRule type="cellIs" dxfId="50" priority="51" operator="equal">
      <formula>"Y"</formula>
    </cfRule>
    <cfRule type="cellIs" dxfId="49" priority="50" operator="equal">
      <formula>"Y"</formula>
    </cfRule>
    <cfRule type="cellIs" dxfId="48" priority="49" operator="equal">
      <formula>"Y"</formula>
    </cfRule>
    <cfRule type="cellIs" dxfId="47" priority="48" operator="equal">
      <formula>"Y"</formula>
    </cfRule>
    <cfRule type="cellIs" dxfId="46" priority="47" operator="equal">
      <formula>"Y"</formula>
    </cfRule>
    <cfRule type="cellIs" dxfId="45" priority="46" operator="equal">
      <formula>"Y"</formula>
    </cfRule>
    <cfRule type="cellIs" dxfId="44" priority="45" operator="equal">
      <formula>"Y"</formula>
    </cfRule>
    <cfRule type="cellIs" dxfId="43" priority="44" operator="equal">
      <formula>"Y"</formula>
    </cfRule>
    <cfRule type="cellIs" dxfId="42" priority="43" operator="equal">
      <formula>"Y"</formula>
    </cfRule>
    <cfRule type="cellIs" dxfId="41" priority="42" operator="equal">
      <formula>"Y"</formula>
    </cfRule>
    <cfRule type="cellIs" dxfId="40" priority="41" operator="equal">
      <formula>"Y"</formula>
    </cfRule>
    <cfRule type="cellIs" dxfId="39" priority="40" operator="equal">
      <formula>"Y"</formula>
    </cfRule>
  </conditionalFormatting>
  <conditionalFormatting sqref="P2">
    <cfRule type="cellIs" dxfId="38" priority="39" operator="equal">
      <formula>"Y"</formula>
    </cfRule>
    <cfRule type="cellIs" dxfId="37" priority="38" operator="equal">
      <formula>"Y"</formula>
    </cfRule>
    <cfRule type="cellIs" dxfId="36" priority="37" operator="equal">
      <formula>"Y"</formula>
    </cfRule>
    <cfRule type="cellIs" dxfId="35" priority="36" operator="equal">
      <formula>"Y"</formula>
    </cfRule>
    <cfRule type="cellIs" dxfId="34" priority="35" operator="equal">
      <formula>"Y"</formula>
    </cfRule>
    <cfRule type="cellIs" dxfId="33" priority="34" operator="equal">
      <formula>"Y"</formula>
    </cfRule>
    <cfRule type="cellIs" dxfId="32" priority="33" operator="equal">
      <formula>"Y"</formula>
    </cfRule>
    <cfRule type="cellIs" dxfId="31" priority="32" operator="equal">
      <formula>"Y"</formula>
    </cfRule>
    <cfRule type="cellIs" dxfId="30" priority="31" operator="equal">
      <formula>"Y"</formula>
    </cfRule>
    <cfRule type="cellIs" dxfId="29" priority="30" operator="equal">
      <formula>"Y"</formula>
    </cfRule>
    <cfRule type="cellIs" dxfId="28" priority="29" operator="equal">
      <formula>"Y"</formula>
    </cfRule>
  </conditionalFormatting>
  <conditionalFormatting sqref="P2">
    <cfRule type="cellIs" dxfId="27" priority="28" operator="equal">
      <formula>"Y"</formula>
    </cfRule>
  </conditionalFormatting>
  <conditionalFormatting sqref="P2">
    <cfRule type="cellIs" dxfId="26" priority="27" operator="equal">
      <formula>"Y"</formula>
    </cfRule>
    <cfRule type="cellIs" dxfId="25" priority="26" operator="equal">
      <formula>"Y"</formula>
    </cfRule>
    <cfRule type="cellIs" dxfId="24" priority="25" operator="equal">
      <formula>"Y"</formula>
    </cfRule>
    <cfRule type="cellIs" dxfId="23" priority="24" operator="equal">
      <formula>"Y"</formula>
    </cfRule>
    <cfRule type="cellIs" dxfId="22" priority="23" operator="equal">
      <formula>"Y"</formula>
    </cfRule>
  </conditionalFormatting>
  <conditionalFormatting sqref="P2">
    <cfRule type="cellIs" dxfId="21" priority="22" operator="equal">
      <formula>"Y"</formula>
    </cfRule>
    <cfRule type="cellIs" dxfId="20" priority="21" operator="equal">
      <formula>"Y"</formula>
    </cfRule>
    <cfRule type="cellIs" dxfId="19" priority="20" operator="equal">
      <formula>"Y"</formula>
    </cfRule>
  </conditionalFormatting>
  <conditionalFormatting sqref="P2">
    <cfRule type="cellIs" dxfId="18" priority="19" operator="equal">
      <formula>"Y"</formula>
    </cfRule>
  </conditionalFormatting>
  <conditionalFormatting sqref="P2:P4110">
    <cfRule type="cellIs" dxfId="17" priority="18" operator="equal">
      <formula>"Y"</formula>
    </cfRule>
    <cfRule type="cellIs" dxfId="16" priority="17" operator="equal">
      <formula>"Y"</formula>
    </cfRule>
    <cfRule type="cellIs" dxfId="15" priority="16" operator="equal">
      <formula>"Y"</formula>
    </cfRule>
    <cfRule type="cellIs" dxfId="14" priority="15" operator="equal">
      <formula>"Y"</formula>
    </cfRule>
    <cfRule type="cellIs" dxfId="13" priority="14" operator="equal">
      <formula>"Y"</formula>
    </cfRule>
    <cfRule type="cellIs" dxfId="12" priority="13" operator="equal">
      <formula>"Y"</formula>
    </cfRule>
    <cfRule type="cellIs" dxfId="11" priority="12" operator="equal">
      <formula>"Y"</formula>
    </cfRule>
    <cfRule type="cellIs" dxfId="10" priority="11" operator="equal">
      <formula>"Y"</formula>
    </cfRule>
    <cfRule type="cellIs" dxfId="9" priority="10" operator="equal">
      <formula>"Y"</formula>
    </cfRule>
    <cfRule type="cellIs" dxfId="8" priority="9" operator="equal">
      <formula>"Y"</formula>
    </cfRule>
    <cfRule type="cellIs" dxfId="7" priority="8" operator="equal">
      <formula>"Y"</formula>
    </cfRule>
    <cfRule type="cellIs" dxfId="6" priority="7" operator="equal">
      <formula>"Y"</formula>
    </cfRule>
    <cfRule type="cellIs" dxfId="5" priority="6" operator="equal">
      <formula>"Y"</formula>
    </cfRule>
    <cfRule type="cellIs" dxfId="4" priority="5" operator="equal">
      <formula>"Y"</formula>
    </cfRule>
    <cfRule type="cellIs" dxfId="3" priority="4" operator="equal">
      <formula>"Y"</formula>
    </cfRule>
    <cfRule type="cellIs" dxfId="2" priority="3" operator="equal">
      <formula>"Y"</formula>
    </cfRule>
    <cfRule type="cellIs" dxfId="1" priority="2" operator="equal">
      <formula>"Y"</formula>
    </cfRule>
    <cfRule type="cellIs" dxfId="0" priority="1" operator="equal">
      <formula>"Y"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4">
          <controlPr defaultSize="0" autoLine="0" autoPict="0" r:id="rId5">
            <anchor moveWithCells="1">
              <from>
                <xdr:col>4</xdr:col>
                <xdr:colOff>701040</xdr:colOff>
                <xdr:row>0</xdr:row>
                <xdr:rowOff>441960</xdr:rowOff>
              </from>
              <to>
                <xdr:col>5</xdr:col>
                <xdr:colOff>76200</xdr:colOff>
                <xdr:row>0</xdr:row>
                <xdr:rowOff>739140</xdr:rowOff>
              </to>
            </anchor>
          </controlPr>
        </control>
      </mc:Choice>
      <mc:Fallback>
        <control shapeId="1032" r:id="rId4" name="CommandButton4"/>
      </mc:Fallback>
    </mc:AlternateContent>
    <mc:AlternateContent xmlns:mc="http://schemas.openxmlformats.org/markup-compatibility/2006">
      <mc:Choice Requires="x14">
        <control shapeId="1030" r:id="rId6" name="CommandButton3">
          <controlPr defaultSize="0" autoLine="0" r:id="rId7">
            <anchor moveWithCells="1">
              <from>
                <xdr:col>1</xdr:col>
                <xdr:colOff>579120</xdr:colOff>
                <xdr:row>0</xdr:row>
                <xdr:rowOff>434340</xdr:rowOff>
              </from>
              <to>
                <xdr:col>1</xdr:col>
                <xdr:colOff>1280160</xdr:colOff>
                <xdr:row>0</xdr:row>
                <xdr:rowOff>746760</xdr:rowOff>
              </to>
            </anchor>
          </controlPr>
        </control>
      </mc:Choice>
      <mc:Fallback>
        <control shapeId="1030" r:id="rId6" name="CommandButton3"/>
      </mc:Fallback>
    </mc:AlternateContent>
    <mc:AlternateContent xmlns:mc="http://schemas.openxmlformats.org/markup-compatibility/2006">
      <mc:Choice Requires="x14">
        <control shapeId="1028" r:id="rId8" name="ComboBox1">
          <controlPr defaultSize="0" autoLine="0" autoPict="0" r:id="rId9">
            <anchor moveWithCells="1">
              <from>
                <xdr:col>0</xdr:col>
                <xdr:colOff>114300</xdr:colOff>
                <xdr:row>0</xdr:row>
                <xdr:rowOff>449580</xdr:rowOff>
              </from>
              <to>
                <xdr:col>0</xdr:col>
                <xdr:colOff>899160</xdr:colOff>
                <xdr:row>0</xdr:row>
                <xdr:rowOff>693420</xdr:rowOff>
              </to>
            </anchor>
          </controlPr>
        </control>
      </mc:Choice>
      <mc:Fallback>
        <control shapeId="1028" r:id="rId8" name="ComboBox1"/>
      </mc:Fallback>
    </mc:AlternateContent>
    <mc:AlternateContent xmlns:mc="http://schemas.openxmlformats.org/markup-compatibility/2006">
      <mc:Choice Requires="x14">
        <control shapeId="1027" r:id="rId10" name="CommandButton2">
          <controlPr defaultSize="0" autoLine="0" r:id="rId11">
            <anchor moveWithCells="1">
              <from>
                <xdr:col>4</xdr:col>
                <xdr:colOff>0</xdr:colOff>
                <xdr:row>0</xdr:row>
                <xdr:rowOff>434340</xdr:rowOff>
              </from>
              <to>
                <xdr:col>4</xdr:col>
                <xdr:colOff>556260</xdr:colOff>
                <xdr:row>0</xdr:row>
                <xdr:rowOff>739140</xdr:rowOff>
              </to>
            </anchor>
          </controlPr>
        </control>
      </mc:Choice>
      <mc:Fallback>
        <control shapeId="1027" r:id="rId10" name="CommandButton2"/>
      </mc:Fallback>
    </mc:AlternateContent>
    <mc:AlternateContent xmlns:mc="http://schemas.openxmlformats.org/markup-compatibility/2006">
      <mc:Choice Requires="x14">
        <control shapeId="1026" r:id="rId12" name="CommandButton1">
          <controlPr defaultSize="0" autoLine="0" r:id="rId13">
            <anchor moveWithCells="1">
              <from>
                <xdr:col>1</xdr:col>
                <xdr:colOff>1417320</xdr:colOff>
                <xdr:row>0</xdr:row>
                <xdr:rowOff>434340</xdr:rowOff>
              </from>
              <to>
                <xdr:col>4</xdr:col>
                <xdr:colOff>106680</xdr:colOff>
                <xdr:row>0</xdr:row>
                <xdr:rowOff>739140</xdr:rowOff>
              </to>
            </anchor>
          </controlPr>
        </control>
      </mc:Choice>
      <mc:Fallback>
        <control shapeId="1026" r:id="rId12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793AD-1BAD-477A-A560-8F8DB764279E}">
  <sheetPr codeName="Sheet7"/>
  <dimension ref="A1:C7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D16" sqref="D16"/>
    </sheetView>
  </sheetViews>
  <sheetFormatPr defaultRowHeight="13.8" x14ac:dyDescent="0.25"/>
  <cols>
    <col min="1" max="1" width="27.77734375" customWidth="1"/>
    <col min="2" max="2" width="22.77734375" customWidth="1"/>
    <col min="3" max="3" width="16.44140625" customWidth="1"/>
    <col min="4" max="174" width="20.109375" customWidth="1"/>
  </cols>
  <sheetData>
    <row r="1" spans="1:3" ht="18" customHeight="1" x14ac:dyDescent="0.25">
      <c r="A1" s="29"/>
      <c r="B1" s="30"/>
    </row>
    <row r="2" spans="1:3" ht="18" customHeight="1" x14ac:dyDescent="0.25">
      <c r="A2" s="29"/>
      <c r="B2" s="30"/>
    </row>
    <row r="3" spans="1:3" ht="18" customHeight="1" x14ac:dyDescent="0.25"/>
    <row r="4" spans="1:3" ht="18" customHeight="1" x14ac:dyDescent="0.25"/>
    <row r="5" spans="1:3" ht="18" customHeight="1" x14ac:dyDescent="0.25">
      <c r="A5" s="26" t="s">
        <v>550</v>
      </c>
    </row>
    <row r="6" spans="1:3" x14ac:dyDescent="0.25">
      <c r="A6" s="40" t="s">
        <v>551</v>
      </c>
      <c r="B6" s="40" t="s">
        <v>552</v>
      </c>
      <c r="C6" s="40"/>
    </row>
    <row r="7" spans="1:3" x14ac:dyDescent="0.25">
      <c r="A7" s="41"/>
      <c r="B7" s="40"/>
      <c r="C7" s="40"/>
    </row>
  </sheetData>
  <sheetProtection algorithmName="SHA-512" hashValue="0ij/PJUY53nbXorw5h+Mcm3MpaYjmpNUQWkLD10y38LiHFVm8zEEKOCNI8UPPFWNRX02meSpbxz6Dr8TiNwxeQ==" saltValue="xLJrO286vr0xmGz1pqNaog==" spinCount="100000" sheet="1" objects="1" scenarios="1" sort="0" autoFilter="0"/>
  <mergeCells count="2">
    <mergeCell ref="A6:A7"/>
    <mergeCell ref="B6:C7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61" r:id="rId3" name="Label1">
          <controlPr defaultSize="0" autoLine="0" r:id="rId4">
            <anchor moveWithCells="1">
              <from>
                <xdr:col>4</xdr:col>
                <xdr:colOff>1280160</xdr:colOff>
                <xdr:row>1</xdr:row>
                <xdr:rowOff>45720</xdr:rowOff>
              </from>
              <to>
                <xdr:col>7</xdr:col>
                <xdr:colOff>822960</xdr:colOff>
                <xdr:row>3</xdr:row>
                <xdr:rowOff>22860</xdr:rowOff>
              </to>
            </anchor>
          </controlPr>
        </control>
      </mc:Choice>
      <mc:Fallback>
        <control shapeId="2061" r:id="rId3" name="Label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C04D-0FD9-4DA6-8F03-14FE1A7D81BA}">
  <sheetPr codeName="Sheet2"/>
  <dimension ref="A1:M33"/>
  <sheetViews>
    <sheetView topLeftCell="C25" workbookViewId="0">
      <selection activeCell="C36" sqref="C36"/>
    </sheetView>
  </sheetViews>
  <sheetFormatPr defaultRowHeight="13.8" x14ac:dyDescent="0.25"/>
  <cols>
    <col min="1" max="1" width="8.44140625" style="1"/>
    <col min="3" max="3" width="62" bestFit="1" customWidth="1"/>
    <col min="5" max="5" width="8.44140625" style="1"/>
    <col min="9" max="9" width="17.77734375" bestFit="1" customWidth="1"/>
    <col min="11" max="11" width="16.33203125" style="12" bestFit="1" customWidth="1"/>
    <col min="12" max="12" width="28" bestFit="1" customWidth="1"/>
    <col min="13" max="13" width="16.109375" bestFit="1" customWidth="1"/>
  </cols>
  <sheetData>
    <row r="1" spans="1:13" x14ac:dyDescent="0.25">
      <c r="A1" s="2" t="s">
        <v>553</v>
      </c>
      <c r="C1" s="2" t="s">
        <v>554</v>
      </c>
      <c r="E1" s="2" t="s">
        <v>555</v>
      </c>
      <c r="G1" s="2" t="s">
        <v>517</v>
      </c>
      <c r="I1" s="2" t="s">
        <v>556</v>
      </c>
      <c r="K1" s="10" t="s">
        <v>557</v>
      </c>
      <c r="L1" s="2" t="s">
        <v>487</v>
      </c>
      <c r="M1" s="2" t="s">
        <v>521</v>
      </c>
    </row>
    <row r="2" spans="1:13" x14ac:dyDescent="0.25">
      <c r="A2" s="1" t="s">
        <v>558</v>
      </c>
      <c r="C2" t="s">
        <v>559</v>
      </c>
      <c r="E2" s="1" t="s">
        <v>560</v>
      </c>
      <c r="G2">
        <v>2025</v>
      </c>
      <c r="I2" t="s">
        <v>516</v>
      </c>
      <c r="K2" s="11" t="s">
        <v>561</v>
      </c>
      <c r="L2" s="4" t="s">
        <v>562</v>
      </c>
      <c r="M2" t="s">
        <v>563</v>
      </c>
    </row>
    <row r="3" spans="1:13" x14ac:dyDescent="0.25">
      <c r="C3" t="s">
        <v>564</v>
      </c>
      <c r="G3">
        <v>2026</v>
      </c>
      <c r="I3" t="s">
        <v>552</v>
      </c>
      <c r="K3" s="11" t="s">
        <v>565</v>
      </c>
      <c r="L3" s="4" t="s">
        <v>566</v>
      </c>
      <c r="M3" t="s">
        <v>563</v>
      </c>
    </row>
    <row r="4" spans="1:13" x14ac:dyDescent="0.25">
      <c r="C4" t="s">
        <v>567</v>
      </c>
      <c r="G4">
        <v>2027</v>
      </c>
      <c r="I4" t="s">
        <v>568</v>
      </c>
      <c r="K4" s="11" t="s">
        <v>569</v>
      </c>
      <c r="L4" s="4" t="s">
        <v>570</v>
      </c>
      <c r="M4" t="s">
        <v>563</v>
      </c>
    </row>
    <row r="5" spans="1:13" x14ac:dyDescent="0.25">
      <c r="C5" t="s">
        <v>571</v>
      </c>
      <c r="G5">
        <v>2028</v>
      </c>
      <c r="K5" s="11" t="s">
        <v>572</v>
      </c>
      <c r="L5" s="4" t="s">
        <v>573</v>
      </c>
      <c r="M5" t="s">
        <v>563</v>
      </c>
    </row>
    <row r="6" spans="1:13" x14ac:dyDescent="0.25">
      <c r="C6" t="s">
        <v>574</v>
      </c>
      <c r="G6">
        <v>2029</v>
      </c>
      <c r="K6" s="11" t="s">
        <v>575</v>
      </c>
      <c r="L6" s="4" t="s">
        <v>576</v>
      </c>
      <c r="M6" t="s">
        <v>563</v>
      </c>
    </row>
    <row r="7" spans="1:13" x14ac:dyDescent="0.25">
      <c r="C7" t="s">
        <v>577</v>
      </c>
      <c r="G7">
        <v>2030</v>
      </c>
      <c r="K7" s="11" t="s">
        <v>198</v>
      </c>
      <c r="L7" s="4" t="s">
        <v>199</v>
      </c>
      <c r="M7" t="s">
        <v>578</v>
      </c>
    </row>
    <row r="8" spans="1:13" x14ac:dyDescent="0.25">
      <c r="C8" t="s">
        <v>579</v>
      </c>
      <c r="K8" s="11" t="s">
        <v>192</v>
      </c>
      <c r="L8" s="4" t="s">
        <v>193</v>
      </c>
      <c r="M8" t="s">
        <v>578</v>
      </c>
    </row>
    <row r="9" spans="1:13" x14ac:dyDescent="0.25">
      <c r="C9" t="s">
        <v>580</v>
      </c>
      <c r="K9" s="13" t="s">
        <v>189</v>
      </c>
      <c r="L9" s="13" t="s">
        <v>581</v>
      </c>
      <c r="M9" t="s">
        <v>582</v>
      </c>
    </row>
    <row r="10" spans="1:13" x14ac:dyDescent="0.25">
      <c r="C10" t="s">
        <v>583</v>
      </c>
      <c r="K10" s="13" t="s">
        <v>30</v>
      </c>
      <c r="L10" s="13" t="s">
        <v>31</v>
      </c>
      <c r="M10" t="s">
        <v>582</v>
      </c>
    </row>
    <row r="11" spans="1:13" x14ac:dyDescent="0.25">
      <c r="C11" t="s">
        <v>584</v>
      </c>
      <c r="K11" s="13" t="s">
        <v>195</v>
      </c>
      <c r="L11" s="13" t="s">
        <v>196</v>
      </c>
      <c r="M11" t="s">
        <v>585</v>
      </c>
    </row>
    <row r="12" spans="1:13" x14ac:dyDescent="0.25">
      <c r="C12" t="s">
        <v>586</v>
      </c>
      <c r="K12" s="13" t="s">
        <v>49</v>
      </c>
      <c r="L12" s="13" t="s">
        <v>587</v>
      </c>
      <c r="M12" t="s">
        <v>585</v>
      </c>
    </row>
    <row r="13" spans="1:13" x14ac:dyDescent="0.25">
      <c r="C13" t="s">
        <v>526</v>
      </c>
      <c r="K13" s="13" t="s">
        <v>35</v>
      </c>
      <c r="L13" s="13" t="s">
        <v>588</v>
      </c>
      <c r="M13" t="s">
        <v>585</v>
      </c>
    </row>
    <row r="14" spans="1:13" x14ac:dyDescent="0.25">
      <c r="C14" t="s">
        <v>589</v>
      </c>
      <c r="K14" s="13" t="s">
        <v>42</v>
      </c>
      <c r="L14" s="13" t="s">
        <v>590</v>
      </c>
      <c r="M14" t="s">
        <v>585</v>
      </c>
    </row>
    <row r="15" spans="1:13" x14ac:dyDescent="0.25">
      <c r="C15" t="s">
        <v>591</v>
      </c>
      <c r="K15" s="13" t="s">
        <v>162</v>
      </c>
      <c r="L15" s="13" t="s">
        <v>592</v>
      </c>
      <c r="M15" t="s">
        <v>585</v>
      </c>
    </row>
    <row r="16" spans="1:13" x14ac:dyDescent="0.25">
      <c r="C16" t="s">
        <v>593</v>
      </c>
      <c r="K16" s="13" t="s">
        <v>594</v>
      </c>
      <c r="L16" s="13" t="s">
        <v>595</v>
      </c>
      <c r="M16" t="s">
        <v>585</v>
      </c>
    </row>
    <row r="17" spans="3:13" x14ac:dyDescent="0.25">
      <c r="C17" t="s">
        <v>596</v>
      </c>
      <c r="K17" s="13" t="s">
        <v>62</v>
      </c>
      <c r="L17" s="13" t="s">
        <v>597</v>
      </c>
      <c r="M17" t="s">
        <v>585</v>
      </c>
    </row>
    <row r="18" spans="3:13" x14ac:dyDescent="0.25">
      <c r="C18" t="s">
        <v>598</v>
      </c>
      <c r="K18" s="13" t="s">
        <v>166</v>
      </c>
      <c r="L18" s="13" t="s">
        <v>599</v>
      </c>
      <c r="M18" t="s">
        <v>585</v>
      </c>
    </row>
    <row r="19" spans="3:13" x14ac:dyDescent="0.25">
      <c r="C19" t="s">
        <v>600</v>
      </c>
    </row>
    <row r="20" spans="3:13" x14ac:dyDescent="0.25">
      <c r="C20" t="s">
        <v>601</v>
      </c>
    </row>
    <row r="21" spans="3:13" x14ac:dyDescent="0.25">
      <c r="C21" t="s">
        <v>602</v>
      </c>
    </row>
    <row r="22" spans="3:13" x14ac:dyDescent="0.25">
      <c r="C22" t="s">
        <v>603</v>
      </c>
    </row>
    <row r="23" spans="3:13" x14ac:dyDescent="0.25">
      <c r="C23" t="s">
        <v>604</v>
      </c>
    </row>
    <row r="24" spans="3:13" x14ac:dyDescent="0.25">
      <c r="C24" t="s">
        <v>605</v>
      </c>
    </row>
    <row r="25" spans="3:13" x14ac:dyDescent="0.25">
      <c r="C25" t="s">
        <v>606</v>
      </c>
    </row>
    <row r="26" spans="3:13" x14ac:dyDescent="0.25">
      <c r="C26" t="s">
        <v>607</v>
      </c>
    </row>
    <row r="27" spans="3:13" x14ac:dyDescent="0.25">
      <c r="C27" t="s">
        <v>608</v>
      </c>
    </row>
    <row r="28" spans="3:13" x14ac:dyDescent="0.25">
      <c r="C28" t="s">
        <v>609</v>
      </c>
    </row>
    <row r="29" spans="3:13" x14ac:dyDescent="0.25">
      <c r="C29" t="s">
        <v>610</v>
      </c>
    </row>
    <row r="30" spans="3:13" x14ac:dyDescent="0.25">
      <c r="C30" t="s">
        <v>611</v>
      </c>
    </row>
    <row r="31" spans="3:13" x14ac:dyDescent="0.25">
      <c r="C31" t="s">
        <v>612</v>
      </c>
    </row>
    <row r="32" spans="3:13" x14ac:dyDescent="0.25">
      <c r="C32" t="s">
        <v>613</v>
      </c>
    </row>
    <row r="33" spans="3:3" x14ac:dyDescent="0.25">
      <c r="C33" t="s">
        <v>614</v>
      </c>
    </row>
  </sheetData>
  <phoneticPr fontId="1" type="noConversion"/>
  <dataValidations count="1">
    <dataValidation type="list" allowBlank="1" showInputMessage="1" showErrorMessage="1" sqref="E2" xr:uid="{71A9BB42-D510-4A48-B547-A22AFC9F8EB5}">
      <formula1>"UAT,PRO"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5CAC3-3A3F-46D6-B1C0-56F715517AB4}">
  <sheetPr codeName="Sheet5"/>
  <dimension ref="A1:K1644"/>
  <sheetViews>
    <sheetView workbookViewId="0">
      <pane ySplit="1" topLeftCell="A998" activePane="bottomLeft" state="frozen"/>
      <selection pane="bottomLeft" activeCell="E1006" sqref="E1006:E1012"/>
    </sheetView>
  </sheetViews>
  <sheetFormatPr defaultRowHeight="13.8" x14ac:dyDescent="0.25"/>
  <cols>
    <col min="1" max="1" width="16" style="1" customWidth="1"/>
    <col min="2" max="2" width="20.44140625" style="1" bestFit="1" customWidth="1"/>
    <col min="3" max="3" width="10.109375" style="1" bestFit="1" customWidth="1"/>
    <col min="4" max="4" width="9" style="1" bestFit="1" customWidth="1"/>
    <col min="5" max="6" width="18.77734375" style="1" customWidth="1"/>
    <col min="11" max="11" width="24.109375" bestFit="1" customWidth="1"/>
  </cols>
  <sheetData>
    <row r="1" spans="1:11" x14ac:dyDescent="0.25">
      <c r="A1" s="5" t="s">
        <v>615</v>
      </c>
      <c r="B1" s="5" t="s">
        <v>519</v>
      </c>
      <c r="C1" s="5" t="s">
        <v>518</v>
      </c>
      <c r="D1" s="5" t="s">
        <v>517</v>
      </c>
      <c r="E1" s="5" t="s">
        <v>616</v>
      </c>
      <c r="F1" s="5" t="s">
        <v>617</v>
      </c>
      <c r="G1" s="5" t="s">
        <v>618</v>
      </c>
      <c r="K1" s="7" t="s">
        <v>619</v>
      </c>
    </row>
    <row r="2" spans="1:11" s="4" customFormat="1" x14ac:dyDescent="0.25">
      <c r="A2" s="9">
        <v>45292</v>
      </c>
      <c r="B2" s="35" t="s">
        <v>620</v>
      </c>
      <c r="C2" s="35" t="s">
        <v>536</v>
      </c>
      <c r="D2" s="35" t="s">
        <v>621</v>
      </c>
      <c r="E2" s="35" t="s">
        <v>33</v>
      </c>
      <c r="F2" s="1">
        <f t="shared" ref="F2:F65" si="0">IF(OR(E2="",E2="调休"),8,0)</f>
        <v>8</v>
      </c>
    </row>
    <row r="3" spans="1:11" s="4" customFormat="1" x14ac:dyDescent="0.25">
      <c r="A3" s="9">
        <v>45293</v>
      </c>
      <c r="B3" s="35" t="s">
        <v>620</v>
      </c>
      <c r="C3" s="35" t="s">
        <v>536</v>
      </c>
      <c r="D3" s="35" t="s">
        <v>621</v>
      </c>
      <c r="E3" s="35" t="s">
        <v>33</v>
      </c>
      <c r="F3" s="1">
        <f t="shared" si="0"/>
        <v>8</v>
      </c>
    </row>
    <row r="4" spans="1:11" s="4" customFormat="1" x14ac:dyDescent="0.25">
      <c r="A4" s="9">
        <v>45294</v>
      </c>
      <c r="B4" s="35" t="s">
        <v>620</v>
      </c>
      <c r="C4" s="35" t="s">
        <v>536</v>
      </c>
      <c r="D4" s="35" t="s">
        <v>621</v>
      </c>
      <c r="E4" s="35" t="s">
        <v>33</v>
      </c>
      <c r="F4" s="1">
        <f t="shared" si="0"/>
        <v>8</v>
      </c>
    </row>
    <row r="5" spans="1:11" s="4" customFormat="1" x14ac:dyDescent="0.25">
      <c r="A5" s="9">
        <v>45295</v>
      </c>
      <c r="B5" s="35" t="s">
        <v>620</v>
      </c>
      <c r="C5" s="35" t="s">
        <v>536</v>
      </c>
      <c r="D5" s="35" t="s">
        <v>621</v>
      </c>
      <c r="E5" s="35" t="s">
        <v>33</v>
      </c>
      <c r="F5" s="1">
        <f t="shared" si="0"/>
        <v>8</v>
      </c>
    </row>
    <row r="6" spans="1:11" s="4" customFormat="1" x14ac:dyDescent="0.25">
      <c r="A6" s="9">
        <v>45296</v>
      </c>
      <c r="B6" s="35" t="s">
        <v>620</v>
      </c>
      <c r="C6" s="35" t="s">
        <v>536</v>
      </c>
      <c r="D6" s="35" t="s">
        <v>621</v>
      </c>
      <c r="E6" s="35" t="s">
        <v>33</v>
      </c>
      <c r="F6" s="1">
        <f t="shared" si="0"/>
        <v>8</v>
      </c>
    </row>
    <row r="7" spans="1:11" s="4" customFormat="1" x14ac:dyDescent="0.25">
      <c r="A7" s="9">
        <v>45297</v>
      </c>
      <c r="B7" s="35" t="s">
        <v>622</v>
      </c>
      <c r="C7" s="35" t="s">
        <v>538</v>
      </c>
      <c r="D7" s="35" t="s">
        <v>621</v>
      </c>
      <c r="E7" s="35" t="s">
        <v>623</v>
      </c>
      <c r="F7" s="1">
        <f t="shared" si="0"/>
        <v>0</v>
      </c>
    </row>
    <row r="8" spans="1:11" s="4" customFormat="1" x14ac:dyDescent="0.25">
      <c r="A8" s="9">
        <v>45298</v>
      </c>
      <c r="B8" s="35" t="s">
        <v>622</v>
      </c>
      <c r="C8" s="35" t="s">
        <v>538</v>
      </c>
      <c r="D8" s="35" t="s">
        <v>621</v>
      </c>
      <c r="E8" s="35" t="s">
        <v>623</v>
      </c>
      <c r="F8" s="1">
        <f t="shared" si="0"/>
        <v>0</v>
      </c>
    </row>
    <row r="9" spans="1:11" s="4" customFormat="1" x14ac:dyDescent="0.25">
      <c r="A9" s="9">
        <v>45299</v>
      </c>
      <c r="B9" s="35" t="s">
        <v>622</v>
      </c>
      <c r="C9" s="35" t="s">
        <v>538</v>
      </c>
      <c r="D9" s="35" t="s">
        <v>621</v>
      </c>
      <c r="E9" s="35" t="s">
        <v>33</v>
      </c>
      <c r="F9" s="1">
        <f t="shared" si="0"/>
        <v>8</v>
      </c>
    </row>
    <row r="10" spans="1:11" s="4" customFormat="1" x14ac:dyDescent="0.25">
      <c r="A10" s="9">
        <v>45300</v>
      </c>
      <c r="B10" s="35" t="s">
        <v>622</v>
      </c>
      <c r="C10" s="35" t="s">
        <v>538</v>
      </c>
      <c r="D10" s="35" t="s">
        <v>621</v>
      </c>
      <c r="E10" s="35" t="s">
        <v>33</v>
      </c>
      <c r="F10" s="1">
        <f t="shared" si="0"/>
        <v>8</v>
      </c>
    </row>
    <row r="11" spans="1:11" s="4" customFormat="1" x14ac:dyDescent="0.25">
      <c r="A11" s="9">
        <v>45301</v>
      </c>
      <c r="B11" s="35" t="s">
        <v>622</v>
      </c>
      <c r="C11" s="35" t="s">
        <v>538</v>
      </c>
      <c r="D11" s="35" t="s">
        <v>621</v>
      </c>
      <c r="E11" s="35" t="s">
        <v>33</v>
      </c>
      <c r="F11" s="1">
        <f t="shared" si="0"/>
        <v>8</v>
      </c>
    </row>
    <row r="12" spans="1:11" s="4" customFormat="1" x14ac:dyDescent="0.25">
      <c r="A12" s="9">
        <v>45302</v>
      </c>
      <c r="B12" s="35" t="s">
        <v>622</v>
      </c>
      <c r="C12" s="35" t="s">
        <v>538</v>
      </c>
      <c r="D12" s="35" t="s">
        <v>621</v>
      </c>
      <c r="E12" s="35" t="s">
        <v>33</v>
      </c>
      <c r="F12" s="1">
        <f t="shared" si="0"/>
        <v>8</v>
      </c>
    </row>
    <row r="13" spans="1:11" s="4" customFormat="1" x14ac:dyDescent="0.25">
      <c r="A13" s="9">
        <v>45303</v>
      </c>
      <c r="B13" s="35" t="s">
        <v>622</v>
      </c>
      <c r="C13" s="35" t="s">
        <v>538</v>
      </c>
      <c r="D13" s="35" t="s">
        <v>621</v>
      </c>
      <c r="E13" s="35" t="s">
        <v>33</v>
      </c>
      <c r="F13" s="1">
        <f t="shared" si="0"/>
        <v>8</v>
      </c>
    </row>
    <row r="14" spans="1:11" s="4" customFormat="1" x14ac:dyDescent="0.25">
      <c r="A14" s="9">
        <v>45304</v>
      </c>
      <c r="B14" s="35" t="s">
        <v>624</v>
      </c>
      <c r="C14" s="35" t="s">
        <v>540</v>
      </c>
      <c r="D14" s="35" t="s">
        <v>621</v>
      </c>
      <c r="E14" s="35" t="s">
        <v>623</v>
      </c>
      <c r="F14" s="1">
        <f t="shared" si="0"/>
        <v>0</v>
      </c>
    </row>
    <row r="15" spans="1:11" s="4" customFormat="1" x14ac:dyDescent="0.25">
      <c r="A15" s="9">
        <v>45305</v>
      </c>
      <c r="B15" s="35" t="s">
        <v>624</v>
      </c>
      <c r="C15" s="35" t="s">
        <v>540</v>
      </c>
      <c r="D15" s="35" t="s">
        <v>621</v>
      </c>
      <c r="E15" s="35" t="s">
        <v>623</v>
      </c>
      <c r="F15" s="1">
        <f t="shared" si="0"/>
        <v>0</v>
      </c>
    </row>
    <row r="16" spans="1:11" s="4" customFormat="1" x14ac:dyDescent="0.25">
      <c r="A16" s="9">
        <v>45306</v>
      </c>
      <c r="B16" s="35" t="s">
        <v>624</v>
      </c>
      <c r="C16" s="35" t="s">
        <v>540</v>
      </c>
      <c r="D16" s="35" t="s">
        <v>621</v>
      </c>
      <c r="E16" s="35" t="s">
        <v>33</v>
      </c>
      <c r="F16" s="1">
        <f t="shared" si="0"/>
        <v>8</v>
      </c>
    </row>
    <row r="17" spans="1:6" s="4" customFormat="1" x14ac:dyDescent="0.25">
      <c r="A17" s="9">
        <v>45307</v>
      </c>
      <c r="B17" s="35" t="s">
        <v>624</v>
      </c>
      <c r="C17" s="35" t="s">
        <v>540</v>
      </c>
      <c r="D17" s="35" t="s">
        <v>621</v>
      </c>
      <c r="E17" s="35" t="s">
        <v>33</v>
      </c>
      <c r="F17" s="1">
        <f t="shared" si="0"/>
        <v>8</v>
      </c>
    </row>
    <row r="18" spans="1:6" s="4" customFormat="1" x14ac:dyDescent="0.25">
      <c r="A18" s="9">
        <v>45308</v>
      </c>
      <c r="B18" s="35" t="s">
        <v>624</v>
      </c>
      <c r="C18" s="35" t="s">
        <v>540</v>
      </c>
      <c r="D18" s="35" t="s">
        <v>621</v>
      </c>
      <c r="E18" s="35" t="s">
        <v>33</v>
      </c>
      <c r="F18" s="1">
        <f t="shared" si="0"/>
        <v>8</v>
      </c>
    </row>
    <row r="19" spans="1:6" s="4" customFormat="1" x14ac:dyDescent="0.25">
      <c r="A19" s="9">
        <v>45309</v>
      </c>
      <c r="B19" s="35" t="s">
        <v>624</v>
      </c>
      <c r="C19" s="35" t="s">
        <v>540</v>
      </c>
      <c r="D19" s="35" t="s">
        <v>621</v>
      </c>
      <c r="E19" s="35" t="s">
        <v>33</v>
      </c>
      <c r="F19" s="1">
        <f t="shared" si="0"/>
        <v>8</v>
      </c>
    </row>
    <row r="20" spans="1:6" s="4" customFormat="1" x14ac:dyDescent="0.25">
      <c r="A20" s="9">
        <v>45310</v>
      </c>
      <c r="B20" s="35" t="s">
        <v>624</v>
      </c>
      <c r="C20" s="35" t="s">
        <v>540</v>
      </c>
      <c r="D20" s="35" t="s">
        <v>621</v>
      </c>
      <c r="E20" s="35" t="s">
        <v>33</v>
      </c>
      <c r="F20" s="1">
        <f t="shared" si="0"/>
        <v>8</v>
      </c>
    </row>
    <row r="21" spans="1:6" s="4" customFormat="1" x14ac:dyDescent="0.25">
      <c r="A21" s="9">
        <v>45311</v>
      </c>
      <c r="B21" s="35" t="s">
        <v>625</v>
      </c>
      <c r="C21" s="35" t="s">
        <v>542</v>
      </c>
      <c r="D21" s="35" t="s">
        <v>621</v>
      </c>
      <c r="E21" s="35" t="s">
        <v>623</v>
      </c>
      <c r="F21" s="1">
        <f t="shared" si="0"/>
        <v>0</v>
      </c>
    </row>
    <row r="22" spans="1:6" s="4" customFormat="1" x14ac:dyDescent="0.25">
      <c r="A22" s="9">
        <v>45312</v>
      </c>
      <c r="B22" s="35" t="s">
        <v>625</v>
      </c>
      <c r="C22" s="35" t="s">
        <v>542</v>
      </c>
      <c r="D22" s="35" t="s">
        <v>621</v>
      </c>
      <c r="E22" s="35" t="s">
        <v>623</v>
      </c>
      <c r="F22" s="1">
        <f t="shared" si="0"/>
        <v>0</v>
      </c>
    </row>
    <row r="23" spans="1:6" s="4" customFormat="1" x14ac:dyDescent="0.25">
      <c r="A23" s="9">
        <v>45313</v>
      </c>
      <c r="B23" s="35" t="s">
        <v>625</v>
      </c>
      <c r="C23" s="35" t="s">
        <v>542</v>
      </c>
      <c r="D23" s="35" t="s">
        <v>621</v>
      </c>
      <c r="E23" s="35" t="s">
        <v>33</v>
      </c>
      <c r="F23" s="1">
        <f t="shared" si="0"/>
        <v>8</v>
      </c>
    </row>
    <row r="24" spans="1:6" s="4" customFormat="1" x14ac:dyDescent="0.25">
      <c r="A24" s="9">
        <v>45314</v>
      </c>
      <c r="B24" s="35" t="s">
        <v>625</v>
      </c>
      <c r="C24" s="35" t="s">
        <v>542</v>
      </c>
      <c r="D24" s="35" t="s">
        <v>621</v>
      </c>
      <c r="E24" s="35" t="s">
        <v>33</v>
      </c>
      <c r="F24" s="1">
        <f t="shared" si="0"/>
        <v>8</v>
      </c>
    </row>
    <row r="25" spans="1:6" s="4" customFormat="1" x14ac:dyDescent="0.25">
      <c r="A25" s="9">
        <v>45315</v>
      </c>
      <c r="B25" s="35" t="s">
        <v>625</v>
      </c>
      <c r="C25" s="35" t="s">
        <v>542</v>
      </c>
      <c r="D25" s="35" t="s">
        <v>621</v>
      </c>
      <c r="E25" s="35" t="s">
        <v>33</v>
      </c>
      <c r="F25" s="1">
        <f t="shared" si="0"/>
        <v>8</v>
      </c>
    </row>
    <row r="26" spans="1:6" s="4" customFormat="1" x14ac:dyDescent="0.25">
      <c r="A26" s="9">
        <v>45316</v>
      </c>
      <c r="B26" s="35" t="s">
        <v>625</v>
      </c>
      <c r="C26" s="35" t="s">
        <v>542</v>
      </c>
      <c r="D26" s="35" t="s">
        <v>621</v>
      </c>
      <c r="E26" s="35" t="s">
        <v>33</v>
      </c>
      <c r="F26" s="1">
        <f t="shared" si="0"/>
        <v>8</v>
      </c>
    </row>
    <row r="27" spans="1:6" s="4" customFormat="1" x14ac:dyDescent="0.25">
      <c r="A27" s="9">
        <v>45317</v>
      </c>
      <c r="B27" s="35" t="s">
        <v>625</v>
      </c>
      <c r="C27" s="35" t="s">
        <v>542</v>
      </c>
      <c r="D27" s="35" t="s">
        <v>621</v>
      </c>
      <c r="E27" s="35" t="s">
        <v>33</v>
      </c>
      <c r="F27" s="1">
        <f t="shared" si="0"/>
        <v>8</v>
      </c>
    </row>
    <row r="28" spans="1:6" s="4" customFormat="1" x14ac:dyDescent="0.25">
      <c r="A28" s="9">
        <v>45318</v>
      </c>
      <c r="B28" s="35" t="s">
        <v>626</v>
      </c>
      <c r="C28" s="35" t="s">
        <v>544</v>
      </c>
      <c r="D28" s="35" t="s">
        <v>621</v>
      </c>
      <c r="E28" s="35" t="s">
        <v>623</v>
      </c>
      <c r="F28" s="1">
        <f t="shared" si="0"/>
        <v>0</v>
      </c>
    </row>
    <row r="29" spans="1:6" s="4" customFormat="1" x14ac:dyDescent="0.25">
      <c r="A29" s="9">
        <v>45319</v>
      </c>
      <c r="B29" s="35" t="s">
        <v>626</v>
      </c>
      <c r="C29" s="35" t="s">
        <v>544</v>
      </c>
      <c r="D29" s="35" t="s">
        <v>621</v>
      </c>
      <c r="E29" s="35" t="s">
        <v>623</v>
      </c>
      <c r="F29" s="1">
        <f t="shared" si="0"/>
        <v>0</v>
      </c>
    </row>
    <row r="30" spans="1:6" s="4" customFormat="1" x14ac:dyDescent="0.25">
      <c r="A30" s="9">
        <v>45320</v>
      </c>
      <c r="B30" s="35" t="s">
        <v>626</v>
      </c>
      <c r="C30" s="35" t="s">
        <v>544</v>
      </c>
      <c r="D30" s="35" t="s">
        <v>621</v>
      </c>
      <c r="E30" s="35" t="s">
        <v>33</v>
      </c>
      <c r="F30" s="1">
        <f t="shared" si="0"/>
        <v>8</v>
      </c>
    </row>
    <row r="31" spans="1:6" s="4" customFormat="1" x14ac:dyDescent="0.25">
      <c r="A31" s="9">
        <v>45321</v>
      </c>
      <c r="B31" s="35" t="s">
        <v>626</v>
      </c>
      <c r="C31" s="35" t="s">
        <v>544</v>
      </c>
      <c r="D31" s="35" t="s">
        <v>621</v>
      </c>
      <c r="E31" s="35" t="s">
        <v>33</v>
      </c>
      <c r="F31" s="1">
        <f t="shared" si="0"/>
        <v>8</v>
      </c>
    </row>
    <row r="32" spans="1:6" s="4" customFormat="1" x14ac:dyDescent="0.25">
      <c r="A32" s="9">
        <v>45322</v>
      </c>
      <c r="B32" s="35" t="s">
        <v>626</v>
      </c>
      <c r="C32" s="35" t="s">
        <v>544</v>
      </c>
      <c r="D32" s="35" t="s">
        <v>621</v>
      </c>
      <c r="E32" s="35" t="s">
        <v>33</v>
      </c>
      <c r="F32" s="1">
        <f t="shared" si="0"/>
        <v>8</v>
      </c>
    </row>
    <row r="33" spans="1:6" s="4" customFormat="1" x14ac:dyDescent="0.25">
      <c r="A33" s="9">
        <v>45323</v>
      </c>
      <c r="B33" s="35" t="s">
        <v>626</v>
      </c>
      <c r="C33" s="35" t="s">
        <v>544</v>
      </c>
      <c r="D33" s="35" t="s">
        <v>621</v>
      </c>
      <c r="E33" s="35" t="s">
        <v>33</v>
      </c>
      <c r="F33" s="1">
        <f t="shared" si="0"/>
        <v>8</v>
      </c>
    </row>
    <row r="34" spans="1:6" s="4" customFormat="1" x14ac:dyDescent="0.25">
      <c r="A34" s="9">
        <v>45324</v>
      </c>
      <c r="B34" s="35" t="s">
        <v>626</v>
      </c>
      <c r="C34" s="35" t="s">
        <v>544</v>
      </c>
      <c r="D34" s="35" t="s">
        <v>621</v>
      </c>
      <c r="E34" s="35" t="s">
        <v>33</v>
      </c>
      <c r="F34" s="1">
        <f t="shared" si="0"/>
        <v>8</v>
      </c>
    </row>
    <row r="35" spans="1:6" s="4" customFormat="1" x14ac:dyDescent="0.25">
      <c r="A35" s="9">
        <v>45325</v>
      </c>
      <c r="B35" s="35" t="s">
        <v>627</v>
      </c>
      <c r="C35" s="35" t="s">
        <v>628</v>
      </c>
      <c r="D35" s="35" t="s">
        <v>621</v>
      </c>
      <c r="E35" s="35" t="s">
        <v>623</v>
      </c>
      <c r="F35" s="1">
        <f t="shared" si="0"/>
        <v>0</v>
      </c>
    </row>
    <row r="36" spans="1:6" s="4" customFormat="1" x14ac:dyDescent="0.25">
      <c r="A36" s="9">
        <v>45326</v>
      </c>
      <c r="B36" s="35" t="s">
        <v>627</v>
      </c>
      <c r="C36" s="35" t="s">
        <v>628</v>
      </c>
      <c r="D36" s="35" t="s">
        <v>621</v>
      </c>
      <c r="E36" s="35" t="s">
        <v>629</v>
      </c>
      <c r="F36" s="1">
        <f t="shared" si="0"/>
        <v>8</v>
      </c>
    </row>
    <row r="37" spans="1:6" s="4" customFormat="1" x14ac:dyDescent="0.25">
      <c r="A37" s="9">
        <v>45327</v>
      </c>
      <c r="B37" s="35" t="s">
        <v>627</v>
      </c>
      <c r="C37" s="35" t="s">
        <v>628</v>
      </c>
      <c r="D37" s="35" t="s">
        <v>621</v>
      </c>
      <c r="E37" s="35" t="s">
        <v>33</v>
      </c>
      <c r="F37" s="1">
        <f t="shared" si="0"/>
        <v>8</v>
      </c>
    </row>
    <row r="38" spans="1:6" s="4" customFormat="1" x14ac:dyDescent="0.25">
      <c r="A38" s="9">
        <v>45328</v>
      </c>
      <c r="B38" s="35" t="s">
        <v>627</v>
      </c>
      <c r="C38" s="35" t="s">
        <v>628</v>
      </c>
      <c r="D38" s="35" t="s">
        <v>621</v>
      </c>
      <c r="E38" s="35" t="s">
        <v>33</v>
      </c>
      <c r="F38" s="1">
        <f t="shared" si="0"/>
        <v>8</v>
      </c>
    </row>
    <row r="39" spans="1:6" s="4" customFormat="1" x14ac:dyDescent="0.25">
      <c r="A39" s="9">
        <v>45329</v>
      </c>
      <c r="B39" s="35" t="s">
        <v>627</v>
      </c>
      <c r="C39" s="35" t="s">
        <v>628</v>
      </c>
      <c r="D39" s="35" t="s">
        <v>621</v>
      </c>
      <c r="E39" s="35" t="s">
        <v>33</v>
      </c>
      <c r="F39" s="1">
        <f t="shared" si="0"/>
        <v>8</v>
      </c>
    </row>
    <row r="40" spans="1:6" s="4" customFormat="1" x14ac:dyDescent="0.25">
      <c r="A40" s="9">
        <v>45330</v>
      </c>
      <c r="B40" s="35" t="s">
        <v>627</v>
      </c>
      <c r="C40" s="35" t="s">
        <v>628</v>
      </c>
      <c r="D40" s="35" t="s">
        <v>621</v>
      </c>
      <c r="E40" s="35" t="s">
        <v>33</v>
      </c>
      <c r="F40" s="1">
        <f t="shared" si="0"/>
        <v>8</v>
      </c>
    </row>
    <row r="41" spans="1:6" s="4" customFormat="1" x14ac:dyDescent="0.25">
      <c r="A41" s="9">
        <v>45331</v>
      </c>
      <c r="B41" s="35" t="s">
        <v>627</v>
      </c>
      <c r="C41" s="35" t="s">
        <v>628</v>
      </c>
      <c r="D41" s="35" t="s">
        <v>621</v>
      </c>
      <c r="E41" s="35" t="s">
        <v>33</v>
      </c>
      <c r="F41" s="1">
        <f t="shared" si="0"/>
        <v>8</v>
      </c>
    </row>
    <row r="42" spans="1:6" s="4" customFormat="1" x14ac:dyDescent="0.25">
      <c r="A42" s="9">
        <v>45332</v>
      </c>
      <c r="B42" s="35" t="s">
        <v>630</v>
      </c>
      <c r="C42" s="35" t="s">
        <v>631</v>
      </c>
      <c r="D42" s="35" t="s">
        <v>621</v>
      </c>
      <c r="E42" s="35" t="s">
        <v>623</v>
      </c>
      <c r="F42" s="1">
        <f t="shared" si="0"/>
        <v>0</v>
      </c>
    </row>
    <row r="43" spans="1:6" s="4" customFormat="1" x14ac:dyDescent="0.25">
      <c r="A43" s="9">
        <v>45333</v>
      </c>
      <c r="B43" s="35" t="s">
        <v>630</v>
      </c>
      <c r="C43" s="35" t="s">
        <v>631</v>
      </c>
      <c r="D43" s="35" t="s">
        <v>621</v>
      </c>
      <c r="E43" s="35" t="s">
        <v>623</v>
      </c>
      <c r="F43" s="1">
        <f t="shared" si="0"/>
        <v>0</v>
      </c>
    </row>
    <row r="44" spans="1:6" s="4" customFormat="1" x14ac:dyDescent="0.25">
      <c r="A44" s="9">
        <v>45334</v>
      </c>
      <c r="B44" s="35" t="s">
        <v>630</v>
      </c>
      <c r="C44" s="35" t="s">
        <v>631</v>
      </c>
      <c r="D44" s="35" t="s">
        <v>621</v>
      </c>
      <c r="E44" s="35" t="s">
        <v>632</v>
      </c>
      <c r="F44" s="1">
        <f t="shared" si="0"/>
        <v>0</v>
      </c>
    </row>
    <row r="45" spans="1:6" s="4" customFormat="1" x14ac:dyDescent="0.25">
      <c r="A45" s="9">
        <v>45335</v>
      </c>
      <c r="B45" s="35" t="s">
        <v>630</v>
      </c>
      <c r="C45" s="35" t="s">
        <v>631</v>
      </c>
      <c r="D45" s="35" t="s">
        <v>621</v>
      </c>
      <c r="E45" s="35" t="s">
        <v>632</v>
      </c>
      <c r="F45" s="1">
        <f t="shared" si="0"/>
        <v>0</v>
      </c>
    </row>
    <row r="46" spans="1:6" s="4" customFormat="1" x14ac:dyDescent="0.25">
      <c r="A46" s="9">
        <v>45336</v>
      </c>
      <c r="B46" s="35" t="s">
        <v>630</v>
      </c>
      <c r="C46" s="35" t="s">
        <v>631</v>
      </c>
      <c r="D46" s="35" t="s">
        <v>621</v>
      </c>
      <c r="E46" s="35" t="s">
        <v>632</v>
      </c>
      <c r="F46" s="1">
        <f t="shared" si="0"/>
        <v>0</v>
      </c>
    </row>
    <row r="47" spans="1:6" s="4" customFormat="1" x14ac:dyDescent="0.25">
      <c r="A47" s="9">
        <v>45337</v>
      </c>
      <c r="B47" s="35" t="s">
        <v>630</v>
      </c>
      <c r="C47" s="35" t="s">
        <v>631</v>
      </c>
      <c r="D47" s="35" t="s">
        <v>621</v>
      </c>
      <c r="E47" s="35" t="s">
        <v>632</v>
      </c>
      <c r="F47" s="1">
        <f t="shared" si="0"/>
        <v>0</v>
      </c>
    </row>
    <row r="48" spans="1:6" s="4" customFormat="1" x14ac:dyDescent="0.25">
      <c r="A48" s="9">
        <v>45338</v>
      </c>
      <c r="B48" s="35" t="s">
        <v>630</v>
      </c>
      <c r="C48" s="35" t="s">
        <v>631</v>
      </c>
      <c r="D48" s="35" t="s">
        <v>621</v>
      </c>
      <c r="E48" s="35" t="s">
        <v>632</v>
      </c>
      <c r="F48" s="1">
        <f t="shared" si="0"/>
        <v>0</v>
      </c>
    </row>
    <row r="49" spans="1:6" s="4" customFormat="1" x14ac:dyDescent="0.25">
      <c r="A49" s="9">
        <v>45339</v>
      </c>
      <c r="B49" s="35" t="s">
        <v>633</v>
      </c>
      <c r="C49" s="35" t="s">
        <v>634</v>
      </c>
      <c r="D49" s="35" t="s">
        <v>621</v>
      </c>
      <c r="E49" s="35" t="s">
        <v>623</v>
      </c>
      <c r="F49" s="1">
        <f t="shared" si="0"/>
        <v>0</v>
      </c>
    </row>
    <row r="50" spans="1:6" s="4" customFormat="1" x14ac:dyDescent="0.25">
      <c r="A50" s="9">
        <v>45340</v>
      </c>
      <c r="B50" s="35" t="s">
        <v>633</v>
      </c>
      <c r="C50" s="35" t="s">
        <v>634</v>
      </c>
      <c r="D50" s="35" t="s">
        <v>621</v>
      </c>
      <c r="E50" s="35" t="s">
        <v>629</v>
      </c>
      <c r="F50" s="1">
        <f t="shared" si="0"/>
        <v>8</v>
      </c>
    </row>
    <row r="51" spans="1:6" s="4" customFormat="1" x14ac:dyDescent="0.25">
      <c r="A51" s="9">
        <v>45341</v>
      </c>
      <c r="B51" s="35" t="s">
        <v>633</v>
      </c>
      <c r="C51" s="35" t="s">
        <v>634</v>
      </c>
      <c r="D51" s="35" t="s">
        <v>621</v>
      </c>
      <c r="E51" s="35" t="s">
        <v>33</v>
      </c>
      <c r="F51" s="1">
        <f t="shared" si="0"/>
        <v>8</v>
      </c>
    </row>
    <row r="52" spans="1:6" s="4" customFormat="1" x14ac:dyDescent="0.25">
      <c r="A52" s="9">
        <v>45342</v>
      </c>
      <c r="B52" s="35" t="s">
        <v>633</v>
      </c>
      <c r="C52" s="35" t="s">
        <v>634</v>
      </c>
      <c r="D52" s="35" t="s">
        <v>621</v>
      </c>
      <c r="E52" s="35" t="s">
        <v>33</v>
      </c>
      <c r="F52" s="1">
        <f t="shared" si="0"/>
        <v>8</v>
      </c>
    </row>
    <row r="53" spans="1:6" s="4" customFormat="1" x14ac:dyDescent="0.25">
      <c r="A53" s="9">
        <v>45343</v>
      </c>
      <c r="B53" s="35" t="s">
        <v>633</v>
      </c>
      <c r="C53" s="35" t="s">
        <v>634</v>
      </c>
      <c r="D53" s="35" t="s">
        <v>621</v>
      </c>
      <c r="E53" s="35" t="s">
        <v>33</v>
      </c>
      <c r="F53" s="1">
        <f t="shared" si="0"/>
        <v>8</v>
      </c>
    </row>
    <row r="54" spans="1:6" s="4" customFormat="1" x14ac:dyDescent="0.25">
      <c r="A54" s="9">
        <v>45344</v>
      </c>
      <c r="B54" s="35" t="s">
        <v>633</v>
      </c>
      <c r="C54" s="35" t="s">
        <v>634</v>
      </c>
      <c r="D54" s="35" t="s">
        <v>621</v>
      </c>
      <c r="E54" s="35" t="s">
        <v>33</v>
      </c>
      <c r="F54" s="1">
        <f t="shared" si="0"/>
        <v>8</v>
      </c>
    </row>
    <row r="55" spans="1:6" s="4" customFormat="1" x14ac:dyDescent="0.25">
      <c r="A55" s="9">
        <v>45345</v>
      </c>
      <c r="B55" s="35" t="s">
        <v>633</v>
      </c>
      <c r="C55" s="35" t="s">
        <v>634</v>
      </c>
      <c r="D55" s="35" t="s">
        <v>621</v>
      </c>
      <c r="E55" s="35" t="s">
        <v>33</v>
      </c>
      <c r="F55" s="1">
        <f t="shared" si="0"/>
        <v>8</v>
      </c>
    </row>
    <row r="56" spans="1:6" s="4" customFormat="1" x14ac:dyDescent="0.25">
      <c r="A56" s="9">
        <v>45346</v>
      </c>
      <c r="B56" s="35" t="s">
        <v>635</v>
      </c>
      <c r="C56" s="35" t="s">
        <v>636</v>
      </c>
      <c r="D56" s="35" t="s">
        <v>621</v>
      </c>
      <c r="E56" s="35" t="s">
        <v>623</v>
      </c>
      <c r="F56" s="1">
        <f t="shared" si="0"/>
        <v>0</v>
      </c>
    </row>
    <row r="57" spans="1:6" s="4" customFormat="1" x14ac:dyDescent="0.25">
      <c r="A57" s="9">
        <v>45347</v>
      </c>
      <c r="B57" s="35" t="s">
        <v>635</v>
      </c>
      <c r="C57" s="35" t="s">
        <v>636</v>
      </c>
      <c r="D57" s="35" t="s">
        <v>621</v>
      </c>
      <c r="E57" s="35" t="s">
        <v>623</v>
      </c>
      <c r="F57" s="1">
        <f t="shared" si="0"/>
        <v>0</v>
      </c>
    </row>
    <row r="58" spans="1:6" s="4" customFormat="1" x14ac:dyDescent="0.25">
      <c r="A58" s="9">
        <v>45348</v>
      </c>
      <c r="B58" s="35" t="s">
        <v>635</v>
      </c>
      <c r="C58" s="35" t="s">
        <v>636</v>
      </c>
      <c r="D58" s="35" t="s">
        <v>621</v>
      </c>
      <c r="E58" s="35" t="s">
        <v>33</v>
      </c>
      <c r="F58" s="1">
        <f t="shared" si="0"/>
        <v>8</v>
      </c>
    </row>
    <row r="59" spans="1:6" s="4" customFormat="1" x14ac:dyDescent="0.25">
      <c r="A59" s="9">
        <v>45349</v>
      </c>
      <c r="B59" s="35" t="s">
        <v>635</v>
      </c>
      <c r="C59" s="35" t="s">
        <v>636</v>
      </c>
      <c r="D59" s="35" t="s">
        <v>621</v>
      </c>
      <c r="E59" s="35" t="s">
        <v>33</v>
      </c>
      <c r="F59" s="1">
        <f t="shared" si="0"/>
        <v>8</v>
      </c>
    </row>
    <row r="60" spans="1:6" s="4" customFormat="1" x14ac:dyDescent="0.25">
      <c r="A60" s="9">
        <v>45350</v>
      </c>
      <c r="B60" s="35" t="s">
        <v>635</v>
      </c>
      <c r="C60" s="35" t="s">
        <v>636</v>
      </c>
      <c r="D60" s="35" t="s">
        <v>621</v>
      </c>
      <c r="E60" s="35" t="s">
        <v>33</v>
      </c>
      <c r="F60" s="1">
        <f t="shared" si="0"/>
        <v>8</v>
      </c>
    </row>
    <row r="61" spans="1:6" s="4" customFormat="1" x14ac:dyDescent="0.25">
      <c r="A61" s="9">
        <v>45351</v>
      </c>
      <c r="B61" s="35" t="s">
        <v>635</v>
      </c>
      <c r="C61" s="35" t="s">
        <v>636</v>
      </c>
      <c r="D61" s="35" t="s">
        <v>621</v>
      </c>
      <c r="E61" s="35" t="s">
        <v>33</v>
      </c>
      <c r="F61" s="1">
        <f t="shared" si="0"/>
        <v>8</v>
      </c>
    </row>
    <row r="62" spans="1:6" s="4" customFormat="1" x14ac:dyDescent="0.25">
      <c r="A62" s="9">
        <v>45352</v>
      </c>
      <c r="B62" s="35" t="s">
        <v>635</v>
      </c>
      <c r="C62" s="35" t="s">
        <v>636</v>
      </c>
      <c r="D62" s="35" t="s">
        <v>621</v>
      </c>
      <c r="E62" s="35" t="s">
        <v>33</v>
      </c>
      <c r="F62" s="1">
        <f t="shared" si="0"/>
        <v>8</v>
      </c>
    </row>
    <row r="63" spans="1:6" s="4" customFormat="1" x14ac:dyDescent="0.25">
      <c r="A63" s="9">
        <v>45353</v>
      </c>
      <c r="B63" s="35" t="s">
        <v>637</v>
      </c>
      <c r="C63" s="35" t="s">
        <v>546</v>
      </c>
      <c r="D63" s="35" t="s">
        <v>621</v>
      </c>
      <c r="E63" s="35" t="s">
        <v>623</v>
      </c>
      <c r="F63" s="1">
        <f t="shared" si="0"/>
        <v>0</v>
      </c>
    </row>
    <row r="64" spans="1:6" s="4" customFormat="1" x14ac:dyDescent="0.25">
      <c r="A64" s="9">
        <v>45354</v>
      </c>
      <c r="B64" s="35" t="s">
        <v>637</v>
      </c>
      <c r="C64" s="35" t="s">
        <v>546</v>
      </c>
      <c r="D64" s="35" t="s">
        <v>621</v>
      </c>
      <c r="E64" s="35" t="s">
        <v>623</v>
      </c>
      <c r="F64" s="1">
        <f t="shared" si="0"/>
        <v>0</v>
      </c>
    </row>
    <row r="65" spans="1:6" s="4" customFormat="1" x14ac:dyDescent="0.25">
      <c r="A65" s="9">
        <v>45355</v>
      </c>
      <c r="B65" s="35" t="s">
        <v>637</v>
      </c>
      <c r="C65" s="35" t="s">
        <v>546</v>
      </c>
      <c r="D65" s="35" t="s">
        <v>621</v>
      </c>
      <c r="E65" s="35" t="s">
        <v>33</v>
      </c>
      <c r="F65" s="1">
        <f t="shared" si="0"/>
        <v>8</v>
      </c>
    </row>
    <row r="66" spans="1:6" s="4" customFormat="1" x14ac:dyDescent="0.25">
      <c r="A66" s="9">
        <v>45356</v>
      </c>
      <c r="B66" s="35" t="s">
        <v>637</v>
      </c>
      <c r="C66" s="35" t="s">
        <v>546</v>
      </c>
      <c r="D66" s="35" t="s">
        <v>621</v>
      </c>
      <c r="E66" s="35" t="s">
        <v>33</v>
      </c>
      <c r="F66" s="1">
        <f t="shared" ref="F66:F129" si="1">IF(OR(E66="",E66="调休"),8,0)</f>
        <v>8</v>
      </c>
    </row>
    <row r="67" spans="1:6" s="4" customFormat="1" x14ac:dyDescent="0.25">
      <c r="A67" s="9">
        <v>45357</v>
      </c>
      <c r="B67" s="35" t="s">
        <v>637</v>
      </c>
      <c r="C67" s="35" t="s">
        <v>546</v>
      </c>
      <c r="D67" s="35" t="s">
        <v>621</v>
      </c>
      <c r="E67" s="35" t="s">
        <v>33</v>
      </c>
      <c r="F67" s="1">
        <f t="shared" si="1"/>
        <v>8</v>
      </c>
    </row>
    <row r="68" spans="1:6" s="4" customFormat="1" x14ac:dyDescent="0.25">
      <c r="A68" s="9">
        <v>45358</v>
      </c>
      <c r="B68" s="35" t="s">
        <v>637</v>
      </c>
      <c r="C68" s="35" t="s">
        <v>546</v>
      </c>
      <c r="D68" s="35" t="s">
        <v>621</v>
      </c>
      <c r="E68" s="35" t="s">
        <v>33</v>
      </c>
      <c r="F68" s="1">
        <f t="shared" si="1"/>
        <v>8</v>
      </c>
    </row>
    <row r="69" spans="1:6" s="4" customFormat="1" x14ac:dyDescent="0.25">
      <c r="A69" s="9">
        <v>45359</v>
      </c>
      <c r="B69" s="35" t="s">
        <v>637</v>
      </c>
      <c r="C69" s="35" t="s">
        <v>546</v>
      </c>
      <c r="D69" s="35" t="s">
        <v>621</v>
      </c>
      <c r="E69" s="35" t="s">
        <v>33</v>
      </c>
      <c r="F69" s="1">
        <f t="shared" si="1"/>
        <v>8</v>
      </c>
    </row>
    <row r="70" spans="1:6" s="4" customFormat="1" x14ac:dyDescent="0.25">
      <c r="A70" s="9">
        <v>45360</v>
      </c>
      <c r="B70" s="35" t="s">
        <v>638</v>
      </c>
      <c r="C70" s="35" t="s">
        <v>548</v>
      </c>
      <c r="D70" s="35" t="s">
        <v>621</v>
      </c>
      <c r="E70" s="35" t="s">
        <v>623</v>
      </c>
      <c r="F70" s="1">
        <f t="shared" si="1"/>
        <v>0</v>
      </c>
    </row>
    <row r="71" spans="1:6" s="4" customFormat="1" x14ac:dyDescent="0.25">
      <c r="A71" s="9">
        <v>45361</v>
      </c>
      <c r="B71" s="35" t="s">
        <v>638</v>
      </c>
      <c r="C71" s="35" t="s">
        <v>548</v>
      </c>
      <c r="D71" s="35" t="s">
        <v>621</v>
      </c>
      <c r="E71" s="35" t="s">
        <v>623</v>
      </c>
      <c r="F71" s="1">
        <f t="shared" si="1"/>
        <v>0</v>
      </c>
    </row>
    <row r="72" spans="1:6" s="4" customFormat="1" x14ac:dyDescent="0.25">
      <c r="A72" s="9">
        <v>45362</v>
      </c>
      <c r="B72" s="35" t="s">
        <v>638</v>
      </c>
      <c r="C72" s="35" t="s">
        <v>548</v>
      </c>
      <c r="D72" s="35" t="s">
        <v>621</v>
      </c>
      <c r="E72" s="35" t="s">
        <v>33</v>
      </c>
      <c r="F72" s="1">
        <f t="shared" si="1"/>
        <v>8</v>
      </c>
    </row>
    <row r="73" spans="1:6" s="4" customFormat="1" x14ac:dyDescent="0.25">
      <c r="A73" s="9">
        <v>45363</v>
      </c>
      <c r="B73" s="35" t="s">
        <v>638</v>
      </c>
      <c r="C73" s="35" t="s">
        <v>548</v>
      </c>
      <c r="D73" s="35" t="s">
        <v>621</v>
      </c>
      <c r="E73" s="35" t="s">
        <v>33</v>
      </c>
      <c r="F73" s="1">
        <f t="shared" si="1"/>
        <v>8</v>
      </c>
    </row>
    <row r="74" spans="1:6" s="4" customFormat="1" x14ac:dyDescent="0.25">
      <c r="A74" s="9">
        <v>45364</v>
      </c>
      <c r="B74" s="35" t="s">
        <v>638</v>
      </c>
      <c r="C74" s="35" t="s">
        <v>548</v>
      </c>
      <c r="D74" s="35" t="s">
        <v>621</v>
      </c>
      <c r="E74" s="35" t="s">
        <v>33</v>
      </c>
      <c r="F74" s="1">
        <f t="shared" si="1"/>
        <v>8</v>
      </c>
    </row>
    <row r="75" spans="1:6" s="4" customFormat="1" x14ac:dyDescent="0.25">
      <c r="A75" s="9">
        <v>45365</v>
      </c>
      <c r="B75" s="35" t="s">
        <v>638</v>
      </c>
      <c r="C75" s="35" t="s">
        <v>548</v>
      </c>
      <c r="D75" s="35" t="s">
        <v>621</v>
      </c>
      <c r="E75" s="35" t="s">
        <v>33</v>
      </c>
      <c r="F75" s="1">
        <f t="shared" si="1"/>
        <v>8</v>
      </c>
    </row>
    <row r="76" spans="1:6" s="4" customFormat="1" x14ac:dyDescent="0.25">
      <c r="A76" s="9">
        <v>45366</v>
      </c>
      <c r="B76" s="35" t="s">
        <v>638</v>
      </c>
      <c r="C76" s="35" t="s">
        <v>548</v>
      </c>
      <c r="D76" s="35" t="s">
        <v>621</v>
      </c>
      <c r="E76" s="35" t="s">
        <v>33</v>
      </c>
      <c r="F76" s="1">
        <f t="shared" si="1"/>
        <v>8</v>
      </c>
    </row>
    <row r="77" spans="1:6" s="4" customFormat="1" x14ac:dyDescent="0.25">
      <c r="A77" s="9">
        <v>45367</v>
      </c>
      <c r="B77" s="35" t="s">
        <v>639</v>
      </c>
      <c r="C77" s="35" t="s">
        <v>640</v>
      </c>
      <c r="D77" s="35" t="s">
        <v>621</v>
      </c>
      <c r="E77" s="35" t="s">
        <v>623</v>
      </c>
      <c r="F77" s="1">
        <f t="shared" si="1"/>
        <v>0</v>
      </c>
    </row>
    <row r="78" spans="1:6" s="4" customFormat="1" x14ac:dyDescent="0.25">
      <c r="A78" s="9">
        <v>45368</v>
      </c>
      <c r="B78" s="35" t="s">
        <v>639</v>
      </c>
      <c r="C78" s="35" t="s">
        <v>640</v>
      </c>
      <c r="D78" s="35" t="s">
        <v>621</v>
      </c>
      <c r="E78" s="35" t="s">
        <v>623</v>
      </c>
      <c r="F78" s="1">
        <f t="shared" si="1"/>
        <v>0</v>
      </c>
    </row>
    <row r="79" spans="1:6" s="4" customFormat="1" x14ac:dyDescent="0.25">
      <c r="A79" s="9">
        <v>45369</v>
      </c>
      <c r="B79" s="35" t="s">
        <v>639</v>
      </c>
      <c r="C79" s="35" t="s">
        <v>640</v>
      </c>
      <c r="D79" s="35" t="s">
        <v>621</v>
      </c>
      <c r="E79" s="35" t="s">
        <v>33</v>
      </c>
      <c r="F79" s="1">
        <f t="shared" si="1"/>
        <v>8</v>
      </c>
    </row>
    <row r="80" spans="1:6" s="4" customFormat="1" x14ac:dyDescent="0.25">
      <c r="A80" s="9">
        <v>45370</v>
      </c>
      <c r="B80" s="35" t="s">
        <v>639</v>
      </c>
      <c r="C80" s="35" t="s">
        <v>640</v>
      </c>
      <c r="D80" s="35" t="s">
        <v>621</v>
      </c>
      <c r="E80" s="35" t="s">
        <v>33</v>
      </c>
      <c r="F80" s="1">
        <f t="shared" si="1"/>
        <v>8</v>
      </c>
    </row>
    <row r="81" spans="1:6" s="4" customFormat="1" x14ac:dyDescent="0.25">
      <c r="A81" s="9">
        <v>45371</v>
      </c>
      <c r="B81" s="35" t="s">
        <v>639</v>
      </c>
      <c r="C81" s="35" t="s">
        <v>640</v>
      </c>
      <c r="D81" s="35" t="s">
        <v>621</v>
      </c>
      <c r="E81" s="35" t="s">
        <v>33</v>
      </c>
      <c r="F81" s="1">
        <f t="shared" si="1"/>
        <v>8</v>
      </c>
    </row>
    <row r="82" spans="1:6" s="4" customFormat="1" x14ac:dyDescent="0.25">
      <c r="A82" s="9">
        <v>45372</v>
      </c>
      <c r="B82" s="35" t="s">
        <v>639</v>
      </c>
      <c r="C82" s="35" t="s">
        <v>640</v>
      </c>
      <c r="D82" s="35" t="s">
        <v>621</v>
      </c>
      <c r="E82" s="35" t="s">
        <v>33</v>
      </c>
      <c r="F82" s="1">
        <f t="shared" si="1"/>
        <v>8</v>
      </c>
    </row>
    <row r="83" spans="1:6" s="4" customFormat="1" x14ac:dyDescent="0.25">
      <c r="A83" s="9">
        <v>45373</v>
      </c>
      <c r="B83" s="35" t="s">
        <v>639</v>
      </c>
      <c r="C83" s="35" t="s">
        <v>640</v>
      </c>
      <c r="D83" s="35" t="s">
        <v>621</v>
      </c>
      <c r="E83" s="35" t="s">
        <v>33</v>
      </c>
      <c r="F83" s="1">
        <f t="shared" si="1"/>
        <v>8</v>
      </c>
    </row>
    <row r="84" spans="1:6" s="4" customFormat="1" x14ac:dyDescent="0.25">
      <c r="A84" s="9">
        <v>45374</v>
      </c>
      <c r="B84" s="35" t="s">
        <v>641</v>
      </c>
      <c r="C84" s="35" t="s">
        <v>642</v>
      </c>
      <c r="D84" s="35" t="s">
        <v>621</v>
      </c>
      <c r="E84" s="35" t="s">
        <v>623</v>
      </c>
      <c r="F84" s="1">
        <f t="shared" si="1"/>
        <v>0</v>
      </c>
    </row>
    <row r="85" spans="1:6" s="4" customFormat="1" x14ac:dyDescent="0.25">
      <c r="A85" s="9">
        <v>45375</v>
      </c>
      <c r="B85" s="35" t="s">
        <v>641</v>
      </c>
      <c r="C85" s="35" t="s">
        <v>642</v>
      </c>
      <c r="D85" s="35" t="s">
        <v>621</v>
      </c>
      <c r="E85" s="35" t="s">
        <v>623</v>
      </c>
      <c r="F85" s="1">
        <f t="shared" si="1"/>
        <v>0</v>
      </c>
    </row>
    <row r="86" spans="1:6" s="4" customFormat="1" x14ac:dyDescent="0.25">
      <c r="A86" s="9">
        <v>45376</v>
      </c>
      <c r="B86" s="35" t="s">
        <v>641</v>
      </c>
      <c r="C86" s="35" t="s">
        <v>642</v>
      </c>
      <c r="D86" s="35" t="s">
        <v>621</v>
      </c>
      <c r="E86" s="35" t="s">
        <v>33</v>
      </c>
      <c r="F86" s="1">
        <f t="shared" si="1"/>
        <v>8</v>
      </c>
    </row>
    <row r="87" spans="1:6" s="4" customFormat="1" x14ac:dyDescent="0.25">
      <c r="A87" s="9">
        <v>45377</v>
      </c>
      <c r="B87" s="35" t="s">
        <v>641</v>
      </c>
      <c r="C87" s="35" t="s">
        <v>642</v>
      </c>
      <c r="D87" s="35" t="s">
        <v>621</v>
      </c>
      <c r="E87" s="35" t="s">
        <v>33</v>
      </c>
      <c r="F87" s="1">
        <f t="shared" si="1"/>
        <v>8</v>
      </c>
    </row>
    <row r="88" spans="1:6" s="4" customFormat="1" x14ac:dyDescent="0.25">
      <c r="A88" s="9">
        <v>45378</v>
      </c>
      <c r="B88" s="35" t="s">
        <v>641</v>
      </c>
      <c r="C88" s="35" t="s">
        <v>642</v>
      </c>
      <c r="D88" s="35" t="s">
        <v>621</v>
      </c>
      <c r="E88" s="35" t="s">
        <v>33</v>
      </c>
      <c r="F88" s="1">
        <f t="shared" si="1"/>
        <v>8</v>
      </c>
    </row>
    <row r="89" spans="1:6" s="4" customFormat="1" x14ac:dyDescent="0.25">
      <c r="A89" s="9">
        <v>45379</v>
      </c>
      <c r="B89" s="35" t="s">
        <v>641</v>
      </c>
      <c r="C89" s="35" t="s">
        <v>642</v>
      </c>
      <c r="D89" s="35" t="s">
        <v>621</v>
      </c>
      <c r="E89" s="35" t="s">
        <v>33</v>
      </c>
      <c r="F89" s="1">
        <f t="shared" si="1"/>
        <v>8</v>
      </c>
    </row>
    <row r="90" spans="1:6" s="4" customFormat="1" x14ac:dyDescent="0.25">
      <c r="A90" s="9">
        <v>45380</v>
      </c>
      <c r="B90" s="35" t="s">
        <v>641</v>
      </c>
      <c r="C90" s="35" t="s">
        <v>642</v>
      </c>
      <c r="D90" s="35" t="s">
        <v>621</v>
      </c>
      <c r="E90" s="35" t="s">
        <v>33</v>
      </c>
      <c r="F90" s="1">
        <f t="shared" si="1"/>
        <v>8</v>
      </c>
    </row>
    <row r="91" spans="1:6" s="4" customFormat="1" x14ac:dyDescent="0.25">
      <c r="A91" s="9">
        <v>45381</v>
      </c>
      <c r="B91" s="35" t="s">
        <v>643</v>
      </c>
      <c r="C91" s="35" t="s">
        <v>644</v>
      </c>
      <c r="D91" s="35" t="s">
        <v>621</v>
      </c>
      <c r="E91" s="35" t="s">
        <v>623</v>
      </c>
      <c r="F91" s="1">
        <f t="shared" si="1"/>
        <v>0</v>
      </c>
    </row>
    <row r="92" spans="1:6" s="4" customFormat="1" x14ac:dyDescent="0.25">
      <c r="A92" s="9">
        <v>45382</v>
      </c>
      <c r="B92" s="35" t="s">
        <v>643</v>
      </c>
      <c r="C92" s="35" t="s">
        <v>644</v>
      </c>
      <c r="D92" s="35" t="s">
        <v>621</v>
      </c>
      <c r="E92" s="35" t="s">
        <v>623</v>
      </c>
      <c r="F92" s="1">
        <f t="shared" si="1"/>
        <v>0</v>
      </c>
    </row>
    <row r="93" spans="1:6" s="4" customFormat="1" x14ac:dyDescent="0.25">
      <c r="A93" s="9">
        <v>45383</v>
      </c>
      <c r="B93" s="35" t="s">
        <v>643</v>
      </c>
      <c r="C93" s="35" t="s">
        <v>644</v>
      </c>
      <c r="D93" s="35" t="s">
        <v>621</v>
      </c>
      <c r="E93" s="35" t="s">
        <v>33</v>
      </c>
      <c r="F93" s="1">
        <f t="shared" si="1"/>
        <v>8</v>
      </c>
    </row>
    <row r="94" spans="1:6" s="4" customFormat="1" x14ac:dyDescent="0.25">
      <c r="A94" s="9">
        <v>45384</v>
      </c>
      <c r="B94" s="35" t="s">
        <v>643</v>
      </c>
      <c r="C94" s="35" t="s">
        <v>644</v>
      </c>
      <c r="D94" s="35" t="s">
        <v>621</v>
      </c>
      <c r="E94" s="35" t="s">
        <v>33</v>
      </c>
      <c r="F94" s="1">
        <f t="shared" si="1"/>
        <v>8</v>
      </c>
    </row>
    <row r="95" spans="1:6" s="4" customFormat="1" x14ac:dyDescent="0.25">
      <c r="A95" s="9">
        <v>45385</v>
      </c>
      <c r="B95" s="35" t="s">
        <v>643</v>
      </c>
      <c r="C95" s="35" t="s">
        <v>644</v>
      </c>
      <c r="D95" s="35" t="s">
        <v>621</v>
      </c>
      <c r="E95" s="35" t="s">
        <v>33</v>
      </c>
      <c r="F95" s="1">
        <f t="shared" si="1"/>
        <v>8</v>
      </c>
    </row>
    <row r="96" spans="1:6" s="4" customFormat="1" x14ac:dyDescent="0.25">
      <c r="A96" s="9">
        <v>45386</v>
      </c>
      <c r="B96" s="35" t="s">
        <v>643</v>
      </c>
      <c r="C96" s="35" t="s">
        <v>644</v>
      </c>
      <c r="D96" s="35" t="s">
        <v>621</v>
      </c>
      <c r="E96" s="35" t="s">
        <v>645</v>
      </c>
      <c r="F96" s="1">
        <f t="shared" si="1"/>
        <v>0</v>
      </c>
    </row>
    <row r="97" spans="1:6" s="4" customFormat="1" x14ac:dyDescent="0.25">
      <c r="A97" s="9">
        <v>45387</v>
      </c>
      <c r="B97" s="35" t="s">
        <v>643</v>
      </c>
      <c r="C97" s="35" t="s">
        <v>644</v>
      </c>
      <c r="D97" s="35" t="s">
        <v>621</v>
      </c>
      <c r="E97" s="35" t="s">
        <v>645</v>
      </c>
      <c r="F97" s="1">
        <f t="shared" si="1"/>
        <v>0</v>
      </c>
    </row>
    <row r="98" spans="1:6" s="4" customFormat="1" x14ac:dyDescent="0.25">
      <c r="A98" s="9">
        <v>45388</v>
      </c>
      <c r="B98" s="35" t="s">
        <v>646</v>
      </c>
      <c r="C98" s="35" t="s">
        <v>647</v>
      </c>
      <c r="D98" s="35" t="s">
        <v>621</v>
      </c>
      <c r="E98" s="35" t="s">
        <v>623</v>
      </c>
      <c r="F98" s="1">
        <f t="shared" si="1"/>
        <v>0</v>
      </c>
    </row>
    <row r="99" spans="1:6" s="4" customFormat="1" x14ac:dyDescent="0.25">
      <c r="A99" s="9">
        <v>45389</v>
      </c>
      <c r="B99" s="35" t="s">
        <v>646</v>
      </c>
      <c r="C99" s="35" t="s">
        <v>647</v>
      </c>
      <c r="D99" s="35" t="s">
        <v>621</v>
      </c>
      <c r="E99" s="35" t="s">
        <v>629</v>
      </c>
      <c r="F99" s="1">
        <f t="shared" si="1"/>
        <v>8</v>
      </c>
    </row>
    <row r="100" spans="1:6" s="4" customFormat="1" x14ac:dyDescent="0.25">
      <c r="A100" s="9">
        <v>45390</v>
      </c>
      <c r="B100" s="35" t="s">
        <v>646</v>
      </c>
      <c r="C100" s="35" t="s">
        <v>647</v>
      </c>
      <c r="D100" s="35" t="s">
        <v>621</v>
      </c>
      <c r="E100" s="35" t="s">
        <v>33</v>
      </c>
      <c r="F100" s="1">
        <f t="shared" si="1"/>
        <v>8</v>
      </c>
    </row>
    <row r="101" spans="1:6" s="4" customFormat="1" x14ac:dyDescent="0.25">
      <c r="A101" s="9">
        <v>45391</v>
      </c>
      <c r="B101" s="35" t="s">
        <v>646</v>
      </c>
      <c r="C101" s="35" t="s">
        <v>647</v>
      </c>
      <c r="D101" s="35" t="s">
        <v>621</v>
      </c>
      <c r="E101" s="35" t="s">
        <v>33</v>
      </c>
      <c r="F101" s="1">
        <f t="shared" si="1"/>
        <v>8</v>
      </c>
    </row>
    <row r="102" spans="1:6" s="4" customFormat="1" x14ac:dyDescent="0.25">
      <c r="A102" s="9">
        <v>45392</v>
      </c>
      <c r="B102" s="35" t="s">
        <v>646</v>
      </c>
      <c r="C102" s="35" t="s">
        <v>647</v>
      </c>
      <c r="D102" s="35" t="s">
        <v>621</v>
      </c>
      <c r="E102" s="35" t="s">
        <v>33</v>
      </c>
      <c r="F102" s="1">
        <f t="shared" si="1"/>
        <v>8</v>
      </c>
    </row>
    <row r="103" spans="1:6" s="4" customFormat="1" x14ac:dyDescent="0.25">
      <c r="A103" s="9">
        <v>45393</v>
      </c>
      <c r="B103" s="35" t="s">
        <v>646</v>
      </c>
      <c r="C103" s="35" t="s">
        <v>647</v>
      </c>
      <c r="D103" s="35" t="s">
        <v>621</v>
      </c>
      <c r="E103" s="35" t="s">
        <v>33</v>
      </c>
      <c r="F103" s="1">
        <f t="shared" si="1"/>
        <v>8</v>
      </c>
    </row>
    <row r="104" spans="1:6" s="4" customFormat="1" x14ac:dyDescent="0.25">
      <c r="A104" s="9">
        <v>45394</v>
      </c>
      <c r="B104" s="35" t="s">
        <v>646</v>
      </c>
      <c r="C104" s="35" t="s">
        <v>647</v>
      </c>
      <c r="D104" s="35" t="s">
        <v>621</v>
      </c>
      <c r="E104" s="35" t="s">
        <v>33</v>
      </c>
      <c r="F104" s="1">
        <f t="shared" si="1"/>
        <v>8</v>
      </c>
    </row>
    <row r="105" spans="1:6" s="4" customFormat="1" x14ac:dyDescent="0.25">
      <c r="A105" s="9">
        <v>45395</v>
      </c>
      <c r="B105" s="35" t="s">
        <v>648</v>
      </c>
      <c r="C105" s="35" t="s">
        <v>649</v>
      </c>
      <c r="D105" s="35" t="s">
        <v>621</v>
      </c>
      <c r="E105" s="35" t="s">
        <v>623</v>
      </c>
      <c r="F105" s="1">
        <f t="shared" si="1"/>
        <v>0</v>
      </c>
    </row>
    <row r="106" spans="1:6" s="4" customFormat="1" x14ac:dyDescent="0.25">
      <c r="A106" s="9">
        <v>45396</v>
      </c>
      <c r="B106" s="35" t="s">
        <v>648</v>
      </c>
      <c r="C106" s="35" t="s">
        <v>649</v>
      </c>
      <c r="D106" s="35" t="s">
        <v>621</v>
      </c>
      <c r="E106" s="35" t="s">
        <v>623</v>
      </c>
      <c r="F106" s="1">
        <f t="shared" si="1"/>
        <v>0</v>
      </c>
    </row>
    <row r="107" spans="1:6" s="4" customFormat="1" x14ac:dyDescent="0.25">
      <c r="A107" s="9">
        <v>45397</v>
      </c>
      <c r="B107" s="35" t="s">
        <v>648</v>
      </c>
      <c r="C107" s="35" t="s">
        <v>649</v>
      </c>
      <c r="D107" s="35" t="s">
        <v>621</v>
      </c>
      <c r="E107" s="35" t="s">
        <v>33</v>
      </c>
      <c r="F107" s="1">
        <f t="shared" si="1"/>
        <v>8</v>
      </c>
    </row>
    <row r="108" spans="1:6" s="4" customFormat="1" x14ac:dyDescent="0.25">
      <c r="A108" s="9">
        <v>45398</v>
      </c>
      <c r="B108" s="35" t="s">
        <v>648</v>
      </c>
      <c r="C108" s="35" t="s">
        <v>649</v>
      </c>
      <c r="D108" s="35" t="s">
        <v>621</v>
      </c>
      <c r="E108" s="35" t="s">
        <v>33</v>
      </c>
      <c r="F108" s="1">
        <f t="shared" si="1"/>
        <v>8</v>
      </c>
    </row>
    <row r="109" spans="1:6" s="4" customFormat="1" x14ac:dyDescent="0.25">
      <c r="A109" s="9">
        <v>45399</v>
      </c>
      <c r="B109" s="35" t="s">
        <v>648</v>
      </c>
      <c r="C109" s="35" t="s">
        <v>649</v>
      </c>
      <c r="D109" s="35" t="s">
        <v>621</v>
      </c>
      <c r="E109" s="35" t="s">
        <v>33</v>
      </c>
      <c r="F109" s="1">
        <f t="shared" si="1"/>
        <v>8</v>
      </c>
    </row>
    <row r="110" spans="1:6" s="4" customFormat="1" x14ac:dyDescent="0.25">
      <c r="A110" s="9">
        <v>45400</v>
      </c>
      <c r="B110" s="35" t="s">
        <v>648</v>
      </c>
      <c r="C110" s="35" t="s">
        <v>649</v>
      </c>
      <c r="D110" s="35" t="s">
        <v>621</v>
      </c>
      <c r="E110" s="35" t="s">
        <v>33</v>
      </c>
      <c r="F110" s="1">
        <f t="shared" si="1"/>
        <v>8</v>
      </c>
    </row>
    <row r="111" spans="1:6" s="4" customFormat="1" x14ac:dyDescent="0.25">
      <c r="A111" s="9">
        <v>45401</v>
      </c>
      <c r="B111" s="35" t="s">
        <v>648</v>
      </c>
      <c r="C111" s="35" t="s">
        <v>649</v>
      </c>
      <c r="D111" s="35" t="s">
        <v>621</v>
      </c>
      <c r="E111" s="35" t="s">
        <v>33</v>
      </c>
      <c r="F111" s="1">
        <f t="shared" si="1"/>
        <v>8</v>
      </c>
    </row>
    <row r="112" spans="1:6" s="4" customFormat="1" x14ac:dyDescent="0.25">
      <c r="A112" s="9">
        <v>45402</v>
      </c>
      <c r="B112" s="35" t="s">
        <v>650</v>
      </c>
      <c r="C112" s="35" t="s">
        <v>651</v>
      </c>
      <c r="D112" s="35" t="s">
        <v>621</v>
      </c>
      <c r="E112" s="35" t="s">
        <v>623</v>
      </c>
      <c r="F112" s="1">
        <f t="shared" si="1"/>
        <v>0</v>
      </c>
    </row>
    <row r="113" spans="1:6" s="4" customFormat="1" x14ac:dyDescent="0.25">
      <c r="A113" s="9">
        <v>45403</v>
      </c>
      <c r="B113" s="35" t="s">
        <v>650</v>
      </c>
      <c r="C113" s="35" t="s">
        <v>651</v>
      </c>
      <c r="D113" s="35" t="s">
        <v>621</v>
      </c>
      <c r="E113" s="35" t="s">
        <v>623</v>
      </c>
      <c r="F113" s="1">
        <f t="shared" si="1"/>
        <v>0</v>
      </c>
    </row>
    <row r="114" spans="1:6" s="4" customFormat="1" x14ac:dyDescent="0.25">
      <c r="A114" s="9">
        <v>45404</v>
      </c>
      <c r="B114" s="35" t="s">
        <v>650</v>
      </c>
      <c r="C114" s="35" t="s">
        <v>651</v>
      </c>
      <c r="D114" s="35" t="s">
        <v>621</v>
      </c>
      <c r="E114" s="35" t="s">
        <v>33</v>
      </c>
      <c r="F114" s="1">
        <f t="shared" si="1"/>
        <v>8</v>
      </c>
    </row>
    <row r="115" spans="1:6" s="4" customFormat="1" x14ac:dyDescent="0.25">
      <c r="A115" s="9">
        <v>45405</v>
      </c>
      <c r="B115" s="35" t="s">
        <v>650</v>
      </c>
      <c r="C115" s="35" t="s">
        <v>651</v>
      </c>
      <c r="D115" s="35" t="s">
        <v>621</v>
      </c>
      <c r="E115" s="35" t="s">
        <v>33</v>
      </c>
      <c r="F115" s="1">
        <f t="shared" si="1"/>
        <v>8</v>
      </c>
    </row>
    <row r="116" spans="1:6" s="4" customFormat="1" x14ac:dyDescent="0.25">
      <c r="A116" s="9">
        <v>45406</v>
      </c>
      <c r="B116" s="35" t="s">
        <v>650</v>
      </c>
      <c r="C116" s="35" t="s">
        <v>651</v>
      </c>
      <c r="D116" s="35" t="s">
        <v>621</v>
      </c>
      <c r="E116" s="35" t="s">
        <v>33</v>
      </c>
      <c r="F116" s="1">
        <f t="shared" si="1"/>
        <v>8</v>
      </c>
    </row>
    <row r="117" spans="1:6" s="4" customFormat="1" x14ac:dyDescent="0.25">
      <c r="A117" s="9">
        <v>45407</v>
      </c>
      <c r="B117" s="35" t="s">
        <v>650</v>
      </c>
      <c r="C117" s="35" t="s">
        <v>651</v>
      </c>
      <c r="D117" s="35" t="s">
        <v>621</v>
      </c>
      <c r="E117" s="35" t="s">
        <v>33</v>
      </c>
      <c r="F117" s="1">
        <f t="shared" si="1"/>
        <v>8</v>
      </c>
    </row>
    <row r="118" spans="1:6" s="4" customFormat="1" x14ac:dyDescent="0.25">
      <c r="A118" s="9">
        <v>45408</v>
      </c>
      <c r="B118" s="35" t="s">
        <v>650</v>
      </c>
      <c r="C118" s="35" t="s">
        <v>651</v>
      </c>
      <c r="D118" s="35" t="s">
        <v>621</v>
      </c>
      <c r="E118" s="35" t="s">
        <v>33</v>
      </c>
      <c r="F118" s="1">
        <f t="shared" si="1"/>
        <v>8</v>
      </c>
    </row>
    <row r="119" spans="1:6" s="4" customFormat="1" x14ac:dyDescent="0.25">
      <c r="A119" s="9">
        <v>45409</v>
      </c>
      <c r="B119" s="35" t="s">
        <v>652</v>
      </c>
      <c r="C119" s="35" t="s">
        <v>653</v>
      </c>
      <c r="D119" s="35" t="s">
        <v>621</v>
      </c>
      <c r="E119" s="35" t="s">
        <v>623</v>
      </c>
      <c r="F119" s="1">
        <f t="shared" si="1"/>
        <v>0</v>
      </c>
    </row>
    <row r="120" spans="1:6" s="4" customFormat="1" x14ac:dyDescent="0.25">
      <c r="A120" s="9">
        <v>45410</v>
      </c>
      <c r="B120" s="35" t="s">
        <v>652</v>
      </c>
      <c r="C120" s="35" t="s">
        <v>653</v>
      </c>
      <c r="D120" s="35" t="s">
        <v>621</v>
      </c>
      <c r="E120" s="35" t="s">
        <v>629</v>
      </c>
      <c r="F120" s="1">
        <f t="shared" si="1"/>
        <v>8</v>
      </c>
    </row>
    <row r="121" spans="1:6" s="4" customFormat="1" x14ac:dyDescent="0.25">
      <c r="A121" s="9">
        <v>45411</v>
      </c>
      <c r="B121" s="35" t="s">
        <v>652</v>
      </c>
      <c r="C121" s="35" t="s">
        <v>653</v>
      </c>
      <c r="D121" s="35" t="s">
        <v>621</v>
      </c>
      <c r="E121" s="35" t="s">
        <v>33</v>
      </c>
      <c r="F121" s="1">
        <f t="shared" si="1"/>
        <v>8</v>
      </c>
    </row>
    <row r="122" spans="1:6" s="4" customFormat="1" x14ac:dyDescent="0.25">
      <c r="A122" s="9">
        <v>45412</v>
      </c>
      <c r="B122" s="35" t="s">
        <v>652</v>
      </c>
      <c r="C122" s="35" t="s">
        <v>653</v>
      </c>
      <c r="D122" s="35" t="s">
        <v>621</v>
      </c>
      <c r="E122" s="35" t="s">
        <v>33</v>
      </c>
      <c r="F122" s="1">
        <f t="shared" si="1"/>
        <v>8</v>
      </c>
    </row>
    <row r="123" spans="1:6" s="4" customFormat="1" x14ac:dyDescent="0.25">
      <c r="A123" s="9">
        <v>45413</v>
      </c>
      <c r="B123" s="35" t="s">
        <v>652</v>
      </c>
      <c r="C123" s="35" t="s">
        <v>653</v>
      </c>
      <c r="D123" s="35" t="s">
        <v>621</v>
      </c>
      <c r="E123" s="35" t="s">
        <v>654</v>
      </c>
      <c r="F123" s="1">
        <f t="shared" si="1"/>
        <v>0</v>
      </c>
    </row>
    <row r="124" spans="1:6" s="4" customFormat="1" x14ac:dyDescent="0.25">
      <c r="A124" s="9">
        <v>45414</v>
      </c>
      <c r="B124" s="35" t="s">
        <v>652</v>
      </c>
      <c r="C124" s="35" t="s">
        <v>653</v>
      </c>
      <c r="D124" s="35" t="s">
        <v>621</v>
      </c>
      <c r="E124" s="35" t="s">
        <v>654</v>
      </c>
      <c r="F124" s="1">
        <f t="shared" si="1"/>
        <v>0</v>
      </c>
    </row>
    <row r="125" spans="1:6" s="4" customFormat="1" x14ac:dyDescent="0.25">
      <c r="A125" s="9">
        <v>45415</v>
      </c>
      <c r="B125" s="35" t="s">
        <v>652</v>
      </c>
      <c r="C125" s="35" t="s">
        <v>653</v>
      </c>
      <c r="D125" s="35" t="s">
        <v>621</v>
      </c>
      <c r="E125" s="35" t="s">
        <v>654</v>
      </c>
      <c r="F125" s="1">
        <f t="shared" si="1"/>
        <v>0</v>
      </c>
    </row>
    <row r="126" spans="1:6" s="4" customFormat="1" x14ac:dyDescent="0.25">
      <c r="A126" s="9">
        <v>45416</v>
      </c>
      <c r="B126" s="35" t="s">
        <v>655</v>
      </c>
      <c r="C126" s="35" t="s">
        <v>656</v>
      </c>
      <c r="D126" s="35" t="s">
        <v>621</v>
      </c>
      <c r="E126" s="35" t="s">
        <v>623</v>
      </c>
      <c r="F126" s="1">
        <f t="shared" si="1"/>
        <v>0</v>
      </c>
    </row>
    <row r="127" spans="1:6" s="4" customFormat="1" x14ac:dyDescent="0.25">
      <c r="A127" s="9">
        <v>45417</v>
      </c>
      <c r="B127" s="35" t="s">
        <v>655</v>
      </c>
      <c r="C127" s="35" t="s">
        <v>656</v>
      </c>
      <c r="D127" s="35" t="s">
        <v>621</v>
      </c>
      <c r="E127" s="35" t="s">
        <v>623</v>
      </c>
      <c r="F127" s="1">
        <f t="shared" si="1"/>
        <v>0</v>
      </c>
    </row>
    <row r="128" spans="1:6" s="4" customFormat="1" x14ac:dyDescent="0.25">
      <c r="A128" s="9">
        <v>45418</v>
      </c>
      <c r="B128" s="35" t="s">
        <v>655</v>
      </c>
      <c r="C128" s="35" t="s">
        <v>656</v>
      </c>
      <c r="D128" s="35" t="s">
        <v>621</v>
      </c>
      <c r="E128" s="35" t="s">
        <v>33</v>
      </c>
      <c r="F128" s="1">
        <f t="shared" si="1"/>
        <v>8</v>
      </c>
    </row>
    <row r="129" spans="1:6" s="4" customFormat="1" x14ac:dyDescent="0.25">
      <c r="A129" s="9">
        <v>45419</v>
      </c>
      <c r="B129" s="35" t="s">
        <v>655</v>
      </c>
      <c r="C129" s="35" t="s">
        <v>656</v>
      </c>
      <c r="D129" s="35" t="s">
        <v>621</v>
      </c>
      <c r="E129" s="35" t="s">
        <v>33</v>
      </c>
      <c r="F129" s="1">
        <f t="shared" si="1"/>
        <v>8</v>
      </c>
    </row>
    <row r="130" spans="1:6" s="4" customFormat="1" x14ac:dyDescent="0.25">
      <c r="A130" s="9">
        <v>45420</v>
      </c>
      <c r="B130" s="35" t="s">
        <v>655</v>
      </c>
      <c r="C130" s="35" t="s">
        <v>656</v>
      </c>
      <c r="D130" s="35" t="s">
        <v>621</v>
      </c>
      <c r="E130" s="35" t="s">
        <v>33</v>
      </c>
      <c r="F130" s="1">
        <f t="shared" ref="F130:F193" si="2">IF(OR(E130="",E130="调休"),8,0)</f>
        <v>8</v>
      </c>
    </row>
    <row r="131" spans="1:6" s="4" customFormat="1" x14ac:dyDescent="0.25">
      <c r="A131" s="9">
        <v>45421</v>
      </c>
      <c r="B131" s="35" t="s">
        <v>655</v>
      </c>
      <c r="C131" s="35" t="s">
        <v>656</v>
      </c>
      <c r="D131" s="35" t="s">
        <v>621</v>
      </c>
      <c r="E131" s="35" t="s">
        <v>33</v>
      </c>
      <c r="F131" s="1">
        <f t="shared" si="2"/>
        <v>8</v>
      </c>
    </row>
    <row r="132" spans="1:6" s="4" customFormat="1" x14ac:dyDescent="0.25">
      <c r="A132" s="9">
        <v>45422</v>
      </c>
      <c r="B132" s="35" t="s">
        <v>655</v>
      </c>
      <c r="C132" s="35" t="s">
        <v>656</v>
      </c>
      <c r="D132" s="35" t="s">
        <v>621</v>
      </c>
      <c r="E132" s="35" t="s">
        <v>33</v>
      </c>
      <c r="F132" s="1">
        <f t="shared" si="2"/>
        <v>8</v>
      </c>
    </row>
    <row r="133" spans="1:6" s="4" customFormat="1" x14ac:dyDescent="0.25">
      <c r="A133" s="9">
        <v>45423</v>
      </c>
      <c r="B133" s="35" t="s">
        <v>657</v>
      </c>
      <c r="C133" s="35" t="s">
        <v>658</v>
      </c>
      <c r="D133" s="35" t="s">
        <v>621</v>
      </c>
      <c r="E133" s="35" t="s">
        <v>629</v>
      </c>
      <c r="F133" s="1">
        <f t="shared" si="2"/>
        <v>8</v>
      </c>
    </row>
    <row r="134" spans="1:6" s="4" customFormat="1" x14ac:dyDescent="0.25">
      <c r="A134" s="9">
        <v>45424</v>
      </c>
      <c r="B134" s="35" t="s">
        <v>657</v>
      </c>
      <c r="C134" s="35" t="s">
        <v>658</v>
      </c>
      <c r="D134" s="35" t="s">
        <v>621</v>
      </c>
      <c r="E134" s="35" t="s">
        <v>623</v>
      </c>
      <c r="F134" s="1">
        <f t="shared" si="2"/>
        <v>0</v>
      </c>
    </row>
    <row r="135" spans="1:6" s="4" customFormat="1" x14ac:dyDescent="0.25">
      <c r="A135" s="9">
        <v>45425</v>
      </c>
      <c r="B135" s="35" t="s">
        <v>657</v>
      </c>
      <c r="C135" s="35" t="s">
        <v>658</v>
      </c>
      <c r="D135" s="35" t="s">
        <v>621</v>
      </c>
      <c r="E135" s="35" t="s">
        <v>33</v>
      </c>
      <c r="F135" s="1">
        <f t="shared" si="2"/>
        <v>8</v>
      </c>
    </row>
    <row r="136" spans="1:6" s="4" customFormat="1" x14ac:dyDescent="0.25">
      <c r="A136" s="9">
        <v>45426</v>
      </c>
      <c r="B136" s="35" t="s">
        <v>657</v>
      </c>
      <c r="C136" s="35" t="s">
        <v>658</v>
      </c>
      <c r="D136" s="35" t="s">
        <v>621</v>
      </c>
      <c r="E136" s="35" t="s">
        <v>33</v>
      </c>
      <c r="F136" s="1">
        <f t="shared" si="2"/>
        <v>8</v>
      </c>
    </row>
    <row r="137" spans="1:6" s="4" customFormat="1" x14ac:dyDescent="0.25">
      <c r="A137" s="9">
        <v>45427</v>
      </c>
      <c r="B137" s="35" t="s">
        <v>657</v>
      </c>
      <c r="C137" s="35" t="s">
        <v>658</v>
      </c>
      <c r="D137" s="35" t="s">
        <v>621</v>
      </c>
      <c r="E137" s="35" t="s">
        <v>33</v>
      </c>
      <c r="F137" s="1">
        <f t="shared" si="2"/>
        <v>8</v>
      </c>
    </row>
    <row r="138" spans="1:6" s="4" customFormat="1" x14ac:dyDescent="0.25">
      <c r="A138" s="9">
        <v>45428</v>
      </c>
      <c r="B138" s="35" t="s">
        <v>657</v>
      </c>
      <c r="C138" s="35" t="s">
        <v>658</v>
      </c>
      <c r="D138" s="35" t="s">
        <v>621</v>
      </c>
      <c r="E138" s="35" t="s">
        <v>33</v>
      </c>
      <c r="F138" s="1">
        <f t="shared" si="2"/>
        <v>8</v>
      </c>
    </row>
    <row r="139" spans="1:6" s="4" customFormat="1" x14ac:dyDescent="0.25">
      <c r="A139" s="9">
        <v>45429</v>
      </c>
      <c r="B139" s="35" t="s">
        <v>657</v>
      </c>
      <c r="C139" s="35" t="s">
        <v>658</v>
      </c>
      <c r="D139" s="35" t="s">
        <v>621</v>
      </c>
      <c r="E139" s="35" t="s">
        <v>33</v>
      </c>
      <c r="F139" s="1">
        <f t="shared" si="2"/>
        <v>8</v>
      </c>
    </row>
    <row r="140" spans="1:6" s="4" customFormat="1" x14ac:dyDescent="0.25">
      <c r="A140" s="9">
        <v>45430</v>
      </c>
      <c r="B140" s="35" t="s">
        <v>659</v>
      </c>
      <c r="C140" s="35" t="s">
        <v>660</v>
      </c>
      <c r="D140" s="35" t="s">
        <v>621</v>
      </c>
      <c r="E140" s="35" t="s">
        <v>623</v>
      </c>
      <c r="F140" s="1">
        <f t="shared" si="2"/>
        <v>0</v>
      </c>
    </row>
    <row r="141" spans="1:6" s="4" customFormat="1" x14ac:dyDescent="0.25">
      <c r="A141" s="9">
        <v>45431</v>
      </c>
      <c r="B141" s="35" t="s">
        <v>659</v>
      </c>
      <c r="C141" s="35" t="s">
        <v>660</v>
      </c>
      <c r="D141" s="35" t="s">
        <v>621</v>
      </c>
      <c r="E141" s="35" t="s">
        <v>623</v>
      </c>
      <c r="F141" s="1">
        <f t="shared" si="2"/>
        <v>0</v>
      </c>
    </row>
    <row r="142" spans="1:6" s="4" customFormat="1" x14ac:dyDescent="0.25">
      <c r="A142" s="9">
        <v>45432</v>
      </c>
      <c r="B142" s="35" t="s">
        <v>659</v>
      </c>
      <c r="C142" s="35" t="s">
        <v>660</v>
      </c>
      <c r="D142" s="35" t="s">
        <v>621</v>
      </c>
      <c r="E142" s="35" t="s">
        <v>33</v>
      </c>
      <c r="F142" s="1">
        <f t="shared" si="2"/>
        <v>8</v>
      </c>
    </row>
    <row r="143" spans="1:6" s="4" customFormat="1" x14ac:dyDescent="0.25">
      <c r="A143" s="9">
        <v>45433</v>
      </c>
      <c r="B143" s="35" t="s">
        <v>659</v>
      </c>
      <c r="C143" s="35" t="s">
        <v>660</v>
      </c>
      <c r="D143" s="35" t="s">
        <v>621</v>
      </c>
      <c r="E143" s="35" t="s">
        <v>33</v>
      </c>
      <c r="F143" s="1">
        <f t="shared" si="2"/>
        <v>8</v>
      </c>
    </row>
    <row r="144" spans="1:6" s="4" customFormat="1" x14ac:dyDescent="0.25">
      <c r="A144" s="9">
        <v>45434</v>
      </c>
      <c r="B144" s="35" t="s">
        <v>659</v>
      </c>
      <c r="C144" s="35" t="s">
        <v>660</v>
      </c>
      <c r="D144" s="35" t="s">
        <v>621</v>
      </c>
      <c r="E144" s="35" t="s">
        <v>33</v>
      </c>
      <c r="F144" s="1">
        <f t="shared" si="2"/>
        <v>8</v>
      </c>
    </row>
    <row r="145" spans="1:6" s="4" customFormat="1" x14ac:dyDescent="0.25">
      <c r="A145" s="9">
        <v>45435</v>
      </c>
      <c r="B145" s="35" t="s">
        <v>659</v>
      </c>
      <c r="C145" s="35" t="s">
        <v>660</v>
      </c>
      <c r="D145" s="35" t="s">
        <v>621</v>
      </c>
      <c r="E145" s="35" t="s">
        <v>33</v>
      </c>
      <c r="F145" s="1">
        <f t="shared" si="2"/>
        <v>8</v>
      </c>
    </row>
    <row r="146" spans="1:6" s="4" customFormat="1" x14ac:dyDescent="0.25">
      <c r="A146" s="9">
        <v>45436</v>
      </c>
      <c r="B146" s="35" t="s">
        <v>659</v>
      </c>
      <c r="C146" s="35" t="s">
        <v>660</v>
      </c>
      <c r="D146" s="35" t="s">
        <v>621</v>
      </c>
      <c r="E146" s="35" t="s">
        <v>33</v>
      </c>
      <c r="F146" s="1">
        <f t="shared" si="2"/>
        <v>8</v>
      </c>
    </row>
    <row r="147" spans="1:6" s="4" customFormat="1" x14ac:dyDescent="0.25">
      <c r="A147" s="9">
        <v>45437</v>
      </c>
      <c r="B147" s="35" t="s">
        <v>661</v>
      </c>
      <c r="C147" s="35" t="s">
        <v>662</v>
      </c>
      <c r="D147" s="35" t="s">
        <v>621</v>
      </c>
      <c r="E147" s="35" t="s">
        <v>623</v>
      </c>
      <c r="F147" s="1">
        <f t="shared" si="2"/>
        <v>0</v>
      </c>
    </row>
    <row r="148" spans="1:6" s="4" customFormat="1" x14ac:dyDescent="0.25">
      <c r="A148" s="9">
        <v>45438</v>
      </c>
      <c r="B148" s="35" t="s">
        <v>661</v>
      </c>
      <c r="C148" s="35" t="s">
        <v>662</v>
      </c>
      <c r="D148" s="35" t="s">
        <v>621</v>
      </c>
      <c r="E148" s="35" t="s">
        <v>623</v>
      </c>
      <c r="F148" s="1">
        <f t="shared" si="2"/>
        <v>0</v>
      </c>
    </row>
    <row r="149" spans="1:6" s="4" customFormat="1" x14ac:dyDescent="0.25">
      <c r="A149" s="9">
        <v>45439</v>
      </c>
      <c r="B149" s="35" t="s">
        <v>661</v>
      </c>
      <c r="C149" s="35" t="s">
        <v>662</v>
      </c>
      <c r="D149" s="35" t="s">
        <v>621</v>
      </c>
      <c r="E149" s="35" t="s">
        <v>33</v>
      </c>
      <c r="F149" s="1">
        <f t="shared" si="2"/>
        <v>8</v>
      </c>
    </row>
    <row r="150" spans="1:6" s="4" customFormat="1" x14ac:dyDescent="0.25">
      <c r="A150" s="9">
        <v>45440</v>
      </c>
      <c r="B150" s="35" t="s">
        <v>661</v>
      </c>
      <c r="C150" s="35" t="s">
        <v>662</v>
      </c>
      <c r="D150" s="35" t="s">
        <v>621</v>
      </c>
      <c r="E150" s="35" t="s">
        <v>33</v>
      </c>
      <c r="F150" s="1">
        <f t="shared" si="2"/>
        <v>8</v>
      </c>
    </row>
    <row r="151" spans="1:6" s="4" customFormat="1" x14ac:dyDescent="0.25">
      <c r="A151" s="9">
        <v>45441</v>
      </c>
      <c r="B151" s="35" t="s">
        <v>661</v>
      </c>
      <c r="C151" s="35" t="s">
        <v>662</v>
      </c>
      <c r="D151" s="35" t="s">
        <v>621</v>
      </c>
      <c r="E151" s="35" t="s">
        <v>33</v>
      </c>
      <c r="F151" s="1">
        <f t="shared" si="2"/>
        <v>8</v>
      </c>
    </row>
    <row r="152" spans="1:6" s="4" customFormat="1" x14ac:dyDescent="0.25">
      <c r="A152" s="9">
        <v>45442</v>
      </c>
      <c r="B152" s="35" t="s">
        <v>661</v>
      </c>
      <c r="C152" s="35" t="s">
        <v>662</v>
      </c>
      <c r="D152" s="35" t="s">
        <v>621</v>
      </c>
      <c r="E152" s="35" t="s">
        <v>33</v>
      </c>
      <c r="F152" s="1">
        <f t="shared" si="2"/>
        <v>8</v>
      </c>
    </row>
    <row r="153" spans="1:6" s="4" customFormat="1" x14ac:dyDescent="0.25">
      <c r="A153" s="9">
        <v>45443</v>
      </c>
      <c r="B153" s="35" t="s">
        <v>661</v>
      </c>
      <c r="C153" s="35" t="s">
        <v>662</v>
      </c>
      <c r="D153" s="35" t="s">
        <v>621</v>
      </c>
      <c r="E153" s="35" t="s">
        <v>33</v>
      </c>
      <c r="F153" s="1">
        <f t="shared" si="2"/>
        <v>8</v>
      </c>
    </row>
    <row r="154" spans="1:6" s="4" customFormat="1" x14ac:dyDescent="0.25">
      <c r="A154" s="9">
        <v>45444</v>
      </c>
      <c r="B154" s="35" t="s">
        <v>663</v>
      </c>
      <c r="C154" s="35" t="s">
        <v>664</v>
      </c>
      <c r="D154" s="35" t="s">
        <v>621</v>
      </c>
      <c r="E154" s="35" t="s">
        <v>623</v>
      </c>
      <c r="F154" s="1">
        <f t="shared" si="2"/>
        <v>0</v>
      </c>
    </row>
    <row r="155" spans="1:6" s="4" customFormat="1" x14ac:dyDescent="0.25">
      <c r="A155" s="9">
        <v>45445</v>
      </c>
      <c r="B155" s="35" t="s">
        <v>663</v>
      </c>
      <c r="C155" s="35" t="s">
        <v>664</v>
      </c>
      <c r="D155" s="35" t="s">
        <v>621</v>
      </c>
      <c r="E155" s="35" t="s">
        <v>623</v>
      </c>
      <c r="F155" s="1">
        <f t="shared" si="2"/>
        <v>0</v>
      </c>
    </row>
    <row r="156" spans="1:6" s="4" customFormat="1" x14ac:dyDescent="0.25">
      <c r="A156" s="9">
        <v>45446</v>
      </c>
      <c r="B156" s="35" t="s">
        <v>663</v>
      </c>
      <c r="C156" s="35" t="s">
        <v>664</v>
      </c>
      <c r="D156" s="35" t="s">
        <v>621</v>
      </c>
      <c r="E156" s="35" t="s">
        <v>33</v>
      </c>
      <c r="F156" s="1">
        <f t="shared" si="2"/>
        <v>8</v>
      </c>
    </row>
    <row r="157" spans="1:6" s="4" customFormat="1" x14ac:dyDescent="0.25">
      <c r="A157" s="9">
        <v>45447</v>
      </c>
      <c r="B157" s="35" t="s">
        <v>663</v>
      </c>
      <c r="C157" s="35" t="s">
        <v>664</v>
      </c>
      <c r="D157" s="35" t="s">
        <v>621</v>
      </c>
      <c r="E157" s="35" t="s">
        <v>33</v>
      </c>
      <c r="F157" s="1">
        <f t="shared" si="2"/>
        <v>8</v>
      </c>
    </row>
    <row r="158" spans="1:6" s="4" customFormat="1" x14ac:dyDescent="0.25">
      <c r="A158" s="9">
        <v>45448</v>
      </c>
      <c r="B158" s="35" t="s">
        <v>663</v>
      </c>
      <c r="C158" s="35" t="s">
        <v>664</v>
      </c>
      <c r="D158" s="35" t="s">
        <v>621</v>
      </c>
      <c r="E158" s="35" t="s">
        <v>33</v>
      </c>
      <c r="F158" s="1">
        <f t="shared" si="2"/>
        <v>8</v>
      </c>
    </row>
    <row r="159" spans="1:6" s="4" customFormat="1" x14ac:dyDescent="0.25">
      <c r="A159" s="9">
        <v>45449</v>
      </c>
      <c r="B159" s="35" t="s">
        <v>663</v>
      </c>
      <c r="C159" s="35" t="s">
        <v>664</v>
      </c>
      <c r="D159" s="35" t="s">
        <v>621</v>
      </c>
      <c r="E159" s="35" t="s">
        <v>33</v>
      </c>
      <c r="F159" s="1">
        <f t="shared" si="2"/>
        <v>8</v>
      </c>
    </row>
    <row r="160" spans="1:6" s="4" customFormat="1" x14ac:dyDescent="0.25">
      <c r="A160" s="9">
        <v>45450</v>
      </c>
      <c r="B160" s="35" t="s">
        <v>663</v>
      </c>
      <c r="C160" s="35" t="s">
        <v>664</v>
      </c>
      <c r="D160" s="35" t="s">
        <v>621</v>
      </c>
      <c r="E160" s="35" t="s">
        <v>33</v>
      </c>
      <c r="F160" s="1">
        <f t="shared" si="2"/>
        <v>8</v>
      </c>
    </row>
    <row r="161" spans="1:6" s="4" customFormat="1" x14ac:dyDescent="0.25">
      <c r="A161" s="9">
        <v>45451</v>
      </c>
      <c r="B161" s="35" t="s">
        <v>665</v>
      </c>
      <c r="C161" s="35" t="s">
        <v>666</v>
      </c>
      <c r="D161" s="35" t="s">
        <v>621</v>
      </c>
      <c r="E161" s="35" t="s">
        <v>623</v>
      </c>
      <c r="F161" s="1">
        <f t="shared" si="2"/>
        <v>0</v>
      </c>
    </row>
    <row r="162" spans="1:6" s="4" customFormat="1" x14ac:dyDescent="0.25">
      <c r="A162" s="9">
        <v>45452</v>
      </c>
      <c r="B162" s="35" t="s">
        <v>665</v>
      </c>
      <c r="C162" s="35" t="s">
        <v>666</v>
      </c>
      <c r="D162" s="35" t="s">
        <v>621</v>
      </c>
      <c r="E162" s="35" t="s">
        <v>623</v>
      </c>
      <c r="F162" s="1">
        <f t="shared" si="2"/>
        <v>0</v>
      </c>
    </row>
    <row r="163" spans="1:6" s="4" customFormat="1" x14ac:dyDescent="0.25">
      <c r="A163" s="9">
        <v>45453</v>
      </c>
      <c r="B163" s="35" t="s">
        <v>665</v>
      </c>
      <c r="C163" s="35" t="s">
        <v>666</v>
      </c>
      <c r="D163" s="35" t="s">
        <v>621</v>
      </c>
      <c r="E163" s="35" t="s">
        <v>667</v>
      </c>
      <c r="F163" s="1">
        <f t="shared" si="2"/>
        <v>0</v>
      </c>
    </row>
    <row r="164" spans="1:6" s="4" customFormat="1" x14ac:dyDescent="0.25">
      <c r="A164" s="9">
        <v>45454</v>
      </c>
      <c r="B164" s="35" t="s">
        <v>665</v>
      </c>
      <c r="C164" s="35" t="s">
        <v>666</v>
      </c>
      <c r="D164" s="35" t="s">
        <v>621</v>
      </c>
      <c r="E164" s="35" t="s">
        <v>33</v>
      </c>
      <c r="F164" s="1">
        <f t="shared" si="2"/>
        <v>8</v>
      </c>
    </row>
    <row r="165" spans="1:6" s="4" customFormat="1" x14ac:dyDescent="0.25">
      <c r="A165" s="9">
        <v>45455</v>
      </c>
      <c r="B165" s="35" t="s">
        <v>665</v>
      </c>
      <c r="C165" s="35" t="s">
        <v>666</v>
      </c>
      <c r="D165" s="35" t="s">
        <v>621</v>
      </c>
      <c r="E165" s="35" t="s">
        <v>33</v>
      </c>
      <c r="F165" s="1">
        <f t="shared" si="2"/>
        <v>8</v>
      </c>
    </row>
    <row r="166" spans="1:6" s="4" customFormat="1" x14ac:dyDescent="0.25">
      <c r="A166" s="9">
        <v>45456</v>
      </c>
      <c r="B166" s="35" t="s">
        <v>665</v>
      </c>
      <c r="C166" s="35" t="s">
        <v>666</v>
      </c>
      <c r="D166" s="35" t="s">
        <v>621</v>
      </c>
      <c r="E166" s="35" t="s">
        <v>33</v>
      </c>
      <c r="F166" s="1">
        <f t="shared" si="2"/>
        <v>8</v>
      </c>
    </row>
    <row r="167" spans="1:6" s="4" customFormat="1" x14ac:dyDescent="0.25">
      <c r="A167" s="9">
        <v>45457</v>
      </c>
      <c r="B167" s="35" t="s">
        <v>665</v>
      </c>
      <c r="C167" s="35" t="s">
        <v>666</v>
      </c>
      <c r="D167" s="35" t="s">
        <v>621</v>
      </c>
      <c r="E167" s="35" t="s">
        <v>33</v>
      </c>
      <c r="F167" s="1">
        <f t="shared" si="2"/>
        <v>8</v>
      </c>
    </row>
    <row r="168" spans="1:6" s="4" customFormat="1" x14ac:dyDescent="0.25">
      <c r="A168" s="9">
        <v>45458</v>
      </c>
      <c r="B168" s="35" t="s">
        <v>668</v>
      </c>
      <c r="C168" s="35" t="s">
        <v>669</v>
      </c>
      <c r="D168" s="35" t="s">
        <v>621</v>
      </c>
      <c r="E168" s="35" t="s">
        <v>623</v>
      </c>
      <c r="F168" s="1">
        <f t="shared" si="2"/>
        <v>0</v>
      </c>
    </row>
    <row r="169" spans="1:6" s="4" customFormat="1" x14ac:dyDescent="0.25">
      <c r="A169" s="9">
        <v>45459</v>
      </c>
      <c r="B169" s="35" t="s">
        <v>668</v>
      </c>
      <c r="C169" s="35" t="s">
        <v>669</v>
      </c>
      <c r="D169" s="35" t="s">
        <v>621</v>
      </c>
      <c r="E169" s="35" t="s">
        <v>623</v>
      </c>
      <c r="F169" s="1">
        <f t="shared" si="2"/>
        <v>0</v>
      </c>
    </row>
    <row r="170" spans="1:6" s="4" customFormat="1" x14ac:dyDescent="0.25">
      <c r="A170" s="9">
        <v>45460</v>
      </c>
      <c r="B170" s="35" t="s">
        <v>668</v>
      </c>
      <c r="C170" s="35" t="s">
        <v>669</v>
      </c>
      <c r="D170" s="35" t="s">
        <v>621</v>
      </c>
      <c r="E170" s="35" t="s">
        <v>33</v>
      </c>
      <c r="F170" s="1">
        <f t="shared" si="2"/>
        <v>8</v>
      </c>
    </row>
    <row r="171" spans="1:6" s="4" customFormat="1" x14ac:dyDescent="0.25">
      <c r="A171" s="9">
        <v>45461</v>
      </c>
      <c r="B171" s="35" t="s">
        <v>668</v>
      </c>
      <c r="C171" s="35" t="s">
        <v>669</v>
      </c>
      <c r="D171" s="35" t="s">
        <v>621</v>
      </c>
      <c r="E171" s="35" t="s">
        <v>33</v>
      </c>
      <c r="F171" s="1">
        <f t="shared" si="2"/>
        <v>8</v>
      </c>
    </row>
    <row r="172" spans="1:6" s="4" customFormat="1" x14ac:dyDescent="0.25">
      <c r="A172" s="9">
        <v>45462</v>
      </c>
      <c r="B172" s="35" t="s">
        <v>668</v>
      </c>
      <c r="C172" s="35" t="s">
        <v>669</v>
      </c>
      <c r="D172" s="35" t="s">
        <v>621</v>
      </c>
      <c r="E172" s="35" t="s">
        <v>33</v>
      </c>
      <c r="F172" s="1">
        <f t="shared" si="2"/>
        <v>8</v>
      </c>
    </row>
    <row r="173" spans="1:6" s="4" customFormat="1" x14ac:dyDescent="0.25">
      <c r="A173" s="9">
        <v>45463</v>
      </c>
      <c r="B173" s="35" t="s">
        <v>668</v>
      </c>
      <c r="C173" s="35" t="s">
        <v>669</v>
      </c>
      <c r="D173" s="35" t="s">
        <v>621</v>
      </c>
      <c r="E173" s="35" t="s">
        <v>33</v>
      </c>
      <c r="F173" s="1">
        <f t="shared" si="2"/>
        <v>8</v>
      </c>
    </row>
    <row r="174" spans="1:6" s="4" customFormat="1" x14ac:dyDescent="0.25">
      <c r="A174" s="9">
        <v>45464</v>
      </c>
      <c r="B174" s="35" t="s">
        <v>668</v>
      </c>
      <c r="C174" s="35" t="s">
        <v>669</v>
      </c>
      <c r="D174" s="35" t="s">
        <v>621</v>
      </c>
      <c r="E174" s="35" t="s">
        <v>33</v>
      </c>
      <c r="F174" s="1">
        <f t="shared" si="2"/>
        <v>8</v>
      </c>
    </row>
    <row r="175" spans="1:6" s="4" customFormat="1" x14ac:dyDescent="0.25">
      <c r="A175" s="9">
        <v>45465</v>
      </c>
      <c r="B175" s="35" t="s">
        <v>670</v>
      </c>
      <c r="C175" s="35" t="s">
        <v>671</v>
      </c>
      <c r="D175" s="35" t="s">
        <v>621</v>
      </c>
      <c r="E175" s="35" t="s">
        <v>623</v>
      </c>
      <c r="F175" s="1">
        <f t="shared" si="2"/>
        <v>0</v>
      </c>
    </row>
    <row r="176" spans="1:6" s="4" customFormat="1" x14ac:dyDescent="0.25">
      <c r="A176" s="9">
        <v>45466</v>
      </c>
      <c r="B176" s="35" t="s">
        <v>670</v>
      </c>
      <c r="C176" s="35" t="s">
        <v>671</v>
      </c>
      <c r="D176" s="35" t="s">
        <v>621</v>
      </c>
      <c r="E176" s="35" t="s">
        <v>623</v>
      </c>
      <c r="F176" s="1">
        <f t="shared" si="2"/>
        <v>0</v>
      </c>
    </row>
    <row r="177" spans="1:6" s="4" customFormat="1" x14ac:dyDescent="0.25">
      <c r="A177" s="9">
        <v>45467</v>
      </c>
      <c r="B177" s="35" t="s">
        <v>670</v>
      </c>
      <c r="C177" s="35" t="s">
        <v>671</v>
      </c>
      <c r="D177" s="35" t="s">
        <v>621</v>
      </c>
      <c r="E177" s="35" t="s">
        <v>33</v>
      </c>
      <c r="F177" s="1">
        <f t="shared" si="2"/>
        <v>8</v>
      </c>
    </row>
    <row r="178" spans="1:6" s="4" customFormat="1" x14ac:dyDescent="0.25">
      <c r="A178" s="9">
        <v>45468</v>
      </c>
      <c r="B178" s="35" t="s">
        <v>670</v>
      </c>
      <c r="C178" s="35" t="s">
        <v>671</v>
      </c>
      <c r="D178" s="35" t="s">
        <v>621</v>
      </c>
      <c r="E178" s="35" t="s">
        <v>33</v>
      </c>
      <c r="F178" s="1">
        <f t="shared" si="2"/>
        <v>8</v>
      </c>
    </row>
    <row r="179" spans="1:6" s="4" customFormat="1" x14ac:dyDescent="0.25">
      <c r="A179" s="9">
        <v>45469</v>
      </c>
      <c r="B179" s="35" t="s">
        <v>670</v>
      </c>
      <c r="C179" s="35" t="s">
        <v>671</v>
      </c>
      <c r="D179" s="35" t="s">
        <v>621</v>
      </c>
      <c r="E179" s="35" t="s">
        <v>33</v>
      </c>
      <c r="F179" s="1">
        <f t="shared" si="2"/>
        <v>8</v>
      </c>
    </row>
    <row r="180" spans="1:6" s="4" customFormat="1" x14ac:dyDescent="0.25">
      <c r="A180" s="9">
        <v>45470</v>
      </c>
      <c r="B180" s="35" t="s">
        <v>670</v>
      </c>
      <c r="C180" s="35" t="s">
        <v>671</v>
      </c>
      <c r="D180" s="35" t="s">
        <v>621</v>
      </c>
      <c r="E180" s="35" t="s">
        <v>33</v>
      </c>
      <c r="F180" s="1">
        <f t="shared" si="2"/>
        <v>8</v>
      </c>
    </row>
    <row r="181" spans="1:6" s="4" customFormat="1" x14ac:dyDescent="0.25">
      <c r="A181" s="9">
        <v>45471</v>
      </c>
      <c r="B181" s="35" t="s">
        <v>670</v>
      </c>
      <c r="C181" s="35" t="s">
        <v>671</v>
      </c>
      <c r="D181" s="35" t="s">
        <v>621</v>
      </c>
      <c r="E181" s="35" t="s">
        <v>33</v>
      </c>
      <c r="F181" s="1">
        <f t="shared" si="2"/>
        <v>8</v>
      </c>
    </row>
    <row r="182" spans="1:6" s="4" customFormat="1" x14ac:dyDescent="0.25">
      <c r="A182" s="9">
        <v>45472</v>
      </c>
      <c r="B182" s="35" t="s">
        <v>672</v>
      </c>
      <c r="C182" s="35" t="s">
        <v>673</v>
      </c>
      <c r="D182" s="35" t="s">
        <v>674</v>
      </c>
      <c r="E182" s="35" t="s">
        <v>623</v>
      </c>
      <c r="F182" s="1">
        <f t="shared" si="2"/>
        <v>0</v>
      </c>
    </row>
    <row r="183" spans="1:6" s="4" customFormat="1" x14ac:dyDescent="0.25">
      <c r="A183" s="9">
        <v>45473</v>
      </c>
      <c r="B183" s="35" t="s">
        <v>672</v>
      </c>
      <c r="C183" s="35" t="s">
        <v>673</v>
      </c>
      <c r="D183" s="35" t="s">
        <v>674</v>
      </c>
      <c r="E183" s="35" t="s">
        <v>623</v>
      </c>
      <c r="F183" s="1">
        <f t="shared" si="2"/>
        <v>0</v>
      </c>
    </row>
    <row r="184" spans="1:6" s="4" customFormat="1" x14ac:dyDescent="0.25">
      <c r="A184" s="9">
        <v>45474</v>
      </c>
      <c r="B184" s="35" t="s">
        <v>672</v>
      </c>
      <c r="C184" s="35" t="s">
        <v>673</v>
      </c>
      <c r="D184" s="35" t="s">
        <v>674</v>
      </c>
      <c r="E184" s="35" t="s">
        <v>33</v>
      </c>
      <c r="F184" s="1">
        <f t="shared" si="2"/>
        <v>8</v>
      </c>
    </row>
    <row r="185" spans="1:6" s="4" customFormat="1" x14ac:dyDescent="0.25">
      <c r="A185" s="9">
        <v>45475</v>
      </c>
      <c r="B185" s="35" t="s">
        <v>672</v>
      </c>
      <c r="C185" s="35" t="s">
        <v>673</v>
      </c>
      <c r="D185" s="35" t="s">
        <v>674</v>
      </c>
      <c r="E185" s="35" t="s">
        <v>33</v>
      </c>
      <c r="F185" s="1">
        <f t="shared" si="2"/>
        <v>8</v>
      </c>
    </row>
    <row r="186" spans="1:6" s="4" customFormat="1" x14ac:dyDescent="0.25">
      <c r="A186" s="9">
        <v>45476</v>
      </c>
      <c r="B186" s="35" t="s">
        <v>672</v>
      </c>
      <c r="C186" s="35" t="s">
        <v>673</v>
      </c>
      <c r="D186" s="35" t="s">
        <v>674</v>
      </c>
      <c r="E186" s="35" t="s">
        <v>33</v>
      </c>
      <c r="F186" s="1">
        <f t="shared" si="2"/>
        <v>8</v>
      </c>
    </row>
    <row r="187" spans="1:6" s="4" customFormat="1" x14ac:dyDescent="0.25">
      <c r="A187" s="9">
        <v>45477</v>
      </c>
      <c r="B187" s="35" t="s">
        <v>672</v>
      </c>
      <c r="C187" s="35" t="s">
        <v>673</v>
      </c>
      <c r="D187" s="35" t="s">
        <v>674</v>
      </c>
      <c r="E187" s="35" t="s">
        <v>33</v>
      </c>
      <c r="F187" s="1">
        <f t="shared" si="2"/>
        <v>8</v>
      </c>
    </row>
    <row r="188" spans="1:6" s="4" customFormat="1" x14ac:dyDescent="0.25">
      <c r="A188" s="9">
        <v>45478</v>
      </c>
      <c r="B188" s="35" t="s">
        <v>672</v>
      </c>
      <c r="C188" s="35" t="s">
        <v>673</v>
      </c>
      <c r="D188" s="35" t="s">
        <v>674</v>
      </c>
      <c r="E188" s="35" t="s">
        <v>33</v>
      </c>
      <c r="F188" s="1">
        <f t="shared" si="2"/>
        <v>8</v>
      </c>
    </row>
    <row r="189" spans="1:6" s="4" customFormat="1" x14ac:dyDescent="0.25">
      <c r="A189" s="9">
        <v>45479</v>
      </c>
      <c r="B189" s="35" t="s">
        <v>675</v>
      </c>
      <c r="C189" s="35" t="s">
        <v>676</v>
      </c>
      <c r="D189" s="35" t="s">
        <v>674</v>
      </c>
      <c r="E189" s="35" t="s">
        <v>623</v>
      </c>
      <c r="F189" s="1">
        <f t="shared" si="2"/>
        <v>0</v>
      </c>
    </row>
    <row r="190" spans="1:6" s="4" customFormat="1" x14ac:dyDescent="0.25">
      <c r="A190" s="9">
        <v>45480</v>
      </c>
      <c r="B190" s="35" t="s">
        <v>675</v>
      </c>
      <c r="C190" s="35" t="s">
        <v>676</v>
      </c>
      <c r="D190" s="35" t="s">
        <v>674</v>
      </c>
      <c r="E190" s="35" t="s">
        <v>623</v>
      </c>
      <c r="F190" s="1">
        <f t="shared" si="2"/>
        <v>0</v>
      </c>
    </row>
    <row r="191" spans="1:6" s="4" customFormat="1" x14ac:dyDescent="0.25">
      <c r="A191" s="9">
        <v>45481</v>
      </c>
      <c r="B191" s="35" t="s">
        <v>675</v>
      </c>
      <c r="C191" s="35" t="s">
        <v>676</v>
      </c>
      <c r="D191" s="35" t="s">
        <v>674</v>
      </c>
      <c r="E191" s="35" t="s">
        <v>33</v>
      </c>
      <c r="F191" s="1">
        <f t="shared" si="2"/>
        <v>8</v>
      </c>
    </row>
    <row r="192" spans="1:6" s="4" customFormat="1" x14ac:dyDescent="0.25">
      <c r="A192" s="9">
        <v>45482</v>
      </c>
      <c r="B192" s="35" t="s">
        <v>675</v>
      </c>
      <c r="C192" s="35" t="s">
        <v>676</v>
      </c>
      <c r="D192" s="35" t="s">
        <v>674</v>
      </c>
      <c r="E192" s="35" t="s">
        <v>33</v>
      </c>
      <c r="F192" s="1">
        <f t="shared" si="2"/>
        <v>8</v>
      </c>
    </row>
    <row r="193" spans="1:6" s="4" customFormat="1" x14ac:dyDescent="0.25">
      <c r="A193" s="9">
        <v>45483</v>
      </c>
      <c r="B193" s="35" t="s">
        <v>675</v>
      </c>
      <c r="C193" s="35" t="s">
        <v>676</v>
      </c>
      <c r="D193" s="35" t="s">
        <v>674</v>
      </c>
      <c r="E193" s="35" t="s">
        <v>33</v>
      </c>
      <c r="F193" s="1">
        <f t="shared" si="2"/>
        <v>8</v>
      </c>
    </row>
    <row r="194" spans="1:6" s="4" customFormat="1" x14ac:dyDescent="0.25">
      <c r="A194" s="9">
        <v>45484</v>
      </c>
      <c r="B194" s="35" t="s">
        <v>675</v>
      </c>
      <c r="C194" s="35" t="s">
        <v>676</v>
      </c>
      <c r="D194" s="35" t="s">
        <v>674</v>
      </c>
      <c r="E194" s="35" t="s">
        <v>33</v>
      </c>
      <c r="F194" s="1">
        <f t="shared" ref="F194:F257" si="3">IF(OR(E194="",E194="调休"),8,0)</f>
        <v>8</v>
      </c>
    </row>
    <row r="195" spans="1:6" s="4" customFormat="1" x14ac:dyDescent="0.25">
      <c r="A195" s="9">
        <v>45485</v>
      </c>
      <c r="B195" s="35" t="s">
        <v>675</v>
      </c>
      <c r="C195" s="35" t="s">
        <v>676</v>
      </c>
      <c r="D195" s="35" t="s">
        <v>674</v>
      </c>
      <c r="E195" s="35" t="s">
        <v>33</v>
      </c>
      <c r="F195" s="1">
        <f t="shared" si="3"/>
        <v>8</v>
      </c>
    </row>
    <row r="196" spans="1:6" s="4" customFormat="1" x14ac:dyDescent="0.25">
      <c r="A196" s="9">
        <v>45486</v>
      </c>
      <c r="B196" s="35" t="s">
        <v>677</v>
      </c>
      <c r="C196" s="35" t="s">
        <v>678</v>
      </c>
      <c r="D196" s="35" t="s">
        <v>674</v>
      </c>
      <c r="E196" s="35" t="s">
        <v>623</v>
      </c>
      <c r="F196" s="1">
        <f t="shared" si="3"/>
        <v>0</v>
      </c>
    </row>
    <row r="197" spans="1:6" s="4" customFormat="1" x14ac:dyDescent="0.25">
      <c r="A197" s="9">
        <v>45487</v>
      </c>
      <c r="B197" s="35" t="s">
        <v>677</v>
      </c>
      <c r="C197" s="35" t="s">
        <v>678</v>
      </c>
      <c r="D197" s="35" t="s">
        <v>674</v>
      </c>
      <c r="E197" s="35" t="s">
        <v>623</v>
      </c>
      <c r="F197" s="1">
        <f t="shared" si="3"/>
        <v>0</v>
      </c>
    </row>
    <row r="198" spans="1:6" s="4" customFormat="1" x14ac:dyDescent="0.25">
      <c r="A198" s="9">
        <v>45488</v>
      </c>
      <c r="B198" s="35" t="s">
        <v>677</v>
      </c>
      <c r="C198" s="35" t="s">
        <v>678</v>
      </c>
      <c r="D198" s="35" t="s">
        <v>674</v>
      </c>
      <c r="E198" s="35" t="s">
        <v>33</v>
      </c>
      <c r="F198" s="1">
        <f t="shared" si="3"/>
        <v>8</v>
      </c>
    </row>
    <row r="199" spans="1:6" s="4" customFormat="1" x14ac:dyDescent="0.25">
      <c r="A199" s="9">
        <v>45489</v>
      </c>
      <c r="B199" s="35" t="s">
        <v>677</v>
      </c>
      <c r="C199" s="35" t="s">
        <v>678</v>
      </c>
      <c r="D199" s="35" t="s">
        <v>674</v>
      </c>
      <c r="E199" s="35" t="s">
        <v>33</v>
      </c>
      <c r="F199" s="1">
        <f t="shared" si="3"/>
        <v>8</v>
      </c>
    </row>
    <row r="200" spans="1:6" s="4" customFormat="1" x14ac:dyDescent="0.25">
      <c r="A200" s="9">
        <v>45490</v>
      </c>
      <c r="B200" s="35" t="s">
        <v>677</v>
      </c>
      <c r="C200" s="35" t="s">
        <v>678</v>
      </c>
      <c r="D200" s="35" t="s">
        <v>674</v>
      </c>
      <c r="E200" s="35" t="s">
        <v>33</v>
      </c>
      <c r="F200" s="1">
        <f t="shared" si="3"/>
        <v>8</v>
      </c>
    </row>
    <row r="201" spans="1:6" s="4" customFormat="1" x14ac:dyDescent="0.25">
      <c r="A201" s="9">
        <v>45491</v>
      </c>
      <c r="B201" s="35" t="s">
        <v>677</v>
      </c>
      <c r="C201" s="35" t="s">
        <v>678</v>
      </c>
      <c r="D201" s="35" t="s">
        <v>674</v>
      </c>
      <c r="E201" s="35" t="s">
        <v>33</v>
      </c>
      <c r="F201" s="1">
        <f t="shared" si="3"/>
        <v>8</v>
      </c>
    </row>
    <row r="202" spans="1:6" s="4" customFormat="1" x14ac:dyDescent="0.25">
      <c r="A202" s="9">
        <v>45492</v>
      </c>
      <c r="B202" s="35" t="s">
        <v>677</v>
      </c>
      <c r="C202" s="35" t="s">
        <v>678</v>
      </c>
      <c r="D202" s="35" t="s">
        <v>674</v>
      </c>
      <c r="E202" s="35" t="s">
        <v>33</v>
      </c>
      <c r="F202" s="1">
        <f t="shared" si="3"/>
        <v>8</v>
      </c>
    </row>
    <row r="203" spans="1:6" s="4" customFormat="1" x14ac:dyDescent="0.25">
      <c r="A203" s="9">
        <v>45493</v>
      </c>
      <c r="B203" s="35" t="s">
        <v>679</v>
      </c>
      <c r="C203" s="35" t="s">
        <v>680</v>
      </c>
      <c r="D203" s="35" t="s">
        <v>674</v>
      </c>
      <c r="E203" s="35" t="s">
        <v>623</v>
      </c>
      <c r="F203" s="1">
        <f t="shared" si="3"/>
        <v>0</v>
      </c>
    </row>
    <row r="204" spans="1:6" s="4" customFormat="1" x14ac:dyDescent="0.25">
      <c r="A204" s="9">
        <v>45494</v>
      </c>
      <c r="B204" s="35" t="s">
        <v>679</v>
      </c>
      <c r="C204" s="35" t="s">
        <v>680</v>
      </c>
      <c r="D204" s="35" t="s">
        <v>674</v>
      </c>
      <c r="E204" s="35" t="s">
        <v>623</v>
      </c>
      <c r="F204" s="1">
        <f t="shared" si="3"/>
        <v>0</v>
      </c>
    </row>
    <row r="205" spans="1:6" s="4" customFormat="1" x14ac:dyDescent="0.25">
      <c r="A205" s="9">
        <v>45495</v>
      </c>
      <c r="B205" s="35" t="s">
        <v>679</v>
      </c>
      <c r="C205" s="35" t="s">
        <v>680</v>
      </c>
      <c r="D205" s="35" t="s">
        <v>674</v>
      </c>
      <c r="E205" s="35" t="s">
        <v>33</v>
      </c>
      <c r="F205" s="1">
        <f t="shared" si="3"/>
        <v>8</v>
      </c>
    </row>
    <row r="206" spans="1:6" s="4" customFormat="1" x14ac:dyDescent="0.25">
      <c r="A206" s="9">
        <v>45496</v>
      </c>
      <c r="B206" s="35" t="s">
        <v>679</v>
      </c>
      <c r="C206" s="35" t="s">
        <v>680</v>
      </c>
      <c r="D206" s="35" t="s">
        <v>674</v>
      </c>
      <c r="E206" s="35" t="s">
        <v>33</v>
      </c>
      <c r="F206" s="1">
        <f t="shared" si="3"/>
        <v>8</v>
      </c>
    </row>
    <row r="207" spans="1:6" s="4" customFormat="1" x14ac:dyDescent="0.25">
      <c r="A207" s="9">
        <v>45497</v>
      </c>
      <c r="B207" s="35" t="s">
        <v>679</v>
      </c>
      <c r="C207" s="35" t="s">
        <v>680</v>
      </c>
      <c r="D207" s="35" t="s">
        <v>674</v>
      </c>
      <c r="E207" s="35" t="s">
        <v>33</v>
      </c>
      <c r="F207" s="1">
        <f t="shared" si="3"/>
        <v>8</v>
      </c>
    </row>
    <row r="208" spans="1:6" s="4" customFormat="1" x14ac:dyDescent="0.25">
      <c r="A208" s="9">
        <v>45498</v>
      </c>
      <c r="B208" s="35" t="s">
        <v>679</v>
      </c>
      <c r="C208" s="35" t="s">
        <v>680</v>
      </c>
      <c r="D208" s="35" t="s">
        <v>674</v>
      </c>
      <c r="E208" s="35" t="s">
        <v>33</v>
      </c>
      <c r="F208" s="1">
        <f t="shared" si="3"/>
        <v>8</v>
      </c>
    </row>
    <row r="209" spans="1:6" s="4" customFormat="1" x14ac:dyDescent="0.25">
      <c r="A209" s="9">
        <v>45499</v>
      </c>
      <c r="B209" s="35" t="s">
        <v>679</v>
      </c>
      <c r="C209" s="35" t="s">
        <v>680</v>
      </c>
      <c r="D209" s="35" t="s">
        <v>674</v>
      </c>
      <c r="E209" s="35" t="s">
        <v>33</v>
      </c>
      <c r="F209" s="1">
        <f t="shared" si="3"/>
        <v>8</v>
      </c>
    </row>
    <row r="210" spans="1:6" s="4" customFormat="1" x14ac:dyDescent="0.25">
      <c r="A210" s="9">
        <v>45500</v>
      </c>
      <c r="B210" s="35" t="s">
        <v>681</v>
      </c>
      <c r="C210" s="35" t="s">
        <v>682</v>
      </c>
      <c r="D210" s="35" t="s">
        <v>674</v>
      </c>
      <c r="E210" s="35" t="s">
        <v>623</v>
      </c>
      <c r="F210" s="1">
        <f t="shared" si="3"/>
        <v>0</v>
      </c>
    </row>
    <row r="211" spans="1:6" s="4" customFormat="1" x14ac:dyDescent="0.25">
      <c r="A211" s="9">
        <v>45501</v>
      </c>
      <c r="B211" s="35" t="s">
        <v>681</v>
      </c>
      <c r="C211" s="35" t="s">
        <v>682</v>
      </c>
      <c r="D211" s="35" t="s">
        <v>674</v>
      </c>
      <c r="E211" s="35" t="s">
        <v>623</v>
      </c>
      <c r="F211" s="1">
        <f t="shared" si="3"/>
        <v>0</v>
      </c>
    </row>
    <row r="212" spans="1:6" s="4" customFormat="1" x14ac:dyDescent="0.25">
      <c r="A212" s="9">
        <v>45502</v>
      </c>
      <c r="B212" s="35" t="s">
        <v>681</v>
      </c>
      <c r="C212" s="35" t="s">
        <v>682</v>
      </c>
      <c r="D212" s="35" t="s">
        <v>674</v>
      </c>
      <c r="E212" s="35" t="s">
        <v>33</v>
      </c>
      <c r="F212" s="1">
        <f t="shared" si="3"/>
        <v>8</v>
      </c>
    </row>
    <row r="213" spans="1:6" s="4" customFormat="1" x14ac:dyDescent="0.25">
      <c r="A213" s="9">
        <v>45503</v>
      </c>
      <c r="B213" s="35" t="s">
        <v>681</v>
      </c>
      <c r="C213" s="35" t="s">
        <v>682</v>
      </c>
      <c r="D213" s="35" t="s">
        <v>674</v>
      </c>
      <c r="E213" s="35" t="s">
        <v>33</v>
      </c>
      <c r="F213" s="1">
        <f t="shared" si="3"/>
        <v>8</v>
      </c>
    </row>
    <row r="214" spans="1:6" s="4" customFormat="1" x14ac:dyDescent="0.25">
      <c r="A214" s="9">
        <v>45504</v>
      </c>
      <c r="B214" s="35" t="s">
        <v>681</v>
      </c>
      <c r="C214" s="35" t="s">
        <v>682</v>
      </c>
      <c r="D214" s="35" t="s">
        <v>674</v>
      </c>
      <c r="E214" s="35" t="s">
        <v>33</v>
      </c>
      <c r="F214" s="1">
        <f t="shared" si="3"/>
        <v>8</v>
      </c>
    </row>
    <row r="215" spans="1:6" s="4" customFormat="1" x14ac:dyDescent="0.25">
      <c r="A215" s="9">
        <v>45505</v>
      </c>
      <c r="B215" s="35" t="s">
        <v>681</v>
      </c>
      <c r="C215" s="35" t="s">
        <v>682</v>
      </c>
      <c r="D215" s="35" t="s">
        <v>674</v>
      </c>
      <c r="E215" s="35" t="s">
        <v>33</v>
      </c>
      <c r="F215" s="1">
        <f t="shared" si="3"/>
        <v>8</v>
      </c>
    </row>
    <row r="216" spans="1:6" s="4" customFormat="1" x14ac:dyDescent="0.25">
      <c r="A216" s="9">
        <v>45506</v>
      </c>
      <c r="B216" s="35" t="s">
        <v>681</v>
      </c>
      <c r="C216" s="35" t="s">
        <v>682</v>
      </c>
      <c r="D216" s="35" t="s">
        <v>674</v>
      </c>
      <c r="E216" s="35" t="s">
        <v>33</v>
      </c>
      <c r="F216" s="1">
        <f t="shared" si="3"/>
        <v>8</v>
      </c>
    </row>
    <row r="217" spans="1:6" s="4" customFormat="1" x14ac:dyDescent="0.25">
      <c r="A217" s="9">
        <v>45507</v>
      </c>
      <c r="B217" s="35" t="s">
        <v>683</v>
      </c>
      <c r="C217" s="35" t="s">
        <v>684</v>
      </c>
      <c r="D217" s="35" t="s">
        <v>674</v>
      </c>
      <c r="E217" s="35" t="s">
        <v>623</v>
      </c>
      <c r="F217" s="1">
        <f t="shared" si="3"/>
        <v>0</v>
      </c>
    </row>
    <row r="218" spans="1:6" s="4" customFormat="1" x14ac:dyDescent="0.25">
      <c r="A218" s="9">
        <v>45508</v>
      </c>
      <c r="B218" s="35" t="s">
        <v>683</v>
      </c>
      <c r="C218" s="35" t="s">
        <v>684</v>
      </c>
      <c r="D218" s="35" t="s">
        <v>674</v>
      </c>
      <c r="E218" s="35" t="s">
        <v>623</v>
      </c>
      <c r="F218" s="1">
        <f t="shared" si="3"/>
        <v>0</v>
      </c>
    </row>
    <row r="219" spans="1:6" s="4" customFormat="1" x14ac:dyDescent="0.25">
      <c r="A219" s="9">
        <v>45509</v>
      </c>
      <c r="B219" s="35" t="s">
        <v>683</v>
      </c>
      <c r="C219" s="35" t="s">
        <v>684</v>
      </c>
      <c r="D219" s="35" t="s">
        <v>674</v>
      </c>
      <c r="E219" s="35" t="s">
        <v>33</v>
      </c>
      <c r="F219" s="1">
        <f t="shared" si="3"/>
        <v>8</v>
      </c>
    </row>
    <row r="220" spans="1:6" s="4" customFormat="1" x14ac:dyDescent="0.25">
      <c r="A220" s="9">
        <v>45510</v>
      </c>
      <c r="B220" s="35" t="s">
        <v>683</v>
      </c>
      <c r="C220" s="35" t="s">
        <v>684</v>
      </c>
      <c r="D220" s="35" t="s">
        <v>674</v>
      </c>
      <c r="E220" s="35" t="s">
        <v>33</v>
      </c>
      <c r="F220" s="1">
        <f t="shared" si="3"/>
        <v>8</v>
      </c>
    </row>
    <row r="221" spans="1:6" s="4" customFormat="1" x14ac:dyDescent="0.25">
      <c r="A221" s="9">
        <v>45511</v>
      </c>
      <c r="B221" s="35" t="s">
        <v>683</v>
      </c>
      <c r="C221" s="35" t="s">
        <v>684</v>
      </c>
      <c r="D221" s="35" t="s">
        <v>674</v>
      </c>
      <c r="E221" s="35" t="s">
        <v>33</v>
      </c>
      <c r="F221" s="1">
        <f t="shared" si="3"/>
        <v>8</v>
      </c>
    </row>
    <row r="222" spans="1:6" s="4" customFormat="1" x14ac:dyDescent="0.25">
      <c r="A222" s="9">
        <v>45512</v>
      </c>
      <c r="B222" s="35" t="s">
        <v>683</v>
      </c>
      <c r="C222" s="35" t="s">
        <v>684</v>
      </c>
      <c r="D222" s="35" t="s">
        <v>674</v>
      </c>
      <c r="E222" s="35" t="s">
        <v>33</v>
      </c>
      <c r="F222" s="1">
        <f t="shared" si="3"/>
        <v>8</v>
      </c>
    </row>
    <row r="223" spans="1:6" s="4" customFormat="1" x14ac:dyDescent="0.25">
      <c r="A223" s="9">
        <v>45513</v>
      </c>
      <c r="B223" s="35" t="s">
        <v>683</v>
      </c>
      <c r="C223" s="35" t="s">
        <v>684</v>
      </c>
      <c r="D223" s="35" t="s">
        <v>674</v>
      </c>
      <c r="E223" s="35" t="s">
        <v>33</v>
      </c>
      <c r="F223" s="1">
        <f t="shared" si="3"/>
        <v>8</v>
      </c>
    </row>
    <row r="224" spans="1:6" s="4" customFormat="1" x14ac:dyDescent="0.25">
      <c r="A224" s="9">
        <v>45514</v>
      </c>
      <c r="B224" s="35" t="s">
        <v>685</v>
      </c>
      <c r="C224" s="35" t="s">
        <v>686</v>
      </c>
      <c r="D224" s="35" t="s">
        <v>674</v>
      </c>
      <c r="E224" s="35" t="s">
        <v>623</v>
      </c>
      <c r="F224" s="1">
        <f t="shared" si="3"/>
        <v>0</v>
      </c>
    </row>
    <row r="225" spans="1:6" s="4" customFormat="1" x14ac:dyDescent="0.25">
      <c r="A225" s="9">
        <v>45515</v>
      </c>
      <c r="B225" s="35" t="s">
        <v>685</v>
      </c>
      <c r="C225" s="35" t="s">
        <v>686</v>
      </c>
      <c r="D225" s="35" t="s">
        <v>674</v>
      </c>
      <c r="E225" s="35" t="s">
        <v>623</v>
      </c>
      <c r="F225" s="1">
        <f t="shared" si="3"/>
        <v>0</v>
      </c>
    </row>
    <row r="226" spans="1:6" s="4" customFormat="1" x14ac:dyDescent="0.25">
      <c r="A226" s="9">
        <v>45516</v>
      </c>
      <c r="B226" s="35" t="s">
        <v>685</v>
      </c>
      <c r="C226" s="35" t="s">
        <v>686</v>
      </c>
      <c r="D226" s="35" t="s">
        <v>674</v>
      </c>
      <c r="E226" s="35" t="s">
        <v>33</v>
      </c>
      <c r="F226" s="1">
        <f t="shared" si="3"/>
        <v>8</v>
      </c>
    </row>
    <row r="227" spans="1:6" s="4" customFormat="1" x14ac:dyDescent="0.25">
      <c r="A227" s="9">
        <v>45517</v>
      </c>
      <c r="B227" s="35" t="s">
        <v>685</v>
      </c>
      <c r="C227" s="35" t="s">
        <v>686</v>
      </c>
      <c r="D227" s="35" t="s">
        <v>674</v>
      </c>
      <c r="E227" s="35" t="s">
        <v>33</v>
      </c>
      <c r="F227" s="1">
        <f t="shared" si="3"/>
        <v>8</v>
      </c>
    </row>
    <row r="228" spans="1:6" s="4" customFormat="1" x14ac:dyDescent="0.25">
      <c r="A228" s="9">
        <v>45518</v>
      </c>
      <c r="B228" s="35" t="s">
        <v>685</v>
      </c>
      <c r="C228" s="35" t="s">
        <v>686</v>
      </c>
      <c r="D228" s="35" t="s">
        <v>674</v>
      </c>
      <c r="E228" s="35" t="s">
        <v>33</v>
      </c>
      <c r="F228" s="1">
        <f t="shared" si="3"/>
        <v>8</v>
      </c>
    </row>
    <row r="229" spans="1:6" s="4" customFormat="1" x14ac:dyDescent="0.25">
      <c r="A229" s="9">
        <v>45519</v>
      </c>
      <c r="B229" s="35" t="s">
        <v>685</v>
      </c>
      <c r="C229" s="35" t="s">
        <v>686</v>
      </c>
      <c r="D229" s="35" t="s">
        <v>674</v>
      </c>
      <c r="E229" s="35" t="s">
        <v>33</v>
      </c>
      <c r="F229" s="1">
        <f t="shared" si="3"/>
        <v>8</v>
      </c>
    </row>
    <row r="230" spans="1:6" s="4" customFormat="1" x14ac:dyDescent="0.25">
      <c r="A230" s="9">
        <v>45520</v>
      </c>
      <c r="B230" s="35" t="s">
        <v>685</v>
      </c>
      <c r="C230" s="35" t="s">
        <v>686</v>
      </c>
      <c r="D230" s="35" t="s">
        <v>674</v>
      </c>
      <c r="E230" s="35" t="s">
        <v>33</v>
      </c>
      <c r="F230" s="1">
        <f t="shared" si="3"/>
        <v>8</v>
      </c>
    </row>
    <row r="231" spans="1:6" s="4" customFormat="1" x14ac:dyDescent="0.25">
      <c r="A231" s="9">
        <v>45521</v>
      </c>
      <c r="B231" s="35" t="s">
        <v>687</v>
      </c>
      <c r="C231" s="35" t="s">
        <v>688</v>
      </c>
      <c r="D231" s="35" t="s">
        <v>674</v>
      </c>
      <c r="E231" s="35" t="s">
        <v>623</v>
      </c>
      <c r="F231" s="1">
        <f t="shared" si="3"/>
        <v>0</v>
      </c>
    </row>
    <row r="232" spans="1:6" s="4" customFormat="1" x14ac:dyDescent="0.25">
      <c r="A232" s="9">
        <v>45522</v>
      </c>
      <c r="B232" s="35" t="s">
        <v>687</v>
      </c>
      <c r="C232" s="35" t="s">
        <v>688</v>
      </c>
      <c r="D232" s="35" t="s">
        <v>674</v>
      </c>
      <c r="E232" s="35" t="s">
        <v>623</v>
      </c>
      <c r="F232" s="1">
        <f t="shared" si="3"/>
        <v>0</v>
      </c>
    </row>
    <row r="233" spans="1:6" s="4" customFormat="1" x14ac:dyDescent="0.25">
      <c r="A233" s="9">
        <v>45523</v>
      </c>
      <c r="B233" s="35" t="s">
        <v>687</v>
      </c>
      <c r="C233" s="35" t="s">
        <v>688</v>
      </c>
      <c r="D233" s="35" t="s">
        <v>674</v>
      </c>
      <c r="E233" s="35" t="s">
        <v>33</v>
      </c>
      <c r="F233" s="1">
        <f t="shared" si="3"/>
        <v>8</v>
      </c>
    </row>
    <row r="234" spans="1:6" s="4" customFormat="1" x14ac:dyDescent="0.25">
      <c r="A234" s="9">
        <v>45524</v>
      </c>
      <c r="B234" s="35" t="s">
        <v>687</v>
      </c>
      <c r="C234" s="35" t="s">
        <v>688</v>
      </c>
      <c r="D234" s="35" t="s">
        <v>674</v>
      </c>
      <c r="E234" s="35" t="s">
        <v>33</v>
      </c>
      <c r="F234" s="1">
        <f t="shared" si="3"/>
        <v>8</v>
      </c>
    </row>
    <row r="235" spans="1:6" s="4" customFormat="1" x14ac:dyDescent="0.25">
      <c r="A235" s="9">
        <v>45525</v>
      </c>
      <c r="B235" s="35" t="s">
        <v>687</v>
      </c>
      <c r="C235" s="35" t="s">
        <v>688</v>
      </c>
      <c r="D235" s="35" t="s">
        <v>674</v>
      </c>
      <c r="E235" s="35" t="s">
        <v>33</v>
      </c>
      <c r="F235" s="1">
        <f t="shared" si="3"/>
        <v>8</v>
      </c>
    </row>
    <row r="236" spans="1:6" s="4" customFormat="1" x14ac:dyDescent="0.25">
      <c r="A236" s="9">
        <v>45526</v>
      </c>
      <c r="B236" s="35" t="s">
        <v>687</v>
      </c>
      <c r="C236" s="35" t="s">
        <v>688</v>
      </c>
      <c r="D236" s="35" t="s">
        <v>674</v>
      </c>
      <c r="E236" s="35" t="s">
        <v>33</v>
      </c>
      <c r="F236" s="1">
        <f t="shared" si="3"/>
        <v>8</v>
      </c>
    </row>
    <row r="237" spans="1:6" s="4" customFormat="1" x14ac:dyDescent="0.25">
      <c r="A237" s="9">
        <v>45527</v>
      </c>
      <c r="B237" s="35" t="s">
        <v>687</v>
      </c>
      <c r="C237" s="35" t="s">
        <v>688</v>
      </c>
      <c r="D237" s="35" t="s">
        <v>674</v>
      </c>
      <c r="E237" s="35" t="s">
        <v>33</v>
      </c>
      <c r="F237" s="1">
        <f t="shared" si="3"/>
        <v>8</v>
      </c>
    </row>
    <row r="238" spans="1:6" s="4" customFormat="1" x14ac:dyDescent="0.25">
      <c r="A238" s="9">
        <v>45528</v>
      </c>
      <c r="B238" s="35" t="s">
        <v>689</v>
      </c>
      <c r="C238" s="35" t="s">
        <v>690</v>
      </c>
      <c r="D238" s="35" t="s">
        <v>674</v>
      </c>
      <c r="E238" s="35" t="s">
        <v>623</v>
      </c>
      <c r="F238" s="1">
        <f t="shared" si="3"/>
        <v>0</v>
      </c>
    </row>
    <row r="239" spans="1:6" s="4" customFormat="1" x14ac:dyDescent="0.25">
      <c r="A239" s="9">
        <v>45529</v>
      </c>
      <c r="B239" s="35" t="s">
        <v>689</v>
      </c>
      <c r="C239" s="35" t="s">
        <v>690</v>
      </c>
      <c r="D239" s="35" t="s">
        <v>674</v>
      </c>
      <c r="E239" s="35" t="s">
        <v>623</v>
      </c>
      <c r="F239" s="1">
        <f t="shared" si="3"/>
        <v>0</v>
      </c>
    </row>
    <row r="240" spans="1:6" s="4" customFormat="1" x14ac:dyDescent="0.25">
      <c r="A240" s="9">
        <v>45530</v>
      </c>
      <c r="B240" s="35" t="s">
        <v>689</v>
      </c>
      <c r="C240" s="35" t="s">
        <v>690</v>
      </c>
      <c r="D240" s="35" t="s">
        <v>674</v>
      </c>
      <c r="E240" s="35" t="s">
        <v>33</v>
      </c>
      <c r="F240" s="1">
        <f t="shared" si="3"/>
        <v>8</v>
      </c>
    </row>
    <row r="241" spans="1:6" s="4" customFormat="1" x14ac:dyDescent="0.25">
      <c r="A241" s="9">
        <v>45531</v>
      </c>
      <c r="B241" s="35" t="s">
        <v>689</v>
      </c>
      <c r="C241" s="35" t="s">
        <v>690</v>
      </c>
      <c r="D241" s="35" t="s">
        <v>674</v>
      </c>
      <c r="E241" s="35" t="s">
        <v>33</v>
      </c>
      <c r="F241" s="1">
        <f t="shared" si="3"/>
        <v>8</v>
      </c>
    </row>
    <row r="242" spans="1:6" s="4" customFormat="1" x14ac:dyDescent="0.25">
      <c r="A242" s="9">
        <v>45532</v>
      </c>
      <c r="B242" s="35" t="s">
        <v>689</v>
      </c>
      <c r="C242" s="35" t="s">
        <v>690</v>
      </c>
      <c r="D242" s="35" t="s">
        <v>674</v>
      </c>
      <c r="E242" s="35" t="s">
        <v>33</v>
      </c>
      <c r="F242" s="1">
        <f t="shared" si="3"/>
        <v>8</v>
      </c>
    </row>
    <row r="243" spans="1:6" s="4" customFormat="1" x14ac:dyDescent="0.25">
      <c r="A243" s="9">
        <v>45533</v>
      </c>
      <c r="B243" s="35" t="s">
        <v>689</v>
      </c>
      <c r="C243" s="35" t="s">
        <v>690</v>
      </c>
      <c r="D243" s="35" t="s">
        <v>674</v>
      </c>
      <c r="E243" s="35" t="s">
        <v>33</v>
      </c>
      <c r="F243" s="1">
        <f t="shared" si="3"/>
        <v>8</v>
      </c>
    </row>
    <row r="244" spans="1:6" s="4" customFormat="1" x14ac:dyDescent="0.25">
      <c r="A244" s="9">
        <v>45534</v>
      </c>
      <c r="B244" s="35" t="s">
        <v>689</v>
      </c>
      <c r="C244" s="35" t="s">
        <v>690</v>
      </c>
      <c r="D244" s="35" t="s">
        <v>674</v>
      </c>
      <c r="E244" s="35" t="s">
        <v>33</v>
      </c>
      <c r="F244" s="1">
        <f t="shared" si="3"/>
        <v>8</v>
      </c>
    </row>
    <row r="245" spans="1:6" s="4" customFormat="1" x14ac:dyDescent="0.25">
      <c r="A245" s="9">
        <v>45535</v>
      </c>
      <c r="B245" s="35" t="s">
        <v>691</v>
      </c>
      <c r="C245" s="35" t="s">
        <v>692</v>
      </c>
      <c r="D245" s="35" t="s">
        <v>674</v>
      </c>
      <c r="E245" s="35" t="s">
        <v>623</v>
      </c>
      <c r="F245" s="1">
        <f t="shared" si="3"/>
        <v>0</v>
      </c>
    </row>
    <row r="246" spans="1:6" s="4" customFormat="1" x14ac:dyDescent="0.25">
      <c r="A246" s="9">
        <v>45536</v>
      </c>
      <c r="B246" s="35" t="s">
        <v>691</v>
      </c>
      <c r="C246" s="35" t="s">
        <v>692</v>
      </c>
      <c r="D246" s="35" t="s">
        <v>674</v>
      </c>
      <c r="E246" s="35" t="s">
        <v>623</v>
      </c>
      <c r="F246" s="1">
        <f t="shared" si="3"/>
        <v>0</v>
      </c>
    </row>
    <row r="247" spans="1:6" s="4" customFormat="1" x14ac:dyDescent="0.25">
      <c r="A247" s="9">
        <v>45537</v>
      </c>
      <c r="B247" s="35" t="s">
        <v>691</v>
      </c>
      <c r="C247" s="35" t="s">
        <v>692</v>
      </c>
      <c r="D247" s="35" t="s">
        <v>674</v>
      </c>
      <c r="E247" s="35" t="s">
        <v>33</v>
      </c>
      <c r="F247" s="1">
        <f t="shared" si="3"/>
        <v>8</v>
      </c>
    </row>
    <row r="248" spans="1:6" s="4" customFormat="1" x14ac:dyDescent="0.25">
      <c r="A248" s="9">
        <v>45538</v>
      </c>
      <c r="B248" s="35" t="s">
        <v>691</v>
      </c>
      <c r="C248" s="35" t="s">
        <v>692</v>
      </c>
      <c r="D248" s="35" t="s">
        <v>674</v>
      </c>
      <c r="E248" s="35" t="s">
        <v>33</v>
      </c>
      <c r="F248" s="1">
        <f t="shared" si="3"/>
        <v>8</v>
      </c>
    </row>
    <row r="249" spans="1:6" s="4" customFormat="1" x14ac:dyDescent="0.25">
      <c r="A249" s="9">
        <v>45539</v>
      </c>
      <c r="B249" s="35" t="s">
        <v>691</v>
      </c>
      <c r="C249" s="35" t="s">
        <v>692</v>
      </c>
      <c r="D249" s="35" t="s">
        <v>674</v>
      </c>
      <c r="E249" s="35" t="s">
        <v>33</v>
      </c>
      <c r="F249" s="1">
        <f t="shared" si="3"/>
        <v>8</v>
      </c>
    </row>
    <row r="250" spans="1:6" s="4" customFormat="1" x14ac:dyDescent="0.25">
      <c r="A250" s="9">
        <v>45540</v>
      </c>
      <c r="B250" s="35" t="s">
        <v>691</v>
      </c>
      <c r="C250" s="35" t="s">
        <v>692</v>
      </c>
      <c r="D250" s="35" t="s">
        <v>674</v>
      </c>
      <c r="E250" s="35" t="s">
        <v>33</v>
      </c>
      <c r="F250" s="1">
        <f t="shared" si="3"/>
        <v>8</v>
      </c>
    </row>
    <row r="251" spans="1:6" s="4" customFormat="1" x14ac:dyDescent="0.25">
      <c r="A251" s="9">
        <v>45541</v>
      </c>
      <c r="B251" s="35" t="s">
        <v>691</v>
      </c>
      <c r="C251" s="35" t="s">
        <v>692</v>
      </c>
      <c r="D251" s="35" t="s">
        <v>674</v>
      </c>
      <c r="E251" s="35" t="s">
        <v>33</v>
      </c>
      <c r="F251" s="1">
        <f t="shared" si="3"/>
        <v>8</v>
      </c>
    </row>
    <row r="252" spans="1:6" s="4" customFormat="1" x14ac:dyDescent="0.25">
      <c r="A252" s="9">
        <v>45542</v>
      </c>
      <c r="B252" s="35" t="s">
        <v>693</v>
      </c>
      <c r="C252" s="35" t="s">
        <v>694</v>
      </c>
      <c r="D252" s="35" t="s">
        <v>674</v>
      </c>
      <c r="E252" s="35" t="s">
        <v>623</v>
      </c>
      <c r="F252" s="1">
        <f t="shared" si="3"/>
        <v>0</v>
      </c>
    </row>
    <row r="253" spans="1:6" s="4" customFormat="1" x14ac:dyDescent="0.25">
      <c r="A253" s="9">
        <v>45543</v>
      </c>
      <c r="B253" s="35" t="s">
        <v>693</v>
      </c>
      <c r="C253" s="35" t="s">
        <v>694</v>
      </c>
      <c r="D253" s="35" t="s">
        <v>674</v>
      </c>
      <c r="E253" s="35" t="s">
        <v>623</v>
      </c>
      <c r="F253" s="1">
        <f t="shared" si="3"/>
        <v>0</v>
      </c>
    </row>
    <row r="254" spans="1:6" s="4" customFormat="1" x14ac:dyDescent="0.25">
      <c r="A254" s="9">
        <v>45544</v>
      </c>
      <c r="B254" s="35" t="s">
        <v>693</v>
      </c>
      <c r="C254" s="35" t="s">
        <v>694</v>
      </c>
      <c r="D254" s="35" t="s">
        <v>674</v>
      </c>
      <c r="E254" s="35" t="s">
        <v>33</v>
      </c>
      <c r="F254" s="1">
        <f t="shared" si="3"/>
        <v>8</v>
      </c>
    </row>
    <row r="255" spans="1:6" s="4" customFormat="1" x14ac:dyDescent="0.25">
      <c r="A255" s="9">
        <v>45545</v>
      </c>
      <c r="B255" s="35" t="s">
        <v>693</v>
      </c>
      <c r="C255" s="35" t="s">
        <v>694</v>
      </c>
      <c r="D255" s="35" t="s">
        <v>674</v>
      </c>
      <c r="E255" s="35" t="s">
        <v>33</v>
      </c>
      <c r="F255" s="1">
        <f t="shared" si="3"/>
        <v>8</v>
      </c>
    </row>
    <row r="256" spans="1:6" s="4" customFormat="1" x14ac:dyDescent="0.25">
      <c r="A256" s="9">
        <v>45546</v>
      </c>
      <c r="B256" s="35" t="s">
        <v>693</v>
      </c>
      <c r="C256" s="35" t="s">
        <v>694</v>
      </c>
      <c r="D256" s="35" t="s">
        <v>674</v>
      </c>
      <c r="E256" s="35" t="s">
        <v>33</v>
      </c>
      <c r="F256" s="1">
        <f t="shared" si="3"/>
        <v>8</v>
      </c>
    </row>
    <row r="257" spans="1:6" s="4" customFormat="1" x14ac:dyDescent="0.25">
      <c r="A257" s="9">
        <v>45547</v>
      </c>
      <c r="B257" s="35" t="s">
        <v>693</v>
      </c>
      <c r="C257" s="35" t="s">
        <v>694</v>
      </c>
      <c r="D257" s="35" t="s">
        <v>674</v>
      </c>
      <c r="E257" s="35" t="s">
        <v>33</v>
      </c>
      <c r="F257" s="1">
        <f t="shared" si="3"/>
        <v>8</v>
      </c>
    </row>
    <row r="258" spans="1:6" s="4" customFormat="1" x14ac:dyDescent="0.25">
      <c r="A258" s="9">
        <v>45548</v>
      </c>
      <c r="B258" s="35" t="s">
        <v>693</v>
      </c>
      <c r="C258" s="35" t="s">
        <v>694</v>
      </c>
      <c r="D258" s="35" t="s">
        <v>674</v>
      </c>
      <c r="E258" s="35" t="s">
        <v>33</v>
      </c>
      <c r="F258" s="1">
        <f t="shared" ref="F258:F321" si="4">IF(OR(E258="",E258="调休"),8,0)</f>
        <v>8</v>
      </c>
    </row>
    <row r="259" spans="1:6" s="4" customFormat="1" x14ac:dyDescent="0.25">
      <c r="A259" s="9">
        <v>45549</v>
      </c>
      <c r="B259" s="35" t="s">
        <v>695</v>
      </c>
      <c r="C259" s="35" t="s">
        <v>696</v>
      </c>
      <c r="D259" s="35" t="s">
        <v>674</v>
      </c>
      <c r="E259" s="35" t="s">
        <v>629</v>
      </c>
      <c r="F259" s="1">
        <f t="shared" si="4"/>
        <v>8</v>
      </c>
    </row>
    <row r="260" spans="1:6" s="4" customFormat="1" x14ac:dyDescent="0.25">
      <c r="A260" s="9">
        <v>45550</v>
      </c>
      <c r="B260" s="35" t="s">
        <v>695</v>
      </c>
      <c r="C260" s="35" t="s">
        <v>696</v>
      </c>
      <c r="D260" s="35" t="s">
        <v>674</v>
      </c>
      <c r="E260" s="35" t="s">
        <v>623</v>
      </c>
      <c r="F260" s="1">
        <f t="shared" si="4"/>
        <v>0</v>
      </c>
    </row>
    <row r="261" spans="1:6" s="4" customFormat="1" x14ac:dyDescent="0.25">
      <c r="A261" s="9">
        <v>45551</v>
      </c>
      <c r="B261" s="35" t="s">
        <v>695</v>
      </c>
      <c r="C261" s="35" t="s">
        <v>696</v>
      </c>
      <c r="D261" s="35" t="s">
        <v>674</v>
      </c>
      <c r="E261" s="35" t="s">
        <v>697</v>
      </c>
      <c r="F261" s="1">
        <f t="shared" si="4"/>
        <v>0</v>
      </c>
    </row>
    <row r="262" spans="1:6" s="4" customFormat="1" x14ac:dyDescent="0.25">
      <c r="A262" s="9">
        <v>45552</v>
      </c>
      <c r="B262" s="35" t="s">
        <v>695</v>
      </c>
      <c r="C262" s="35" t="s">
        <v>696</v>
      </c>
      <c r="D262" s="35" t="s">
        <v>674</v>
      </c>
      <c r="E262" s="35" t="s">
        <v>697</v>
      </c>
      <c r="F262" s="1">
        <f t="shared" si="4"/>
        <v>0</v>
      </c>
    </row>
    <row r="263" spans="1:6" s="4" customFormat="1" x14ac:dyDescent="0.25">
      <c r="A263" s="9">
        <v>45553</v>
      </c>
      <c r="B263" s="35" t="s">
        <v>695</v>
      </c>
      <c r="C263" s="35" t="s">
        <v>696</v>
      </c>
      <c r="D263" s="35" t="s">
        <v>674</v>
      </c>
      <c r="E263" s="35" t="s">
        <v>33</v>
      </c>
      <c r="F263" s="1">
        <f t="shared" si="4"/>
        <v>8</v>
      </c>
    </row>
    <row r="264" spans="1:6" s="4" customFormat="1" x14ac:dyDescent="0.25">
      <c r="A264" s="9">
        <v>45554</v>
      </c>
      <c r="B264" s="35" t="s">
        <v>695</v>
      </c>
      <c r="C264" s="35" t="s">
        <v>696</v>
      </c>
      <c r="D264" s="35" t="s">
        <v>674</v>
      </c>
      <c r="E264" s="35" t="s">
        <v>33</v>
      </c>
      <c r="F264" s="1">
        <f t="shared" si="4"/>
        <v>8</v>
      </c>
    </row>
    <row r="265" spans="1:6" s="4" customFormat="1" x14ac:dyDescent="0.25">
      <c r="A265" s="9">
        <v>45555</v>
      </c>
      <c r="B265" s="35" t="s">
        <v>695</v>
      </c>
      <c r="C265" s="35" t="s">
        <v>696</v>
      </c>
      <c r="D265" s="35" t="s">
        <v>674</v>
      </c>
      <c r="E265" s="35" t="s">
        <v>33</v>
      </c>
      <c r="F265" s="1">
        <f t="shared" si="4"/>
        <v>8</v>
      </c>
    </row>
    <row r="266" spans="1:6" s="4" customFormat="1" x14ac:dyDescent="0.25">
      <c r="A266" s="9">
        <v>45556</v>
      </c>
      <c r="B266" s="35" t="s">
        <v>698</v>
      </c>
      <c r="C266" s="35" t="s">
        <v>699</v>
      </c>
      <c r="D266" s="35" t="s">
        <v>674</v>
      </c>
      <c r="E266" s="35" t="s">
        <v>623</v>
      </c>
      <c r="F266" s="1">
        <f t="shared" si="4"/>
        <v>0</v>
      </c>
    </row>
    <row r="267" spans="1:6" s="4" customFormat="1" x14ac:dyDescent="0.25">
      <c r="A267" s="9">
        <v>45557</v>
      </c>
      <c r="B267" s="35" t="s">
        <v>698</v>
      </c>
      <c r="C267" s="35" t="s">
        <v>699</v>
      </c>
      <c r="D267" s="35" t="s">
        <v>674</v>
      </c>
      <c r="E267" s="35" t="s">
        <v>623</v>
      </c>
      <c r="F267" s="1">
        <f t="shared" si="4"/>
        <v>0</v>
      </c>
    </row>
    <row r="268" spans="1:6" s="4" customFormat="1" x14ac:dyDescent="0.25">
      <c r="A268" s="9">
        <v>45558</v>
      </c>
      <c r="B268" s="35" t="s">
        <v>698</v>
      </c>
      <c r="C268" s="35" t="s">
        <v>699</v>
      </c>
      <c r="D268" s="35" t="s">
        <v>674</v>
      </c>
      <c r="E268" s="35" t="s">
        <v>33</v>
      </c>
      <c r="F268" s="1">
        <f t="shared" si="4"/>
        <v>8</v>
      </c>
    </row>
    <row r="269" spans="1:6" s="4" customFormat="1" x14ac:dyDescent="0.25">
      <c r="A269" s="9">
        <v>45559</v>
      </c>
      <c r="B269" s="35" t="s">
        <v>698</v>
      </c>
      <c r="C269" s="35" t="s">
        <v>699</v>
      </c>
      <c r="D269" s="35" t="s">
        <v>674</v>
      </c>
      <c r="E269" s="35" t="s">
        <v>33</v>
      </c>
      <c r="F269" s="1">
        <f t="shared" si="4"/>
        <v>8</v>
      </c>
    </row>
    <row r="270" spans="1:6" s="4" customFormat="1" x14ac:dyDescent="0.25">
      <c r="A270" s="9">
        <v>45560</v>
      </c>
      <c r="B270" s="35" t="s">
        <v>698</v>
      </c>
      <c r="C270" s="35" t="s">
        <v>699</v>
      </c>
      <c r="D270" s="35" t="s">
        <v>674</v>
      </c>
      <c r="E270" s="35" t="s">
        <v>33</v>
      </c>
      <c r="F270" s="1">
        <f t="shared" si="4"/>
        <v>8</v>
      </c>
    </row>
    <row r="271" spans="1:6" s="4" customFormat="1" x14ac:dyDescent="0.25">
      <c r="A271" s="9">
        <v>45561</v>
      </c>
      <c r="B271" s="35" t="s">
        <v>698</v>
      </c>
      <c r="C271" s="35" t="s">
        <v>699</v>
      </c>
      <c r="D271" s="35" t="s">
        <v>674</v>
      </c>
      <c r="E271" s="35" t="s">
        <v>33</v>
      </c>
      <c r="F271" s="1">
        <f t="shared" si="4"/>
        <v>8</v>
      </c>
    </row>
    <row r="272" spans="1:6" s="4" customFormat="1" x14ac:dyDescent="0.25">
      <c r="A272" s="9">
        <v>45562</v>
      </c>
      <c r="B272" s="35" t="s">
        <v>698</v>
      </c>
      <c r="C272" s="35" t="s">
        <v>699</v>
      </c>
      <c r="D272" s="35" t="s">
        <v>674</v>
      </c>
      <c r="E272" s="35" t="s">
        <v>33</v>
      </c>
      <c r="F272" s="1">
        <f t="shared" si="4"/>
        <v>8</v>
      </c>
    </row>
    <row r="273" spans="1:6" s="4" customFormat="1" x14ac:dyDescent="0.25">
      <c r="A273" s="9">
        <v>45563</v>
      </c>
      <c r="B273" s="35" t="s">
        <v>700</v>
      </c>
      <c r="C273" s="35" t="s">
        <v>701</v>
      </c>
      <c r="D273" s="35" t="s">
        <v>674</v>
      </c>
      <c r="E273" s="35" t="s">
        <v>623</v>
      </c>
      <c r="F273" s="1">
        <f t="shared" si="4"/>
        <v>0</v>
      </c>
    </row>
    <row r="274" spans="1:6" s="4" customFormat="1" x14ac:dyDescent="0.25">
      <c r="A274" s="9">
        <v>45564</v>
      </c>
      <c r="B274" s="35" t="s">
        <v>700</v>
      </c>
      <c r="C274" s="35" t="s">
        <v>701</v>
      </c>
      <c r="D274" s="35" t="s">
        <v>674</v>
      </c>
      <c r="E274" s="35" t="s">
        <v>629</v>
      </c>
      <c r="F274" s="1">
        <f t="shared" si="4"/>
        <v>8</v>
      </c>
    </row>
    <row r="275" spans="1:6" s="4" customFormat="1" x14ac:dyDescent="0.25">
      <c r="A275" s="9">
        <v>45565</v>
      </c>
      <c r="B275" s="35" t="s">
        <v>700</v>
      </c>
      <c r="C275" s="35" t="s">
        <v>701</v>
      </c>
      <c r="D275" s="35" t="s">
        <v>674</v>
      </c>
      <c r="E275" s="35" t="s">
        <v>33</v>
      </c>
      <c r="F275" s="1">
        <f t="shared" si="4"/>
        <v>8</v>
      </c>
    </row>
    <row r="276" spans="1:6" s="4" customFormat="1" x14ac:dyDescent="0.25">
      <c r="A276" s="9">
        <v>45566</v>
      </c>
      <c r="B276" s="35" t="s">
        <v>700</v>
      </c>
      <c r="C276" s="35" t="s">
        <v>701</v>
      </c>
      <c r="D276" s="35" t="s">
        <v>674</v>
      </c>
      <c r="E276" s="35" t="s">
        <v>702</v>
      </c>
      <c r="F276" s="1">
        <f t="shared" si="4"/>
        <v>0</v>
      </c>
    </row>
    <row r="277" spans="1:6" s="4" customFormat="1" x14ac:dyDescent="0.25">
      <c r="A277" s="9">
        <v>45567</v>
      </c>
      <c r="B277" s="35" t="s">
        <v>700</v>
      </c>
      <c r="C277" s="35" t="s">
        <v>701</v>
      </c>
      <c r="D277" s="35" t="s">
        <v>674</v>
      </c>
      <c r="E277" s="35" t="s">
        <v>702</v>
      </c>
      <c r="F277" s="1">
        <f t="shared" si="4"/>
        <v>0</v>
      </c>
    </row>
    <row r="278" spans="1:6" s="4" customFormat="1" x14ac:dyDescent="0.25">
      <c r="A278" s="9">
        <v>45568</v>
      </c>
      <c r="B278" s="35" t="s">
        <v>700</v>
      </c>
      <c r="C278" s="35" t="s">
        <v>701</v>
      </c>
      <c r="D278" s="35" t="s">
        <v>674</v>
      </c>
      <c r="E278" s="35" t="s">
        <v>702</v>
      </c>
      <c r="F278" s="1">
        <f t="shared" si="4"/>
        <v>0</v>
      </c>
    </row>
    <row r="279" spans="1:6" s="4" customFormat="1" x14ac:dyDescent="0.25">
      <c r="A279" s="9">
        <v>45569</v>
      </c>
      <c r="B279" s="35" t="s">
        <v>700</v>
      </c>
      <c r="C279" s="35" t="s">
        <v>701</v>
      </c>
      <c r="D279" s="35" t="s">
        <v>674</v>
      </c>
      <c r="E279" s="35" t="s">
        <v>702</v>
      </c>
      <c r="F279" s="1">
        <f t="shared" si="4"/>
        <v>0</v>
      </c>
    </row>
    <row r="280" spans="1:6" s="4" customFormat="1" x14ac:dyDescent="0.25">
      <c r="A280" s="9">
        <v>45570</v>
      </c>
      <c r="B280" s="35" t="s">
        <v>703</v>
      </c>
      <c r="C280" s="35" t="s">
        <v>704</v>
      </c>
      <c r="D280" s="35" t="s">
        <v>674</v>
      </c>
      <c r="E280" s="35" t="s">
        <v>623</v>
      </c>
      <c r="F280" s="1">
        <f t="shared" si="4"/>
        <v>0</v>
      </c>
    </row>
    <row r="281" spans="1:6" s="4" customFormat="1" x14ac:dyDescent="0.25">
      <c r="A281" s="9">
        <v>45571</v>
      </c>
      <c r="B281" s="35" t="s">
        <v>703</v>
      </c>
      <c r="C281" s="35" t="s">
        <v>704</v>
      </c>
      <c r="D281" s="35" t="s">
        <v>674</v>
      </c>
      <c r="E281" s="35" t="s">
        <v>623</v>
      </c>
      <c r="F281" s="1">
        <f t="shared" si="4"/>
        <v>0</v>
      </c>
    </row>
    <row r="282" spans="1:6" s="4" customFormat="1" x14ac:dyDescent="0.25">
      <c r="A282" s="9">
        <v>45572</v>
      </c>
      <c r="B282" s="35" t="s">
        <v>703</v>
      </c>
      <c r="C282" s="35" t="s">
        <v>704</v>
      </c>
      <c r="D282" s="35" t="s">
        <v>674</v>
      </c>
      <c r="E282" s="35" t="s">
        <v>702</v>
      </c>
      <c r="F282" s="1">
        <f t="shared" si="4"/>
        <v>0</v>
      </c>
    </row>
    <row r="283" spans="1:6" s="4" customFormat="1" x14ac:dyDescent="0.25">
      <c r="A283" s="9">
        <v>45573</v>
      </c>
      <c r="B283" s="35" t="s">
        <v>703</v>
      </c>
      <c r="C283" s="35" t="s">
        <v>704</v>
      </c>
      <c r="D283" s="35" t="s">
        <v>674</v>
      </c>
      <c r="E283" s="35" t="s">
        <v>33</v>
      </c>
      <c r="F283" s="1">
        <f t="shared" si="4"/>
        <v>8</v>
      </c>
    </row>
    <row r="284" spans="1:6" s="4" customFormat="1" x14ac:dyDescent="0.25">
      <c r="A284" s="9">
        <v>45574</v>
      </c>
      <c r="B284" s="35" t="s">
        <v>703</v>
      </c>
      <c r="C284" s="35" t="s">
        <v>704</v>
      </c>
      <c r="D284" s="35" t="s">
        <v>674</v>
      </c>
      <c r="E284" s="35" t="s">
        <v>33</v>
      </c>
      <c r="F284" s="1">
        <f t="shared" si="4"/>
        <v>8</v>
      </c>
    </row>
    <row r="285" spans="1:6" s="4" customFormat="1" x14ac:dyDescent="0.25">
      <c r="A285" s="9">
        <v>45575</v>
      </c>
      <c r="B285" s="35" t="s">
        <v>703</v>
      </c>
      <c r="C285" s="35" t="s">
        <v>704</v>
      </c>
      <c r="D285" s="35" t="s">
        <v>674</v>
      </c>
      <c r="E285" s="35" t="s">
        <v>33</v>
      </c>
      <c r="F285" s="1">
        <f t="shared" si="4"/>
        <v>8</v>
      </c>
    </row>
    <row r="286" spans="1:6" s="4" customFormat="1" x14ac:dyDescent="0.25">
      <c r="A286" s="9">
        <v>45576</v>
      </c>
      <c r="B286" s="35" t="s">
        <v>703</v>
      </c>
      <c r="C286" s="35" t="s">
        <v>704</v>
      </c>
      <c r="D286" s="35" t="s">
        <v>674</v>
      </c>
      <c r="E286" s="35" t="s">
        <v>33</v>
      </c>
      <c r="F286" s="1">
        <f t="shared" si="4"/>
        <v>8</v>
      </c>
    </row>
    <row r="287" spans="1:6" s="4" customFormat="1" x14ac:dyDescent="0.25">
      <c r="A287" s="9">
        <v>45577</v>
      </c>
      <c r="B287" s="35" t="s">
        <v>705</v>
      </c>
      <c r="C287" s="35" t="s">
        <v>706</v>
      </c>
      <c r="D287" s="35" t="s">
        <v>674</v>
      </c>
      <c r="E287" s="35" t="s">
        <v>629</v>
      </c>
      <c r="F287" s="1">
        <f t="shared" si="4"/>
        <v>8</v>
      </c>
    </row>
    <row r="288" spans="1:6" s="4" customFormat="1" x14ac:dyDescent="0.25">
      <c r="A288" s="9">
        <v>45578</v>
      </c>
      <c r="B288" s="35" t="s">
        <v>705</v>
      </c>
      <c r="C288" s="35" t="s">
        <v>706</v>
      </c>
      <c r="D288" s="35" t="s">
        <v>674</v>
      </c>
      <c r="E288" s="35" t="s">
        <v>623</v>
      </c>
      <c r="F288" s="1">
        <f t="shared" si="4"/>
        <v>0</v>
      </c>
    </row>
    <row r="289" spans="1:6" s="4" customFormat="1" x14ac:dyDescent="0.25">
      <c r="A289" s="9">
        <v>45579</v>
      </c>
      <c r="B289" s="35" t="s">
        <v>705</v>
      </c>
      <c r="C289" s="35" t="s">
        <v>706</v>
      </c>
      <c r="D289" s="35" t="s">
        <v>674</v>
      </c>
      <c r="E289" s="35" t="s">
        <v>33</v>
      </c>
      <c r="F289" s="1">
        <f t="shared" si="4"/>
        <v>8</v>
      </c>
    </row>
    <row r="290" spans="1:6" s="4" customFormat="1" x14ac:dyDescent="0.25">
      <c r="A290" s="9">
        <v>45580</v>
      </c>
      <c r="B290" s="35" t="s">
        <v>705</v>
      </c>
      <c r="C290" s="35" t="s">
        <v>706</v>
      </c>
      <c r="D290" s="35" t="s">
        <v>674</v>
      </c>
      <c r="E290" s="35" t="s">
        <v>33</v>
      </c>
      <c r="F290" s="1">
        <f t="shared" si="4"/>
        <v>8</v>
      </c>
    </row>
    <row r="291" spans="1:6" s="4" customFormat="1" x14ac:dyDescent="0.25">
      <c r="A291" s="9">
        <v>45581</v>
      </c>
      <c r="B291" s="35" t="s">
        <v>705</v>
      </c>
      <c r="C291" s="35" t="s">
        <v>706</v>
      </c>
      <c r="D291" s="35" t="s">
        <v>674</v>
      </c>
      <c r="E291" s="35" t="s">
        <v>33</v>
      </c>
      <c r="F291" s="1">
        <f t="shared" si="4"/>
        <v>8</v>
      </c>
    </row>
    <row r="292" spans="1:6" s="4" customFormat="1" x14ac:dyDescent="0.25">
      <c r="A292" s="9">
        <v>45582</v>
      </c>
      <c r="B292" s="35" t="s">
        <v>705</v>
      </c>
      <c r="C292" s="35" t="s">
        <v>706</v>
      </c>
      <c r="D292" s="35" t="s">
        <v>674</v>
      </c>
      <c r="E292" s="35" t="s">
        <v>33</v>
      </c>
      <c r="F292" s="1">
        <f t="shared" si="4"/>
        <v>8</v>
      </c>
    </row>
    <row r="293" spans="1:6" s="4" customFormat="1" x14ac:dyDescent="0.25">
      <c r="A293" s="9">
        <v>45583</v>
      </c>
      <c r="B293" s="35" t="s">
        <v>705</v>
      </c>
      <c r="C293" s="35" t="s">
        <v>706</v>
      </c>
      <c r="D293" s="35" t="s">
        <v>674</v>
      </c>
      <c r="E293" s="35" t="s">
        <v>33</v>
      </c>
      <c r="F293" s="1">
        <f t="shared" si="4"/>
        <v>8</v>
      </c>
    </row>
    <row r="294" spans="1:6" s="4" customFormat="1" x14ac:dyDescent="0.25">
      <c r="A294" s="9">
        <v>45584</v>
      </c>
      <c r="B294" s="35" t="s">
        <v>707</v>
      </c>
      <c r="C294" s="35" t="s">
        <v>708</v>
      </c>
      <c r="D294" s="35" t="s">
        <v>674</v>
      </c>
      <c r="E294" s="35" t="s">
        <v>623</v>
      </c>
      <c r="F294" s="1">
        <f t="shared" si="4"/>
        <v>0</v>
      </c>
    </row>
    <row r="295" spans="1:6" s="4" customFormat="1" x14ac:dyDescent="0.25">
      <c r="A295" s="9">
        <v>45585</v>
      </c>
      <c r="B295" s="35" t="s">
        <v>707</v>
      </c>
      <c r="C295" s="35" t="s">
        <v>708</v>
      </c>
      <c r="D295" s="35" t="s">
        <v>674</v>
      </c>
      <c r="E295" s="35" t="s">
        <v>623</v>
      </c>
      <c r="F295" s="1">
        <f t="shared" si="4"/>
        <v>0</v>
      </c>
    </row>
    <row r="296" spans="1:6" s="4" customFormat="1" x14ac:dyDescent="0.25">
      <c r="A296" s="9">
        <v>45586</v>
      </c>
      <c r="B296" s="35" t="s">
        <v>707</v>
      </c>
      <c r="C296" s="35" t="s">
        <v>708</v>
      </c>
      <c r="D296" s="35" t="s">
        <v>674</v>
      </c>
      <c r="E296" s="35" t="s">
        <v>33</v>
      </c>
      <c r="F296" s="1">
        <f t="shared" si="4"/>
        <v>8</v>
      </c>
    </row>
    <row r="297" spans="1:6" s="4" customFormat="1" x14ac:dyDescent="0.25">
      <c r="A297" s="9">
        <v>45587</v>
      </c>
      <c r="B297" s="35" t="s">
        <v>707</v>
      </c>
      <c r="C297" s="35" t="s">
        <v>708</v>
      </c>
      <c r="D297" s="35" t="s">
        <v>674</v>
      </c>
      <c r="E297" s="35" t="s">
        <v>33</v>
      </c>
      <c r="F297" s="1">
        <f t="shared" si="4"/>
        <v>8</v>
      </c>
    </row>
    <row r="298" spans="1:6" s="4" customFormat="1" x14ac:dyDescent="0.25">
      <c r="A298" s="9">
        <v>45588</v>
      </c>
      <c r="B298" s="35" t="s">
        <v>707</v>
      </c>
      <c r="C298" s="35" t="s">
        <v>708</v>
      </c>
      <c r="D298" s="35" t="s">
        <v>674</v>
      </c>
      <c r="E298" s="35" t="s">
        <v>33</v>
      </c>
      <c r="F298" s="1">
        <f t="shared" si="4"/>
        <v>8</v>
      </c>
    </row>
    <row r="299" spans="1:6" s="4" customFormat="1" x14ac:dyDescent="0.25">
      <c r="A299" s="9">
        <v>45589</v>
      </c>
      <c r="B299" s="35" t="s">
        <v>707</v>
      </c>
      <c r="C299" s="35" t="s">
        <v>708</v>
      </c>
      <c r="D299" s="35" t="s">
        <v>674</v>
      </c>
      <c r="E299" s="35" t="s">
        <v>33</v>
      </c>
      <c r="F299" s="1">
        <f t="shared" si="4"/>
        <v>8</v>
      </c>
    </row>
    <row r="300" spans="1:6" s="4" customFormat="1" x14ac:dyDescent="0.25">
      <c r="A300" s="9">
        <v>45590</v>
      </c>
      <c r="B300" s="35" t="s">
        <v>707</v>
      </c>
      <c r="C300" s="35" t="s">
        <v>708</v>
      </c>
      <c r="D300" s="35" t="s">
        <v>674</v>
      </c>
      <c r="E300" s="35" t="s">
        <v>33</v>
      </c>
      <c r="F300" s="1">
        <f t="shared" si="4"/>
        <v>8</v>
      </c>
    </row>
    <row r="301" spans="1:6" s="4" customFormat="1" x14ac:dyDescent="0.25">
      <c r="A301" s="9">
        <v>45591</v>
      </c>
      <c r="B301" s="35" t="s">
        <v>709</v>
      </c>
      <c r="C301" s="35" t="s">
        <v>710</v>
      </c>
      <c r="D301" s="35" t="s">
        <v>674</v>
      </c>
      <c r="E301" s="35" t="s">
        <v>623</v>
      </c>
      <c r="F301" s="1">
        <f t="shared" si="4"/>
        <v>0</v>
      </c>
    </row>
    <row r="302" spans="1:6" s="4" customFormat="1" x14ac:dyDescent="0.25">
      <c r="A302" s="9">
        <v>45592</v>
      </c>
      <c r="B302" s="35" t="s">
        <v>709</v>
      </c>
      <c r="C302" s="35" t="s">
        <v>710</v>
      </c>
      <c r="D302" s="35" t="s">
        <v>674</v>
      </c>
      <c r="E302" s="35" t="s">
        <v>623</v>
      </c>
      <c r="F302" s="1">
        <f t="shared" si="4"/>
        <v>0</v>
      </c>
    </row>
    <row r="303" spans="1:6" s="4" customFormat="1" x14ac:dyDescent="0.25">
      <c r="A303" s="9">
        <v>45593</v>
      </c>
      <c r="B303" s="35" t="s">
        <v>709</v>
      </c>
      <c r="C303" s="35" t="s">
        <v>710</v>
      </c>
      <c r="D303" s="35" t="s">
        <v>674</v>
      </c>
      <c r="E303" s="35" t="s">
        <v>33</v>
      </c>
      <c r="F303" s="1">
        <f t="shared" si="4"/>
        <v>8</v>
      </c>
    </row>
    <row r="304" spans="1:6" s="4" customFormat="1" x14ac:dyDescent="0.25">
      <c r="A304" s="9">
        <v>45594</v>
      </c>
      <c r="B304" s="35" t="s">
        <v>709</v>
      </c>
      <c r="C304" s="35" t="s">
        <v>710</v>
      </c>
      <c r="D304" s="35" t="s">
        <v>674</v>
      </c>
      <c r="E304" s="35" t="s">
        <v>33</v>
      </c>
      <c r="F304" s="1">
        <f t="shared" si="4"/>
        <v>8</v>
      </c>
    </row>
    <row r="305" spans="1:6" s="4" customFormat="1" x14ac:dyDescent="0.25">
      <c r="A305" s="9">
        <v>45595</v>
      </c>
      <c r="B305" s="35" t="s">
        <v>709</v>
      </c>
      <c r="C305" s="35" t="s">
        <v>710</v>
      </c>
      <c r="D305" s="35" t="s">
        <v>674</v>
      </c>
      <c r="E305" s="35" t="s">
        <v>33</v>
      </c>
      <c r="F305" s="1">
        <f t="shared" si="4"/>
        <v>8</v>
      </c>
    </row>
    <row r="306" spans="1:6" s="4" customFormat="1" x14ac:dyDescent="0.25">
      <c r="A306" s="9">
        <v>45596</v>
      </c>
      <c r="B306" s="35" t="s">
        <v>709</v>
      </c>
      <c r="C306" s="35" t="s">
        <v>710</v>
      </c>
      <c r="D306" s="35" t="s">
        <v>674</v>
      </c>
      <c r="E306" s="35" t="s">
        <v>33</v>
      </c>
      <c r="F306" s="1">
        <f t="shared" si="4"/>
        <v>8</v>
      </c>
    </row>
    <row r="307" spans="1:6" s="4" customFormat="1" x14ac:dyDescent="0.25">
      <c r="A307" s="9">
        <v>45597</v>
      </c>
      <c r="B307" s="35" t="s">
        <v>709</v>
      </c>
      <c r="C307" s="35" t="s">
        <v>710</v>
      </c>
      <c r="D307" s="35" t="s">
        <v>674</v>
      </c>
      <c r="E307" s="35" t="s">
        <v>33</v>
      </c>
      <c r="F307" s="1">
        <f t="shared" si="4"/>
        <v>8</v>
      </c>
    </row>
    <row r="308" spans="1:6" s="4" customFormat="1" x14ac:dyDescent="0.25">
      <c r="A308" s="9">
        <v>45598</v>
      </c>
      <c r="B308" s="35" t="s">
        <v>711</v>
      </c>
      <c r="C308" s="35" t="s">
        <v>712</v>
      </c>
      <c r="D308" s="35" t="s">
        <v>674</v>
      </c>
      <c r="E308" s="35" t="s">
        <v>623</v>
      </c>
      <c r="F308" s="1">
        <f t="shared" si="4"/>
        <v>0</v>
      </c>
    </row>
    <row r="309" spans="1:6" s="4" customFormat="1" x14ac:dyDescent="0.25">
      <c r="A309" s="9">
        <v>45599</v>
      </c>
      <c r="B309" s="35" t="s">
        <v>711</v>
      </c>
      <c r="C309" s="35" t="s">
        <v>712</v>
      </c>
      <c r="D309" s="35" t="s">
        <v>674</v>
      </c>
      <c r="E309" s="35" t="s">
        <v>623</v>
      </c>
      <c r="F309" s="1">
        <f t="shared" si="4"/>
        <v>0</v>
      </c>
    </row>
    <row r="310" spans="1:6" s="4" customFormat="1" x14ac:dyDescent="0.25">
      <c r="A310" s="9">
        <v>45600</v>
      </c>
      <c r="B310" s="35" t="s">
        <v>711</v>
      </c>
      <c r="C310" s="35" t="s">
        <v>712</v>
      </c>
      <c r="D310" s="35" t="s">
        <v>674</v>
      </c>
      <c r="E310" s="35" t="s">
        <v>33</v>
      </c>
      <c r="F310" s="1">
        <f t="shared" si="4"/>
        <v>8</v>
      </c>
    </row>
    <row r="311" spans="1:6" s="4" customFormat="1" x14ac:dyDescent="0.25">
      <c r="A311" s="9">
        <v>45601</v>
      </c>
      <c r="B311" s="35" t="s">
        <v>711</v>
      </c>
      <c r="C311" s="35" t="s">
        <v>712</v>
      </c>
      <c r="D311" s="35" t="s">
        <v>674</v>
      </c>
      <c r="E311" s="35" t="s">
        <v>33</v>
      </c>
      <c r="F311" s="1">
        <f t="shared" si="4"/>
        <v>8</v>
      </c>
    </row>
    <row r="312" spans="1:6" s="4" customFormat="1" x14ac:dyDescent="0.25">
      <c r="A312" s="9">
        <v>45602</v>
      </c>
      <c r="B312" s="35" t="s">
        <v>711</v>
      </c>
      <c r="C312" s="35" t="s">
        <v>712</v>
      </c>
      <c r="D312" s="35" t="s">
        <v>674</v>
      </c>
      <c r="E312" s="35" t="s">
        <v>33</v>
      </c>
      <c r="F312" s="1">
        <f t="shared" si="4"/>
        <v>8</v>
      </c>
    </row>
    <row r="313" spans="1:6" s="4" customFormat="1" x14ac:dyDescent="0.25">
      <c r="A313" s="9">
        <v>45603</v>
      </c>
      <c r="B313" s="35" t="s">
        <v>711</v>
      </c>
      <c r="C313" s="35" t="s">
        <v>712</v>
      </c>
      <c r="D313" s="35" t="s">
        <v>674</v>
      </c>
      <c r="E313" s="35" t="s">
        <v>33</v>
      </c>
      <c r="F313" s="1">
        <f t="shared" si="4"/>
        <v>8</v>
      </c>
    </row>
    <row r="314" spans="1:6" s="4" customFormat="1" x14ac:dyDescent="0.25">
      <c r="A314" s="9">
        <v>45604</v>
      </c>
      <c r="B314" s="35" t="s">
        <v>711</v>
      </c>
      <c r="C314" s="35" t="s">
        <v>712</v>
      </c>
      <c r="D314" s="35" t="s">
        <v>674</v>
      </c>
      <c r="E314" s="35" t="s">
        <v>33</v>
      </c>
      <c r="F314" s="1">
        <f t="shared" si="4"/>
        <v>8</v>
      </c>
    </row>
    <row r="315" spans="1:6" s="4" customFormat="1" x14ac:dyDescent="0.25">
      <c r="A315" s="9">
        <v>45605</v>
      </c>
      <c r="B315" s="35" t="s">
        <v>713</v>
      </c>
      <c r="C315" s="35" t="s">
        <v>714</v>
      </c>
      <c r="D315" s="35" t="s">
        <v>674</v>
      </c>
      <c r="E315" s="35" t="s">
        <v>623</v>
      </c>
      <c r="F315" s="1">
        <f t="shared" si="4"/>
        <v>0</v>
      </c>
    </row>
    <row r="316" spans="1:6" s="4" customFormat="1" x14ac:dyDescent="0.25">
      <c r="A316" s="9">
        <v>45606</v>
      </c>
      <c r="B316" s="35" t="s">
        <v>713</v>
      </c>
      <c r="C316" s="35" t="s">
        <v>714</v>
      </c>
      <c r="D316" s="35" t="s">
        <v>674</v>
      </c>
      <c r="E316" s="35" t="s">
        <v>623</v>
      </c>
      <c r="F316" s="1">
        <f t="shared" si="4"/>
        <v>0</v>
      </c>
    </row>
    <row r="317" spans="1:6" s="4" customFormat="1" x14ac:dyDescent="0.25">
      <c r="A317" s="9">
        <v>45607</v>
      </c>
      <c r="B317" s="35" t="s">
        <v>713</v>
      </c>
      <c r="C317" s="35" t="s">
        <v>714</v>
      </c>
      <c r="D317" s="35" t="s">
        <v>674</v>
      </c>
      <c r="E317" s="35" t="s">
        <v>33</v>
      </c>
      <c r="F317" s="1">
        <f t="shared" si="4"/>
        <v>8</v>
      </c>
    </row>
    <row r="318" spans="1:6" s="4" customFormat="1" x14ac:dyDescent="0.25">
      <c r="A318" s="9">
        <v>45608</v>
      </c>
      <c r="B318" s="35" t="s">
        <v>713</v>
      </c>
      <c r="C318" s="35" t="s">
        <v>714</v>
      </c>
      <c r="D318" s="35" t="s">
        <v>674</v>
      </c>
      <c r="E318" s="35" t="s">
        <v>33</v>
      </c>
      <c r="F318" s="1">
        <f t="shared" si="4"/>
        <v>8</v>
      </c>
    </row>
    <row r="319" spans="1:6" s="4" customFormat="1" x14ac:dyDescent="0.25">
      <c r="A319" s="9">
        <v>45609</v>
      </c>
      <c r="B319" s="35" t="s">
        <v>713</v>
      </c>
      <c r="C319" s="35" t="s">
        <v>714</v>
      </c>
      <c r="D319" s="35" t="s">
        <v>674</v>
      </c>
      <c r="E319" s="35" t="s">
        <v>33</v>
      </c>
      <c r="F319" s="1">
        <f t="shared" si="4"/>
        <v>8</v>
      </c>
    </row>
    <row r="320" spans="1:6" s="4" customFormat="1" x14ac:dyDescent="0.25">
      <c r="A320" s="9">
        <v>45610</v>
      </c>
      <c r="B320" s="35" t="s">
        <v>713</v>
      </c>
      <c r="C320" s="35" t="s">
        <v>714</v>
      </c>
      <c r="D320" s="35" t="s">
        <v>674</v>
      </c>
      <c r="E320" s="35" t="s">
        <v>33</v>
      </c>
      <c r="F320" s="1">
        <f t="shared" si="4"/>
        <v>8</v>
      </c>
    </row>
    <row r="321" spans="1:6" s="4" customFormat="1" x14ac:dyDescent="0.25">
      <c r="A321" s="9">
        <v>45611</v>
      </c>
      <c r="B321" s="35" t="s">
        <v>713</v>
      </c>
      <c r="C321" s="35" t="s">
        <v>714</v>
      </c>
      <c r="D321" s="35" t="s">
        <v>674</v>
      </c>
      <c r="E321" s="35" t="s">
        <v>33</v>
      </c>
      <c r="F321" s="1">
        <f t="shared" si="4"/>
        <v>8</v>
      </c>
    </row>
    <row r="322" spans="1:6" s="4" customFormat="1" x14ac:dyDescent="0.25">
      <c r="A322" s="9">
        <v>45612</v>
      </c>
      <c r="B322" s="35" t="s">
        <v>715</v>
      </c>
      <c r="C322" s="35" t="s">
        <v>716</v>
      </c>
      <c r="D322" s="35" t="s">
        <v>674</v>
      </c>
      <c r="E322" s="35" t="s">
        <v>623</v>
      </c>
      <c r="F322" s="1">
        <f t="shared" ref="F322:F385" si="5">IF(OR(E322="",E322="调休"),8,0)</f>
        <v>0</v>
      </c>
    </row>
    <row r="323" spans="1:6" s="4" customFormat="1" x14ac:dyDescent="0.25">
      <c r="A323" s="9">
        <v>45613</v>
      </c>
      <c r="B323" s="35" t="s">
        <v>715</v>
      </c>
      <c r="C323" s="35" t="s">
        <v>716</v>
      </c>
      <c r="D323" s="35" t="s">
        <v>674</v>
      </c>
      <c r="E323" s="35" t="s">
        <v>623</v>
      </c>
      <c r="F323" s="1">
        <f t="shared" si="5"/>
        <v>0</v>
      </c>
    </row>
    <row r="324" spans="1:6" s="4" customFormat="1" x14ac:dyDescent="0.25">
      <c r="A324" s="9">
        <v>45614</v>
      </c>
      <c r="B324" s="35" t="s">
        <v>715</v>
      </c>
      <c r="C324" s="35" t="s">
        <v>716</v>
      </c>
      <c r="D324" s="35" t="s">
        <v>674</v>
      </c>
      <c r="E324" s="35" t="s">
        <v>33</v>
      </c>
      <c r="F324" s="1">
        <f t="shared" si="5"/>
        <v>8</v>
      </c>
    </row>
    <row r="325" spans="1:6" s="4" customFormat="1" x14ac:dyDescent="0.25">
      <c r="A325" s="9">
        <v>45615</v>
      </c>
      <c r="B325" s="35" t="s">
        <v>715</v>
      </c>
      <c r="C325" s="35" t="s">
        <v>716</v>
      </c>
      <c r="D325" s="35" t="s">
        <v>674</v>
      </c>
      <c r="E325" s="35" t="s">
        <v>33</v>
      </c>
      <c r="F325" s="1">
        <f t="shared" si="5"/>
        <v>8</v>
      </c>
    </row>
    <row r="326" spans="1:6" s="4" customFormat="1" x14ac:dyDescent="0.25">
      <c r="A326" s="9">
        <v>45616</v>
      </c>
      <c r="B326" s="35" t="s">
        <v>715</v>
      </c>
      <c r="C326" s="35" t="s">
        <v>716</v>
      </c>
      <c r="D326" s="35" t="s">
        <v>674</v>
      </c>
      <c r="E326" s="35" t="s">
        <v>33</v>
      </c>
      <c r="F326" s="1">
        <f t="shared" si="5"/>
        <v>8</v>
      </c>
    </row>
    <row r="327" spans="1:6" s="4" customFormat="1" x14ac:dyDescent="0.25">
      <c r="A327" s="9">
        <v>45617</v>
      </c>
      <c r="B327" s="35" t="s">
        <v>715</v>
      </c>
      <c r="C327" s="35" t="s">
        <v>716</v>
      </c>
      <c r="D327" s="35" t="s">
        <v>674</v>
      </c>
      <c r="E327" s="35" t="s">
        <v>33</v>
      </c>
      <c r="F327" s="1">
        <f t="shared" si="5"/>
        <v>8</v>
      </c>
    </row>
    <row r="328" spans="1:6" s="4" customFormat="1" x14ac:dyDescent="0.25">
      <c r="A328" s="9">
        <v>45618</v>
      </c>
      <c r="B328" s="35" t="s">
        <v>715</v>
      </c>
      <c r="C328" s="35" t="s">
        <v>716</v>
      </c>
      <c r="D328" s="35" t="s">
        <v>674</v>
      </c>
      <c r="E328" s="35" t="s">
        <v>33</v>
      </c>
      <c r="F328" s="1">
        <f t="shared" si="5"/>
        <v>8</v>
      </c>
    </row>
    <row r="329" spans="1:6" s="4" customFormat="1" x14ac:dyDescent="0.25">
      <c r="A329" s="9">
        <v>45619</v>
      </c>
      <c r="B329" s="35" t="s">
        <v>717</v>
      </c>
      <c r="C329" s="35" t="s">
        <v>718</v>
      </c>
      <c r="D329" s="35" t="s">
        <v>674</v>
      </c>
      <c r="E329" s="35" t="s">
        <v>623</v>
      </c>
      <c r="F329" s="1">
        <f t="shared" si="5"/>
        <v>0</v>
      </c>
    </row>
    <row r="330" spans="1:6" s="4" customFormat="1" x14ac:dyDescent="0.25">
      <c r="A330" s="9">
        <v>45620</v>
      </c>
      <c r="B330" s="35" t="s">
        <v>717</v>
      </c>
      <c r="C330" s="35" t="s">
        <v>718</v>
      </c>
      <c r="D330" s="35" t="s">
        <v>674</v>
      </c>
      <c r="E330" s="35" t="s">
        <v>623</v>
      </c>
      <c r="F330" s="1">
        <f t="shared" si="5"/>
        <v>0</v>
      </c>
    </row>
    <row r="331" spans="1:6" s="4" customFormat="1" x14ac:dyDescent="0.25">
      <c r="A331" s="9">
        <v>45621</v>
      </c>
      <c r="B331" s="35" t="s">
        <v>717</v>
      </c>
      <c r="C331" s="35" t="s">
        <v>718</v>
      </c>
      <c r="D331" s="35" t="s">
        <v>674</v>
      </c>
      <c r="E331" s="35" t="s">
        <v>33</v>
      </c>
      <c r="F331" s="1">
        <f t="shared" si="5"/>
        <v>8</v>
      </c>
    </row>
    <row r="332" spans="1:6" s="4" customFormat="1" x14ac:dyDescent="0.25">
      <c r="A332" s="9">
        <v>45622</v>
      </c>
      <c r="B332" s="35" t="s">
        <v>717</v>
      </c>
      <c r="C332" s="35" t="s">
        <v>718</v>
      </c>
      <c r="D332" s="35" t="s">
        <v>674</v>
      </c>
      <c r="E332" s="35" t="s">
        <v>33</v>
      </c>
      <c r="F332" s="1">
        <f t="shared" si="5"/>
        <v>8</v>
      </c>
    </row>
    <row r="333" spans="1:6" s="4" customFormat="1" x14ac:dyDescent="0.25">
      <c r="A333" s="9">
        <v>45623</v>
      </c>
      <c r="B333" s="35" t="s">
        <v>717</v>
      </c>
      <c r="C333" s="35" t="s">
        <v>718</v>
      </c>
      <c r="D333" s="35" t="s">
        <v>674</v>
      </c>
      <c r="E333" s="35" t="s">
        <v>33</v>
      </c>
      <c r="F333" s="1">
        <f t="shared" si="5"/>
        <v>8</v>
      </c>
    </row>
    <row r="334" spans="1:6" s="4" customFormat="1" x14ac:dyDescent="0.25">
      <c r="A334" s="9">
        <v>45624</v>
      </c>
      <c r="B334" s="35" t="s">
        <v>717</v>
      </c>
      <c r="C334" s="35" t="s">
        <v>718</v>
      </c>
      <c r="D334" s="35" t="s">
        <v>674</v>
      </c>
      <c r="E334" s="35" t="s">
        <v>33</v>
      </c>
      <c r="F334" s="1">
        <f t="shared" si="5"/>
        <v>8</v>
      </c>
    </row>
    <row r="335" spans="1:6" s="4" customFormat="1" x14ac:dyDescent="0.25">
      <c r="A335" s="9">
        <v>45625</v>
      </c>
      <c r="B335" s="35" t="s">
        <v>717</v>
      </c>
      <c r="C335" s="35" t="s">
        <v>718</v>
      </c>
      <c r="D335" s="35" t="s">
        <v>674</v>
      </c>
      <c r="E335" s="35" t="s">
        <v>33</v>
      </c>
      <c r="F335" s="1">
        <f t="shared" si="5"/>
        <v>8</v>
      </c>
    </row>
    <row r="336" spans="1:6" s="4" customFormat="1" x14ac:dyDescent="0.25">
      <c r="A336" s="9">
        <v>45626</v>
      </c>
      <c r="B336" s="35" t="s">
        <v>719</v>
      </c>
      <c r="C336" s="35" t="s">
        <v>720</v>
      </c>
      <c r="D336" s="35" t="s">
        <v>674</v>
      </c>
      <c r="E336" s="35" t="s">
        <v>623</v>
      </c>
      <c r="F336" s="1">
        <f t="shared" si="5"/>
        <v>0</v>
      </c>
    </row>
    <row r="337" spans="1:6" s="4" customFormat="1" x14ac:dyDescent="0.25">
      <c r="A337" s="9">
        <v>45627</v>
      </c>
      <c r="B337" s="35" t="s">
        <v>719</v>
      </c>
      <c r="C337" s="35" t="s">
        <v>720</v>
      </c>
      <c r="D337" s="35" t="s">
        <v>674</v>
      </c>
      <c r="E337" s="35" t="s">
        <v>623</v>
      </c>
      <c r="F337" s="1">
        <f t="shared" si="5"/>
        <v>0</v>
      </c>
    </row>
    <row r="338" spans="1:6" s="4" customFormat="1" x14ac:dyDescent="0.25">
      <c r="A338" s="9">
        <v>45628</v>
      </c>
      <c r="B338" s="35" t="s">
        <v>719</v>
      </c>
      <c r="C338" s="35" t="s">
        <v>720</v>
      </c>
      <c r="D338" s="35" t="s">
        <v>674</v>
      </c>
      <c r="E338" s="35" t="s">
        <v>33</v>
      </c>
      <c r="F338" s="1">
        <f t="shared" si="5"/>
        <v>8</v>
      </c>
    </row>
    <row r="339" spans="1:6" s="4" customFormat="1" x14ac:dyDescent="0.25">
      <c r="A339" s="9">
        <v>45629</v>
      </c>
      <c r="B339" s="35" t="s">
        <v>719</v>
      </c>
      <c r="C339" s="35" t="s">
        <v>720</v>
      </c>
      <c r="D339" s="35" t="s">
        <v>674</v>
      </c>
      <c r="E339" s="35" t="s">
        <v>33</v>
      </c>
      <c r="F339" s="1">
        <f t="shared" si="5"/>
        <v>8</v>
      </c>
    </row>
    <row r="340" spans="1:6" s="4" customFormat="1" x14ac:dyDescent="0.25">
      <c r="A340" s="9">
        <v>45630</v>
      </c>
      <c r="B340" s="35" t="s">
        <v>719</v>
      </c>
      <c r="C340" s="35" t="s">
        <v>720</v>
      </c>
      <c r="D340" s="35" t="s">
        <v>674</v>
      </c>
      <c r="E340" s="35" t="s">
        <v>33</v>
      </c>
      <c r="F340" s="1">
        <f t="shared" si="5"/>
        <v>8</v>
      </c>
    </row>
    <row r="341" spans="1:6" s="4" customFormat="1" x14ac:dyDescent="0.25">
      <c r="A341" s="9">
        <v>45631</v>
      </c>
      <c r="B341" s="35" t="s">
        <v>719</v>
      </c>
      <c r="C341" s="35" t="s">
        <v>720</v>
      </c>
      <c r="D341" s="35" t="s">
        <v>674</v>
      </c>
      <c r="E341" s="35" t="s">
        <v>33</v>
      </c>
      <c r="F341" s="1">
        <f t="shared" si="5"/>
        <v>8</v>
      </c>
    </row>
    <row r="342" spans="1:6" s="4" customFormat="1" x14ac:dyDescent="0.25">
      <c r="A342" s="9">
        <v>45632</v>
      </c>
      <c r="B342" s="35" t="s">
        <v>719</v>
      </c>
      <c r="C342" s="35" t="s">
        <v>720</v>
      </c>
      <c r="D342" s="35" t="s">
        <v>674</v>
      </c>
      <c r="E342" s="35" t="s">
        <v>33</v>
      </c>
      <c r="F342" s="1">
        <f t="shared" si="5"/>
        <v>8</v>
      </c>
    </row>
    <row r="343" spans="1:6" s="4" customFormat="1" x14ac:dyDescent="0.25">
      <c r="A343" s="9">
        <v>45633</v>
      </c>
      <c r="B343" s="35" t="s">
        <v>721</v>
      </c>
      <c r="C343" s="35" t="s">
        <v>528</v>
      </c>
      <c r="D343" s="35" t="s">
        <v>674</v>
      </c>
      <c r="E343" s="35" t="s">
        <v>623</v>
      </c>
      <c r="F343" s="1">
        <f t="shared" si="5"/>
        <v>0</v>
      </c>
    </row>
    <row r="344" spans="1:6" s="4" customFormat="1" x14ac:dyDescent="0.25">
      <c r="A344" s="9">
        <v>45634</v>
      </c>
      <c r="B344" s="35" t="s">
        <v>721</v>
      </c>
      <c r="C344" s="35" t="s">
        <v>528</v>
      </c>
      <c r="D344" s="35" t="s">
        <v>674</v>
      </c>
      <c r="E344" s="35" t="s">
        <v>623</v>
      </c>
      <c r="F344" s="1">
        <f t="shared" si="5"/>
        <v>0</v>
      </c>
    </row>
    <row r="345" spans="1:6" s="4" customFormat="1" x14ac:dyDescent="0.25">
      <c r="A345" s="9">
        <v>45635</v>
      </c>
      <c r="B345" s="35" t="s">
        <v>721</v>
      </c>
      <c r="C345" s="35" t="s">
        <v>528</v>
      </c>
      <c r="D345" s="35" t="s">
        <v>674</v>
      </c>
      <c r="E345" s="35" t="s">
        <v>33</v>
      </c>
      <c r="F345" s="1">
        <f t="shared" si="5"/>
        <v>8</v>
      </c>
    </row>
    <row r="346" spans="1:6" s="4" customFormat="1" x14ac:dyDescent="0.25">
      <c r="A346" s="9">
        <v>45636</v>
      </c>
      <c r="B346" s="35" t="s">
        <v>721</v>
      </c>
      <c r="C346" s="35" t="s">
        <v>528</v>
      </c>
      <c r="D346" s="35" t="s">
        <v>674</v>
      </c>
      <c r="E346" s="35" t="s">
        <v>33</v>
      </c>
      <c r="F346" s="1">
        <f t="shared" si="5"/>
        <v>8</v>
      </c>
    </row>
    <row r="347" spans="1:6" s="4" customFormat="1" x14ac:dyDescent="0.25">
      <c r="A347" s="9">
        <v>45637</v>
      </c>
      <c r="B347" s="35" t="s">
        <v>721</v>
      </c>
      <c r="C347" s="35" t="s">
        <v>528</v>
      </c>
      <c r="D347" s="35" t="s">
        <v>674</v>
      </c>
      <c r="E347" s="35" t="s">
        <v>33</v>
      </c>
      <c r="F347" s="1">
        <f t="shared" si="5"/>
        <v>8</v>
      </c>
    </row>
    <row r="348" spans="1:6" s="4" customFormat="1" x14ac:dyDescent="0.25">
      <c r="A348" s="9">
        <v>45638</v>
      </c>
      <c r="B348" s="35" t="s">
        <v>721</v>
      </c>
      <c r="C348" s="35" t="s">
        <v>528</v>
      </c>
      <c r="D348" s="35" t="s">
        <v>674</v>
      </c>
      <c r="E348" s="35" t="s">
        <v>33</v>
      </c>
      <c r="F348" s="1">
        <f t="shared" si="5"/>
        <v>8</v>
      </c>
    </row>
    <row r="349" spans="1:6" s="4" customFormat="1" x14ac:dyDescent="0.25">
      <c r="A349" s="9">
        <v>45639</v>
      </c>
      <c r="B349" s="35" t="s">
        <v>721</v>
      </c>
      <c r="C349" s="35" t="s">
        <v>528</v>
      </c>
      <c r="D349" s="35" t="s">
        <v>674</v>
      </c>
      <c r="E349" s="35" t="s">
        <v>33</v>
      </c>
      <c r="F349" s="1">
        <f t="shared" si="5"/>
        <v>8</v>
      </c>
    </row>
    <row r="350" spans="1:6" s="4" customFormat="1" x14ac:dyDescent="0.25">
      <c r="A350" s="9">
        <v>45640</v>
      </c>
      <c r="B350" s="35" t="s">
        <v>722</v>
      </c>
      <c r="C350" s="35" t="s">
        <v>532</v>
      </c>
      <c r="D350" s="35" t="s">
        <v>674</v>
      </c>
      <c r="E350" s="35" t="s">
        <v>623</v>
      </c>
      <c r="F350" s="1">
        <f t="shared" si="5"/>
        <v>0</v>
      </c>
    </row>
    <row r="351" spans="1:6" s="4" customFormat="1" x14ac:dyDescent="0.25">
      <c r="A351" s="9">
        <v>45641</v>
      </c>
      <c r="B351" s="35" t="s">
        <v>722</v>
      </c>
      <c r="C351" s="35" t="s">
        <v>532</v>
      </c>
      <c r="D351" s="35" t="s">
        <v>674</v>
      </c>
      <c r="E351" s="35" t="s">
        <v>623</v>
      </c>
      <c r="F351" s="1">
        <f t="shared" si="5"/>
        <v>0</v>
      </c>
    </row>
    <row r="352" spans="1:6" s="4" customFormat="1" x14ac:dyDescent="0.25">
      <c r="A352" s="9">
        <v>45642</v>
      </c>
      <c r="B352" s="35" t="s">
        <v>722</v>
      </c>
      <c r="C352" s="35" t="s">
        <v>532</v>
      </c>
      <c r="D352" s="35" t="s">
        <v>674</v>
      </c>
      <c r="E352" s="35" t="s">
        <v>33</v>
      </c>
      <c r="F352" s="1">
        <f t="shared" si="5"/>
        <v>8</v>
      </c>
    </row>
    <row r="353" spans="1:8" s="4" customFormat="1" x14ac:dyDescent="0.25">
      <c r="A353" s="9">
        <v>45643</v>
      </c>
      <c r="B353" s="35" t="s">
        <v>722</v>
      </c>
      <c r="C353" s="35" t="s">
        <v>532</v>
      </c>
      <c r="D353" s="35" t="s">
        <v>674</v>
      </c>
      <c r="E353" s="35" t="s">
        <v>33</v>
      </c>
      <c r="F353" s="1">
        <f t="shared" si="5"/>
        <v>8</v>
      </c>
    </row>
    <row r="354" spans="1:8" s="4" customFormat="1" x14ac:dyDescent="0.25">
      <c r="A354" s="9">
        <v>45644</v>
      </c>
      <c r="B354" s="35" t="s">
        <v>722</v>
      </c>
      <c r="C354" s="35" t="s">
        <v>532</v>
      </c>
      <c r="D354" s="35" t="s">
        <v>674</v>
      </c>
      <c r="E354" s="35" t="s">
        <v>33</v>
      </c>
      <c r="F354" s="1">
        <f t="shared" si="5"/>
        <v>8</v>
      </c>
    </row>
    <row r="355" spans="1:8" s="4" customFormat="1" x14ac:dyDescent="0.25">
      <c r="A355" s="9">
        <v>45645</v>
      </c>
      <c r="B355" s="35" t="s">
        <v>722</v>
      </c>
      <c r="C355" s="35" t="s">
        <v>532</v>
      </c>
      <c r="D355" s="35" t="s">
        <v>674</v>
      </c>
      <c r="E355" s="35" t="s">
        <v>33</v>
      </c>
      <c r="F355" s="1">
        <f t="shared" si="5"/>
        <v>8</v>
      </c>
    </row>
    <row r="356" spans="1:8" s="4" customFormat="1" x14ac:dyDescent="0.25">
      <c r="A356" s="9">
        <v>45646</v>
      </c>
      <c r="B356" s="35" t="s">
        <v>722</v>
      </c>
      <c r="C356" s="35" t="s">
        <v>532</v>
      </c>
      <c r="D356" s="35" t="s">
        <v>674</v>
      </c>
      <c r="E356" s="35" t="s">
        <v>33</v>
      </c>
      <c r="F356" s="1">
        <f t="shared" si="5"/>
        <v>8</v>
      </c>
    </row>
    <row r="357" spans="1:8" s="4" customFormat="1" x14ac:dyDescent="0.25">
      <c r="A357" s="9">
        <v>45647</v>
      </c>
      <c r="B357" s="35" t="s">
        <v>723</v>
      </c>
      <c r="C357" s="35" t="s">
        <v>534</v>
      </c>
      <c r="D357" s="35" t="s">
        <v>674</v>
      </c>
      <c r="E357" s="35" t="s">
        <v>623</v>
      </c>
      <c r="F357" s="1">
        <f t="shared" si="5"/>
        <v>0</v>
      </c>
    </row>
    <row r="358" spans="1:8" s="4" customFormat="1" x14ac:dyDescent="0.25">
      <c r="A358" s="9">
        <v>45648</v>
      </c>
      <c r="B358" s="35" t="s">
        <v>723</v>
      </c>
      <c r="C358" s="35" t="s">
        <v>534</v>
      </c>
      <c r="D358" s="35" t="s">
        <v>674</v>
      </c>
      <c r="E358" s="35" t="s">
        <v>623</v>
      </c>
      <c r="F358" s="1">
        <f t="shared" si="5"/>
        <v>0</v>
      </c>
    </row>
    <row r="359" spans="1:8" s="4" customFormat="1" x14ac:dyDescent="0.25">
      <c r="A359" s="9">
        <v>45649</v>
      </c>
      <c r="B359" s="35" t="s">
        <v>723</v>
      </c>
      <c r="C359" s="35" t="s">
        <v>534</v>
      </c>
      <c r="D359" s="35" t="s">
        <v>674</v>
      </c>
      <c r="E359" s="35" t="s">
        <v>33</v>
      </c>
      <c r="F359" s="1">
        <f t="shared" si="5"/>
        <v>8</v>
      </c>
    </row>
    <row r="360" spans="1:8" s="4" customFormat="1" x14ac:dyDescent="0.25">
      <c r="A360" s="9">
        <v>45650</v>
      </c>
      <c r="B360" s="35" t="s">
        <v>723</v>
      </c>
      <c r="C360" s="35" t="s">
        <v>534</v>
      </c>
      <c r="D360" s="35" t="s">
        <v>674</v>
      </c>
      <c r="E360" s="35" t="s">
        <v>33</v>
      </c>
      <c r="F360" s="1">
        <f t="shared" si="5"/>
        <v>8</v>
      </c>
    </row>
    <row r="361" spans="1:8" s="4" customFormat="1" x14ac:dyDescent="0.25">
      <c r="A361" s="9">
        <v>45651</v>
      </c>
      <c r="B361" s="35" t="s">
        <v>723</v>
      </c>
      <c r="C361" s="35" t="s">
        <v>534</v>
      </c>
      <c r="D361" s="35" t="s">
        <v>674</v>
      </c>
      <c r="E361" s="35" t="s">
        <v>33</v>
      </c>
      <c r="F361" s="1">
        <f t="shared" si="5"/>
        <v>8</v>
      </c>
    </row>
    <row r="362" spans="1:8" s="4" customFormat="1" x14ac:dyDescent="0.25">
      <c r="A362" s="9">
        <v>45652</v>
      </c>
      <c r="B362" s="35" t="s">
        <v>723</v>
      </c>
      <c r="C362" s="35" t="s">
        <v>534</v>
      </c>
      <c r="D362" s="35" t="s">
        <v>674</v>
      </c>
      <c r="E362" s="35" t="s">
        <v>33</v>
      </c>
      <c r="F362" s="1">
        <f t="shared" si="5"/>
        <v>8</v>
      </c>
    </row>
    <row r="363" spans="1:8" s="4" customFormat="1" x14ac:dyDescent="0.25">
      <c r="A363" s="9">
        <v>45653</v>
      </c>
      <c r="B363" s="35" t="s">
        <v>723</v>
      </c>
      <c r="C363" s="35" t="s">
        <v>534</v>
      </c>
      <c r="D363" s="35" t="s">
        <v>674</v>
      </c>
      <c r="E363" s="35" t="s">
        <v>33</v>
      </c>
      <c r="F363" s="1">
        <f t="shared" si="5"/>
        <v>8</v>
      </c>
    </row>
    <row r="364" spans="1:8" s="4" customFormat="1" x14ac:dyDescent="0.25">
      <c r="A364" s="9">
        <v>45654</v>
      </c>
      <c r="B364" s="35" t="s">
        <v>724</v>
      </c>
      <c r="C364" s="35" t="s">
        <v>536</v>
      </c>
      <c r="D364" s="35" t="s">
        <v>674</v>
      </c>
      <c r="E364" s="35" t="s">
        <v>623</v>
      </c>
      <c r="F364" s="1">
        <f t="shared" si="5"/>
        <v>0</v>
      </c>
    </row>
    <row r="365" spans="1:8" s="4" customFormat="1" x14ac:dyDescent="0.25">
      <c r="A365" s="9">
        <v>45655</v>
      </c>
      <c r="B365" s="35" t="s">
        <v>724</v>
      </c>
      <c r="C365" s="35" t="s">
        <v>536</v>
      </c>
      <c r="D365" s="35" t="s">
        <v>674</v>
      </c>
      <c r="E365" s="35" t="s">
        <v>623</v>
      </c>
      <c r="F365" s="1">
        <f t="shared" si="5"/>
        <v>0</v>
      </c>
    </row>
    <row r="366" spans="1:8" s="4" customFormat="1" x14ac:dyDescent="0.25">
      <c r="A366" s="9">
        <v>45656</v>
      </c>
      <c r="B366" s="35" t="s">
        <v>724</v>
      </c>
      <c r="C366" s="35" t="s">
        <v>536</v>
      </c>
      <c r="D366" s="35" t="s">
        <v>674</v>
      </c>
      <c r="E366" s="35" t="s">
        <v>33</v>
      </c>
      <c r="F366" s="1">
        <f t="shared" si="5"/>
        <v>8</v>
      </c>
    </row>
    <row r="367" spans="1:8" s="4" customFormat="1" x14ac:dyDescent="0.25">
      <c r="A367" s="9">
        <v>45657</v>
      </c>
      <c r="B367" s="35" t="s">
        <v>724</v>
      </c>
      <c r="C367" s="35" t="s">
        <v>536</v>
      </c>
      <c r="D367" s="35" t="s">
        <v>674</v>
      </c>
      <c r="E367" s="35" t="s">
        <v>33</v>
      </c>
      <c r="F367" s="1">
        <f t="shared" si="5"/>
        <v>8</v>
      </c>
    </row>
    <row r="368" spans="1:8" x14ac:dyDescent="0.25">
      <c r="A368" s="6">
        <v>45658</v>
      </c>
      <c r="B368" s="6" t="s">
        <v>724</v>
      </c>
      <c r="C368" s="6" t="s">
        <v>536</v>
      </c>
      <c r="D368" s="6" t="s">
        <v>674</v>
      </c>
      <c r="E368" s="1" t="s">
        <v>725</v>
      </c>
      <c r="F368" s="1">
        <f t="shared" si="5"/>
        <v>0</v>
      </c>
      <c r="H368" s="4"/>
    </row>
    <row r="369" spans="1:8" x14ac:dyDescent="0.25">
      <c r="A369" s="6">
        <v>45659</v>
      </c>
      <c r="B369" s="6" t="s">
        <v>724</v>
      </c>
      <c r="C369" s="6" t="s">
        <v>536</v>
      </c>
      <c r="D369" s="6" t="s">
        <v>674</v>
      </c>
      <c r="F369" s="1">
        <f t="shared" si="5"/>
        <v>8</v>
      </c>
      <c r="H369" s="4"/>
    </row>
    <row r="370" spans="1:8" x14ac:dyDescent="0.25">
      <c r="A370" s="6">
        <v>45660</v>
      </c>
      <c r="B370" s="6" t="s">
        <v>724</v>
      </c>
      <c r="C370" s="6" t="s">
        <v>536</v>
      </c>
      <c r="D370" s="6" t="s">
        <v>674</v>
      </c>
      <c r="F370" s="1">
        <f t="shared" si="5"/>
        <v>8</v>
      </c>
      <c r="H370" s="4"/>
    </row>
    <row r="371" spans="1:8" x14ac:dyDescent="0.25">
      <c r="A371" s="6">
        <v>45661</v>
      </c>
      <c r="B371" s="6" t="s">
        <v>726</v>
      </c>
      <c r="C371" s="6" t="s">
        <v>538</v>
      </c>
      <c r="D371" s="6" t="s">
        <v>674</v>
      </c>
      <c r="E371" s="1" t="s">
        <v>727</v>
      </c>
      <c r="F371" s="1">
        <f t="shared" si="5"/>
        <v>0</v>
      </c>
      <c r="H371" s="4"/>
    </row>
    <row r="372" spans="1:8" x14ac:dyDescent="0.25">
      <c r="A372" s="6">
        <v>45662</v>
      </c>
      <c r="B372" s="6" t="s">
        <v>726</v>
      </c>
      <c r="C372" s="6" t="s">
        <v>538</v>
      </c>
      <c r="D372" s="6" t="s">
        <v>674</v>
      </c>
      <c r="E372" s="1" t="s">
        <v>727</v>
      </c>
      <c r="F372" s="1">
        <f t="shared" si="5"/>
        <v>0</v>
      </c>
      <c r="H372" s="4"/>
    </row>
    <row r="373" spans="1:8" x14ac:dyDescent="0.25">
      <c r="A373" s="6">
        <v>45663</v>
      </c>
      <c r="B373" s="6" t="s">
        <v>726</v>
      </c>
      <c r="C373" s="6" t="s">
        <v>538</v>
      </c>
      <c r="D373" s="6" t="s">
        <v>674</v>
      </c>
      <c r="F373" s="1">
        <f t="shared" si="5"/>
        <v>8</v>
      </c>
      <c r="H373" s="4"/>
    </row>
    <row r="374" spans="1:8" x14ac:dyDescent="0.25">
      <c r="A374" s="6">
        <v>45664</v>
      </c>
      <c r="B374" s="6" t="s">
        <v>726</v>
      </c>
      <c r="C374" s="6" t="s">
        <v>538</v>
      </c>
      <c r="D374" s="6" t="s">
        <v>674</v>
      </c>
      <c r="F374" s="1">
        <f t="shared" si="5"/>
        <v>8</v>
      </c>
      <c r="H374" s="4"/>
    </row>
    <row r="375" spans="1:8" x14ac:dyDescent="0.25">
      <c r="A375" s="6">
        <v>45665</v>
      </c>
      <c r="B375" s="6" t="s">
        <v>726</v>
      </c>
      <c r="C375" s="6" t="s">
        <v>538</v>
      </c>
      <c r="D375" s="6" t="s">
        <v>674</v>
      </c>
      <c r="F375" s="1">
        <f t="shared" si="5"/>
        <v>8</v>
      </c>
      <c r="H375" s="4"/>
    </row>
    <row r="376" spans="1:8" x14ac:dyDescent="0.25">
      <c r="A376" s="6">
        <v>45666</v>
      </c>
      <c r="B376" s="6" t="s">
        <v>726</v>
      </c>
      <c r="C376" s="6" t="s">
        <v>538</v>
      </c>
      <c r="D376" s="6" t="s">
        <v>674</v>
      </c>
      <c r="F376" s="1">
        <f t="shared" si="5"/>
        <v>8</v>
      </c>
      <c r="H376" s="4"/>
    </row>
    <row r="377" spans="1:8" x14ac:dyDescent="0.25">
      <c r="A377" s="6">
        <v>45667</v>
      </c>
      <c r="B377" s="6" t="s">
        <v>726</v>
      </c>
      <c r="C377" s="6" t="s">
        <v>538</v>
      </c>
      <c r="D377" s="6" t="s">
        <v>674</v>
      </c>
      <c r="F377" s="1">
        <f t="shared" si="5"/>
        <v>8</v>
      </c>
      <c r="H377" s="4"/>
    </row>
    <row r="378" spans="1:8" x14ac:dyDescent="0.25">
      <c r="A378" s="6">
        <v>45668</v>
      </c>
      <c r="B378" s="6" t="s">
        <v>728</v>
      </c>
      <c r="C378" s="6" t="s">
        <v>540</v>
      </c>
      <c r="D378" s="6" t="s">
        <v>674</v>
      </c>
      <c r="E378" s="1" t="s">
        <v>727</v>
      </c>
      <c r="F378" s="1">
        <f t="shared" si="5"/>
        <v>0</v>
      </c>
      <c r="H378" s="4"/>
    </row>
    <row r="379" spans="1:8" x14ac:dyDescent="0.25">
      <c r="A379" s="6">
        <v>45669</v>
      </c>
      <c r="B379" s="6" t="s">
        <v>728</v>
      </c>
      <c r="C379" s="6" t="s">
        <v>540</v>
      </c>
      <c r="D379" s="6" t="s">
        <v>674</v>
      </c>
      <c r="E379" s="1" t="s">
        <v>727</v>
      </c>
      <c r="F379" s="1">
        <f t="shared" si="5"/>
        <v>0</v>
      </c>
      <c r="H379" s="4"/>
    </row>
    <row r="380" spans="1:8" x14ac:dyDescent="0.25">
      <c r="A380" s="6">
        <v>45670</v>
      </c>
      <c r="B380" s="6" t="s">
        <v>728</v>
      </c>
      <c r="C380" s="6" t="s">
        <v>540</v>
      </c>
      <c r="D380" s="6" t="s">
        <v>674</v>
      </c>
      <c r="F380" s="1">
        <f t="shared" si="5"/>
        <v>8</v>
      </c>
      <c r="H380" s="4"/>
    </row>
    <row r="381" spans="1:8" x14ac:dyDescent="0.25">
      <c r="A381" s="6">
        <v>45671</v>
      </c>
      <c r="B381" s="6" t="s">
        <v>728</v>
      </c>
      <c r="C381" s="6" t="s">
        <v>540</v>
      </c>
      <c r="D381" s="6" t="s">
        <v>674</v>
      </c>
      <c r="F381" s="1">
        <f t="shared" si="5"/>
        <v>8</v>
      </c>
      <c r="H381" s="4"/>
    </row>
    <row r="382" spans="1:8" x14ac:dyDescent="0.25">
      <c r="A382" s="6">
        <v>45672</v>
      </c>
      <c r="B382" s="6" t="s">
        <v>728</v>
      </c>
      <c r="C382" s="6" t="s">
        <v>540</v>
      </c>
      <c r="D382" s="6" t="s">
        <v>674</v>
      </c>
      <c r="F382" s="1">
        <f t="shared" si="5"/>
        <v>8</v>
      </c>
      <c r="H382" s="4"/>
    </row>
    <row r="383" spans="1:8" x14ac:dyDescent="0.25">
      <c r="A383" s="6">
        <v>45673</v>
      </c>
      <c r="B383" s="6" t="s">
        <v>728</v>
      </c>
      <c r="C383" s="6" t="s">
        <v>540</v>
      </c>
      <c r="D383" s="6" t="s">
        <v>674</v>
      </c>
      <c r="F383" s="1">
        <f t="shared" si="5"/>
        <v>8</v>
      </c>
      <c r="H383" s="4"/>
    </row>
    <row r="384" spans="1:8" x14ac:dyDescent="0.25">
      <c r="A384" s="6">
        <v>45674</v>
      </c>
      <c r="B384" s="6" t="s">
        <v>728</v>
      </c>
      <c r="C384" s="6" t="s">
        <v>540</v>
      </c>
      <c r="D384" s="6" t="s">
        <v>674</v>
      </c>
      <c r="F384" s="1">
        <f t="shared" si="5"/>
        <v>8</v>
      </c>
      <c r="H384" s="4"/>
    </row>
    <row r="385" spans="1:8" x14ac:dyDescent="0.25">
      <c r="A385" s="6">
        <v>45675</v>
      </c>
      <c r="B385" s="6" t="s">
        <v>729</v>
      </c>
      <c r="C385" s="6" t="s">
        <v>542</v>
      </c>
      <c r="D385" s="6" t="s">
        <v>674</v>
      </c>
      <c r="E385" s="1" t="s">
        <v>727</v>
      </c>
      <c r="F385" s="1">
        <f t="shared" si="5"/>
        <v>0</v>
      </c>
      <c r="H385" s="4"/>
    </row>
    <row r="386" spans="1:8" x14ac:dyDescent="0.25">
      <c r="A386" s="6">
        <v>45676</v>
      </c>
      <c r="B386" s="6" t="s">
        <v>729</v>
      </c>
      <c r="C386" s="6" t="s">
        <v>542</v>
      </c>
      <c r="D386" s="6" t="s">
        <v>674</v>
      </c>
      <c r="E386" s="1" t="s">
        <v>727</v>
      </c>
      <c r="F386" s="1">
        <f t="shared" ref="F386:F449" si="6">IF(OR(E386="",E386="调休"),8,0)</f>
        <v>0</v>
      </c>
      <c r="H386" s="4"/>
    </row>
    <row r="387" spans="1:8" x14ac:dyDescent="0.25">
      <c r="A387" s="6">
        <v>45677</v>
      </c>
      <c r="B387" s="6" t="s">
        <v>729</v>
      </c>
      <c r="C387" s="6" t="s">
        <v>542</v>
      </c>
      <c r="D387" s="6" t="s">
        <v>674</v>
      </c>
      <c r="F387" s="1">
        <f t="shared" si="6"/>
        <v>8</v>
      </c>
      <c r="H387" s="4"/>
    </row>
    <row r="388" spans="1:8" x14ac:dyDescent="0.25">
      <c r="A388" s="6">
        <v>45678</v>
      </c>
      <c r="B388" s="6" t="s">
        <v>729</v>
      </c>
      <c r="C388" s="6" t="s">
        <v>542</v>
      </c>
      <c r="D388" s="6" t="s">
        <v>674</v>
      </c>
      <c r="F388" s="1">
        <f t="shared" si="6"/>
        <v>8</v>
      </c>
      <c r="H388" s="4"/>
    </row>
    <row r="389" spans="1:8" x14ac:dyDescent="0.25">
      <c r="A389" s="6">
        <v>45679</v>
      </c>
      <c r="B389" s="6" t="s">
        <v>729</v>
      </c>
      <c r="C389" s="6" t="s">
        <v>542</v>
      </c>
      <c r="D389" s="6" t="s">
        <v>674</v>
      </c>
      <c r="F389" s="1">
        <f t="shared" si="6"/>
        <v>8</v>
      </c>
      <c r="H389" s="4"/>
    </row>
    <row r="390" spans="1:8" x14ac:dyDescent="0.25">
      <c r="A390" s="6">
        <v>45680</v>
      </c>
      <c r="B390" s="6" t="s">
        <v>729</v>
      </c>
      <c r="C390" s="6" t="s">
        <v>542</v>
      </c>
      <c r="D390" s="6" t="s">
        <v>674</v>
      </c>
      <c r="F390" s="1">
        <f t="shared" si="6"/>
        <v>8</v>
      </c>
      <c r="H390" s="4"/>
    </row>
    <row r="391" spans="1:8" x14ac:dyDescent="0.25">
      <c r="A391" s="6">
        <v>45681</v>
      </c>
      <c r="B391" s="6" t="s">
        <v>729</v>
      </c>
      <c r="C391" s="6" t="s">
        <v>542</v>
      </c>
      <c r="D391" s="6" t="s">
        <v>674</v>
      </c>
      <c r="F391" s="1">
        <f t="shared" si="6"/>
        <v>8</v>
      </c>
      <c r="H391" s="4"/>
    </row>
    <row r="392" spans="1:8" x14ac:dyDescent="0.25">
      <c r="A392" s="6">
        <v>45682</v>
      </c>
      <c r="B392" s="6" t="s">
        <v>730</v>
      </c>
      <c r="C392" s="6" t="s">
        <v>544</v>
      </c>
      <c r="D392" s="6" t="s">
        <v>674</v>
      </c>
      <c r="E392" s="1" t="s">
        <v>727</v>
      </c>
      <c r="F392" s="1">
        <f t="shared" si="6"/>
        <v>0</v>
      </c>
      <c r="H392" s="4"/>
    </row>
    <row r="393" spans="1:8" x14ac:dyDescent="0.25">
      <c r="A393" s="6">
        <v>45683</v>
      </c>
      <c r="B393" s="6" t="s">
        <v>730</v>
      </c>
      <c r="C393" s="6" t="s">
        <v>544</v>
      </c>
      <c r="D393" s="6" t="s">
        <v>674</v>
      </c>
      <c r="E393" s="1" t="s">
        <v>731</v>
      </c>
      <c r="F393" s="1">
        <f t="shared" si="6"/>
        <v>8</v>
      </c>
      <c r="H393" s="4"/>
    </row>
    <row r="394" spans="1:8" x14ac:dyDescent="0.25">
      <c r="A394" s="6">
        <v>45684</v>
      </c>
      <c r="B394" s="6" t="s">
        <v>730</v>
      </c>
      <c r="C394" s="6" t="s">
        <v>544</v>
      </c>
      <c r="D394" s="6" t="s">
        <v>674</v>
      </c>
      <c r="F394" s="1">
        <f t="shared" si="6"/>
        <v>8</v>
      </c>
      <c r="H394" s="4"/>
    </row>
    <row r="395" spans="1:8" x14ac:dyDescent="0.25">
      <c r="A395" s="6">
        <v>45685</v>
      </c>
      <c r="B395" s="6" t="s">
        <v>730</v>
      </c>
      <c r="C395" s="6" t="s">
        <v>544</v>
      </c>
      <c r="D395" s="6" t="s">
        <v>674</v>
      </c>
      <c r="E395" s="1" t="s">
        <v>732</v>
      </c>
      <c r="F395" s="1">
        <f t="shared" si="6"/>
        <v>0</v>
      </c>
      <c r="H395" s="4"/>
    </row>
    <row r="396" spans="1:8" x14ac:dyDescent="0.25">
      <c r="A396" s="6">
        <v>45686</v>
      </c>
      <c r="B396" s="6" t="s">
        <v>730</v>
      </c>
      <c r="C396" s="6" t="s">
        <v>544</v>
      </c>
      <c r="D396" s="6" t="s">
        <v>674</v>
      </c>
      <c r="E396" s="1" t="s">
        <v>732</v>
      </c>
      <c r="F396" s="1">
        <f t="shared" si="6"/>
        <v>0</v>
      </c>
      <c r="H396" s="4"/>
    </row>
    <row r="397" spans="1:8" x14ac:dyDescent="0.25">
      <c r="A397" s="6">
        <v>45687</v>
      </c>
      <c r="B397" s="6" t="s">
        <v>730</v>
      </c>
      <c r="C397" s="6" t="s">
        <v>544</v>
      </c>
      <c r="D397" s="6" t="s">
        <v>674</v>
      </c>
      <c r="E397" s="1" t="s">
        <v>732</v>
      </c>
      <c r="F397" s="1">
        <f t="shared" si="6"/>
        <v>0</v>
      </c>
      <c r="H397" s="4"/>
    </row>
    <row r="398" spans="1:8" x14ac:dyDescent="0.25">
      <c r="A398" s="6">
        <v>45688</v>
      </c>
      <c r="B398" s="6" t="s">
        <v>730</v>
      </c>
      <c r="C398" s="6" t="s">
        <v>544</v>
      </c>
      <c r="D398" s="6" t="s">
        <v>674</v>
      </c>
      <c r="E398" s="1" t="s">
        <v>732</v>
      </c>
      <c r="F398" s="1">
        <f t="shared" si="6"/>
        <v>0</v>
      </c>
      <c r="H398" s="4"/>
    </row>
    <row r="399" spans="1:8" x14ac:dyDescent="0.25">
      <c r="A399" s="6">
        <v>45689</v>
      </c>
      <c r="B399" s="6" t="s">
        <v>733</v>
      </c>
      <c r="C399" s="6" t="s">
        <v>628</v>
      </c>
      <c r="D399" s="6" t="s">
        <v>674</v>
      </c>
      <c r="E399" s="1" t="s">
        <v>727</v>
      </c>
      <c r="F399" s="1">
        <f t="shared" si="6"/>
        <v>0</v>
      </c>
      <c r="H399" s="4"/>
    </row>
    <row r="400" spans="1:8" x14ac:dyDescent="0.25">
      <c r="A400" s="6">
        <v>45690</v>
      </c>
      <c r="B400" s="6" t="s">
        <v>733</v>
      </c>
      <c r="C400" s="6" t="s">
        <v>628</v>
      </c>
      <c r="D400" s="6" t="s">
        <v>674</v>
      </c>
      <c r="E400" s="1" t="s">
        <v>727</v>
      </c>
      <c r="F400" s="1">
        <f t="shared" si="6"/>
        <v>0</v>
      </c>
      <c r="H400" s="4"/>
    </row>
    <row r="401" spans="1:8" x14ac:dyDescent="0.25">
      <c r="A401" s="6">
        <v>45691</v>
      </c>
      <c r="B401" s="6" t="s">
        <v>733</v>
      </c>
      <c r="C401" s="6" t="s">
        <v>628</v>
      </c>
      <c r="D401" s="6" t="s">
        <v>674</v>
      </c>
      <c r="E401" s="1" t="s">
        <v>732</v>
      </c>
      <c r="F401" s="1">
        <f t="shared" si="6"/>
        <v>0</v>
      </c>
      <c r="H401" s="4"/>
    </row>
    <row r="402" spans="1:8" x14ac:dyDescent="0.25">
      <c r="A402" s="6">
        <v>45692</v>
      </c>
      <c r="B402" s="6" t="s">
        <v>733</v>
      </c>
      <c r="C402" s="6" t="s">
        <v>628</v>
      </c>
      <c r="D402" s="6" t="s">
        <v>674</v>
      </c>
      <c r="E402" s="1" t="s">
        <v>732</v>
      </c>
      <c r="F402" s="1">
        <f t="shared" si="6"/>
        <v>0</v>
      </c>
      <c r="H402" s="4"/>
    </row>
    <row r="403" spans="1:8" x14ac:dyDescent="0.25">
      <c r="A403" s="6">
        <v>45693</v>
      </c>
      <c r="B403" s="6" t="s">
        <v>733</v>
      </c>
      <c r="C403" s="6" t="s">
        <v>628</v>
      </c>
      <c r="D403" s="6" t="s">
        <v>674</v>
      </c>
      <c r="F403" s="1">
        <f t="shared" si="6"/>
        <v>8</v>
      </c>
      <c r="H403" s="4"/>
    </row>
    <row r="404" spans="1:8" x14ac:dyDescent="0.25">
      <c r="A404" s="6">
        <v>45694</v>
      </c>
      <c r="B404" s="6" t="s">
        <v>733</v>
      </c>
      <c r="C404" s="6" t="s">
        <v>628</v>
      </c>
      <c r="D404" s="6" t="s">
        <v>674</v>
      </c>
      <c r="F404" s="1">
        <f t="shared" si="6"/>
        <v>8</v>
      </c>
      <c r="H404" s="4"/>
    </row>
    <row r="405" spans="1:8" x14ac:dyDescent="0.25">
      <c r="A405" s="6">
        <v>45695</v>
      </c>
      <c r="B405" s="6" t="s">
        <v>733</v>
      </c>
      <c r="C405" s="6" t="s">
        <v>628</v>
      </c>
      <c r="D405" s="6" t="s">
        <v>674</v>
      </c>
      <c r="F405" s="1">
        <f t="shared" si="6"/>
        <v>8</v>
      </c>
      <c r="H405" s="4"/>
    </row>
    <row r="406" spans="1:8" x14ac:dyDescent="0.25">
      <c r="A406" s="6">
        <v>45696</v>
      </c>
      <c r="B406" s="6" t="s">
        <v>734</v>
      </c>
      <c r="C406" s="6" t="s">
        <v>631</v>
      </c>
      <c r="D406" s="6" t="s">
        <v>674</v>
      </c>
      <c r="E406" s="1" t="s">
        <v>731</v>
      </c>
      <c r="F406" s="1">
        <f t="shared" si="6"/>
        <v>8</v>
      </c>
      <c r="H406" s="4"/>
    </row>
    <row r="407" spans="1:8" x14ac:dyDescent="0.25">
      <c r="A407" s="6">
        <v>45697</v>
      </c>
      <c r="B407" s="6" t="s">
        <v>734</v>
      </c>
      <c r="C407" s="6" t="s">
        <v>631</v>
      </c>
      <c r="D407" s="6" t="s">
        <v>674</v>
      </c>
      <c r="E407" s="1" t="s">
        <v>727</v>
      </c>
      <c r="F407" s="1">
        <f t="shared" si="6"/>
        <v>0</v>
      </c>
      <c r="H407" s="4"/>
    </row>
    <row r="408" spans="1:8" x14ac:dyDescent="0.25">
      <c r="A408" s="6">
        <v>45698</v>
      </c>
      <c r="B408" s="6" t="s">
        <v>734</v>
      </c>
      <c r="C408" s="6" t="s">
        <v>631</v>
      </c>
      <c r="D408" s="6" t="s">
        <v>674</v>
      </c>
      <c r="F408" s="1">
        <f t="shared" si="6"/>
        <v>8</v>
      </c>
      <c r="H408" s="4"/>
    </row>
    <row r="409" spans="1:8" x14ac:dyDescent="0.25">
      <c r="A409" s="6">
        <v>45699</v>
      </c>
      <c r="B409" s="6" t="s">
        <v>734</v>
      </c>
      <c r="C409" s="6" t="s">
        <v>631</v>
      </c>
      <c r="D409" s="6" t="s">
        <v>674</v>
      </c>
      <c r="F409" s="1">
        <f t="shared" si="6"/>
        <v>8</v>
      </c>
      <c r="H409" s="4"/>
    </row>
    <row r="410" spans="1:8" x14ac:dyDescent="0.25">
      <c r="A410" s="6">
        <v>45700</v>
      </c>
      <c r="B410" s="6" t="s">
        <v>734</v>
      </c>
      <c r="C410" s="6" t="s">
        <v>631</v>
      </c>
      <c r="D410" s="6" t="s">
        <v>674</v>
      </c>
      <c r="F410" s="1">
        <f t="shared" si="6"/>
        <v>8</v>
      </c>
      <c r="H410" s="4"/>
    </row>
    <row r="411" spans="1:8" x14ac:dyDescent="0.25">
      <c r="A411" s="6">
        <v>45701</v>
      </c>
      <c r="B411" s="6" t="s">
        <v>734</v>
      </c>
      <c r="C411" s="6" t="s">
        <v>631</v>
      </c>
      <c r="D411" s="6" t="s">
        <v>674</v>
      </c>
      <c r="F411" s="1">
        <f t="shared" si="6"/>
        <v>8</v>
      </c>
      <c r="H411" s="4"/>
    </row>
    <row r="412" spans="1:8" x14ac:dyDescent="0.25">
      <c r="A412" s="6">
        <v>45702</v>
      </c>
      <c r="B412" s="6" t="s">
        <v>734</v>
      </c>
      <c r="C412" s="6" t="s">
        <v>631</v>
      </c>
      <c r="D412" s="6" t="s">
        <v>674</v>
      </c>
      <c r="F412" s="1">
        <f t="shared" si="6"/>
        <v>8</v>
      </c>
      <c r="H412" s="4"/>
    </row>
    <row r="413" spans="1:8" x14ac:dyDescent="0.25">
      <c r="A413" s="6">
        <v>45703</v>
      </c>
      <c r="B413" s="6" t="s">
        <v>735</v>
      </c>
      <c r="C413" s="6" t="s">
        <v>634</v>
      </c>
      <c r="D413" s="6" t="s">
        <v>674</v>
      </c>
      <c r="E413" s="1" t="s">
        <v>727</v>
      </c>
      <c r="F413" s="1">
        <f t="shared" si="6"/>
        <v>0</v>
      </c>
      <c r="H413" s="4"/>
    </row>
    <row r="414" spans="1:8" x14ac:dyDescent="0.25">
      <c r="A414" s="6">
        <v>45704</v>
      </c>
      <c r="B414" s="6" t="s">
        <v>735</v>
      </c>
      <c r="C414" s="6" t="s">
        <v>634</v>
      </c>
      <c r="D414" s="6" t="s">
        <v>674</v>
      </c>
      <c r="E414" s="1" t="s">
        <v>727</v>
      </c>
      <c r="F414" s="1">
        <f t="shared" si="6"/>
        <v>0</v>
      </c>
      <c r="H414" s="4"/>
    </row>
    <row r="415" spans="1:8" x14ac:dyDescent="0.25">
      <c r="A415" s="6">
        <v>45705</v>
      </c>
      <c r="B415" s="6" t="s">
        <v>735</v>
      </c>
      <c r="C415" s="6" t="s">
        <v>634</v>
      </c>
      <c r="D415" s="6" t="s">
        <v>674</v>
      </c>
      <c r="F415" s="1">
        <f t="shared" si="6"/>
        <v>8</v>
      </c>
      <c r="H415" s="4"/>
    </row>
    <row r="416" spans="1:8" x14ac:dyDescent="0.25">
      <c r="A416" s="6">
        <v>45706</v>
      </c>
      <c r="B416" s="6" t="s">
        <v>735</v>
      </c>
      <c r="C416" s="6" t="s">
        <v>634</v>
      </c>
      <c r="D416" s="6" t="s">
        <v>674</v>
      </c>
      <c r="F416" s="1">
        <f t="shared" si="6"/>
        <v>8</v>
      </c>
      <c r="H416" s="4"/>
    </row>
    <row r="417" spans="1:8" x14ac:dyDescent="0.25">
      <c r="A417" s="6">
        <v>45707</v>
      </c>
      <c r="B417" s="6" t="s">
        <v>735</v>
      </c>
      <c r="C417" s="6" t="s">
        <v>634</v>
      </c>
      <c r="D417" s="6" t="s">
        <v>674</v>
      </c>
      <c r="F417" s="1">
        <f t="shared" si="6"/>
        <v>8</v>
      </c>
      <c r="H417" s="4"/>
    </row>
    <row r="418" spans="1:8" x14ac:dyDescent="0.25">
      <c r="A418" s="6">
        <v>45708</v>
      </c>
      <c r="B418" s="6" t="s">
        <v>735</v>
      </c>
      <c r="C418" s="6" t="s">
        <v>634</v>
      </c>
      <c r="D418" s="6" t="s">
        <v>674</v>
      </c>
      <c r="F418" s="1">
        <f t="shared" si="6"/>
        <v>8</v>
      </c>
      <c r="H418" s="4"/>
    </row>
    <row r="419" spans="1:8" x14ac:dyDescent="0.25">
      <c r="A419" s="6">
        <v>45709</v>
      </c>
      <c r="B419" s="6" t="s">
        <v>735</v>
      </c>
      <c r="C419" s="6" t="s">
        <v>634</v>
      </c>
      <c r="D419" s="6" t="s">
        <v>674</v>
      </c>
      <c r="F419" s="1">
        <f t="shared" si="6"/>
        <v>8</v>
      </c>
      <c r="H419" s="4"/>
    </row>
    <row r="420" spans="1:8" x14ac:dyDescent="0.25">
      <c r="A420" s="6">
        <v>45710</v>
      </c>
      <c r="B420" s="6" t="s">
        <v>736</v>
      </c>
      <c r="C420" s="6" t="s">
        <v>636</v>
      </c>
      <c r="D420" s="6" t="s">
        <v>674</v>
      </c>
      <c r="E420" s="1" t="s">
        <v>727</v>
      </c>
      <c r="F420" s="1">
        <f t="shared" si="6"/>
        <v>0</v>
      </c>
      <c r="H420" s="4"/>
    </row>
    <row r="421" spans="1:8" x14ac:dyDescent="0.25">
      <c r="A421" s="6">
        <v>45711</v>
      </c>
      <c r="B421" s="6" t="s">
        <v>736</v>
      </c>
      <c r="C421" s="6" t="s">
        <v>636</v>
      </c>
      <c r="D421" s="6" t="s">
        <v>674</v>
      </c>
      <c r="E421" s="1" t="s">
        <v>727</v>
      </c>
      <c r="F421" s="1">
        <f t="shared" si="6"/>
        <v>0</v>
      </c>
      <c r="H421" s="4"/>
    </row>
    <row r="422" spans="1:8" x14ac:dyDescent="0.25">
      <c r="A422" s="6">
        <v>45712</v>
      </c>
      <c r="B422" s="6" t="s">
        <v>736</v>
      </c>
      <c r="C422" s="6" t="s">
        <v>636</v>
      </c>
      <c r="D422" s="6" t="s">
        <v>674</v>
      </c>
      <c r="F422" s="1">
        <f t="shared" si="6"/>
        <v>8</v>
      </c>
      <c r="H422" s="4"/>
    </row>
    <row r="423" spans="1:8" x14ac:dyDescent="0.25">
      <c r="A423" s="6">
        <v>45713</v>
      </c>
      <c r="B423" s="6" t="s">
        <v>736</v>
      </c>
      <c r="C423" s="6" t="s">
        <v>636</v>
      </c>
      <c r="D423" s="6" t="s">
        <v>674</v>
      </c>
      <c r="F423" s="1">
        <f t="shared" si="6"/>
        <v>8</v>
      </c>
      <c r="H423" s="4"/>
    </row>
    <row r="424" spans="1:8" x14ac:dyDescent="0.25">
      <c r="A424" s="6">
        <v>45714</v>
      </c>
      <c r="B424" s="6" t="s">
        <v>736</v>
      </c>
      <c r="C424" s="6" t="s">
        <v>636</v>
      </c>
      <c r="D424" s="6" t="s">
        <v>674</v>
      </c>
      <c r="F424" s="1">
        <f t="shared" si="6"/>
        <v>8</v>
      </c>
      <c r="H424" s="4"/>
    </row>
    <row r="425" spans="1:8" x14ac:dyDescent="0.25">
      <c r="A425" s="6">
        <v>45715</v>
      </c>
      <c r="B425" s="6" t="s">
        <v>736</v>
      </c>
      <c r="C425" s="6" t="s">
        <v>636</v>
      </c>
      <c r="D425" s="6" t="s">
        <v>674</v>
      </c>
      <c r="F425" s="1">
        <f t="shared" si="6"/>
        <v>8</v>
      </c>
      <c r="H425" s="4"/>
    </row>
    <row r="426" spans="1:8" x14ac:dyDescent="0.25">
      <c r="A426" s="6">
        <v>45716</v>
      </c>
      <c r="B426" s="6" t="s">
        <v>736</v>
      </c>
      <c r="C426" s="6" t="s">
        <v>636</v>
      </c>
      <c r="D426" s="6" t="s">
        <v>674</v>
      </c>
      <c r="F426" s="1">
        <f t="shared" si="6"/>
        <v>8</v>
      </c>
      <c r="H426" s="4"/>
    </row>
    <row r="427" spans="1:8" x14ac:dyDescent="0.25">
      <c r="A427" s="6">
        <v>45717</v>
      </c>
      <c r="B427" s="6" t="s">
        <v>737</v>
      </c>
      <c r="C427" s="6" t="s">
        <v>546</v>
      </c>
      <c r="D427" s="6" t="s">
        <v>674</v>
      </c>
      <c r="E427" s="1" t="s">
        <v>727</v>
      </c>
      <c r="F427" s="1">
        <f t="shared" si="6"/>
        <v>0</v>
      </c>
      <c r="H427" s="4"/>
    </row>
    <row r="428" spans="1:8" x14ac:dyDescent="0.25">
      <c r="A428" s="6">
        <v>45718</v>
      </c>
      <c r="B428" s="6" t="s">
        <v>737</v>
      </c>
      <c r="C428" s="6" t="s">
        <v>546</v>
      </c>
      <c r="D428" s="6" t="s">
        <v>674</v>
      </c>
      <c r="E428" s="1" t="s">
        <v>727</v>
      </c>
      <c r="F428" s="1">
        <f t="shared" si="6"/>
        <v>0</v>
      </c>
      <c r="H428" s="4"/>
    </row>
    <row r="429" spans="1:8" x14ac:dyDescent="0.25">
      <c r="A429" s="6">
        <v>45719</v>
      </c>
      <c r="B429" s="6" t="s">
        <v>737</v>
      </c>
      <c r="C429" s="6" t="s">
        <v>546</v>
      </c>
      <c r="D429" s="6" t="s">
        <v>674</v>
      </c>
      <c r="F429" s="1">
        <f t="shared" si="6"/>
        <v>8</v>
      </c>
      <c r="H429" s="4"/>
    </row>
    <row r="430" spans="1:8" x14ac:dyDescent="0.25">
      <c r="A430" s="6">
        <v>45720</v>
      </c>
      <c r="B430" s="6" t="s">
        <v>737</v>
      </c>
      <c r="C430" s="6" t="s">
        <v>546</v>
      </c>
      <c r="D430" s="6" t="s">
        <v>674</v>
      </c>
      <c r="F430" s="1">
        <f t="shared" si="6"/>
        <v>8</v>
      </c>
      <c r="H430" s="4"/>
    </row>
    <row r="431" spans="1:8" x14ac:dyDescent="0.25">
      <c r="A431" s="6">
        <v>45721</v>
      </c>
      <c r="B431" s="6" t="s">
        <v>737</v>
      </c>
      <c r="C431" s="6" t="s">
        <v>546</v>
      </c>
      <c r="D431" s="6" t="s">
        <v>674</v>
      </c>
      <c r="F431" s="1">
        <f t="shared" si="6"/>
        <v>8</v>
      </c>
      <c r="H431" s="4"/>
    </row>
    <row r="432" spans="1:8" x14ac:dyDescent="0.25">
      <c r="A432" s="6">
        <v>45722</v>
      </c>
      <c r="B432" s="6" t="s">
        <v>737</v>
      </c>
      <c r="C432" s="6" t="s">
        <v>546</v>
      </c>
      <c r="D432" s="6" t="s">
        <v>674</v>
      </c>
      <c r="F432" s="1">
        <f t="shared" si="6"/>
        <v>8</v>
      </c>
      <c r="H432" s="4"/>
    </row>
    <row r="433" spans="1:8" x14ac:dyDescent="0.25">
      <c r="A433" s="6">
        <v>45723</v>
      </c>
      <c r="B433" s="6" t="s">
        <v>737</v>
      </c>
      <c r="C433" s="6" t="s">
        <v>546</v>
      </c>
      <c r="D433" s="6" t="s">
        <v>674</v>
      </c>
      <c r="F433" s="1">
        <f t="shared" si="6"/>
        <v>8</v>
      </c>
      <c r="H433" s="4"/>
    </row>
    <row r="434" spans="1:8" x14ac:dyDescent="0.25">
      <c r="A434" s="6">
        <v>45724</v>
      </c>
      <c r="B434" s="6" t="s">
        <v>738</v>
      </c>
      <c r="C434" s="6" t="s">
        <v>548</v>
      </c>
      <c r="D434" s="6" t="s">
        <v>674</v>
      </c>
      <c r="E434" s="1" t="s">
        <v>727</v>
      </c>
      <c r="F434" s="1">
        <f t="shared" si="6"/>
        <v>0</v>
      </c>
      <c r="H434" s="4"/>
    </row>
    <row r="435" spans="1:8" x14ac:dyDescent="0.25">
      <c r="A435" s="6">
        <v>45725</v>
      </c>
      <c r="B435" s="6" t="s">
        <v>738</v>
      </c>
      <c r="C435" s="6" t="s">
        <v>548</v>
      </c>
      <c r="D435" s="6" t="s">
        <v>674</v>
      </c>
      <c r="E435" s="1" t="s">
        <v>727</v>
      </c>
      <c r="F435" s="1">
        <f t="shared" si="6"/>
        <v>0</v>
      </c>
      <c r="H435" s="4"/>
    </row>
    <row r="436" spans="1:8" x14ac:dyDescent="0.25">
      <c r="A436" s="6">
        <v>45726</v>
      </c>
      <c r="B436" s="6" t="s">
        <v>738</v>
      </c>
      <c r="C436" s="6" t="s">
        <v>548</v>
      </c>
      <c r="D436" s="6" t="s">
        <v>674</v>
      </c>
      <c r="F436" s="1">
        <f t="shared" si="6"/>
        <v>8</v>
      </c>
      <c r="H436" s="4"/>
    </row>
    <row r="437" spans="1:8" x14ac:dyDescent="0.25">
      <c r="A437" s="6">
        <v>45727</v>
      </c>
      <c r="B437" s="6" t="s">
        <v>738</v>
      </c>
      <c r="C437" s="6" t="s">
        <v>548</v>
      </c>
      <c r="D437" s="6" t="s">
        <v>674</v>
      </c>
      <c r="F437" s="1">
        <f t="shared" si="6"/>
        <v>8</v>
      </c>
      <c r="H437" s="4"/>
    </row>
    <row r="438" spans="1:8" x14ac:dyDescent="0.25">
      <c r="A438" s="6">
        <v>45728</v>
      </c>
      <c r="B438" s="6" t="s">
        <v>738</v>
      </c>
      <c r="C438" s="6" t="s">
        <v>548</v>
      </c>
      <c r="D438" s="6" t="s">
        <v>674</v>
      </c>
      <c r="F438" s="1">
        <f t="shared" si="6"/>
        <v>8</v>
      </c>
      <c r="H438" s="4"/>
    </row>
    <row r="439" spans="1:8" x14ac:dyDescent="0.25">
      <c r="A439" s="6">
        <v>45729</v>
      </c>
      <c r="B439" s="6" t="s">
        <v>738</v>
      </c>
      <c r="C439" s="6" t="s">
        <v>548</v>
      </c>
      <c r="D439" s="6" t="s">
        <v>674</v>
      </c>
      <c r="F439" s="1">
        <f t="shared" si="6"/>
        <v>8</v>
      </c>
      <c r="H439" s="4"/>
    </row>
    <row r="440" spans="1:8" x14ac:dyDescent="0.25">
      <c r="A440" s="6">
        <v>45730</v>
      </c>
      <c r="B440" s="6" t="s">
        <v>738</v>
      </c>
      <c r="C440" s="6" t="s">
        <v>548</v>
      </c>
      <c r="D440" s="6" t="s">
        <v>674</v>
      </c>
      <c r="F440" s="1">
        <f t="shared" si="6"/>
        <v>8</v>
      </c>
      <c r="H440" s="4"/>
    </row>
    <row r="441" spans="1:8" x14ac:dyDescent="0.25">
      <c r="A441" s="6">
        <v>45731</v>
      </c>
      <c r="B441" s="6" t="s">
        <v>739</v>
      </c>
      <c r="C441" s="6" t="s">
        <v>640</v>
      </c>
      <c r="D441" s="6" t="s">
        <v>674</v>
      </c>
      <c r="E441" s="1" t="s">
        <v>727</v>
      </c>
      <c r="F441" s="1">
        <f t="shared" si="6"/>
        <v>0</v>
      </c>
      <c r="H441" s="4"/>
    </row>
    <row r="442" spans="1:8" x14ac:dyDescent="0.25">
      <c r="A442" s="6">
        <v>45732</v>
      </c>
      <c r="B442" s="6" t="s">
        <v>739</v>
      </c>
      <c r="C442" s="6" t="s">
        <v>640</v>
      </c>
      <c r="D442" s="6" t="s">
        <v>674</v>
      </c>
      <c r="E442" s="1" t="s">
        <v>727</v>
      </c>
      <c r="F442" s="1">
        <f t="shared" si="6"/>
        <v>0</v>
      </c>
      <c r="H442" s="4"/>
    </row>
    <row r="443" spans="1:8" x14ac:dyDescent="0.25">
      <c r="A443" s="6">
        <v>45733</v>
      </c>
      <c r="B443" s="6" t="s">
        <v>739</v>
      </c>
      <c r="C443" s="6" t="s">
        <v>640</v>
      </c>
      <c r="D443" s="6" t="s">
        <v>674</v>
      </c>
      <c r="F443" s="1">
        <f t="shared" si="6"/>
        <v>8</v>
      </c>
      <c r="H443" s="4"/>
    </row>
    <row r="444" spans="1:8" x14ac:dyDescent="0.25">
      <c r="A444" s="6">
        <v>45734</v>
      </c>
      <c r="B444" s="6" t="s">
        <v>739</v>
      </c>
      <c r="C444" s="6" t="s">
        <v>640</v>
      </c>
      <c r="D444" s="6" t="s">
        <v>674</v>
      </c>
      <c r="F444" s="1">
        <f t="shared" si="6"/>
        <v>8</v>
      </c>
      <c r="H444" s="4"/>
    </row>
    <row r="445" spans="1:8" x14ac:dyDescent="0.25">
      <c r="A445" s="6">
        <v>45735</v>
      </c>
      <c r="B445" s="6" t="s">
        <v>739</v>
      </c>
      <c r="C445" s="6" t="s">
        <v>640</v>
      </c>
      <c r="D445" s="6" t="s">
        <v>674</v>
      </c>
      <c r="F445" s="1">
        <f t="shared" si="6"/>
        <v>8</v>
      </c>
      <c r="H445" s="4"/>
    </row>
    <row r="446" spans="1:8" x14ac:dyDescent="0.25">
      <c r="A446" s="6">
        <v>45736</v>
      </c>
      <c r="B446" s="6" t="s">
        <v>739</v>
      </c>
      <c r="C446" s="6" t="s">
        <v>640</v>
      </c>
      <c r="D446" s="6" t="s">
        <v>674</v>
      </c>
      <c r="F446" s="1">
        <f t="shared" si="6"/>
        <v>8</v>
      </c>
      <c r="H446" s="4"/>
    </row>
    <row r="447" spans="1:8" x14ac:dyDescent="0.25">
      <c r="A447" s="6">
        <v>45737</v>
      </c>
      <c r="B447" s="6" t="s">
        <v>739</v>
      </c>
      <c r="C447" s="6" t="s">
        <v>640</v>
      </c>
      <c r="D447" s="6" t="s">
        <v>674</v>
      </c>
      <c r="F447" s="1">
        <f t="shared" si="6"/>
        <v>8</v>
      </c>
      <c r="H447" s="4"/>
    </row>
    <row r="448" spans="1:8" x14ac:dyDescent="0.25">
      <c r="A448" s="6">
        <v>45738</v>
      </c>
      <c r="B448" s="6" t="s">
        <v>740</v>
      </c>
      <c r="C448" s="6" t="s">
        <v>642</v>
      </c>
      <c r="D448" s="6" t="s">
        <v>674</v>
      </c>
      <c r="E448" s="1" t="s">
        <v>727</v>
      </c>
      <c r="F448" s="1">
        <f t="shared" si="6"/>
        <v>0</v>
      </c>
      <c r="H448" s="4"/>
    </row>
    <row r="449" spans="1:8" x14ac:dyDescent="0.25">
      <c r="A449" s="6">
        <v>45739</v>
      </c>
      <c r="B449" s="6" t="s">
        <v>740</v>
      </c>
      <c r="C449" s="6" t="s">
        <v>642</v>
      </c>
      <c r="D449" s="6" t="s">
        <v>674</v>
      </c>
      <c r="E449" s="1" t="s">
        <v>727</v>
      </c>
      <c r="F449" s="1">
        <f t="shared" si="6"/>
        <v>0</v>
      </c>
      <c r="H449" s="4"/>
    </row>
    <row r="450" spans="1:8" x14ac:dyDescent="0.25">
      <c r="A450" s="6">
        <v>45740</v>
      </c>
      <c r="B450" s="6" t="s">
        <v>740</v>
      </c>
      <c r="C450" s="6" t="s">
        <v>642</v>
      </c>
      <c r="D450" s="6" t="s">
        <v>674</v>
      </c>
      <c r="F450" s="1">
        <f t="shared" ref="F450:F513" si="7">IF(OR(E450="",E450="调休"),8,0)</f>
        <v>8</v>
      </c>
      <c r="H450" s="4"/>
    </row>
    <row r="451" spans="1:8" x14ac:dyDescent="0.25">
      <c r="A451" s="6">
        <v>45741</v>
      </c>
      <c r="B451" s="6" t="s">
        <v>740</v>
      </c>
      <c r="C451" s="6" t="s">
        <v>642</v>
      </c>
      <c r="D451" s="6" t="s">
        <v>674</v>
      </c>
      <c r="F451" s="1">
        <f t="shared" si="7"/>
        <v>8</v>
      </c>
      <c r="H451" s="4"/>
    </row>
    <row r="452" spans="1:8" x14ac:dyDescent="0.25">
      <c r="A452" s="6">
        <v>45742</v>
      </c>
      <c r="B452" s="6" t="s">
        <v>740</v>
      </c>
      <c r="C452" s="6" t="s">
        <v>642</v>
      </c>
      <c r="D452" s="6" t="s">
        <v>674</v>
      </c>
      <c r="F452" s="1">
        <f t="shared" si="7"/>
        <v>8</v>
      </c>
      <c r="H452" s="4"/>
    </row>
    <row r="453" spans="1:8" x14ac:dyDescent="0.25">
      <c r="A453" s="6">
        <v>45743</v>
      </c>
      <c r="B453" s="6" t="s">
        <v>740</v>
      </c>
      <c r="C453" s="6" t="s">
        <v>642</v>
      </c>
      <c r="D453" s="6" t="s">
        <v>674</v>
      </c>
      <c r="F453" s="1">
        <f t="shared" si="7"/>
        <v>8</v>
      </c>
      <c r="H453" s="4"/>
    </row>
    <row r="454" spans="1:8" x14ac:dyDescent="0.25">
      <c r="A454" s="6">
        <v>45744</v>
      </c>
      <c r="B454" s="6" t="s">
        <v>740</v>
      </c>
      <c r="C454" s="6" t="s">
        <v>642</v>
      </c>
      <c r="D454" s="6" t="s">
        <v>674</v>
      </c>
      <c r="F454" s="1">
        <f t="shared" si="7"/>
        <v>8</v>
      </c>
      <c r="H454" s="4"/>
    </row>
    <row r="455" spans="1:8" x14ac:dyDescent="0.25">
      <c r="A455" s="6">
        <v>45745</v>
      </c>
      <c r="B455" s="6" t="s">
        <v>741</v>
      </c>
      <c r="C455" s="6" t="s">
        <v>644</v>
      </c>
      <c r="D455" s="6" t="s">
        <v>674</v>
      </c>
      <c r="E455" s="1" t="s">
        <v>727</v>
      </c>
      <c r="F455" s="1">
        <f t="shared" si="7"/>
        <v>0</v>
      </c>
      <c r="H455" s="4"/>
    </row>
    <row r="456" spans="1:8" x14ac:dyDescent="0.25">
      <c r="A456" s="6">
        <v>45746</v>
      </c>
      <c r="B456" s="6" t="s">
        <v>741</v>
      </c>
      <c r="C456" s="6" t="s">
        <v>644</v>
      </c>
      <c r="D456" s="6" t="s">
        <v>674</v>
      </c>
      <c r="E456" s="1" t="s">
        <v>727</v>
      </c>
      <c r="F456" s="1">
        <f t="shared" si="7"/>
        <v>0</v>
      </c>
      <c r="H456" s="4"/>
    </row>
    <row r="457" spans="1:8" x14ac:dyDescent="0.25">
      <c r="A457" s="6">
        <v>45747</v>
      </c>
      <c r="B457" s="6" t="s">
        <v>741</v>
      </c>
      <c r="C457" s="6" t="s">
        <v>644</v>
      </c>
      <c r="D457" s="6" t="s">
        <v>674</v>
      </c>
      <c r="F457" s="1">
        <f t="shared" si="7"/>
        <v>8</v>
      </c>
      <c r="H457" s="4"/>
    </row>
    <row r="458" spans="1:8" x14ac:dyDescent="0.25">
      <c r="A458" s="6">
        <v>45748</v>
      </c>
      <c r="B458" s="6" t="s">
        <v>741</v>
      </c>
      <c r="C458" s="6" t="s">
        <v>644</v>
      </c>
      <c r="D458" s="6" t="s">
        <v>674</v>
      </c>
      <c r="F458" s="1">
        <f t="shared" si="7"/>
        <v>8</v>
      </c>
      <c r="H458" s="4"/>
    </row>
    <row r="459" spans="1:8" x14ac:dyDescent="0.25">
      <c r="A459" s="6">
        <v>45749</v>
      </c>
      <c r="B459" s="6" t="s">
        <v>741</v>
      </c>
      <c r="C459" s="6" t="s">
        <v>644</v>
      </c>
      <c r="D459" s="6" t="s">
        <v>674</v>
      </c>
      <c r="F459" s="1">
        <f t="shared" si="7"/>
        <v>8</v>
      </c>
      <c r="H459" s="4"/>
    </row>
    <row r="460" spans="1:8" x14ac:dyDescent="0.25">
      <c r="A460" s="6">
        <v>45750</v>
      </c>
      <c r="B460" s="6" t="s">
        <v>741</v>
      </c>
      <c r="C460" s="6" t="s">
        <v>644</v>
      </c>
      <c r="D460" s="6" t="s">
        <v>674</v>
      </c>
      <c r="F460" s="1">
        <f t="shared" si="7"/>
        <v>8</v>
      </c>
      <c r="H460" s="4"/>
    </row>
    <row r="461" spans="1:8" x14ac:dyDescent="0.25">
      <c r="A461" s="6">
        <v>45751</v>
      </c>
      <c r="B461" s="6" t="s">
        <v>741</v>
      </c>
      <c r="C461" s="6" t="s">
        <v>644</v>
      </c>
      <c r="D461" s="6" t="s">
        <v>674</v>
      </c>
      <c r="E461" s="1" t="s">
        <v>742</v>
      </c>
      <c r="F461" s="1">
        <f t="shared" si="7"/>
        <v>0</v>
      </c>
      <c r="H461" s="4"/>
    </row>
    <row r="462" spans="1:8" x14ac:dyDescent="0.25">
      <c r="A462" s="6">
        <v>45752</v>
      </c>
      <c r="B462" s="6" t="s">
        <v>743</v>
      </c>
      <c r="C462" s="6" t="s">
        <v>647</v>
      </c>
      <c r="D462" s="6" t="s">
        <v>674</v>
      </c>
      <c r="E462" s="1" t="s">
        <v>727</v>
      </c>
      <c r="F462" s="1">
        <f t="shared" si="7"/>
        <v>0</v>
      </c>
      <c r="H462" s="4"/>
    </row>
    <row r="463" spans="1:8" x14ac:dyDescent="0.25">
      <c r="A463" s="6">
        <v>45753</v>
      </c>
      <c r="B463" s="6" t="s">
        <v>743</v>
      </c>
      <c r="C463" s="6" t="s">
        <v>647</v>
      </c>
      <c r="D463" s="6" t="s">
        <v>674</v>
      </c>
      <c r="E463" s="1" t="s">
        <v>727</v>
      </c>
      <c r="F463" s="1">
        <f t="shared" si="7"/>
        <v>0</v>
      </c>
      <c r="H463" s="4"/>
    </row>
    <row r="464" spans="1:8" x14ac:dyDescent="0.25">
      <c r="A464" s="6">
        <v>45754</v>
      </c>
      <c r="B464" s="6" t="s">
        <v>743</v>
      </c>
      <c r="C464" s="6" t="s">
        <v>647</v>
      </c>
      <c r="D464" s="6" t="s">
        <v>674</v>
      </c>
      <c r="F464" s="1">
        <f t="shared" si="7"/>
        <v>8</v>
      </c>
      <c r="H464" s="4"/>
    </row>
    <row r="465" spans="1:8" x14ac:dyDescent="0.25">
      <c r="A465" s="6">
        <v>45755</v>
      </c>
      <c r="B465" s="6" t="s">
        <v>743</v>
      </c>
      <c r="C465" s="6" t="s">
        <v>647</v>
      </c>
      <c r="D465" s="6" t="s">
        <v>674</v>
      </c>
      <c r="F465" s="1">
        <f t="shared" si="7"/>
        <v>8</v>
      </c>
      <c r="H465" s="4"/>
    </row>
    <row r="466" spans="1:8" x14ac:dyDescent="0.25">
      <c r="A466" s="6">
        <v>45756</v>
      </c>
      <c r="B466" s="6" t="s">
        <v>743</v>
      </c>
      <c r="C466" s="6" t="s">
        <v>647</v>
      </c>
      <c r="D466" s="6" t="s">
        <v>674</v>
      </c>
      <c r="F466" s="1">
        <f t="shared" si="7"/>
        <v>8</v>
      </c>
      <c r="H466" s="4"/>
    </row>
    <row r="467" spans="1:8" x14ac:dyDescent="0.25">
      <c r="A467" s="6">
        <v>45757</v>
      </c>
      <c r="B467" s="6" t="s">
        <v>743</v>
      </c>
      <c r="C467" s="6" t="s">
        <v>647</v>
      </c>
      <c r="D467" s="6" t="s">
        <v>674</v>
      </c>
      <c r="F467" s="1">
        <f t="shared" si="7"/>
        <v>8</v>
      </c>
      <c r="H467" s="4"/>
    </row>
    <row r="468" spans="1:8" x14ac:dyDescent="0.25">
      <c r="A468" s="6">
        <v>45758</v>
      </c>
      <c r="B468" s="6" t="s">
        <v>743</v>
      </c>
      <c r="C468" s="6" t="s">
        <v>647</v>
      </c>
      <c r="D468" s="6" t="s">
        <v>674</v>
      </c>
      <c r="F468" s="1">
        <f t="shared" si="7"/>
        <v>8</v>
      </c>
      <c r="H468" s="4"/>
    </row>
    <row r="469" spans="1:8" x14ac:dyDescent="0.25">
      <c r="A469" s="6">
        <v>45759</v>
      </c>
      <c r="B469" s="6" t="s">
        <v>744</v>
      </c>
      <c r="C469" s="6" t="s">
        <v>649</v>
      </c>
      <c r="D469" s="6" t="s">
        <v>674</v>
      </c>
      <c r="E469" s="1" t="s">
        <v>727</v>
      </c>
      <c r="F469" s="1">
        <f t="shared" si="7"/>
        <v>0</v>
      </c>
      <c r="H469" s="4"/>
    </row>
    <row r="470" spans="1:8" x14ac:dyDescent="0.25">
      <c r="A470" s="6">
        <v>45760</v>
      </c>
      <c r="B470" s="6" t="s">
        <v>744</v>
      </c>
      <c r="C470" s="6" t="s">
        <v>649</v>
      </c>
      <c r="D470" s="6" t="s">
        <v>674</v>
      </c>
      <c r="E470" s="1" t="s">
        <v>727</v>
      </c>
      <c r="F470" s="1">
        <f t="shared" si="7"/>
        <v>0</v>
      </c>
      <c r="H470" s="4"/>
    </row>
    <row r="471" spans="1:8" x14ac:dyDescent="0.25">
      <c r="A471" s="6">
        <v>45761</v>
      </c>
      <c r="B471" s="6" t="s">
        <v>744</v>
      </c>
      <c r="C471" s="6" t="s">
        <v>649</v>
      </c>
      <c r="D471" s="6" t="s">
        <v>674</v>
      </c>
      <c r="F471" s="1">
        <f t="shared" si="7"/>
        <v>8</v>
      </c>
      <c r="H471" s="4"/>
    </row>
    <row r="472" spans="1:8" x14ac:dyDescent="0.25">
      <c r="A472" s="6">
        <v>45762</v>
      </c>
      <c r="B472" s="6" t="s">
        <v>744</v>
      </c>
      <c r="C472" s="6" t="s">
        <v>649</v>
      </c>
      <c r="D472" s="6" t="s">
        <v>674</v>
      </c>
      <c r="F472" s="1">
        <f t="shared" si="7"/>
        <v>8</v>
      </c>
      <c r="H472" s="4"/>
    </row>
    <row r="473" spans="1:8" x14ac:dyDescent="0.25">
      <c r="A473" s="6">
        <v>45763</v>
      </c>
      <c r="B473" s="6" t="s">
        <v>744</v>
      </c>
      <c r="C473" s="6" t="s">
        <v>649</v>
      </c>
      <c r="D473" s="6" t="s">
        <v>674</v>
      </c>
      <c r="F473" s="1">
        <f t="shared" si="7"/>
        <v>8</v>
      </c>
      <c r="H473" s="4"/>
    </row>
    <row r="474" spans="1:8" x14ac:dyDescent="0.25">
      <c r="A474" s="6">
        <v>45764</v>
      </c>
      <c r="B474" s="6" t="s">
        <v>744</v>
      </c>
      <c r="C474" s="6" t="s">
        <v>649</v>
      </c>
      <c r="D474" s="6" t="s">
        <v>674</v>
      </c>
      <c r="F474" s="1">
        <f t="shared" si="7"/>
        <v>8</v>
      </c>
      <c r="H474" s="4"/>
    </row>
    <row r="475" spans="1:8" x14ac:dyDescent="0.25">
      <c r="A475" s="6">
        <v>45765</v>
      </c>
      <c r="B475" s="6" t="s">
        <v>744</v>
      </c>
      <c r="C475" s="6" t="s">
        <v>649</v>
      </c>
      <c r="D475" s="6" t="s">
        <v>674</v>
      </c>
      <c r="F475" s="1">
        <f t="shared" si="7"/>
        <v>8</v>
      </c>
      <c r="H475" s="4"/>
    </row>
    <row r="476" spans="1:8" x14ac:dyDescent="0.25">
      <c r="A476" s="6">
        <v>45766</v>
      </c>
      <c r="B476" s="6" t="s">
        <v>745</v>
      </c>
      <c r="C476" s="6" t="s">
        <v>651</v>
      </c>
      <c r="D476" s="6" t="s">
        <v>674</v>
      </c>
      <c r="E476" s="1" t="s">
        <v>727</v>
      </c>
      <c r="F476" s="1">
        <f t="shared" si="7"/>
        <v>0</v>
      </c>
      <c r="H476" s="4"/>
    </row>
    <row r="477" spans="1:8" x14ac:dyDescent="0.25">
      <c r="A477" s="6">
        <v>45767</v>
      </c>
      <c r="B477" s="6" t="s">
        <v>745</v>
      </c>
      <c r="C477" s="6" t="s">
        <v>651</v>
      </c>
      <c r="D477" s="6" t="s">
        <v>674</v>
      </c>
      <c r="E477" s="1" t="s">
        <v>727</v>
      </c>
      <c r="F477" s="1">
        <f t="shared" si="7"/>
        <v>0</v>
      </c>
      <c r="H477" s="4"/>
    </row>
    <row r="478" spans="1:8" x14ac:dyDescent="0.25">
      <c r="A478" s="6">
        <v>45768</v>
      </c>
      <c r="B478" s="6" t="s">
        <v>745</v>
      </c>
      <c r="C478" s="6" t="s">
        <v>651</v>
      </c>
      <c r="D478" s="6" t="s">
        <v>674</v>
      </c>
      <c r="F478" s="1">
        <f t="shared" si="7"/>
        <v>8</v>
      </c>
      <c r="H478" s="4"/>
    </row>
    <row r="479" spans="1:8" x14ac:dyDescent="0.25">
      <c r="A479" s="6">
        <v>45769</v>
      </c>
      <c r="B479" s="6" t="s">
        <v>745</v>
      </c>
      <c r="C479" s="6" t="s">
        <v>651</v>
      </c>
      <c r="D479" s="6" t="s">
        <v>674</v>
      </c>
      <c r="F479" s="1">
        <f t="shared" si="7"/>
        <v>8</v>
      </c>
      <c r="H479" s="4"/>
    </row>
    <row r="480" spans="1:8" x14ac:dyDescent="0.25">
      <c r="A480" s="6">
        <v>45770</v>
      </c>
      <c r="B480" s="6" t="s">
        <v>745</v>
      </c>
      <c r="C480" s="6" t="s">
        <v>651</v>
      </c>
      <c r="D480" s="6" t="s">
        <v>674</v>
      </c>
      <c r="F480" s="1">
        <f t="shared" si="7"/>
        <v>8</v>
      </c>
      <c r="H480" s="4"/>
    </row>
    <row r="481" spans="1:8" x14ac:dyDescent="0.25">
      <c r="A481" s="6">
        <v>45771</v>
      </c>
      <c r="B481" s="6" t="s">
        <v>745</v>
      </c>
      <c r="C481" s="6" t="s">
        <v>651</v>
      </c>
      <c r="D481" s="6" t="s">
        <v>674</v>
      </c>
      <c r="F481" s="1">
        <f t="shared" si="7"/>
        <v>8</v>
      </c>
      <c r="H481" s="4"/>
    </row>
    <row r="482" spans="1:8" x14ac:dyDescent="0.25">
      <c r="A482" s="6">
        <v>45772</v>
      </c>
      <c r="B482" s="6" t="s">
        <v>745</v>
      </c>
      <c r="C482" s="6" t="s">
        <v>651</v>
      </c>
      <c r="D482" s="6" t="s">
        <v>674</v>
      </c>
      <c r="F482" s="1">
        <f t="shared" si="7"/>
        <v>8</v>
      </c>
      <c r="H482" s="4"/>
    </row>
    <row r="483" spans="1:8" x14ac:dyDescent="0.25">
      <c r="A483" s="6">
        <v>45773</v>
      </c>
      <c r="B483" s="6" t="s">
        <v>746</v>
      </c>
      <c r="C483" s="6" t="s">
        <v>653</v>
      </c>
      <c r="D483" s="6" t="s">
        <v>674</v>
      </c>
      <c r="E483" s="1" t="s">
        <v>727</v>
      </c>
      <c r="F483" s="1">
        <f t="shared" si="7"/>
        <v>0</v>
      </c>
      <c r="H483" s="4"/>
    </row>
    <row r="484" spans="1:8" x14ac:dyDescent="0.25">
      <c r="A484" s="6">
        <v>45774</v>
      </c>
      <c r="B484" s="6" t="s">
        <v>746</v>
      </c>
      <c r="C484" s="6" t="s">
        <v>653</v>
      </c>
      <c r="D484" s="6" t="s">
        <v>674</v>
      </c>
      <c r="E484" s="1" t="s">
        <v>731</v>
      </c>
      <c r="F484" s="1">
        <f t="shared" si="7"/>
        <v>8</v>
      </c>
      <c r="H484" s="4"/>
    </row>
    <row r="485" spans="1:8" x14ac:dyDescent="0.25">
      <c r="A485" s="6">
        <v>45775</v>
      </c>
      <c r="B485" s="6" t="s">
        <v>746</v>
      </c>
      <c r="C485" s="6" t="s">
        <v>653</v>
      </c>
      <c r="D485" s="6" t="s">
        <v>674</v>
      </c>
      <c r="F485" s="1">
        <f t="shared" si="7"/>
        <v>8</v>
      </c>
      <c r="H485" s="4"/>
    </row>
    <row r="486" spans="1:8" x14ac:dyDescent="0.25">
      <c r="A486" s="6">
        <v>45776</v>
      </c>
      <c r="B486" s="6" t="s">
        <v>746</v>
      </c>
      <c r="C486" s="6" t="s">
        <v>653</v>
      </c>
      <c r="D486" s="6" t="s">
        <v>674</v>
      </c>
      <c r="F486" s="1">
        <f t="shared" si="7"/>
        <v>8</v>
      </c>
      <c r="H486" s="4"/>
    </row>
    <row r="487" spans="1:8" x14ac:dyDescent="0.25">
      <c r="A487" s="6">
        <v>45777</v>
      </c>
      <c r="B487" s="6" t="s">
        <v>746</v>
      </c>
      <c r="C487" s="6" t="s">
        <v>653</v>
      </c>
      <c r="D487" s="6" t="s">
        <v>674</v>
      </c>
      <c r="F487" s="1">
        <f t="shared" si="7"/>
        <v>8</v>
      </c>
      <c r="H487" s="4"/>
    </row>
    <row r="488" spans="1:8" x14ac:dyDescent="0.25">
      <c r="A488" s="6">
        <v>45778</v>
      </c>
      <c r="B488" s="6" t="s">
        <v>746</v>
      </c>
      <c r="C488" s="6" t="s">
        <v>653</v>
      </c>
      <c r="D488" s="6" t="s">
        <v>674</v>
      </c>
      <c r="E488" s="1" t="s">
        <v>747</v>
      </c>
      <c r="F488" s="1">
        <f t="shared" si="7"/>
        <v>0</v>
      </c>
      <c r="H488" s="4"/>
    </row>
    <row r="489" spans="1:8" x14ac:dyDescent="0.25">
      <c r="A489" s="6">
        <v>45779</v>
      </c>
      <c r="B489" s="6" t="s">
        <v>746</v>
      </c>
      <c r="C489" s="6" t="s">
        <v>653</v>
      </c>
      <c r="D489" s="6" t="s">
        <v>674</v>
      </c>
      <c r="E489" s="1" t="s">
        <v>747</v>
      </c>
      <c r="F489" s="1">
        <f t="shared" si="7"/>
        <v>0</v>
      </c>
      <c r="H489" s="4"/>
    </row>
    <row r="490" spans="1:8" x14ac:dyDescent="0.25">
      <c r="A490" s="6">
        <v>45780</v>
      </c>
      <c r="B490" s="6" t="s">
        <v>748</v>
      </c>
      <c r="C490" s="6" t="s">
        <v>656</v>
      </c>
      <c r="D490" s="6" t="s">
        <v>674</v>
      </c>
      <c r="E490" s="1" t="s">
        <v>727</v>
      </c>
      <c r="F490" s="1">
        <f t="shared" si="7"/>
        <v>0</v>
      </c>
      <c r="H490" s="4"/>
    </row>
    <row r="491" spans="1:8" x14ac:dyDescent="0.25">
      <c r="A491" s="6">
        <v>45781</v>
      </c>
      <c r="B491" s="6" t="s">
        <v>748</v>
      </c>
      <c r="C491" s="6" t="s">
        <v>656</v>
      </c>
      <c r="D491" s="6" t="s">
        <v>674</v>
      </c>
      <c r="E491" s="1" t="s">
        <v>727</v>
      </c>
      <c r="F491" s="1">
        <f t="shared" si="7"/>
        <v>0</v>
      </c>
      <c r="H491" s="4"/>
    </row>
    <row r="492" spans="1:8" x14ac:dyDescent="0.25">
      <c r="A492" s="6">
        <v>45782</v>
      </c>
      <c r="B492" s="6" t="s">
        <v>748</v>
      </c>
      <c r="C492" s="6" t="s">
        <v>656</v>
      </c>
      <c r="D492" s="6" t="s">
        <v>674</v>
      </c>
      <c r="E492" s="1" t="s">
        <v>747</v>
      </c>
      <c r="F492" s="1">
        <f t="shared" si="7"/>
        <v>0</v>
      </c>
      <c r="H492" s="4"/>
    </row>
    <row r="493" spans="1:8" x14ac:dyDescent="0.25">
      <c r="A493" s="6">
        <v>45783</v>
      </c>
      <c r="B493" s="6" t="s">
        <v>748</v>
      </c>
      <c r="C493" s="6" t="s">
        <v>656</v>
      </c>
      <c r="D493" s="6" t="s">
        <v>674</v>
      </c>
      <c r="F493" s="1">
        <f t="shared" si="7"/>
        <v>8</v>
      </c>
      <c r="H493" s="4"/>
    </row>
    <row r="494" spans="1:8" x14ac:dyDescent="0.25">
      <c r="A494" s="6">
        <v>45784</v>
      </c>
      <c r="B494" s="6" t="s">
        <v>748</v>
      </c>
      <c r="C494" s="6" t="s">
        <v>656</v>
      </c>
      <c r="D494" s="6" t="s">
        <v>674</v>
      </c>
      <c r="F494" s="1">
        <f t="shared" si="7"/>
        <v>8</v>
      </c>
      <c r="H494" s="4"/>
    </row>
    <row r="495" spans="1:8" x14ac:dyDescent="0.25">
      <c r="A495" s="6">
        <v>45785</v>
      </c>
      <c r="B495" s="6" t="s">
        <v>748</v>
      </c>
      <c r="C495" s="6" t="s">
        <v>656</v>
      </c>
      <c r="D495" s="6" t="s">
        <v>674</v>
      </c>
      <c r="F495" s="1">
        <f t="shared" si="7"/>
        <v>8</v>
      </c>
      <c r="H495" s="4"/>
    </row>
    <row r="496" spans="1:8" x14ac:dyDescent="0.25">
      <c r="A496" s="6">
        <v>45786</v>
      </c>
      <c r="B496" s="6" t="s">
        <v>748</v>
      </c>
      <c r="C496" s="6" t="s">
        <v>656</v>
      </c>
      <c r="D496" s="6" t="s">
        <v>674</v>
      </c>
      <c r="F496" s="1">
        <f t="shared" si="7"/>
        <v>8</v>
      </c>
      <c r="H496" s="4"/>
    </row>
    <row r="497" spans="1:8" x14ac:dyDescent="0.25">
      <c r="A497" s="6">
        <v>45787</v>
      </c>
      <c r="B497" s="6" t="s">
        <v>749</v>
      </c>
      <c r="C497" s="6" t="s">
        <v>658</v>
      </c>
      <c r="D497" s="6" t="s">
        <v>674</v>
      </c>
      <c r="E497" s="1" t="s">
        <v>727</v>
      </c>
      <c r="F497" s="1">
        <f t="shared" si="7"/>
        <v>0</v>
      </c>
      <c r="H497" s="4"/>
    </row>
    <row r="498" spans="1:8" x14ac:dyDescent="0.25">
      <c r="A498" s="6">
        <v>45788</v>
      </c>
      <c r="B498" s="6" t="s">
        <v>749</v>
      </c>
      <c r="C498" s="6" t="s">
        <v>658</v>
      </c>
      <c r="D498" s="6" t="s">
        <v>674</v>
      </c>
      <c r="E498" s="1" t="s">
        <v>727</v>
      </c>
      <c r="F498" s="1">
        <f t="shared" si="7"/>
        <v>0</v>
      </c>
      <c r="H498" s="4"/>
    </row>
    <row r="499" spans="1:8" x14ac:dyDescent="0.25">
      <c r="A499" s="6">
        <v>45789</v>
      </c>
      <c r="B499" s="6" t="s">
        <v>749</v>
      </c>
      <c r="C499" s="6" t="s">
        <v>658</v>
      </c>
      <c r="D499" s="6" t="s">
        <v>674</v>
      </c>
      <c r="F499" s="1">
        <f t="shared" si="7"/>
        <v>8</v>
      </c>
      <c r="H499" s="4"/>
    </row>
    <row r="500" spans="1:8" x14ac:dyDescent="0.25">
      <c r="A500" s="6">
        <v>45790</v>
      </c>
      <c r="B500" s="6" t="s">
        <v>749</v>
      </c>
      <c r="C500" s="6" t="s">
        <v>658</v>
      </c>
      <c r="D500" s="6" t="s">
        <v>674</v>
      </c>
      <c r="F500" s="1">
        <f t="shared" si="7"/>
        <v>8</v>
      </c>
      <c r="H500" s="4"/>
    </row>
    <row r="501" spans="1:8" x14ac:dyDescent="0.25">
      <c r="A501" s="6">
        <v>45791</v>
      </c>
      <c r="B501" s="6" t="s">
        <v>749</v>
      </c>
      <c r="C501" s="6" t="s">
        <v>658</v>
      </c>
      <c r="D501" s="6" t="s">
        <v>674</v>
      </c>
      <c r="F501" s="1">
        <f t="shared" si="7"/>
        <v>8</v>
      </c>
      <c r="H501" s="4"/>
    </row>
    <row r="502" spans="1:8" x14ac:dyDescent="0.25">
      <c r="A502" s="6">
        <v>45792</v>
      </c>
      <c r="B502" s="6" t="s">
        <v>749</v>
      </c>
      <c r="C502" s="6" t="s">
        <v>658</v>
      </c>
      <c r="D502" s="6" t="s">
        <v>674</v>
      </c>
      <c r="F502" s="1">
        <f t="shared" si="7"/>
        <v>8</v>
      </c>
      <c r="H502" s="4"/>
    </row>
    <row r="503" spans="1:8" x14ac:dyDescent="0.25">
      <c r="A503" s="6">
        <v>45793</v>
      </c>
      <c r="B503" s="6" t="s">
        <v>749</v>
      </c>
      <c r="C503" s="6" t="s">
        <v>658</v>
      </c>
      <c r="D503" s="6" t="s">
        <v>674</v>
      </c>
      <c r="F503" s="1">
        <f t="shared" si="7"/>
        <v>8</v>
      </c>
      <c r="H503" s="4"/>
    </row>
    <row r="504" spans="1:8" x14ac:dyDescent="0.25">
      <c r="A504" s="6">
        <v>45794</v>
      </c>
      <c r="B504" s="6" t="s">
        <v>750</v>
      </c>
      <c r="C504" s="6" t="s">
        <v>660</v>
      </c>
      <c r="D504" s="6" t="s">
        <v>674</v>
      </c>
      <c r="E504" s="1" t="s">
        <v>727</v>
      </c>
      <c r="F504" s="1">
        <f t="shared" si="7"/>
        <v>0</v>
      </c>
      <c r="H504" s="4"/>
    </row>
    <row r="505" spans="1:8" x14ac:dyDescent="0.25">
      <c r="A505" s="6">
        <v>45795</v>
      </c>
      <c r="B505" s="6" t="s">
        <v>750</v>
      </c>
      <c r="C505" s="6" t="s">
        <v>660</v>
      </c>
      <c r="D505" s="6" t="s">
        <v>674</v>
      </c>
      <c r="E505" s="1" t="s">
        <v>727</v>
      </c>
      <c r="F505" s="1">
        <f t="shared" si="7"/>
        <v>0</v>
      </c>
      <c r="H505" s="4"/>
    </row>
    <row r="506" spans="1:8" x14ac:dyDescent="0.25">
      <c r="A506" s="6">
        <v>45796</v>
      </c>
      <c r="B506" s="6" t="s">
        <v>750</v>
      </c>
      <c r="C506" s="6" t="s">
        <v>660</v>
      </c>
      <c r="D506" s="6" t="s">
        <v>674</v>
      </c>
      <c r="F506" s="1">
        <f t="shared" si="7"/>
        <v>8</v>
      </c>
      <c r="H506" s="4"/>
    </row>
    <row r="507" spans="1:8" x14ac:dyDescent="0.25">
      <c r="A507" s="6">
        <v>45797</v>
      </c>
      <c r="B507" s="6" t="s">
        <v>750</v>
      </c>
      <c r="C507" s="6" t="s">
        <v>660</v>
      </c>
      <c r="D507" s="6" t="s">
        <v>674</v>
      </c>
      <c r="F507" s="1">
        <f t="shared" si="7"/>
        <v>8</v>
      </c>
      <c r="H507" s="4"/>
    </row>
    <row r="508" spans="1:8" x14ac:dyDescent="0.25">
      <c r="A508" s="6">
        <v>45798</v>
      </c>
      <c r="B508" s="6" t="s">
        <v>750</v>
      </c>
      <c r="C508" s="6" t="s">
        <v>660</v>
      </c>
      <c r="D508" s="6" t="s">
        <v>674</v>
      </c>
      <c r="F508" s="1">
        <f t="shared" si="7"/>
        <v>8</v>
      </c>
      <c r="H508" s="4"/>
    </row>
    <row r="509" spans="1:8" x14ac:dyDescent="0.25">
      <c r="A509" s="6">
        <v>45799</v>
      </c>
      <c r="B509" s="6" t="s">
        <v>750</v>
      </c>
      <c r="C509" s="6" t="s">
        <v>660</v>
      </c>
      <c r="D509" s="6" t="s">
        <v>674</v>
      </c>
      <c r="F509" s="1">
        <f t="shared" si="7"/>
        <v>8</v>
      </c>
      <c r="H509" s="4"/>
    </row>
    <row r="510" spans="1:8" x14ac:dyDescent="0.25">
      <c r="A510" s="6">
        <v>45800</v>
      </c>
      <c r="B510" s="6" t="s">
        <v>750</v>
      </c>
      <c r="C510" s="6" t="s">
        <v>660</v>
      </c>
      <c r="D510" s="6" t="s">
        <v>674</v>
      </c>
      <c r="F510" s="1">
        <f t="shared" si="7"/>
        <v>8</v>
      </c>
      <c r="H510" s="4"/>
    </row>
    <row r="511" spans="1:8" x14ac:dyDescent="0.25">
      <c r="A511" s="6">
        <v>45801</v>
      </c>
      <c r="B511" s="6" t="s">
        <v>751</v>
      </c>
      <c r="C511" s="6" t="s">
        <v>662</v>
      </c>
      <c r="D511" s="6" t="s">
        <v>674</v>
      </c>
      <c r="E511" s="1" t="s">
        <v>727</v>
      </c>
      <c r="F511" s="1">
        <f t="shared" si="7"/>
        <v>0</v>
      </c>
      <c r="H511" s="4"/>
    </row>
    <row r="512" spans="1:8" x14ac:dyDescent="0.25">
      <c r="A512" s="6">
        <v>45802</v>
      </c>
      <c r="B512" s="6" t="s">
        <v>751</v>
      </c>
      <c r="C512" s="6" t="s">
        <v>662</v>
      </c>
      <c r="D512" s="6" t="s">
        <v>674</v>
      </c>
      <c r="E512" s="1" t="s">
        <v>727</v>
      </c>
      <c r="F512" s="1">
        <f t="shared" si="7"/>
        <v>0</v>
      </c>
      <c r="H512" s="4"/>
    </row>
    <row r="513" spans="1:8" x14ac:dyDescent="0.25">
      <c r="A513" s="6">
        <v>45803</v>
      </c>
      <c r="B513" s="6" t="s">
        <v>751</v>
      </c>
      <c r="C513" s="6" t="s">
        <v>662</v>
      </c>
      <c r="D513" s="6" t="s">
        <v>674</v>
      </c>
      <c r="F513" s="1">
        <f t="shared" si="7"/>
        <v>8</v>
      </c>
      <c r="H513" s="4"/>
    </row>
    <row r="514" spans="1:8" x14ac:dyDescent="0.25">
      <c r="A514" s="6">
        <v>45804</v>
      </c>
      <c r="B514" s="6" t="s">
        <v>751</v>
      </c>
      <c r="C514" s="6" t="s">
        <v>662</v>
      </c>
      <c r="D514" s="6" t="s">
        <v>674</v>
      </c>
      <c r="F514" s="1">
        <f t="shared" ref="F514:F577" si="8">IF(OR(E514="",E514="调休"),8,0)</f>
        <v>8</v>
      </c>
      <c r="H514" s="4"/>
    </row>
    <row r="515" spans="1:8" x14ac:dyDescent="0.25">
      <c r="A515" s="6">
        <v>45805</v>
      </c>
      <c r="B515" s="6" t="s">
        <v>751</v>
      </c>
      <c r="C515" s="6" t="s">
        <v>662</v>
      </c>
      <c r="D515" s="6" t="s">
        <v>674</v>
      </c>
      <c r="F515" s="1">
        <f t="shared" si="8"/>
        <v>8</v>
      </c>
      <c r="H515" s="4"/>
    </row>
    <row r="516" spans="1:8" x14ac:dyDescent="0.25">
      <c r="A516" s="6">
        <v>45806</v>
      </c>
      <c r="B516" s="6" t="s">
        <v>751</v>
      </c>
      <c r="C516" s="6" t="s">
        <v>662</v>
      </c>
      <c r="D516" s="6" t="s">
        <v>674</v>
      </c>
      <c r="F516" s="1">
        <f t="shared" si="8"/>
        <v>8</v>
      </c>
      <c r="H516" s="4"/>
    </row>
    <row r="517" spans="1:8" x14ac:dyDescent="0.25">
      <c r="A517" s="6">
        <v>45807</v>
      </c>
      <c r="B517" s="6" t="s">
        <v>751</v>
      </c>
      <c r="C517" s="6" t="s">
        <v>662</v>
      </c>
      <c r="D517" s="6" t="s">
        <v>674</v>
      </c>
      <c r="F517" s="1">
        <f t="shared" si="8"/>
        <v>8</v>
      </c>
      <c r="H517" s="4"/>
    </row>
    <row r="518" spans="1:8" x14ac:dyDescent="0.25">
      <c r="A518" s="6">
        <v>45808</v>
      </c>
      <c r="B518" s="6" t="s">
        <v>752</v>
      </c>
      <c r="C518" s="6" t="s">
        <v>664</v>
      </c>
      <c r="D518" s="6" t="s">
        <v>674</v>
      </c>
      <c r="E518" s="1" t="s">
        <v>727</v>
      </c>
      <c r="F518" s="1">
        <f t="shared" si="8"/>
        <v>0</v>
      </c>
      <c r="H518" s="4"/>
    </row>
    <row r="519" spans="1:8" x14ac:dyDescent="0.25">
      <c r="A519" s="6">
        <v>45809</v>
      </c>
      <c r="B519" s="6" t="s">
        <v>752</v>
      </c>
      <c r="C519" s="6" t="s">
        <v>664</v>
      </c>
      <c r="D519" s="6" t="s">
        <v>674</v>
      </c>
      <c r="E519" s="1" t="s">
        <v>727</v>
      </c>
      <c r="F519" s="1">
        <f t="shared" si="8"/>
        <v>0</v>
      </c>
      <c r="H519" s="4"/>
    </row>
    <row r="520" spans="1:8" x14ac:dyDescent="0.25">
      <c r="A520" s="6">
        <v>45810</v>
      </c>
      <c r="B520" s="6" t="s">
        <v>752</v>
      </c>
      <c r="C520" s="6" t="s">
        <v>664</v>
      </c>
      <c r="D520" s="6" t="s">
        <v>674</v>
      </c>
      <c r="E520" s="1" t="s">
        <v>753</v>
      </c>
      <c r="F520" s="1">
        <f t="shared" si="8"/>
        <v>0</v>
      </c>
      <c r="H520" s="4"/>
    </row>
    <row r="521" spans="1:8" x14ac:dyDescent="0.25">
      <c r="A521" s="6">
        <v>45811</v>
      </c>
      <c r="B521" s="6" t="s">
        <v>752</v>
      </c>
      <c r="C521" s="6" t="s">
        <v>664</v>
      </c>
      <c r="D521" s="6" t="s">
        <v>674</v>
      </c>
      <c r="F521" s="1">
        <f t="shared" si="8"/>
        <v>8</v>
      </c>
      <c r="H521" s="4"/>
    </row>
    <row r="522" spans="1:8" x14ac:dyDescent="0.25">
      <c r="A522" s="6">
        <v>45812</v>
      </c>
      <c r="B522" s="6" t="s">
        <v>752</v>
      </c>
      <c r="C522" s="6" t="s">
        <v>664</v>
      </c>
      <c r="D522" s="6" t="s">
        <v>674</v>
      </c>
      <c r="F522" s="1">
        <f t="shared" si="8"/>
        <v>8</v>
      </c>
      <c r="H522" s="4"/>
    </row>
    <row r="523" spans="1:8" x14ac:dyDescent="0.25">
      <c r="A523" s="6">
        <v>45813</v>
      </c>
      <c r="B523" s="6" t="s">
        <v>752</v>
      </c>
      <c r="C523" s="6" t="s">
        <v>664</v>
      </c>
      <c r="D523" s="6" t="s">
        <v>674</v>
      </c>
      <c r="F523" s="1">
        <f t="shared" si="8"/>
        <v>8</v>
      </c>
      <c r="H523" s="4"/>
    </row>
    <row r="524" spans="1:8" x14ac:dyDescent="0.25">
      <c r="A524" s="6">
        <v>45814</v>
      </c>
      <c r="B524" s="6" t="s">
        <v>752</v>
      </c>
      <c r="C524" s="6" t="s">
        <v>664</v>
      </c>
      <c r="D524" s="6" t="s">
        <v>674</v>
      </c>
      <c r="F524" s="1">
        <f t="shared" si="8"/>
        <v>8</v>
      </c>
      <c r="H524" s="4"/>
    </row>
    <row r="525" spans="1:8" x14ac:dyDescent="0.25">
      <c r="A525" s="6">
        <v>45815</v>
      </c>
      <c r="B525" s="6" t="s">
        <v>754</v>
      </c>
      <c r="C525" s="6" t="s">
        <v>666</v>
      </c>
      <c r="D525" s="6" t="s">
        <v>674</v>
      </c>
      <c r="E525" s="1" t="s">
        <v>727</v>
      </c>
      <c r="F525" s="1">
        <f t="shared" si="8"/>
        <v>0</v>
      </c>
      <c r="H525" s="4"/>
    </row>
    <row r="526" spans="1:8" x14ac:dyDescent="0.25">
      <c r="A526" s="6">
        <v>45816</v>
      </c>
      <c r="B526" s="6" t="s">
        <v>754</v>
      </c>
      <c r="C526" s="6" t="s">
        <v>666</v>
      </c>
      <c r="D526" s="6" t="s">
        <v>674</v>
      </c>
      <c r="E526" s="1" t="s">
        <v>727</v>
      </c>
      <c r="F526" s="1">
        <f t="shared" si="8"/>
        <v>0</v>
      </c>
      <c r="H526" s="4"/>
    </row>
    <row r="527" spans="1:8" x14ac:dyDescent="0.25">
      <c r="A527" s="6">
        <v>45817</v>
      </c>
      <c r="B527" s="6" t="s">
        <v>754</v>
      </c>
      <c r="C527" s="6" t="s">
        <v>666</v>
      </c>
      <c r="D527" s="6" t="s">
        <v>674</v>
      </c>
      <c r="F527" s="1">
        <f t="shared" si="8"/>
        <v>8</v>
      </c>
      <c r="H527" s="4"/>
    </row>
    <row r="528" spans="1:8" x14ac:dyDescent="0.25">
      <c r="A528" s="6">
        <v>45818</v>
      </c>
      <c r="B528" s="6" t="s">
        <v>754</v>
      </c>
      <c r="C528" s="6" t="s">
        <v>666</v>
      </c>
      <c r="D528" s="6" t="s">
        <v>674</v>
      </c>
      <c r="F528" s="1">
        <f t="shared" si="8"/>
        <v>8</v>
      </c>
      <c r="H528" s="4"/>
    </row>
    <row r="529" spans="1:8" x14ac:dyDescent="0.25">
      <c r="A529" s="6">
        <v>45819</v>
      </c>
      <c r="B529" s="6" t="s">
        <v>754</v>
      </c>
      <c r="C529" s="6" t="s">
        <v>666</v>
      </c>
      <c r="D529" s="6" t="s">
        <v>674</v>
      </c>
      <c r="F529" s="1">
        <f t="shared" si="8"/>
        <v>8</v>
      </c>
      <c r="H529" s="4"/>
    </row>
    <row r="530" spans="1:8" x14ac:dyDescent="0.25">
      <c r="A530" s="6">
        <v>45820</v>
      </c>
      <c r="B530" s="6" t="s">
        <v>754</v>
      </c>
      <c r="C530" s="6" t="s">
        <v>666</v>
      </c>
      <c r="D530" s="6" t="s">
        <v>674</v>
      </c>
      <c r="F530" s="1">
        <f t="shared" si="8"/>
        <v>8</v>
      </c>
      <c r="H530" s="4"/>
    </row>
    <row r="531" spans="1:8" x14ac:dyDescent="0.25">
      <c r="A531" s="6">
        <v>45821</v>
      </c>
      <c r="B531" s="6" t="s">
        <v>754</v>
      </c>
      <c r="C531" s="6" t="s">
        <v>666</v>
      </c>
      <c r="D531" s="6" t="s">
        <v>674</v>
      </c>
      <c r="F531" s="1">
        <f t="shared" si="8"/>
        <v>8</v>
      </c>
      <c r="H531" s="4"/>
    </row>
    <row r="532" spans="1:8" x14ac:dyDescent="0.25">
      <c r="A532" s="6">
        <v>45822</v>
      </c>
      <c r="B532" s="6" t="s">
        <v>755</v>
      </c>
      <c r="C532" s="6" t="s">
        <v>669</v>
      </c>
      <c r="D532" s="6" t="s">
        <v>674</v>
      </c>
      <c r="E532" s="1" t="s">
        <v>727</v>
      </c>
      <c r="F532" s="1">
        <f t="shared" si="8"/>
        <v>0</v>
      </c>
      <c r="H532" s="4"/>
    </row>
    <row r="533" spans="1:8" x14ac:dyDescent="0.25">
      <c r="A533" s="6">
        <v>45823</v>
      </c>
      <c r="B533" s="6" t="s">
        <v>755</v>
      </c>
      <c r="C533" s="6" t="s">
        <v>669</v>
      </c>
      <c r="D533" s="6" t="s">
        <v>674</v>
      </c>
      <c r="E533" s="1" t="s">
        <v>727</v>
      </c>
      <c r="F533" s="1">
        <f t="shared" si="8"/>
        <v>0</v>
      </c>
      <c r="H533" s="4"/>
    </row>
    <row r="534" spans="1:8" x14ac:dyDescent="0.25">
      <c r="A534" s="6">
        <v>45824</v>
      </c>
      <c r="B534" s="6" t="s">
        <v>755</v>
      </c>
      <c r="C534" s="6" t="s">
        <v>669</v>
      </c>
      <c r="D534" s="6" t="s">
        <v>674</v>
      </c>
      <c r="F534" s="1">
        <f t="shared" si="8"/>
        <v>8</v>
      </c>
      <c r="H534" s="4"/>
    </row>
    <row r="535" spans="1:8" x14ac:dyDescent="0.25">
      <c r="A535" s="6">
        <v>45825</v>
      </c>
      <c r="B535" s="6" t="s">
        <v>755</v>
      </c>
      <c r="C535" s="6" t="s">
        <v>669</v>
      </c>
      <c r="D535" s="6" t="s">
        <v>674</v>
      </c>
      <c r="F535" s="1">
        <f t="shared" si="8"/>
        <v>8</v>
      </c>
      <c r="H535" s="4"/>
    </row>
    <row r="536" spans="1:8" x14ac:dyDescent="0.25">
      <c r="A536" s="6">
        <v>45826</v>
      </c>
      <c r="B536" s="6" t="s">
        <v>755</v>
      </c>
      <c r="C536" s="6" t="s">
        <v>669</v>
      </c>
      <c r="D536" s="6" t="s">
        <v>674</v>
      </c>
      <c r="F536" s="1">
        <f t="shared" si="8"/>
        <v>8</v>
      </c>
      <c r="H536" s="4"/>
    </row>
    <row r="537" spans="1:8" x14ac:dyDescent="0.25">
      <c r="A537" s="6">
        <v>45827</v>
      </c>
      <c r="B537" s="6" t="s">
        <v>755</v>
      </c>
      <c r="C537" s="6" t="s">
        <v>669</v>
      </c>
      <c r="D537" s="6" t="s">
        <v>674</v>
      </c>
      <c r="F537" s="1">
        <f t="shared" si="8"/>
        <v>8</v>
      </c>
      <c r="H537" s="4"/>
    </row>
    <row r="538" spans="1:8" x14ac:dyDescent="0.25">
      <c r="A538" s="6">
        <v>45828</v>
      </c>
      <c r="B538" s="6" t="s">
        <v>755</v>
      </c>
      <c r="C538" s="6" t="s">
        <v>669</v>
      </c>
      <c r="D538" s="6" t="s">
        <v>674</v>
      </c>
      <c r="F538" s="1">
        <f t="shared" si="8"/>
        <v>8</v>
      </c>
      <c r="H538" s="4"/>
    </row>
    <row r="539" spans="1:8" x14ac:dyDescent="0.25">
      <c r="A539" s="6">
        <v>45829</v>
      </c>
      <c r="B539" s="6" t="s">
        <v>756</v>
      </c>
      <c r="C539" s="6" t="s">
        <v>671</v>
      </c>
      <c r="D539" s="6" t="s">
        <v>674</v>
      </c>
      <c r="E539" s="1" t="s">
        <v>727</v>
      </c>
      <c r="F539" s="1">
        <f t="shared" si="8"/>
        <v>0</v>
      </c>
      <c r="H539" s="4"/>
    </row>
    <row r="540" spans="1:8" x14ac:dyDescent="0.25">
      <c r="A540" s="6">
        <v>45830</v>
      </c>
      <c r="B540" s="6" t="s">
        <v>756</v>
      </c>
      <c r="C540" s="6" t="s">
        <v>671</v>
      </c>
      <c r="D540" s="6" t="s">
        <v>674</v>
      </c>
      <c r="E540" s="1" t="s">
        <v>727</v>
      </c>
      <c r="F540" s="1">
        <f t="shared" si="8"/>
        <v>0</v>
      </c>
      <c r="H540" s="4"/>
    </row>
    <row r="541" spans="1:8" x14ac:dyDescent="0.25">
      <c r="A541" s="6">
        <v>45831</v>
      </c>
      <c r="B541" s="6" t="s">
        <v>756</v>
      </c>
      <c r="C541" s="6" t="s">
        <v>671</v>
      </c>
      <c r="D541" s="6" t="s">
        <v>674</v>
      </c>
      <c r="F541" s="1">
        <f t="shared" si="8"/>
        <v>8</v>
      </c>
      <c r="H541" s="4"/>
    </row>
    <row r="542" spans="1:8" x14ac:dyDescent="0.25">
      <c r="A542" s="6">
        <v>45832</v>
      </c>
      <c r="B542" s="6" t="s">
        <v>756</v>
      </c>
      <c r="C542" s="6" t="s">
        <v>671</v>
      </c>
      <c r="D542" s="6" t="s">
        <v>674</v>
      </c>
      <c r="F542" s="1">
        <f t="shared" si="8"/>
        <v>8</v>
      </c>
      <c r="H542" s="4"/>
    </row>
    <row r="543" spans="1:8" x14ac:dyDescent="0.25">
      <c r="A543" s="6">
        <v>45833</v>
      </c>
      <c r="B543" s="6" t="s">
        <v>756</v>
      </c>
      <c r="C543" s="6" t="s">
        <v>671</v>
      </c>
      <c r="D543" s="6" t="s">
        <v>674</v>
      </c>
      <c r="F543" s="1">
        <f t="shared" si="8"/>
        <v>8</v>
      </c>
      <c r="H543" s="4"/>
    </row>
    <row r="544" spans="1:8" x14ac:dyDescent="0.25">
      <c r="A544" s="6">
        <v>45834</v>
      </c>
      <c r="B544" s="6" t="s">
        <v>756</v>
      </c>
      <c r="C544" s="6" t="s">
        <v>671</v>
      </c>
      <c r="D544" s="6" t="s">
        <v>674</v>
      </c>
      <c r="F544" s="1">
        <f t="shared" si="8"/>
        <v>8</v>
      </c>
      <c r="H544" s="4"/>
    </row>
    <row r="545" spans="1:8" x14ac:dyDescent="0.25">
      <c r="A545" s="6">
        <v>45835</v>
      </c>
      <c r="B545" s="6" t="s">
        <v>756</v>
      </c>
      <c r="C545" s="6" t="s">
        <v>671</v>
      </c>
      <c r="D545" s="6" t="s">
        <v>674</v>
      </c>
      <c r="F545" s="1">
        <f t="shared" si="8"/>
        <v>8</v>
      </c>
      <c r="H545" s="4"/>
    </row>
    <row r="546" spans="1:8" x14ac:dyDescent="0.25">
      <c r="A546" s="6">
        <v>45836</v>
      </c>
      <c r="B546" s="6" t="s">
        <v>757</v>
      </c>
      <c r="C546" s="6" t="s">
        <v>673</v>
      </c>
      <c r="D546" s="6" t="s">
        <v>758</v>
      </c>
      <c r="E546" s="1" t="s">
        <v>727</v>
      </c>
      <c r="F546" s="1">
        <f t="shared" si="8"/>
        <v>0</v>
      </c>
      <c r="H546" s="4"/>
    </row>
    <row r="547" spans="1:8" x14ac:dyDescent="0.25">
      <c r="A547" s="6">
        <v>45837</v>
      </c>
      <c r="B547" s="6" t="s">
        <v>757</v>
      </c>
      <c r="C547" s="6" t="s">
        <v>673</v>
      </c>
      <c r="D547" s="6" t="s">
        <v>758</v>
      </c>
      <c r="E547" s="1" t="s">
        <v>727</v>
      </c>
      <c r="F547" s="1">
        <f t="shared" si="8"/>
        <v>0</v>
      </c>
      <c r="H547" s="4"/>
    </row>
    <row r="548" spans="1:8" x14ac:dyDescent="0.25">
      <c r="A548" s="6">
        <v>45838</v>
      </c>
      <c r="B548" s="6" t="s">
        <v>757</v>
      </c>
      <c r="C548" s="6" t="s">
        <v>673</v>
      </c>
      <c r="D548" s="6" t="s">
        <v>758</v>
      </c>
      <c r="F548" s="1">
        <f t="shared" si="8"/>
        <v>8</v>
      </c>
      <c r="H548" s="4"/>
    </row>
    <row r="549" spans="1:8" x14ac:dyDescent="0.25">
      <c r="A549" s="6">
        <v>45839</v>
      </c>
      <c r="B549" s="6" t="s">
        <v>757</v>
      </c>
      <c r="C549" s="6" t="s">
        <v>673</v>
      </c>
      <c r="D549" s="6" t="s">
        <v>758</v>
      </c>
      <c r="F549" s="1">
        <f t="shared" si="8"/>
        <v>8</v>
      </c>
      <c r="H549" s="4"/>
    </row>
    <row r="550" spans="1:8" x14ac:dyDescent="0.25">
      <c r="A550" s="6">
        <v>45840</v>
      </c>
      <c r="B550" s="6" t="s">
        <v>757</v>
      </c>
      <c r="C550" s="6" t="s">
        <v>673</v>
      </c>
      <c r="D550" s="6" t="s">
        <v>758</v>
      </c>
      <c r="F550" s="1">
        <f t="shared" si="8"/>
        <v>8</v>
      </c>
      <c r="H550" s="4"/>
    </row>
    <row r="551" spans="1:8" x14ac:dyDescent="0.25">
      <c r="A551" s="6">
        <v>45841</v>
      </c>
      <c r="B551" s="6" t="s">
        <v>757</v>
      </c>
      <c r="C551" s="6" t="s">
        <v>673</v>
      </c>
      <c r="D551" s="6" t="s">
        <v>758</v>
      </c>
      <c r="F551" s="1">
        <f t="shared" si="8"/>
        <v>8</v>
      </c>
      <c r="H551" s="4"/>
    </row>
    <row r="552" spans="1:8" x14ac:dyDescent="0.25">
      <c r="A552" s="6">
        <v>45842</v>
      </c>
      <c r="B552" s="6" t="s">
        <v>757</v>
      </c>
      <c r="C552" s="6" t="s">
        <v>673</v>
      </c>
      <c r="D552" s="6" t="s">
        <v>758</v>
      </c>
      <c r="F552" s="1">
        <f t="shared" si="8"/>
        <v>8</v>
      </c>
      <c r="H552" s="4"/>
    </row>
    <row r="553" spans="1:8" x14ac:dyDescent="0.25">
      <c r="A553" s="6">
        <v>45843</v>
      </c>
      <c r="B553" s="6" t="s">
        <v>759</v>
      </c>
      <c r="C553" s="6" t="s">
        <v>676</v>
      </c>
      <c r="D553" s="6" t="s">
        <v>758</v>
      </c>
      <c r="E553" s="1" t="s">
        <v>727</v>
      </c>
      <c r="F553" s="1">
        <f t="shared" si="8"/>
        <v>0</v>
      </c>
      <c r="H553" s="4"/>
    </row>
    <row r="554" spans="1:8" x14ac:dyDescent="0.25">
      <c r="A554" s="6">
        <v>45844</v>
      </c>
      <c r="B554" s="6" t="s">
        <v>759</v>
      </c>
      <c r="C554" s="6" t="s">
        <v>676</v>
      </c>
      <c r="D554" s="6" t="s">
        <v>758</v>
      </c>
      <c r="E554" s="1" t="s">
        <v>727</v>
      </c>
      <c r="F554" s="1">
        <f t="shared" si="8"/>
        <v>0</v>
      </c>
      <c r="H554" s="4"/>
    </row>
    <row r="555" spans="1:8" x14ac:dyDescent="0.25">
      <c r="A555" s="6">
        <v>45845</v>
      </c>
      <c r="B555" s="6" t="s">
        <v>759</v>
      </c>
      <c r="C555" s="6" t="s">
        <v>676</v>
      </c>
      <c r="D555" s="6" t="s">
        <v>758</v>
      </c>
      <c r="F555" s="1">
        <f t="shared" si="8"/>
        <v>8</v>
      </c>
      <c r="H555" s="4"/>
    </row>
    <row r="556" spans="1:8" x14ac:dyDescent="0.25">
      <c r="A556" s="6">
        <v>45846</v>
      </c>
      <c r="B556" s="6" t="s">
        <v>759</v>
      </c>
      <c r="C556" s="6" t="s">
        <v>676</v>
      </c>
      <c r="D556" s="6" t="s">
        <v>758</v>
      </c>
      <c r="F556" s="1">
        <f t="shared" si="8"/>
        <v>8</v>
      </c>
      <c r="H556" s="4"/>
    </row>
    <row r="557" spans="1:8" x14ac:dyDescent="0.25">
      <c r="A557" s="6">
        <v>45847</v>
      </c>
      <c r="B557" s="6" t="s">
        <v>759</v>
      </c>
      <c r="C557" s="6" t="s">
        <v>676</v>
      </c>
      <c r="D557" s="6" t="s">
        <v>758</v>
      </c>
      <c r="F557" s="1">
        <f t="shared" si="8"/>
        <v>8</v>
      </c>
      <c r="H557" s="4"/>
    </row>
    <row r="558" spans="1:8" x14ac:dyDescent="0.25">
      <c r="A558" s="6">
        <v>45848</v>
      </c>
      <c r="B558" s="6" t="s">
        <v>759</v>
      </c>
      <c r="C558" s="6" t="s">
        <v>676</v>
      </c>
      <c r="D558" s="6" t="s">
        <v>758</v>
      </c>
      <c r="F558" s="1">
        <f t="shared" si="8"/>
        <v>8</v>
      </c>
      <c r="H558" s="4"/>
    </row>
    <row r="559" spans="1:8" x14ac:dyDescent="0.25">
      <c r="A559" s="6">
        <v>45849</v>
      </c>
      <c r="B559" s="6" t="s">
        <v>759</v>
      </c>
      <c r="C559" s="6" t="s">
        <v>676</v>
      </c>
      <c r="D559" s="6" t="s">
        <v>758</v>
      </c>
      <c r="F559" s="1">
        <f t="shared" si="8"/>
        <v>8</v>
      </c>
      <c r="H559" s="4"/>
    </row>
    <row r="560" spans="1:8" x14ac:dyDescent="0.25">
      <c r="A560" s="6">
        <v>45850</v>
      </c>
      <c r="B560" s="6" t="s">
        <v>760</v>
      </c>
      <c r="C560" s="6" t="s">
        <v>678</v>
      </c>
      <c r="D560" s="6" t="s">
        <v>758</v>
      </c>
      <c r="E560" s="1" t="s">
        <v>727</v>
      </c>
      <c r="F560" s="1">
        <f t="shared" si="8"/>
        <v>0</v>
      </c>
      <c r="H560" s="4"/>
    </row>
    <row r="561" spans="1:8" x14ac:dyDescent="0.25">
      <c r="A561" s="6">
        <v>45851</v>
      </c>
      <c r="B561" s="6" t="s">
        <v>760</v>
      </c>
      <c r="C561" s="6" t="s">
        <v>678</v>
      </c>
      <c r="D561" s="6" t="s">
        <v>758</v>
      </c>
      <c r="E561" s="1" t="s">
        <v>727</v>
      </c>
      <c r="F561" s="1">
        <f t="shared" si="8"/>
        <v>0</v>
      </c>
      <c r="H561" s="4"/>
    </row>
    <row r="562" spans="1:8" x14ac:dyDescent="0.25">
      <c r="A562" s="6">
        <v>45852</v>
      </c>
      <c r="B562" s="6" t="s">
        <v>760</v>
      </c>
      <c r="C562" s="6" t="s">
        <v>678</v>
      </c>
      <c r="D562" s="6" t="s">
        <v>758</v>
      </c>
      <c r="F562" s="1">
        <f t="shared" si="8"/>
        <v>8</v>
      </c>
      <c r="H562" s="4"/>
    </row>
    <row r="563" spans="1:8" x14ac:dyDescent="0.25">
      <c r="A563" s="6">
        <v>45853</v>
      </c>
      <c r="B563" s="6" t="s">
        <v>760</v>
      </c>
      <c r="C563" s="6" t="s">
        <v>678</v>
      </c>
      <c r="D563" s="6" t="s">
        <v>758</v>
      </c>
      <c r="F563" s="1">
        <f t="shared" si="8"/>
        <v>8</v>
      </c>
      <c r="H563" s="4"/>
    </row>
    <row r="564" spans="1:8" x14ac:dyDescent="0.25">
      <c r="A564" s="6">
        <v>45854</v>
      </c>
      <c r="B564" s="6" t="s">
        <v>760</v>
      </c>
      <c r="C564" s="6" t="s">
        <v>678</v>
      </c>
      <c r="D564" s="6" t="s">
        <v>758</v>
      </c>
      <c r="F564" s="1">
        <f t="shared" si="8"/>
        <v>8</v>
      </c>
      <c r="H564" s="4"/>
    </row>
    <row r="565" spans="1:8" x14ac:dyDescent="0.25">
      <c r="A565" s="6">
        <v>45855</v>
      </c>
      <c r="B565" s="6" t="s">
        <v>760</v>
      </c>
      <c r="C565" s="6" t="s">
        <v>678</v>
      </c>
      <c r="D565" s="6" t="s">
        <v>758</v>
      </c>
      <c r="F565" s="1">
        <f t="shared" si="8"/>
        <v>8</v>
      </c>
      <c r="H565" s="4"/>
    </row>
    <row r="566" spans="1:8" x14ac:dyDescent="0.25">
      <c r="A566" s="6">
        <v>45856</v>
      </c>
      <c r="B566" s="6" t="s">
        <v>760</v>
      </c>
      <c r="C566" s="6" t="s">
        <v>678</v>
      </c>
      <c r="D566" s="6" t="s">
        <v>758</v>
      </c>
      <c r="F566" s="1">
        <f t="shared" si="8"/>
        <v>8</v>
      </c>
      <c r="H566" s="4"/>
    </row>
    <row r="567" spans="1:8" x14ac:dyDescent="0.25">
      <c r="A567" s="6">
        <v>45857</v>
      </c>
      <c r="B567" s="6" t="s">
        <v>761</v>
      </c>
      <c r="C567" s="6" t="s">
        <v>680</v>
      </c>
      <c r="D567" s="6" t="s">
        <v>758</v>
      </c>
      <c r="E567" s="1" t="s">
        <v>727</v>
      </c>
      <c r="F567" s="1">
        <f t="shared" si="8"/>
        <v>0</v>
      </c>
      <c r="H567" s="4"/>
    </row>
    <row r="568" spans="1:8" x14ac:dyDescent="0.25">
      <c r="A568" s="6">
        <v>45858</v>
      </c>
      <c r="B568" s="6" t="s">
        <v>761</v>
      </c>
      <c r="C568" s="6" t="s">
        <v>680</v>
      </c>
      <c r="D568" s="6" t="s">
        <v>758</v>
      </c>
      <c r="E568" s="1" t="s">
        <v>727</v>
      </c>
      <c r="F568" s="1">
        <f t="shared" si="8"/>
        <v>0</v>
      </c>
      <c r="H568" s="4"/>
    </row>
    <row r="569" spans="1:8" x14ac:dyDescent="0.25">
      <c r="A569" s="6">
        <v>45859</v>
      </c>
      <c r="B569" s="6" t="s">
        <v>761</v>
      </c>
      <c r="C569" s="6" t="s">
        <v>680</v>
      </c>
      <c r="D569" s="6" t="s">
        <v>758</v>
      </c>
      <c r="F569" s="1">
        <f t="shared" si="8"/>
        <v>8</v>
      </c>
      <c r="H569" s="4"/>
    </row>
    <row r="570" spans="1:8" x14ac:dyDescent="0.25">
      <c r="A570" s="6">
        <v>45860</v>
      </c>
      <c r="B570" s="6" t="s">
        <v>761</v>
      </c>
      <c r="C570" s="6" t="s">
        <v>680</v>
      </c>
      <c r="D570" s="6" t="s">
        <v>758</v>
      </c>
      <c r="F570" s="1">
        <f t="shared" si="8"/>
        <v>8</v>
      </c>
      <c r="H570" s="4"/>
    </row>
    <row r="571" spans="1:8" x14ac:dyDescent="0.25">
      <c r="A571" s="6">
        <v>45861</v>
      </c>
      <c r="B571" s="6" t="s">
        <v>761</v>
      </c>
      <c r="C571" s="6" t="s">
        <v>680</v>
      </c>
      <c r="D571" s="6" t="s">
        <v>758</v>
      </c>
      <c r="F571" s="1">
        <f t="shared" si="8"/>
        <v>8</v>
      </c>
      <c r="H571" s="4"/>
    </row>
    <row r="572" spans="1:8" x14ac:dyDescent="0.25">
      <c r="A572" s="6">
        <v>45862</v>
      </c>
      <c r="B572" s="6" t="s">
        <v>761</v>
      </c>
      <c r="C572" s="6" t="s">
        <v>680</v>
      </c>
      <c r="D572" s="6" t="s">
        <v>758</v>
      </c>
      <c r="F572" s="1">
        <f t="shared" si="8"/>
        <v>8</v>
      </c>
      <c r="H572" s="4"/>
    </row>
    <row r="573" spans="1:8" x14ac:dyDescent="0.25">
      <c r="A573" s="6">
        <v>45863</v>
      </c>
      <c r="B573" s="6" t="s">
        <v>761</v>
      </c>
      <c r="C573" s="6" t="s">
        <v>680</v>
      </c>
      <c r="D573" s="6" t="s">
        <v>758</v>
      </c>
      <c r="F573" s="1">
        <f t="shared" si="8"/>
        <v>8</v>
      </c>
      <c r="H573" s="4"/>
    </row>
    <row r="574" spans="1:8" x14ac:dyDescent="0.25">
      <c r="A574" s="6">
        <v>45864</v>
      </c>
      <c r="B574" s="6" t="s">
        <v>762</v>
      </c>
      <c r="C574" s="6" t="s">
        <v>682</v>
      </c>
      <c r="D574" s="6" t="s">
        <v>758</v>
      </c>
      <c r="E574" s="1" t="s">
        <v>727</v>
      </c>
      <c r="F574" s="1">
        <f t="shared" si="8"/>
        <v>0</v>
      </c>
      <c r="H574" s="4"/>
    </row>
    <row r="575" spans="1:8" x14ac:dyDescent="0.25">
      <c r="A575" s="6">
        <v>45865</v>
      </c>
      <c r="B575" s="6" t="s">
        <v>762</v>
      </c>
      <c r="C575" s="6" t="s">
        <v>682</v>
      </c>
      <c r="D575" s="6" t="s">
        <v>758</v>
      </c>
      <c r="E575" s="1" t="s">
        <v>727</v>
      </c>
      <c r="F575" s="1">
        <f t="shared" si="8"/>
        <v>0</v>
      </c>
      <c r="H575" s="4"/>
    </row>
    <row r="576" spans="1:8" x14ac:dyDescent="0.25">
      <c r="A576" s="6">
        <v>45866</v>
      </c>
      <c r="B576" s="6" t="s">
        <v>762</v>
      </c>
      <c r="C576" s="6" t="s">
        <v>682</v>
      </c>
      <c r="D576" s="6" t="s">
        <v>758</v>
      </c>
      <c r="F576" s="1">
        <f t="shared" si="8"/>
        <v>8</v>
      </c>
      <c r="H576" s="4"/>
    </row>
    <row r="577" spans="1:8" x14ac:dyDescent="0.25">
      <c r="A577" s="6">
        <v>45867</v>
      </c>
      <c r="B577" s="6" t="s">
        <v>762</v>
      </c>
      <c r="C577" s="6" t="s">
        <v>682</v>
      </c>
      <c r="D577" s="6" t="s">
        <v>758</v>
      </c>
      <c r="F577" s="1">
        <f t="shared" si="8"/>
        <v>8</v>
      </c>
      <c r="H577" s="4"/>
    </row>
    <row r="578" spans="1:8" x14ac:dyDescent="0.25">
      <c r="A578" s="6">
        <v>45868</v>
      </c>
      <c r="B578" s="6" t="s">
        <v>762</v>
      </c>
      <c r="C578" s="6" t="s">
        <v>682</v>
      </c>
      <c r="D578" s="6" t="s">
        <v>758</v>
      </c>
      <c r="F578" s="1">
        <f t="shared" ref="F578:F641" si="9">IF(OR(E578="",E578="调休"),8,0)</f>
        <v>8</v>
      </c>
      <c r="H578" s="4"/>
    </row>
    <row r="579" spans="1:8" x14ac:dyDescent="0.25">
      <c r="A579" s="6">
        <v>45869</v>
      </c>
      <c r="B579" s="6" t="s">
        <v>762</v>
      </c>
      <c r="C579" s="6" t="s">
        <v>682</v>
      </c>
      <c r="D579" s="6" t="s">
        <v>758</v>
      </c>
      <c r="F579" s="1">
        <f t="shared" si="9"/>
        <v>8</v>
      </c>
      <c r="H579" s="4"/>
    </row>
    <row r="580" spans="1:8" x14ac:dyDescent="0.25">
      <c r="A580" s="6">
        <v>45870</v>
      </c>
      <c r="B580" s="6" t="s">
        <v>762</v>
      </c>
      <c r="C580" s="6" t="s">
        <v>682</v>
      </c>
      <c r="D580" s="6" t="s">
        <v>758</v>
      </c>
      <c r="F580" s="1">
        <f t="shared" si="9"/>
        <v>8</v>
      </c>
      <c r="H580" s="4"/>
    </row>
    <row r="581" spans="1:8" x14ac:dyDescent="0.25">
      <c r="A581" s="6">
        <v>45871</v>
      </c>
      <c r="B581" s="6" t="s">
        <v>763</v>
      </c>
      <c r="C581" s="6" t="s">
        <v>684</v>
      </c>
      <c r="D581" s="6" t="s">
        <v>758</v>
      </c>
      <c r="E581" s="1" t="s">
        <v>727</v>
      </c>
      <c r="F581" s="1">
        <f t="shared" si="9"/>
        <v>0</v>
      </c>
      <c r="H581" s="4"/>
    </row>
    <row r="582" spans="1:8" x14ac:dyDescent="0.25">
      <c r="A582" s="6">
        <v>45872</v>
      </c>
      <c r="B582" s="6" t="s">
        <v>763</v>
      </c>
      <c r="C582" s="6" t="s">
        <v>684</v>
      </c>
      <c r="D582" s="6" t="s">
        <v>758</v>
      </c>
      <c r="E582" s="1" t="s">
        <v>727</v>
      </c>
      <c r="F582" s="1">
        <f t="shared" si="9"/>
        <v>0</v>
      </c>
      <c r="H582" s="4"/>
    </row>
    <row r="583" spans="1:8" x14ac:dyDescent="0.25">
      <c r="A583" s="6">
        <v>45873</v>
      </c>
      <c r="B583" s="6" t="s">
        <v>763</v>
      </c>
      <c r="C583" s="6" t="s">
        <v>684</v>
      </c>
      <c r="D583" s="6" t="s">
        <v>758</v>
      </c>
      <c r="F583" s="1">
        <f t="shared" si="9"/>
        <v>8</v>
      </c>
      <c r="H583" s="4"/>
    </row>
    <row r="584" spans="1:8" x14ac:dyDescent="0.25">
      <c r="A584" s="6">
        <v>45874</v>
      </c>
      <c r="B584" s="6" t="s">
        <v>763</v>
      </c>
      <c r="C584" s="6" t="s">
        <v>684</v>
      </c>
      <c r="D584" s="6" t="s">
        <v>758</v>
      </c>
      <c r="F584" s="1">
        <f t="shared" si="9"/>
        <v>8</v>
      </c>
      <c r="H584" s="4"/>
    </row>
    <row r="585" spans="1:8" x14ac:dyDescent="0.25">
      <c r="A585" s="6">
        <v>45875</v>
      </c>
      <c r="B585" s="6" t="s">
        <v>763</v>
      </c>
      <c r="C585" s="6" t="s">
        <v>684</v>
      </c>
      <c r="D585" s="6" t="s">
        <v>758</v>
      </c>
      <c r="F585" s="1">
        <f t="shared" si="9"/>
        <v>8</v>
      </c>
      <c r="H585" s="4"/>
    </row>
    <row r="586" spans="1:8" x14ac:dyDescent="0.25">
      <c r="A586" s="6">
        <v>45876</v>
      </c>
      <c r="B586" s="6" t="s">
        <v>763</v>
      </c>
      <c r="C586" s="6" t="s">
        <v>684</v>
      </c>
      <c r="D586" s="6" t="s">
        <v>758</v>
      </c>
      <c r="F586" s="1">
        <f t="shared" si="9"/>
        <v>8</v>
      </c>
      <c r="H586" s="4"/>
    </row>
    <row r="587" spans="1:8" x14ac:dyDescent="0.25">
      <c r="A587" s="6">
        <v>45877</v>
      </c>
      <c r="B587" s="6" t="s">
        <v>763</v>
      </c>
      <c r="C587" s="6" t="s">
        <v>684</v>
      </c>
      <c r="D587" s="6" t="s">
        <v>758</v>
      </c>
      <c r="F587" s="1">
        <f t="shared" si="9"/>
        <v>8</v>
      </c>
      <c r="H587" s="4"/>
    </row>
    <row r="588" spans="1:8" x14ac:dyDescent="0.25">
      <c r="A588" s="6">
        <v>45878</v>
      </c>
      <c r="B588" s="6" t="s">
        <v>764</v>
      </c>
      <c r="C588" s="6" t="s">
        <v>686</v>
      </c>
      <c r="D588" s="6" t="s">
        <v>758</v>
      </c>
      <c r="E588" s="1" t="s">
        <v>727</v>
      </c>
      <c r="F588" s="1">
        <f t="shared" si="9"/>
        <v>0</v>
      </c>
      <c r="H588" s="4"/>
    </row>
    <row r="589" spans="1:8" x14ac:dyDescent="0.25">
      <c r="A589" s="6">
        <v>45879</v>
      </c>
      <c r="B589" s="6" t="s">
        <v>764</v>
      </c>
      <c r="C589" s="6" t="s">
        <v>686</v>
      </c>
      <c r="D589" s="6" t="s">
        <v>758</v>
      </c>
      <c r="E589" s="1" t="s">
        <v>727</v>
      </c>
      <c r="F589" s="1">
        <f t="shared" si="9"/>
        <v>0</v>
      </c>
      <c r="H589" s="4"/>
    </row>
    <row r="590" spans="1:8" x14ac:dyDescent="0.25">
      <c r="A590" s="6">
        <v>45880</v>
      </c>
      <c r="B590" s="6" t="s">
        <v>764</v>
      </c>
      <c r="C590" s="6" t="s">
        <v>686</v>
      </c>
      <c r="D590" s="6" t="s">
        <v>758</v>
      </c>
      <c r="F590" s="1">
        <f t="shared" si="9"/>
        <v>8</v>
      </c>
      <c r="H590" s="4"/>
    </row>
    <row r="591" spans="1:8" x14ac:dyDescent="0.25">
      <c r="A591" s="6">
        <v>45881</v>
      </c>
      <c r="B591" s="6" t="s">
        <v>764</v>
      </c>
      <c r="C591" s="6" t="s">
        <v>686</v>
      </c>
      <c r="D591" s="6" t="s">
        <v>758</v>
      </c>
      <c r="F591" s="1">
        <f t="shared" si="9"/>
        <v>8</v>
      </c>
      <c r="H591" s="4"/>
    </row>
    <row r="592" spans="1:8" x14ac:dyDescent="0.25">
      <c r="A592" s="6">
        <v>45882</v>
      </c>
      <c r="B592" s="6" t="s">
        <v>764</v>
      </c>
      <c r="C592" s="6" t="s">
        <v>686</v>
      </c>
      <c r="D592" s="6" t="s">
        <v>758</v>
      </c>
      <c r="F592" s="1">
        <f t="shared" si="9"/>
        <v>8</v>
      </c>
      <c r="H592" s="4"/>
    </row>
    <row r="593" spans="1:8" x14ac:dyDescent="0.25">
      <c r="A593" s="6">
        <v>45883</v>
      </c>
      <c r="B593" s="6" t="s">
        <v>764</v>
      </c>
      <c r="C593" s="6" t="s">
        <v>686</v>
      </c>
      <c r="D593" s="6" t="s">
        <v>758</v>
      </c>
      <c r="F593" s="1">
        <f t="shared" si="9"/>
        <v>8</v>
      </c>
      <c r="H593" s="4"/>
    </row>
    <row r="594" spans="1:8" x14ac:dyDescent="0.25">
      <c r="A594" s="6">
        <v>45884</v>
      </c>
      <c r="B594" s="6" t="s">
        <v>764</v>
      </c>
      <c r="C594" s="6" t="s">
        <v>686</v>
      </c>
      <c r="D594" s="6" t="s">
        <v>758</v>
      </c>
      <c r="F594" s="1">
        <f t="shared" si="9"/>
        <v>8</v>
      </c>
      <c r="H594" s="4"/>
    </row>
    <row r="595" spans="1:8" x14ac:dyDescent="0.25">
      <c r="A595" s="6">
        <v>45885</v>
      </c>
      <c r="B595" s="6" t="s">
        <v>765</v>
      </c>
      <c r="C595" s="6" t="s">
        <v>688</v>
      </c>
      <c r="D595" s="6" t="s">
        <v>758</v>
      </c>
      <c r="E595" s="1" t="s">
        <v>727</v>
      </c>
      <c r="F595" s="1">
        <f t="shared" si="9"/>
        <v>0</v>
      </c>
      <c r="H595" s="4"/>
    </row>
    <row r="596" spans="1:8" x14ac:dyDescent="0.25">
      <c r="A596" s="6">
        <v>45886</v>
      </c>
      <c r="B596" s="6" t="s">
        <v>765</v>
      </c>
      <c r="C596" s="6" t="s">
        <v>688</v>
      </c>
      <c r="D596" s="6" t="s">
        <v>758</v>
      </c>
      <c r="E596" s="1" t="s">
        <v>727</v>
      </c>
      <c r="F596" s="1">
        <f t="shared" si="9"/>
        <v>0</v>
      </c>
      <c r="H596" s="4"/>
    </row>
    <row r="597" spans="1:8" x14ac:dyDescent="0.25">
      <c r="A597" s="6">
        <v>45887</v>
      </c>
      <c r="B597" s="6" t="s">
        <v>765</v>
      </c>
      <c r="C597" s="6" t="s">
        <v>688</v>
      </c>
      <c r="D597" s="6" t="s">
        <v>758</v>
      </c>
      <c r="F597" s="1">
        <f t="shared" si="9"/>
        <v>8</v>
      </c>
      <c r="H597" s="4"/>
    </row>
    <row r="598" spans="1:8" x14ac:dyDescent="0.25">
      <c r="A598" s="6">
        <v>45888</v>
      </c>
      <c r="B598" s="6" t="s">
        <v>765</v>
      </c>
      <c r="C598" s="6" t="s">
        <v>688</v>
      </c>
      <c r="D598" s="6" t="s">
        <v>758</v>
      </c>
      <c r="F598" s="1">
        <f t="shared" si="9"/>
        <v>8</v>
      </c>
      <c r="H598" s="4"/>
    </row>
    <row r="599" spans="1:8" x14ac:dyDescent="0.25">
      <c r="A599" s="6">
        <v>45889</v>
      </c>
      <c r="B599" s="6" t="s">
        <v>765</v>
      </c>
      <c r="C599" s="6" t="s">
        <v>688</v>
      </c>
      <c r="D599" s="6" t="s">
        <v>758</v>
      </c>
      <c r="F599" s="1">
        <f t="shared" si="9"/>
        <v>8</v>
      </c>
      <c r="H599" s="4"/>
    </row>
    <row r="600" spans="1:8" x14ac:dyDescent="0.25">
      <c r="A600" s="6">
        <v>45890</v>
      </c>
      <c r="B600" s="6" t="s">
        <v>765</v>
      </c>
      <c r="C600" s="6" t="s">
        <v>688</v>
      </c>
      <c r="D600" s="6" t="s">
        <v>758</v>
      </c>
      <c r="F600" s="1">
        <f t="shared" si="9"/>
        <v>8</v>
      </c>
      <c r="H600" s="4"/>
    </row>
    <row r="601" spans="1:8" x14ac:dyDescent="0.25">
      <c r="A601" s="6">
        <v>45891</v>
      </c>
      <c r="B601" s="6" t="s">
        <v>765</v>
      </c>
      <c r="C601" s="6" t="s">
        <v>688</v>
      </c>
      <c r="D601" s="6" t="s">
        <v>758</v>
      </c>
      <c r="F601" s="1">
        <f t="shared" si="9"/>
        <v>8</v>
      </c>
      <c r="H601" s="4"/>
    </row>
    <row r="602" spans="1:8" x14ac:dyDescent="0.25">
      <c r="A602" s="6">
        <v>45892</v>
      </c>
      <c r="B602" s="6" t="s">
        <v>766</v>
      </c>
      <c r="C602" s="6" t="s">
        <v>690</v>
      </c>
      <c r="D602" s="6" t="s">
        <v>758</v>
      </c>
      <c r="E602" s="1" t="s">
        <v>727</v>
      </c>
      <c r="F602" s="1">
        <f t="shared" si="9"/>
        <v>0</v>
      </c>
      <c r="H602" s="4"/>
    </row>
    <row r="603" spans="1:8" x14ac:dyDescent="0.25">
      <c r="A603" s="6">
        <v>45893</v>
      </c>
      <c r="B603" s="6" t="s">
        <v>766</v>
      </c>
      <c r="C603" s="6" t="s">
        <v>690</v>
      </c>
      <c r="D603" s="6" t="s">
        <v>758</v>
      </c>
      <c r="E603" s="1" t="s">
        <v>727</v>
      </c>
      <c r="F603" s="1">
        <f t="shared" si="9"/>
        <v>0</v>
      </c>
      <c r="H603" s="4"/>
    </row>
    <row r="604" spans="1:8" x14ac:dyDescent="0.25">
      <c r="A604" s="6">
        <v>45894</v>
      </c>
      <c r="B604" s="6" t="s">
        <v>766</v>
      </c>
      <c r="C604" s="6" t="s">
        <v>690</v>
      </c>
      <c r="D604" s="6" t="s">
        <v>758</v>
      </c>
      <c r="F604" s="1">
        <f t="shared" si="9"/>
        <v>8</v>
      </c>
      <c r="H604" s="4"/>
    </row>
    <row r="605" spans="1:8" x14ac:dyDescent="0.25">
      <c r="A605" s="6">
        <v>45895</v>
      </c>
      <c r="B605" s="6" t="s">
        <v>766</v>
      </c>
      <c r="C605" s="6" t="s">
        <v>690</v>
      </c>
      <c r="D605" s="6" t="s">
        <v>758</v>
      </c>
      <c r="F605" s="1">
        <f t="shared" si="9"/>
        <v>8</v>
      </c>
      <c r="H605" s="4"/>
    </row>
    <row r="606" spans="1:8" x14ac:dyDescent="0.25">
      <c r="A606" s="6">
        <v>45896</v>
      </c>
      <c r="B606" s="6" t="s">
        <v>766</v>
      </c>
      <c r="C606" s="6" t="s">
        <v>690</v>
      </c>
      <c r="D606" s="6" t="s">
        <v>758</v>
      </c>
      <c r="F606" s="1">
        <f t="shared" si="9"/>
        <v>8</v>
      </c>
      <c r="H606" s="4"/>
    </row>
    <row r="607" spans="1:8" x14ac:dyDescent="0.25">
      <c r="A607" s="6">
        <v>45897</v>
      </c>
      <c r="B607" s="6" t="s">
        <v>766</v>
      </c>
      <c r="C607" s="6" t="s">
        <v>690</v>
      </c>
      <c r="D607" s="6" t="s">
        <v>758</v>
      </c>
      <c r="F607" s="1">
        <f t="shared" si="9"/>
        <v>8</v>
      </c>
      <c r="H607" s="4"/>
    </row>
    <row r="608" spans="1:8" x14ac:dyDescent="0.25">
      <c r="A608" s="6">
        <v>45898</v>
      </c>
      <c r="B608" s="6" t="s">
        <v>766</v>
      </c>
      <c r="C608" s="6" t="s">
        <v>690</v>
      </c>
      <c r="D608" s="6" t="s">
        <v>758</v>
      </c>
      <c r="F608" s="1">
        <f t="shared" si="9"/>
        <v>8</v>
      </c>
      <c r="H608" s="4"/>
    </row>
    <row r="609" spans="1:8" x14ac:dyDescent="0.25">
      <c r="A609" s="6">
        <v>45899</v>
      </c>
      <c r="B609" s="6" t="s">
        <v>767</v>
      </c>
      <c r="C609" s="6" t="s">
        <v>692</v>
      </c>
      <c r="D609" s="6" t="s">
        <v>758</v>
      </c>
      <c r="E609" s="1" t="s">
        <v>727</v>
      </c>
      <c r="F609" s="1">
        <f t="shared" si="9"/>
        <v>0</v>
      </c>
      <c r="H609" s="4"/>
    </row>
    <row r="610" spans="1:8" x14ac:dyDescent="0.25">
      <c r="A610" s="6">
        <v>45900</v>
      </c>
      <c r="B610" s="6" t="s">
        <v>767</v>
      </c>
      <c r="C610" s="6" t="s">
        <v>692</v>
      </c>
      <c r="D610" s="6" t="s">
        <v>758</v>
      </c>
      <c r="E610" s="1" t="s">
        <v>727</v>
      </c>
      <c r="F610" s="1">
        <f t="shared" si="9"/>
        <v>0</v>
      </c>
      <c r="H610" s="4"/>
    </row>
    <row r="611" spans="1:8" x14ac:dyDescent="0.25">
      <c r="A611" s="6">
        <v>45901</v>
      </c>
      <c r="B611" s="6" t="s">
        <v>767</v>
      </c>
      <c r="C611" s="6" t="s">
        <v>692</v>
      </c>
      <c r="D611" s="6" t="s">
        <v>758</v>
      </c>
      <c r="F611" s="1">
        <f t="shared" si="9"/>
        <v>8</v>
      </c>
      <c r="H611" s="4"/>
    </row>
    <row r="612" spans="1:8" x14ac:dyDescent="0.25">
      <c r="A612" s="6">
        <v>45902</v>
      </c>
      <c r="B612" s="6" t="s">
        <v>767</v>
      </c>
      <c r="C612" s="6" t="s">
        <v>692</v>
      </c>
      <c r="D612" s="6" t="s">
        <v>758</v>
      </c>
      <c r="F612" s="1">
        <f t="shared" si="9"/>
        <v>8</v>
      </c>
      <c r="H612" s="4"/>
    </row>
    <row r="613" spans="1:8" x14ac:dyDescent="0.25">
      <c r="A613" s="6">
        <v>45903</v>
      </c>
      <c r="B613" s="6" t="s">
        <v>767</v>
      </c>
      <c r="C613" s="6" t="s">
        <v>692</v>
      </c>
      <c r="D613" s="6" t="s">
        <v>758</v>
      </c>
      <c r="F613" s="1">
        <f t="shared" si="9"/>
        <v>8</v>
      </c>
      <c r="H613" s="4"/>
    </row>
    <row r="614" spans="1:8" x14ac:dyDescent="0.25">
      <c r="A614" s="6">
        <v>45904</v>
      </c>
      <c r="B614" s="6" t="s">
        <v>767</v>
      </c>
      <c r="C614" s="6" t="s">
        <v>692</v>
      </c>
      <c r="D614" s="6" t="s">
        <v>758</v>
      </c>
      <c r="F614" s="1">
        <f t="shared" si="9"/>
        <v>8</v>
      </c>
      <c r="H614" s="4"/>
    </row>
    <row r="615" spans="1:8" x14ac:dyDescent="0.25">
      <c r="A615" s="6">
        <v>45905</v>
      </c>
      <c r="B615" s="6" t="s">
        <v>767</v>
      </c>
      <c r="C615" s="6" t="s">
        <v>692</v>
      </c>
      <c r="D615" s="6" t="s">
        <v>758</v>
      </c>
      <c r="F615" s="1">
        <f t="shared" si="9"/>
        <v>8</v>
      </c>
      <c r="H615" s="4"/>
    </row>
    <row r="616" spans="1:8" x14ac:dyDescent="0.25">
      <c r="A616" s="6">
        <v>45906</v>
      </c>
      <c r="B616" s="6" t="s">
        <v>768</v>
      </c>
      <c r="C616" s="6" t="s">
        <v>694</v>
      </c>
      <c r="D616" s="6" t="s">
        <v>758</v>
      </c>
      <c r="E616" s="1" t="s">
        <v>727</v>
      </c>
      <c r="F616" s="1">
        <f t="shared" si="9"/>
        <v>0</v>
      </c>
      <c r="H616" s="4"/>
    </row>
    <row r="617" spans="1:8" x14ac:dyDescent="0.25">
      <c r="A617" s="6">
        <v>45907</v>
      </c>
      <c r="B617" s="6" t="s">
        <v>768</v>
      </c>
      <c r="C617" s="6" t="s">
        <v>694</v>
      </c>
      <c r="D617" s="6" t="s">
        <v>758</v>
      </c>
      <c r="E617" s="1" t="s">
        <v>727</v>
      </c>
      <c r="F617" s="1">
        <f t="shared" si="9"/>
        <v>0</v>
      </c>
      <c r="H617" s="4"/>
    </row>
    <row r="618" spans="1:8" x14ac:dyDescent="0.25">
      <c r="A618" s="6">
        <v>45908</v>
      </c>
      <c r="B618" s="6" t="s">
        <v>768</v>
      </c>
      <c r="C618" s="6" t="s">
        <v>694</v>
      </c>
      <c r="D618" s="6" t="s">
        <v>758</v>
      </c>
      <c r="F618" s="1">
        <f t="shared" si="9"/>
        <v>8</v>
      </c>
      <c r="H618" s="4"/>
    </row>
    <row r="619" spans="1:8" x14ac:dyDescent="0.25">
      <c r="A619" s="6">
        <v>45909</v>
      </c>
      <c r="B619" s="6" t="s">
        <v>768</v>
      </c>
      <c r="C619" s="6" t="s">
        <v>694</v>
      </c>
      <c r="D619" s="6" t="s">
        <v>758</v>
      </c>
      <c r="F619" s="1">
        <f t="shared" si="9"/>
        <v>8</v>
      </c>
      <c r="H619" s="4"/>
    </row>
    <row r="620" spans="1:8" x14ac:dyDescent="0.25">
      <c r="A620" s="6">
        <v>45910</v>
      </c>
      <c r="B620" s="6" t="s">
        <v>768</v>
      </c>
      <c r="C620" s="6" t="s">
        <v>694</v>
      </c>
      <c r="D620" s="6" t="s">
        <v>758</v>
      </c>
      <c r="F620" s="1">
        <f t="shared" si="9"/>
        <v>8</v>
      </c>
      <c r="H620" s="4"/>
    </row>
    <row r="621" spans="1:8" x14ac:dyDescent="0.25">
      <c r="A621" s="6">
        <v>45911</v>
      </c>
      <c r="B621" s="6" t="s">
        <v>768</v>
      </c>
      <c r="C621" s="6" t="s">
        <v>694</v>
      </c>
      <c r="D621" s="6" t="s">
        <v>758</v>
      </c>
      <c r="F621" s="1">
        <f t="shared" si="9"/>
        <v>8</v>
      </c>
      <c r="H621" s="4"/>
    </row>
    <row r="622" spans="1:8" x14ac:dyDescent="0.25">
      <c r="A622" s="6">
        <v>45912</v>
      </c>
      <c r="B622" s="6" t="s">
        <v>768</v>
      </c>
      <c r="C622" s="6" t="s">
        <v>694</v>
      </c>
      <c r="D622" s="6" t="s">
        <v>758</v>
      </c>
      <c r="F622" s="1">
        <f t="shared" si="9"/>
        <v>8</v>
      </c>
      <c r="H622" s="4"/>
    </row>
    <row r="623" spans="1:8" x14ac:dyDescent="0.25">
      <c r="A623" s="6">
        <v>45913</v>
      </c>
      <c r="B623" s="6" t="s">
        <v>769</v>
      </c>
      <c r="C623" s="6" t="s">
        <v>696</v>
      </c>
      <c r="D623" s="6" t="s">
        <v>758</v>
      </c>
      <c r="E623" s="1" t="s">
        <v>727</v>
      </c>
      <c r="F623" s="1">
        <f t="shared" si="9"/>
        <v>0</v>
      </c>
      <c r="H623" s="4"/>
    </row>
    <row r="624" spans="1:8" x14ac:dyDescent="0.25">
      <c r="A624" s="6">
        <v>45914</v>
      </c>
      <c r="B624" s="6" t="s">
        <v>769</v>
      </c>
      <c r="C624" s="6" t="s">
        <v>696</v>
      </c>
      <c r="D624" s="6" t="s">
        <v>758</v>
      </c>
      <c r="E624" s="1" t="s">
        <v>727</v>
      </c>
      <c r="F624" s="1">
        <f t="shared" si="9"/>
        <v>0</v>
      </c>
      <c r="H624" s="4"/>
    </row>
    <row r="625" spans="1:8" x14ac:dyDescent="0.25">
      <c r="A625" s="6">
        <v>45915</v>
      </c>
      <c r="B625" s="6" t="s">
        <v>769</v>
      </c>
      <c r="C625" s="6" t="s">
        <v>696</v>
      </c>
      <c r="D625" s="6" t="s">
        <v>758</v>
      </c>
      <c r="F625" s="1">
        <f t="shared" si="9"/>
        <v>8</v>
      </c>
      <c r="H625" s="4"/>
    </row>
    <row r="626" spans="1:8" x14ac:dyDescent="0.25">
      <c r="A626" s="6">
        <v>45916</v>
      </c>
      <c r="B626" s="6" t="s">
        <v>769</v>
      </c>
      <c r="C626" s="6" t="s">
        <v>696</v>
      </c>
      <c r="D626" s="6" t="s">
        <v>758</v>
      </c>
      <c r="F626" s="1">
        <f t="shared" si="9"/>
        <v>8</v>
      </c>
      <c r="H626" s="4"/>
    </row>
    <row r="627" spans="1:8" x14ac:dyDescent="0.25">
      <c r="A627" s="6">
        <v>45917</v>
      </c>
      <c r="B627" s="6" t="s">
        <v>769</v>
      </c>
      <c r="C627" s="6" t="s">
        <v>696</v>
      </c>
      <c r="D627" s="6" t="s">
        <v>758</v>
      </c>
      <c r="F627" s="1">
        <f t="shared" si="9"/>
        <v>8</v>
      </c>
      <c r="H627" s="4"/>
    </row>
    <row r="628" spans="1:8" x14ac:dyDescent="0.25">
      <c r="A628" s="6">
        <v>45918</v>
      </c>
      <c r="B628" s="6" t="s">
        <v>769</v>
      </c>
      <c r="C628" s="6" t="s">
        <v>696</v>
      </c>
      <c r="D628" s="6" t="s">
        <v>758</v>
      </c>
      <c r="F628" s="1">
        <f t="shared" si="9"/>
        <v>8</v>
      </c>
      <c r="H628" s="4"/>
    </row>
    <row r="629" spans="1:8" x14ac:dyDescent="0.25">
      <c r="A629" s="6">
        <v>45919</v>
      </c>
      <c r="B629" s="6" t="s">
        <v>769</v>
      </c>
      <c r="C629" s="6" t="s">
        <v>696</v>
      </c>
      <c r="D629" s="6" t="s">
        <v>758</v>
      </c>
      <c r="F629" s="1">
        <f t="shared" si="9"/>
        <v>8</v>
      </c>
      <c r="H629" s="4"/>
    </row>
    <row r="630" spans="1:8" x14ac:dyDescent="0.25">
      <c r="A630" s="6">
        <v>45920</v>
      </c>
      <c r="B630" s="6" t="s">
        <v>770</v>
      </c>
      <c r="C630" s="6" t="s">
        <v>699</v>
      </c>
      <c r="D630" s="6" t="s">
        <v>758</v>
      </c>
      <c r="E630" s="1" t="s">
        <v>727</v>
      </c>
      <c r="F630" s="1">
        <f t="shared" si="9"/>
        <v>0</v>
      </c>
      <c r="H630" s="4"/>
    </row>
    <row r="631" spans="1:8" x14ac:dyDescent="0.25">
      <c r="A631" s="6">
        <v>45921</v>
      </c>
      <c r="B631" s="6" t="s">
        <v>770</v>
      </c>
      <c r="C631" s="6" t="s">
        <v>699</v>
      </c>
      <c r="D631" s="6" t="s">
        <v>758</v>
      </c>
      <c r="E631" s="1" t="s">
        <v>727</v>
      </c>
      <c r="F631" s="1">
        <f t="shared" si="9"/>
        <v>0</v>
      </c>
      <c r="H631" s="4"/>
    </row>
    <row r="632" spans="1:8" x14ac:dyDescent="0.25">
      <c r="A632" s="6">
        <v>45922</v>
      </c>
      <c r="B632" s="6" t="s">
        <v>770</v>
      </c>
      <c r="C632" s="6" t="s">
        <v>699</v>
      </c>
      <c r="D632" s="6" t="s">
        <v>758</v>
      </c>
      <c r="F632" s="1">
        <f t="shared" si="9"/>
        <v>8</v>
      </c>
      <c r="H632" s="4"/>
    </row>
    <row r="633" spans="1:8" x14ac:dyDescent="0.25">
      <c r="A633" s="6">
        <v>45923</v>
      </c>
      <c r="B633" s="6" t="s">
        <v>770</v>
      </c>
      <c r="C633" s="6" t="s">
        <v>699</v>
      </c>
      <c r="D633" s="6" t="s">
        <v>758</v>
      </c>
      <c r="F633" s="1">
        <f t="shared" si="9"/>
        <v>8</v>
      </c>
      <c r="H633" s="4"/>
    </row>
    <row r="634" spans="1:8" x14ac:dyDescent="0.25">
      <c r="A634" s="6">
        <v>45924</v>
      </c>
      <c r="B634" s="6" t="s">
        <v>770</v>
      </c>
      <c r="C634" s="6" t="s">
        <v>699</v>
      </c>
      <c r="D634" s="6" t="s">
        <v>758</v>
      </c>
      <c r="F634" s="1">
        <f t="shared" si="9"/>
        <v>8</v>
      </c>
      <c r="H634" s="4"/>
    </row>
    <row r="635" spans="1:8" x14ac:dyDescent="0.25">
      <c r="A635" s="6">
        <v>45925</v>
      </c>
      <c r="B635" s="6" t="s">
        <v>770</v>
      </c>
      <c r="C635" s="6" t="s">
        <v>699</v>
      </c>
      <c r="D635" s="6" t="s">
        <v>758</v>
      </c>
      <c r="F635" s="1">
        <f t="shared" si="9"/>
        <v>8</v>
      </c>
      <c r="H635" s="4"/>
    </row>
    <row r="636" spans="1:8" x14ac:dyDescent="0.25">
      <c r="A636" s="6">
        <v>45926</v>
      </c>
      <c r="B636" s="6" t="s">
        <v>770</v>
      </c>
      <c r="C636" s="6" t="s">
        <v>699</v>
      </c>
      <c r="D636" s="6" t="s">
        <v>758</v>
      </c>
      <c r="F636" s="1">
        <f t="shared" si="9"/>
        <v>8</v>
      </c>
      <c r="H636" s="4"/>
    </row>
    <row r="637" spans="1:8" x14ac:dyDescent="0.25">
      <c r="A637" s="6">
        <v>45927</v>
      </c>
      <c r="B637" s="6" t="s">
        <v>771</v>
      </c>
      <c r="C637" s="6" t="s">
        <v>701</v>
      </c>
      <c r="D637" s="6" t="s">
        <v>758</v>
      </c>
      <c r="E637" s="1" t="s">
        <v>727</v>
      </c>
      <c r="F637" s="1">
        <f t="shared" si="9"/>
        <v>0</v>
      </c>
      <c r="H637" s="4"/>
    </row>
    <row r="638" spans="1:8" x14ac:dyDescent="0.25">
      <c r="A638" s="6">
        <v>45928</v>
      </c>
      <c r="B638" s="6" t="s">
        <v>771</v>
      </c>
      <c r="C638" s="6" t="s">
        <v>701</v>
      </c>
      <c r="D638" s="6" t="s">
        <v>758</v>
      </c>
      <c r="E638" s="1" t="s">
        <v>731</v>
      </c>
      <c r="F638" s="1">
        <f t="shared" si="9"/>
        <v>8</v>
      </c>
      <c r="H638" s="4"/>
    </row>
    <row r="639" spans="1:8" x14ac:dyDescent="0.25">
      <c r="A639" s="6">
        <v>45929</v>
      </c>
      <c r="B639" s="6" t="s">
        <v>771</v>
      </c>
      <c r="C639" s="6" t="s">
        <v>701</v>
      </c>
      <c r="D639" s="6" t="s">
        <v>758</v>
      </c>
      <c r="F639" s="1">
        <f t="shared" si="9"/>
        <v>8</v>
      </c>
      <c r="H639" s="4"/>
    </row>
    <row r="640" spans="1:8" x14ac:dyDescent="0.25">
      <c r="A640" s="6">
        <v>45930</v>
      </c>
      <c r="B640" s="6" t="s">
        <v>771</v>
      </c>
      <c r="C640" s="6" t="s">
        <v>701</v>
      </c>
      <c r="D640" s="6" t="s">
        <v>758</v>
      </c>
      <c r="F640" s="1">
        <f t="shared" si="9"/>
        <v>8</v>
      </c>
      <c r="H640" s="4"/>
    </row>
    <row r="641" spans="1:8" x14ac:dyDescent="0.25">
      <c r="A641" s="6">
        <v>45931</v>
      </c>
      <c r="B641" s="6" t="s">
        <v>771</v>
      </c>
      <c r="C641" s="6" t="s">
        <v>701</v>
      </c>
      <c r="D641" s="6" t="s">
        <v>758</v>
      </c>
      <c r="E641" s="1" t="s">
        <v>772</v>
      </c>
      <c r="F641" s="1">
        <f t="shared" si="9"/>
        <v>0</v>
      </c>
      <c r="H641" s="4"/>
    </row>
    <row r="642" spans="1:8" x14ac:dyDescent="0.25">
      <c r="A642" s="6">
        <v>45932</v>
      </c>
      <c r="B642" s="6" t="s">
        <v>771</v>
      </c>
      <c r="C642" s="6" t="s">
        <v>701</v>
      </c>
      <c r="D642" s="6" t="s">
        <v>758</v>
      </c>
      <c r="E642" s="1" t="s">
        <v>772</v>
      </c>
      <c r="F642" s="1">
        <f t="shared" ref="F642:F705" si="10">IF(OR(E642="",E642="调休"),8,0)</f>
        <v>0</v>
      </c>
      <c r="H642" s="4"/>
    </row>
    <row r="643" spans="1:8" x14ac:dyDescent="0.25">
      <c r="A643" s="6">
        <v>45933</v>
      </c>
      <c r="B643" s="6" t="s">
        <v>771</v>
      </c>
      <c r="C643" s="6" t="s">
        <v>701</v>
      </c>
      <c r="D643" s="6" t="s">
        <v>758</v>
      </c>
      <c r="E643" s="1" t="s">
        <v>772</v>
      </c>
      <c r="F643" s="1">
        <f t="shared" si="10"/>
        <v>0</v>
      </c>
      <c r="H643" s="4"/>
    </row>
    <row r="644" spans="1:8" x14ac:dyDescent="0.25">
      <c r="A644" s="6">
        <v>45934</v>
      </c>
      <c r="B644" s="6" t="s">
        <v>773</v>
      </c>
      <c r="C644" s="6" t="s">
        <v>704</v>
      </c>
      <c r="D644" s="6" t="s">
        <v>758</v>
      </c>
      <c r="E644" s="1" t="s">
        <v>727</v>
      </c>
      <c r="F644" s="1">
        <f t="shared" si="10"/>
        <v>0</v>
      </c>
      <c r="H644" s="4"/>
    </row>
    <row r="645" spans="1:8" x14ac:dyDescent="0.25">
      <c r="A645" s="6">
        <v>45935</v>
      </c>
      <c r="B645" s="6" t="s">
        <v>773</v>
      </c>
      <c r="C645" s="6" t="s">
        <v>704</v>
      </c>
      <c r="D645" s="6" t="s">
        <v>758</v>
      </c>
      <c r="E645" s="1" t="s">
        <v>727</v>
      </c>
      <c r="F645" s="1">
        <f t="shared" si="10"/>
        <v>0</v>
      </c>
      <c r="H645" s="4"/>
    </row>
    <row r="646" spans="1:8" x14ac:dyDescent="0.25">
      <c r="A646" s="6">
        <v>45936</v>
      </c>
      <c r="B646" s="6" t="s">
        <v>773</v>
      </c>
      <c r="C646" s="6" t="s">
        <v>704</v>
      </c>
      <c r="D646" s="6" t="s">
        <v>758</v>
      </c>
      <c r="E646" s="1" t="s">
        <v>772</v>
      </c>
      <c r="F646" s="1">
        <f t="shared" si="10"/>
        <v>0</v>
      </c>
      <c r="H646" s="4"/>
    </row>
    <row r="647" spans="1:8" x14ac:dyDescent="0.25">
      <c r="A647" s="6">
        <v>45937</v>
      </c>
      <c r="B647" s="6" t="s">
        <v>773</v>
      </c>
      <c r="C647" s="6" t="s">
        <v>704</v>
      </c>
      <c r="D647" s="6" t="s">
        <v>758</v>
      </c>
      <c r="E647" s="1" t="s">
        <v>772</v>
      </c>
      <c r="F647" s="1">
        <f t="shared" si="10"/>
        <v>0</v>
      </c>
      <c r="H647" s="4"/>
    </row>
    <row r="648" spans="1:8" x14ac:dyDescent="0.25">
      <c r="A648" s="6">
        <v>45938</v>
      </c>
      <c r="B648" s="6" t="s">
        <v>773</v>
      </c>
      <c r="C648" s="6" t="s">
        <v>704</v>
      </c>
      <c r="D648" s="6" t="s">
        <v>758</v>
      </c>
      <c r="E648" s="1" t="s">
        <v>772</v>
      </c>
      <c r="F648" s="1">
        <f t="shared" si="10"/>
        <v>0</v>
      </c>
      <c r="H648" s="4"/>
    </row>
    <row r="649" spans="1:8" x14ac:dyDescent="0.25">
      <c r="A649" s="6">
        <v>45939</v>
      </c>
      <c r="B649" s="6" t="s">
        <v>773</v>
      </c>
      <c r="C649" s="6" t="s">
        <v>704</v>
      </c>
      <c r="D649" s="6" t="s">
        <v>758</v>
      </c>
      <c r="F649" s="1">
        <f t="shared" si="10"/>
        <v>8</v>
      </c>
      <c r="H649" s="4"/>
    </row>
    <row r="650" spans="1:8" x14ac:dyDescent="0.25">
      <c r="A650" s="6">
        <v>45940</v>
      </c>
      <c r="B650" s="6" t="s">
        <v>773</v>
      </c>
      <c r="C650" s="6" t="s">
        <v>704</v>
      </c>
      <c r="D650" s="6" t="s">
        <v>758</v>
      </c>
      <c r="F650" s="1">
        <f t="shared" si="10"/>
        <v>8</v>
      </c>
      <c r="H650" s="4"/>
    </row>
    <row r="651" spans="1:8" x14ac:dyDescent="0.25">
      <c r="A651" s="6">
        <v>45941</v>
      </c>
      <c r="B651" s="6" t="s">
        <v>774</v>
      </c>
      <c r="C651" s="6" t="s">
        <v>706</v>
      </c>
      <c r="D651" s="6" t="s">
        <v>758</v>
      </c>
      <c r="E651" s="1" t="s">
        <v>731</v>
      </c>
      <c r="F651" s="1">
        <f t="shared" si="10"/>
        <v>8</v>
      </c>
      <c r="H651" s="4"/>
    </row>
    <row r="652" spans="1:8" x14ac:dyDescent="0.25">
      <c r="A652" s="6">
        <v>45942</v>
      </c>
      <c r="B652" s="6" t="s">
        <v>774</v>
      </c>
      <c r="C652" s="6" t="s">
        <v>706</v>
      </c>
      <c r="D652" s="6" t="s">
        <v>758</v>
      </c>
      <c r="E652" s="1" t="s">
        <v>727</v>
      </c>
      <c r="F652" s="1">
        <f t="shared" si="10"/>
        <v>0</v>
      </c>
      <c r="H652" s="4"/>
    </row>
    <row r="653" spans="1:8" x14ac:dyDescent="0.25">
      <c r="A653" s="6">
        <v>45943</v>
      </c>
      <c r="B653" s="6" t="s">
        <v>774</v>
      </c>
      <c r="C653" s="6" t="s">
        <v>706</v>
      </c>
      <c r="D653" s="6" t="s">
        <v>758</v>
      </c>
      <c r="F653" s="1">
        <f t="shared" si="10"/>
        <v>8</v>
      </c>
      <c r="H653" s="4"/>
    </row>
    <row r="654" spans="1:8" x14ac:dyDescent="0.25">
      <c r="A654" s="6">
        <v>45944</v>
      </c>
      <c r="B654" s="6" t="s">
        <v>774</v>
      </c>
      <c r="C654" s="6" t="s">
        <v>706</v>
      </c>
      <c r="D654" s="6" t="s">
        <v>758</v>
      </c>
      <c r="F654" s="1">
        <f t="shared" si="10"/>
        <v>8</v>
      </c>
      <c r="H654" s="4"/>
    </row>
    <row r="655" spans="1:8" x14ac:dyDescent="0.25">
      <c r="A655" s="6">
        <v>45945</v>
      </c>
      <c r="B655" s="6" t="s">
        <v>774</v>
      </c>
      <c r="C655" s="6" t="s">
        <v>706</v>
      </c>
      <c r="D655" s="6" t="s">
        <v>758</v>
      </c>
      <c r="F655" s="1">
        <f t="shared" si="10"/>
        <v>8</v>
      </c>
      <c r="H655" s="4"/>
    </row>
    <row r="656" spans="1:8" x14ac:dyDescent="0.25">
      <c r="A656" s="6">
        <v>45946</v>
      </c>
      <c r="B656" s="6" t="s">
        <v>774</v>
      </c>
      <c r="C656" s="6" t="s">
        <v>706</v>
      </c>
      <c r="D656" s="6" t="s">
        <v>758</v>
      </c>
      <c r="F656" s="1">
        <f t="shared" si="10"/>
        <v>8</v>
      </c>
      <c r="H656" s="4"/>
    </row>
    <row r="657" spans="1:8" x14ac:dyDescent="0.25">
      <c r="A657" s="6">
        <v>45947</v>
      </c>
      <c r="B657" s="6" t="s">
        <v>774</v>
      </c>
      <c r="C657" s="6" t="s">
        <v>706</v>
      </c>
      <c r="D657" s="6" t="s">
        <v>758</v>
      </c>
      <c r="F657" s="1">
        <f t="shared" si="10"/>
        <v>8</v>
      </c>
      <c r="H657" s="4"/>
    </row>
    <row r="658" spans="1:8" x14ac:dyDescent="0.25">
      <c r="A658" s="6">
        <v>45948</v>
      </c>
      <c r="B658" s="6" t="s">
        <v>775</v>
      </c>
      <c r="C658" s="6" t="s">
        <v>708</v>
      </c>
      <c r="D658" s="6" t="s">
        <v>758</v>
      </c>
      <c r="E658" s="1" t="s">
        <v>727</v>
      </c>
      <c r="F658" s="1">
        <f t="shared" si="10"/>
        <v>0</v>
      </c>
      <c r="H658" s="4"/>
    </row>
    <row r="659" spans="1:8" x14ac:dyDescent="0.25">
      <c r="A659" s="6">
        <v>45949</v>
      </c>
      <c r="B659" s="6" t="s">
        <v>775</v>
      </c>
      <c r="C659" s="6" t="s">
        <v>708</v>
      </c>
      <c r="D659" s="6" t="s">
        <v>758</v>
      </c>
      <c r="E659" s="1" t="s">
        <v>727</v>
      </c>
      <c r="F659" s="1">
        <f t="shared" si="10"/>
        <v>0</v>
      </c>
      <c r="H659" s="4"/>
    </row>
    <row r="660" spans="1:8" x14ac:dyDescent="0.25">
      <c r="A660" s="6">
        <v>45950</v>
      </c>
      <c r="B660" s="6" t="s">
        <v>775</v>
      </c>
      <c r="C660" s="6" t="s">
        <v>708</v>
      </c>
      <c r="D660" s="6" t="s">
        <v>758</v>
      </c>
      <c r="F660" s="1">
        <f t="shared" si="10"/>
        <v>8</v>
      </c>
      <c r="H660" s="4"/>
    </row>
    <row r="661" spans="1:8" x14ac:dyDescent="0.25">
      <c r="A661" s="6">
        <v>45951</v>
      </c>
      <c r="B661" s="6" t="s">
        <v>775</v>
      </c>
      <c r="C661" s="6" t="s">
        <v>708</v>
      </c>
      <c r="D661" s="6" t="s">
        <v>758</v>
      </c>
      <c r="F661" s="1">
        <f t="shared" si="10"/>
        <v>8</v>
      </c>
      <c r="H661" s="4"/>
    </row>
    <row r="662" spans="1:8" x14ac:dyDescent="0.25">
      <c r="A662" s="6">
        <v>45952</v>
      </c>
      <c r="B662" s="6" t="s">
        <v>775</v>
      </c>
      <c r="C662" s="6" t="s">
        <v>708</v>
      </c>
      <c r="D662" s="6" t="s">
        <v>758</v>
      </c>
      <c r="F662" s="1">
        <f t="shared" si="10"/>
        <v>8</v>
      </c>
      <c r="H662" s="4"/>
    </row>
    <row r="663" spans="1:8" x14ac:dyDescent="0.25">
      <c r="A663" s="6">
        <v>45953</v>
      </c>
      <c r="B663" s="6" t="s">
        <v>775</v>
      </c>
      <c r="C663" s="6" t="s">
        <v>708</v>
      </c>
      <c r="D663" s="6" t="s">
        <v>758</v>
      </c>
      <c r="F663" s="1">
        <f t="shared" si="10"/>
        <v>8</v>
      </c>
      <c r="H663" s="4"/>
    </row>
    <row r="664" spans="1:8" x14ac:dyDescent="0.25">
      <c r="A664" s="6">
        <v>45954</v>
      </c>
      <c r="B664" s="6" t="s">
        <v>775</v>
      </c>
      <c r="C664" s="6" t="s">
        <v>708</v>
      </c>
      <c r="D664" s="6" t="s">
        <v>758</v>
      </c>
      <c r="F664" s="1">
        <f t="shared" si="10"/>
        <v>8</v>
      </c>
      <c r="H664" s="4"/>
    </row>
    <row r="665" spans="1:8" x14ac:dyDescent="0.25">
      <c r="A665" s="6">
        <v>45955</v>
      </c>
      <c r="B665" s="6" t="s">
        <v>776</v>
      </c>
      <c r="C665" s="6" t="s">
        <v>710</v>
      </c>
      <c r="D665" s="6" t="s">
        <v>758</v>
      </c>
      <c r="E665" s="1" t="s">
        <v>727</v>
      </c>
      <c r="F665" s="1">
        <f t="shared" si="10"/>
        <v>0</v>
      </c>
      <c r="H665" s="4"/>
    </row>
    <row r="666" spans="1:8" x14ac:dyDescent="0.25">
      <c r="A666" s="6">
        <v>45956</v>
      </c>
      <c r="B666" s="6" t="s">
        <v>776</v>
      </c>
      <c r="C666" s="6" t="s">
        <v>710</v>
      </c>
      <c r="D666" s="6" t="s">
        <v>758</v>
      </c>
      <c r="E666" s="1" t="s">
        <v>727</v>
      </c>
      <c r="F666" s="1">
        <f t="shared" si="10"/>
        <v>0</v>
      </c>
      <c r="H666" s="4"/>
    </row>
    <row r="667" spans="1:8" x14ac:dyDescent="0.25">
      <c r="A667" s="6">
        <v>45957</v>
      </c>
      <c r="B667" s="6" t="s">
        <v>776</v>
      </c>
      <c r="C667" s="6" t="s">
        <v>710</v>
      </c>
      <c r="D667" s="6" t="s">
        <v>758</v>
      </c>
      <c r="F667" s="1">
        <f t="shared" si="10"/>
        <v>8</v>
      </c>
      <c r="H667" s="4"/>
    </row>
    <row r="668" spans="1:8" x14ac:dyDescent="0.25">
      <c r="A668" s="6">
        <v>45958</v>
      </c>
      <c r="B668" s="6" t="s">
        <v>776</v>
      </c>
      <c r="C668" s="6" t="s">
        <v>710</v>
      </c>
      <c r="D668" s="6" t="s">
        <v>758</v>
      </c>
      <c r="F668" s="1">
        <f t="shared" si="10"/>
        <v>8</v>
      </c>
      <c r="H668" s="4"/>
    </row>
    <row r="669" spans="1:8" x14ac:dyDescent="0.25">
      <c r="A669" s="6">
        <v>45959</v>
      </c>
      <c r="B669" s="6" t="s">
        <v>776</v>
      </c>
      <c r="C669" s="6" t="s">
        <v>710</v>
      </c>
      <c r="D669" s="6" t="s">
        <v>758</v>
      </c>
      <c r="F669" s="1">
        <f t="shared" si="10"/>
        <v>8</v>
      </c>
      <c r="H669" s="4"/>
    </row>
    <row r="670" spans="1:8" x14ac:dyDescent="0.25">
      <c r="A670" s="6">
        <v>45960</v>
      </c>
      <c r="B670" s="6" t="s">
        <v>776</v>
      </c>
      <c r="C670" s="6" t="s">
        <v>710</v>
      </c>
      <c r="D670" s="6" t="s">
        <v>758</v>
      </c>
      <c r="F670" s="1">
        <f t="shared" si="10"/>
        <v>8</v>
      </c>
      <c r="H670" s="4"/>
    </row>
    <row r="671" spans="1:8" x14ac:dyDescent="0.25">
      <c r="A671" s="6">
        <v>45961</v>
      </c>
      <c r="B671" s="6" t="s">
        <v>776</v>
      </c>
      <c r="C671" s="6" t="s">
        <v>710</v>
      </c>
      <c r="D671" s="6" t="s">
        <v>758</v>
      </c>
      <c r="F671" s="1">
        <f t="shared" si="10"/>
        <v>8</v>
      </c>
      <c r="H671" s="4"/>
    </row>
    <row r="672" spans="1:8" x14ac:dyDescent="0.25">
      <c r="A672" s="6">
        <v>45962</v>
      </c>
      <c r="B672" s="6" t="s">
        <v>777</v>
      </c>
      <c r="C672" s="6" t="s">
        <v>712</v>
      </c>
      <c r="D672" s="6" t="s">
        <v>758</v>
      </c>
      <c r="E672" s="1" t="s">
        <v>727</v>
      </c>
      <c r="F672" s="1">
        <f t="shared" si="10"/>
        <v>0</v>
      </c>
      <c r="H672" s="4"/>
    </row>
    <row r="673" spans="1:8" x14ac:dyDescent="0.25">
      <c r="A673" s="6">
        <v>45963</v>
      </c>
      <c r="B673" s="6" t="s">
        <v>777</v>
      </c>
      <c r="C673" s="6" t="s">
        <v>712</v>
      </c>
      <c r="D673" s="6" t="s">
        <v>758</v>
      </c>
      <c r="E673" s="1" t="s">
        <v>727</v>
      </c>
      <c r="F673" s="1">
        <f t="shared" si="10"/>
        <v>0</v>
      </c>
      <c r="H673" s="4"/>
    </row>
    <row r="674" spans="1:8" x14ac:dyDescent="0.25">
      <c r="A674" s="6">
        <v>45964</v>
      </c>
      <c r="B674" s="6" t="s">
        <v>777</v>
      </c>
      <c r="C674" s="6" t="s">
        <v>712</v>
      </c>
      <c r="D674" s="6" t="s">
        <v>758</v>
      </c>
      <c r="F674" s="1">
        <f t="shared" si="10"/>
        <v>8</v>
      </c>
      <c r="H674" s="4"/>
    </row>
    <row r="675" spans="1:8" x14ac:dyDescent="0.25">
      <c r="A675" s="6">
        <v>45965</v>
      </c>
      <c r="B675" s="6" t="s">
        <v>777</v>
      </c>
      <c r="C675" s="6" t="s">
        <v>712</v>
      </c>
      <c r="D675" s="6" t="s">
        <v>758</v>
      </c>
      <c r="F675" s="1">
        <f t="shared" si="10"/>
        <v>8</v>
      </c>
      <c r="H675" s="4"/>
    </row>
    <row r="676" spans="1:8" x14ac:dyDescent="0.25">
      <c r="A676" s="6">
        <v>45966</v>
      </c>
      <c r="B676" s="6" t="s">
        <v>777</v>
      </c>
      <c r="C676" s="6" t="s">
        <v>712</v>
      </c>
      <c r="D676" s="6" t="s">
        <v>758</v>
      </c>
      <c r="F676" s="1">
        <f t="shared" si="10"/>
        <v>8</v>
      </c>
      <c r="H676" s="4"/>
    </row>
    <row r="677" spans="1:8" x14ac:dyDescent="0.25">
      <c r="A677" s="6">
        <v>45967</v>
      </c>
      <c r="B677" s="6" t="s">
        <v>777</v>
      </c>
      <c r="C677" s="6" t="s">
        <v>712</v>
      </c>
      <c r="D677" s="6" t="s">
        <v>758</v>
      </c>
      <c r="F677" s="1">
        <f t="shared" si="10"/>
        <v>8</v>
      </c>
      <c r="H677" s="4"/>
    </row>
    <row r="678" spans="1:8" x14ac:dyDescent="0.25">
      <c r="A678" s="6">
        <v>45968</v>
      </c>
      <c r="B678" s="6" t="s">
        <v>777</v>
      </c>
      <c r="C678" s="6" t="s">
        <v>712</v>
      </c>
      <c r="D678" s="6" t="s">
        <v>758</v>
      </c>
      <c r="F678" s="1">
        <f t="shared" si="10"/>
        <v>8</v>
      </c>
      <c r="H678" s="4"/>
    </row>
    <row r="679" spans="1:8" x14ac:dyDescent="0.25">
      <c r="A679" s="6">
        <v>45969</v>
      </c>
      <c r="B679" s="6" t="s">
        <v>778</v>
      </c>
      <c r="C679" s="6" t="s">
        <v>714</v>
      </c>
      <c r="D679" s="6" t="s">
        <v>758</v>
      </c>
      <c r="E679" s="1" t="s">
        <v>727</v>
      </c>
      <c r="F679" s="1">
        <f t="shared" si="10"/>
        <v>0</v>
      </c>
      <c r="H679" s="4"/>
    </row>
    <row r="680" spans="1:8" x14ac:dyDescent="0.25">
      <c r="A680" s="6">
        <v>45970</v>
      </c>
      <c r="B680" s="6" t="s">
        <v>778</v>
      </c>
      <c r="C680" s="6" t="s">
        <v>714</v>
      </c>
      <c r="D680" s="6" t="s">
        <v>758</v>
      </c>
      <c r="E680" s="1" t="s">
        <v>727</v>
      </c>
      <c r="F680" s="1">
        <f t="shared" si="10"/>
        <v>0</v>
      </c>
      <c r="H680" s="4"/>
    </row>
    <row r="681" spans="1:8" x14ac:dyDescent="0.25">
      <c r="A681" s="6">
        <v>45971</v>
      </c>
      <c r="B681" s="6" t="s">
        <v>778</v>
      </c>
      <c r="C681" s="6" t="s">
        <v>714</v>
      </c>
      <c r="D681" s="6" t="s">
        <v>758</v>
      </c>
      <c r="F681" s="1">
        <f t="shared" si="10"/>
        <v>8</v>
      </c>
      <c r="H681" s="4"/>
    </row>
    <row r="682" spans="1:8" x14ac:dyDescent="0.25">
      <c r="A682" s="6">
        <v>45972</v>
      </c>
      <c r="B682" s="6" t="s">
        <v>778</v>
      </c>
      <c r="C682" s="6" t="s">
        <v>714</v>
      </c>
      <c r="D682" s="6" t="s">
        <v>758</v>
      </c>
      <c r="F682" s="1">
        <f t="shared" si="10"/>
        <v>8</v>
      </c>
      <c r="H682" s="4"/>
    </row>
    <row r="683" spans="1:8" x14ac:dyDescent="0.25">
      <c r="A683" s="6">
        <v>45973</v>
      </c>
      <c r="B683" s="6" t="s">
        <v>778</v>
      </c>
      <c r="C683" s="6" t="s">
        <v>714</v>
      </c>
      <c r="D683" s="6" t="s">
        <v>758</v>
      </c>
      <c r="F683" s="1">
        <f t="shared" si="10"/>
        <v>8</v>
      </c>
      <c r="H683" s="4"/>
    </row>
    <row r="684" spans="1:8" x14ac:dyDescent="0.25">
      <c r="A684" s="6">
        <v>45974</v>
      </c>
      <c r="B684" s="6" t="s">
        <v>778</v>
      </c>
      <c r="C684" s="6" t="s">
        <v>714</v>
      </c>
      <c r="D684" s="6" t="s">
        <v>758</v>
      </c>
      <c r="F684" s="1">
        <f t="shared" si="10"/>
        <v>8</v>
      </c>
      <c r="H684" s="4"/>
    </row>
    <row r="685" spans="1:8" x14ac:dyDescent="0.25">
      <c r="A685" s="6">
        <v>45975</v>
      </c>
      <c r="B685" s="6" t="s">
        <v>778</v>
      </c>
      <c r="C685" s="6" t="s">
        <v>714</v>
      </c>
      <c r="D685" s="6" t="s">
        <v>758</v>
      </c>
      <c r="F685" s="1">
        <f t="shared" si="10"/>
        <v>8</v>
      </c>
      <c r="H685" s="4"/>
    </row>
    <row r="686" spans="1:8" x14ac:dyDescent="0.25">
      <c r="A686" s="6">
        <v>45976</v>
      </c>
      <c r="B686" s="6" t="s">
        <v>779</v>
      </c>
      <c r="C686" s="6" t="s">
        <v>716</v>
      </c>
      <c r="D686" s="6" t="s">
        <v>758</v>
      </c>
      <c r="E686" s="1" t="s">
        <v>727</v>
      </c>
      <c r="F686" s="1">
        <f t="shared" si="10"/>
        <v>0</v>
      </c>
      <c r="H686" s="4"/>
    </row>
    <row r="687" spans="1:8" x14ac:dyDescent="0.25">
      <c r="A687" s="6">
        <v>45977</v>
      </c>
      <c r="B687" s="6" t="s">
        <v>779</v>
      </c>
      <c r="C687" s="6" t="s">
        <v>716</v>
      </c>
      <c r="D687" s="6" t="s">
        <v>758</v>
      </c>
      <c r="E687" s="1" t="s">
        <v>727</v>
      </c>
      <c r="F687" s="1">
        <f t="shared" si="10"/>
        <v>0</v>
      </c>
      <c r="H687" s="4"/>
    </row>
    <row r="688" spans="1:8" x14ac:dyDescent="0.25">
      <c r="A688" s="6">
        <v>45978</v>
      </c>
      <c r="B688" s="6" t="s">
        <v>779</v>
      </c>
      <c r="C688" s="6" t="s">
        <v>716</v>
      </c>
      <c r="D688" s="6" t="s">
        <v>758</v>
      </c>
      <c r="F688" s="1">
        <f t="shared" si="10"/>
        <v>8</v>
      </c>
      <c r="H688" s="4"/>
    </row>
    <row r="689" spans="1:8" x14ac:dyDescent="0.25">
      <c r="A689" s="6">
        <v>45979</v>
      </c>
      <c r="B689" s="6" t="s">
        <v>779</v>
      </c>
      <c r="C689" s="6" t="s">
        <v>716</v>
      </c>
      <c r="D689" s="6" t="s">
        <v>758</v>
      </c>
      <c r="F689" s="1">
        <f t="shared" si="10"/>
        <v>8</v>
      </c>
      <c r="H689" s="4"/>
    </row>
    <row r="690" spans="1:8" x14ac:dyDescent="0.25">
      <c r="A690" s="6">
        <v>45980</v>
      </c>
      <c r="B690" s="6" t="s">
        <v>779</v>
      </c>
      <c r="C690" s="6" t="s">
        <v>716</v>
      </c>
      <c r="D690" s="6" t="s">
        <v>758</v>
      </c>
      <c r="F690" s="1">
        <f t="shared" si="10"/>
        <v>8</v>
      </c>
      <c r="H690" s="4"/>
    </row>
    <row r="691" spans="1:8" x14ac:dyDescent="0.25">
      <c r="A691" s="6">
        <v>45981</v>
      </c>
      <c r="B691" s="6" t="s">
        <v>779</v>
      </c>
      <c r="C691" s="6" t="s">
        <v>716</v>
      </c>
      <c r="D691" s="6" t="s">
        <v>758</v>
      </c>
      <c r="F691" s="1">
        <f t="shared" si="10"/>
        <v>8</v>
      </c>
      <c r="H691" s="4"/>
    </row>
    <row r="692" spans="1:8" x14ac:dyDescent="0.25">
      <c r="A692" s="6">
        <v>45982</v>
      </c>
      <c r="B692" s="6" t="s">
        <v>779</v>
      </c>
      <c r="C692" s="6" t="s">
        <v>716</v>
      </c>
      <c r="D692" s="6" t="s">
        <v>758</v>
      </c>
      <c r="F692" s="1">
        <f t="shared" si="10"/>
        <v>8</v>
      </c>
      <c r="H692" s="4"/>
    </row>
    <row r="693" spans="1:8" x14ac:dyDescent="0.25">
      <c r="A693" s="6">
        <v>45983</v>
      </c>
      <c r="B693" s="6" t="s">
        <v>780</v>
      </c>
      <c r="C693" s="6" t="s">
        <v>718</v>
      </c>
      <c r="D693" s="6" t="s">
        <v>758</v>
      </c>
      <c r="E693" s="1" t="s">
        <v>727</v>
      </c>
      <c r="F693" s="1">
        <f t="shared" si="10"/>
        <v>0</v>
      </c>
      <c r="H693" s="4"/>
    </row>
    <row r="694" spans="1:8" x14ac:dyDescent="0.25">
      <c r="A694" s="6">
        <v>45984</v>
      </c>
      <c r="B694" s="6" t="s">
        <v>780</v>
      </c>
      <c r="C694" s="6" t="s">
        <v>718</v>
      </c>
      <c r="D694" s="6" t="s">
        <v>758</v>
      </c>
      <c r="E694" s="1" t="s">
        <v>727</v>
      </c>
      <c r="F694" s="1">
        <f t="shared" si="10"/>
        <v>0</v>
      </c>
      <c r="H694" s="4"/>
    </row>
    <row r="695" spans="1:8" x14ac:dyDescent="0.25">
      <c r="A695" s="6">
        <v>45985</v>
      </c>
      <c r="B695" s="6" t="s">
        <v>780</v>
      </c>
      <c r="C695" s="6" t="s">
        <v>718</v>
      </c>
      <c r="D695" s="6" t="s">
        <v>758</v>
      </c>
      <c r="F695" s="1">
        <f t="shared" si="10"/>
        <v>8</v>
      </c>
      <c r="H695" s="4"/>
    </row>
    <row r="696" spans="1:8" x14ac:dyDescent="0.25">
      <c r="A696" s="6">
        <v>45986</v>
      </c>
      <c r="B696" s="6" t="s">
        <v>780</v>
      </c>
      <c r="C696" s="6" t="s">
        <v>718</v>
      </c>
      <c r="D696" s="6" t="s">
        <v>758</v>
      </c>
      <c r="F696" s="1">
        <f t="shared" si="10"/>
        <v>8</v>
      </c>
      <c r="H696" s="4"/>
    </row>
    <row r="697" spans="1:8" x14ac:dyDescent="0.25">
      <c r="A697" s="6">
        <v>45987</v>
      </c>
      <c r="B697" s="6" t="s">
        <v>780</v>
      </c>
      <c r="C697" s="6" t="s">
        <v>718</v>
      </c>
      <c r="D697" s="6" t="s">
        <v>758</v>
      </c>
      <c r="F697" s="1">
        <f t="shared" si="10"/>
        <v>8</v>
      </c>
      <c r="H697" s="4"/>
    </row>
    <row r="698" spans="1:8" x14ac:dyDescent="0.25">
      <c r="A698" s="6">
        <v>45988</v>
      </c>
      <c r="B698" s="6" t="s">
        <v>780</v>
      </c>
      <c r="C698" s="6" t="s">
        <v>718</v>
      </c>
      <c r="D698" s="6" t="s">
        <v>758</v>
      </c>
      <c r="F698" s="1">
        <f t="shared" si="10"/>
        <v>8</v>
      </c>
      <c r="H698" s="4"/>
    </row>
    <row r="699" spans="1:8" x14ac:dyDescent="0.25">
      <c r="A699" s="6">
        <v>45989</v>
      </c>
      <c r="B699" s="6" t="s">
        <v>780</v>
      </c>
      <c r="C699" s="6" t="s">
        <v>718</v>
      </c>
      <c r="D699" s="6" t="s">
        <v>758</v>
      </c>
      <c r="F699" s="1">
        <f t="shared" si="10"/>
        <v>8</v>
      </c>
      <c r="H699" s="4"/>
    </row>
    <row r="700" spans="1:8" x14ac:dyDescent="0.25">
      <c r="A700" s="6">
        <v>45990</v>
      </c>
      <c r="B700" s="6" t="s">
        <v>781</v>
      </c>
      <c r="C700" s="6" t="s">
        <v>720</v>
      </c>
      <c r="D700" s="6" t="s">
        <v>758</v>
      </c>
      <c r="E700" s="1" t="s">
        <v>727</v>
      </c>
      <c r="F700" s="1">
        <f t="shared" si="10"/>
        <v>0</v>
      </c>
      <c r="H700" s="4"/>
    </row>
    <row r="701" spans="1:8" x14ac:dyDescent="0.25">
      <c r="A701" s="6">
        <v>45991</v>
      </c>
      <c r="B701" s="6" t="s">
        <v>781</v>
      </c>
      <c r="C701" s="6" t="s">
        <v>720</v>
      </c>
      <c r="D701" s="6" t="s">
        <v>758</v>
      </c>
      <c r="E701" s="1" t="s">
        <v>727</v>
      </c>
      <c r="F701" s="1">
        <f t="shared" si="10"/>
        <v>0</v>
      </c>
      <c r="H701" s="4"/>
    </row>
    <row r="702" spans="1:8" x14ac:dyDescent="0.25">
      <c r="A702" s="6">
        <v>45992</v>
      </c>
      <c r="B702" s="6" t="s">
        <v>781</v>
      </c>
      <c r="C702" s="6" t="s">
        <v>720</v>
      </c>
      <c r="D702" s="6" t="s">
        <v>758</v>
      </c>
      <c r="F702" s="1">
        <f t="shared" si="10"/>
        <v>8</v>
      </c>
      <c r="H702" s="4"/>
    </row>
    <row r="703" spans="1:8" x14ac:dyDescent="0.25">
      <c r="A703" s="6">
        <v>45993</v>
      </c>
      <c r="B703" s="6" t="s">
        <v>781</v>
      </c>
      <c r="C703" s="6" t="s">
        <v>720</v>
      </c>
      <c r="D703" s="6" t="s">
        <v>758</v>
      </c>
      <c r="F703" s="1">
        <f t="shared" si="10"/>
        <v>8</v>
      </c>
      <c r="H703" s="4"/>
    </row>
    <row r="704" spans="1:8" x14ac:dyDescent="0.25">
      <c r="A704" s="6">
        <v>45994</v>
      </c>
      <c r="B704" s="6" t="s">
        <v>781</v>
      </c>
      <c r="C704" s="6" t="s">
        <v>720</v>
      </c>
      <c r="D704" s="6" t="s">
        <v>758</v>
      </c>
      <c r="F704" s="1">
        <f t="shared" si="10"/>
        <v>8</v>
      </c>
      <c r="H704" s="4"/>
    </row>
    <row r="705" spans="1:8" x14ac:dyDescent="0.25">
      <c r="A705" s="6">
        <v>45995</v>
      </c>
      <c r="B705" s="6" t="s">
        <v>781</v>
      </c>
      <c r="C705" s="6" t="s">
        <v>720</v>
      </c>
      <c r="D705" s="6" t="s">
        <v>758</v>
      </c>
      <c r="F705" s="1">
        <f t="shared" si="10"/>
        <v>8</v>
      </c>
      <c r="H705" s="4"/>
    </row>
    <row r="706" spans="1:8" x14ac:dyDescent="0.25">
      <c r="A706" s="6">
        <v>45996</v>
      </c>
      <c r="B706" s="6" t="s">
        <v>781</v>
      </c>
      <c r="C706" s="6" t="s">
        <v>720</v>
      </c>
      <c r="D706" s="6" t="s">
        <v>758</v>
      </c>
      <c r="F706" s="1">
        <f t="shared" ref="F706:F769" si="11">IF(OR(E706="",E706="调休"),8,0)</f>
        <v>8</v>
      </c>
      <c r="H706" s="4"/>
    </row>
    <row r="707" spans="1:8" x14ac:dyDescent="0.25">
      <c r="A707" s="6">
        <v>45997</v>
      </c>
      <c r="B707" s="6" t="s">
        <v>529</v>
      </c>
      <c r="C707" s="6" t="s">
        <v>528</v>
      </c>
      <c r="D707" s="6" t="s">
        <v>758</v>
      </c>
      <c r="E707" s="1" t="s">
        <v>727</v>
      </c>
      <c r="F707" s="1">
        <f t="shared" si="11"/>
        <v>0</v>
      </c>
      <c r="H707" s="4"/>
    </row>
    <row r="708" spans="1:8" x14ac:dyDescent="0.25">
      <c r="A708" s="6">
        <v>45998</v>
      </c>
      <c r="B708" s="6" t="s">
        <v>529</v>
      </c>
      <c r="C708" s="6" t="s">
        <v>528</v>
      </c>
      <c r="D708" s="6" t="s">
        <v>758</v>
      </c>
      <c r="E708" s="1" t="s">
        <v>727</v>
      </c>
      <c r="F708" s="1">
        <f t="shared" si="11"/>
        <v>0</v>
      </c>
      <c r="H708" s="4"/>
    </row>
    <row r="709" spans="1:8" x14ac:dyDescent="0.25">
      <c r="A709" s="6">
        <v>45999</v>
      </c>
      <c r="B709" s="6" t="s">
        <v>529</v>
      </c>
      <c r="C709" s="6" t="s">
        <v>528</v>
      </c>
      <c r="D709" s="6" t="s">
        <v>758</v>
      </c>
      <c r="F709" s="1">
        <f t="shared" si="11"/>
        <v>8</v>
      </c>
      <c r="H709" s="4"/>
    </row>
    <row r="710" spans="1:8" x14ac:dyDescent="0.25">
      <c r="A710" s="6">
        <v>46000</v>
      </c>
      <c r="B710" s="6" t="s">
        <v>529</v>
      </c>
      <c r="C710" s="6" t="s">
        <v>528</v>
      </c>
      <c r="D710" s="6" t="s">
        <v>758</v>
      </c>
      <c r="F710" s="1">
        <f t="shared" si="11"/>
        <v>8</v>
      </c>
      <c r="H710" s="4"/>
    </row>
    <row r="711" spans="1:8" x14ac:dyDescent="0.25">
      <c r="A711" s="6">
        <v>46001</v>
      </c>
      <c r="B711" s="6" t="s">
        <v>529</v>
      </c>
      <c r="C711" s="6" t="s">
        <v>528</v>
      </c>
      <c r="D711" s="6" t="s">
        <v>758</v>
      </c>
      <c r="F711" s="1">
        <f t="shared" si="11"/>
        <v>8</v>
      </c>
      <c r="H711" s="4"/>
    </row>
    <row r="712" spans="1:8" x14ac:dyDescent="0.25">
      <c r="A712" s="6">
        <v>46002</v>
      </c>
      <c r="B712" s="6" t="s">
        <v>529</v>
      </c>
      <c r="C712" s="6" t="s">
        <v>528</v>
      </c>
      <c r="D712" s="6" t="s">
        <v>758</v>
      </c>
      <c r="F712" s="1">
        <f t="shared" si="11"/>
        <v>8</v>
      </c>
      <c r="H712" s="4"/>
    </row>
    <row r="713" spans="1:8" x14ac:dyDescent="0.25">
      <c r="A713" s="6">
        <v>46003</v>
      </c>
      <c r="B713" s="6" t="s">
        <v>529</v>
      </c>
      <c r="C713" s="6" t="s">
        <v>528</v>
      </c>
      <c r="D713" s="6" t="s">
        <v>758</v>
      </c>
      <c r="F713" s="1">
        <f t="shared" si="11"/>
        <v>8</v>
      </c>
      <c r="H713" s="4"/>
    </row>
    <row r="714" spans="1:8" x14ac:dyDescent="0.25">
      <c r="A714" s="6">
        <v>46004</v>
      </c>
      <c r="B714" s="6" t="s">
        <v>533</v>
      </c>
      <c r="C714" s="6" t="s">
        <v>532</v>
      </c>
      <c r="D714" s="6" t="s">
        <v>758</v>
      </c>
      <c r="E714" s="1" t="s">
        <v>727</v>
      </c>
      <c r="F714" s="1">
        <f t="shared" si="11"/>
        <v>0</v>
      </c>
      <c r="H714" s="4"/>
    </row>
    <row r="715" spans="1:8" x14ac:dyDescent="0.25">
      <c r="A715" s="6">
        <v>46005</v>
      </c>
      <c r="B715" s="6" t="s">
        <v>533</v>
      </c>
      <c r="C715" s="6" t="s">
        <v>532</v>
      </c>
      <c r="D715" s="6" t="s">
        <v>758</v>
      </c>
      <c r="E715" s="1" t="s">
        <v>727</v>
      </c>
      <c r="F715" s="1">
        <f t="shared" si="11"/>
        <v>0</v>
      </c>
      <c r="H715" s="4"/>
    </row>
    <row r="716" spans="1:8" x14ac:dyDescent="0.25">
      <c r="A716" s="6">
        <v>46006</v>
      </c>
      <c r="B716" s="6" t="s">
        <v>533</v>
      </c>
      <c r="C716" s="6" t="s">
        <v>532</v>
      </c>
      <c r="D716" s="6" t="s">
        <v>758</v>
      </c>
      <c r="F716" s="1">
        <f t="shared" si="11"/>
        <v>8</v>
      </c>
      <c r="H716" s="4"/>
    </row>
    <row r="717" spans="1:8" x14ac:dyDescent="0.25">
      <c r="A717" s="6">
        <v>46007</v>
      </c>
      <c r="B717" s="6" t="s">
        <v>533</v>
      </c>
      <c r="C717" s="6" t="s">
        <v>532</v>
      </c>
      <c r="D717" s="6" t="s">
        <v>758</v>
      </c>
      <c r="F717" s="1">
        <f t="shared" si="11"/>
        <v>8</v>
      </c>
      <c r="H717" s="4"/>
    </row>
    <row r="718" spans="1:8" x14ac:dyDescent="0.25">
      <c r="A718" s="6">
        <v>46008</v>
      </c>
      <c r="B718" s="6" t="s">
        <v>533</v>
      </c>
      <c r="C718" s="6" t="s">
        <v>532</v>
      </c>
      <c r="D718" s="6" t="s">
        <v>758</v>
      </c>
      <c r="F718" s="1">
        <f t="shared" si="11"/>
        <v>8</v>
      </c>
      <c r="H718" s="4"/>
    </row>
    <row r="719" spans="1:8" x14ac:dyDescent="0.25">
      <c r="A719" s="6">
        <v>46009</v>
      </c>
      <c r="B719" s="6" t="s">
        <v>533</v>
      </c>
      <c r="C719" s="6" t="s">
        <v>532</v>
      </c>
      <c r="D719" s="6" t="s">
        <v>758</v>
      </c>
      <c r="F719" s="1">
        <f t="shared" si="11"/>
        <v>8</v>
      </c>
      <c r="H719" s="4"/>
    </row>
    <row r="720" spans="1:8" x14ac:dyDescent="0.25">
      <c r="A720" s="6">
        <v>46010</v>
      </c>
      <c r="B720" s="6" t="s">
        <v>533</v>
      </c>
      <c r="C720" s="6" t="s">
        <v>532</v>
      </c>
      <c r="D720" s="6" t="s">
        <v>758</v>
      </c>
      <c r="F720" s="1">
        <f t="shared" si="11"/>
        <v>8</v>
      </c>
      <c r="H720" s="4"/>
    </row>
    <row r="721" spans="1:8" x14ac:dyDescent="0.25">
      <c r="A721" s="6">
        <v>46011</v>
      </c>
      <c r="B721" s="6" t="s">
        <v>535</v>
      </c>
      <c r="C721" s="6" t="s">
        <v>534</v>
      </c>
      <c r="D721" s="6" t="s">
        <v>758</v>
      </c>
      <c r="E721" s="1" t="s">
        <v>727</v>
      </c>
      <c r="F721" s="1">
        <f t="shared" si="11"/>
        <v>0</v>
      </c>
      <c r="H721" s="4"/>
    </row>
    <row r="722" spans="1:8" x14ac:dyDescent="0.25">
      <c r="A722" s="6">
        <v>46012</v>
      </c>
      <c r="B722" s="6" t="s">
        <v>535</v>
      </c>
      <c r="C722" s="6" t="s">
        <v>534</v>
      </c>
      <c r="D722" s="6" t="s">
        <v>758</v>
      </c>
      <c r="E722" s="1" t="s">
        <v>727</v>
      </c>
      <c r="F722" s="1">
        <f t="shared" si="11"/>
        <v>0</v>
      </c>
      <c r="H722" s="4"/>
    </row>
    <row r="723" spans="1:8" x14ac:dyDescent="0.25">
      <c r="A723" s="6">
        <v>46013</v>
      </c>
      <c r="B723" s="6" t="s">
        <v>535</v>
      </c>
      <c r="C723" s="6" t="s">
        <v>534</v>
      </c>
      <c r="D723" s="6" t="s">
        <v>758</v>
      </c>
      <c r="F723" s="1">
        <f t="shared" si="11"/>
        <v>8</v>
      </c>
      <c r="H723" s="4"/>
    </row>
    <row r="724" spans="1:8" x14ac:dyDescent="0.25">
      <c r="A724" s="6">
        <v>46014</v>
      </c>
      <c r="B724" s="6" t="s">
        <v>535</v>
      </c>
      <c r="C724" s="6" t="s">
        <v>534</v>
      </c>
      <c r="D724" s="6" t="s">
        <v>758</v>
      </c>
      <c r="F724" s="1">
        <f t="shared" si="11"/>
        <v>8</v>
      </c>
      <c r="H724" s="4"/>
    </row>
    <row r="725" spans="1:8" x14ac:dyDescent="0.25">
      <c r="A725" s="6">
        <v>46015</v>
      </c>
      <c r="B725" s="6" t="s">
        <v>535</v>
      </c>
      <c r="C725" s="6" t="s">
        <v>534</v>
      </c>
      <c r="D725" s="6" t="s">
        <v>758</v>
      </c>
      <c r="F725" s="1">
        <f t="shared" si="11"/>
        <v>8</v>
      </c>
      <c r="H725" s="4"/>
    </row>
    <row r="726" spans="1:8" x14ac:dyDescent="0.25">
      <c r="A726" s="6">
        <v>46016</v>
      </c>
      <c r="B726" s="6" t="s">
        <v>535</v>
      </c>
      <c r="C726" s="6" t="s">
        <v>534</v>
      </c>
      <c r="D726" s="6" t="s">
        <v>758</v>
      </c>
      <c r="F726" s="1">
        <f t="shared" si="11"/>
        <v>8</v>
      </c>
      <c r="H726" s="4"/>
    </row>
    <row r="727" spans="1:8" x14ac:dyDescent="0.25">
      <c r="A727" s="6">
        <v>46017</v>
      </c>
      <c r="B727" s="6" t="s">
        <v>535</v>
      </c>
      <c r="C727" s="6" t="s">
        <v>534</v>
      </c>
      <c r="D727" s="6" t="s">
        <v>758</v>
      </c>
      <c r="F727" s="1">
        <f t="shared" si="11"/>
        <v>8</v>
      </c>
      <c r="H727" s="4"/>
    </row>
    <row r="728" spans="1:8" x14ac:dyDescent="0.25">
      <c r="A728" s="6">
        <v>46018</v>
      </c>
      <c r="B728" s="6" t="s">
        <v>537</v>
      </c>
      <c r="C728" s="6" t="s">
        <v>536</v>
      </c>
      <c r="D728" s="6" t="s">
        <v>758</v>
      </c>
      <c r="E728" s="1" t="s">
        <v>727</v>
      </c>
      <c r="F728" s="1">
        <f t="shared" si="11"/>
        <v>0</v>
      </c>
      <c r="H728" s="4"/>
    </row>
    <row r="729" spans="1:8" x14ac:dyDescent="0.25">
      <c r="A729" s="6">
        <v>46019</v>
      </c>
      <c r="B729" s="6" t="s">
        <v>537</v>
      </c>
      <c r="C729" s="6" t="s">
        <v>536</v>
      </c>
      <c r="D729" s="6" t="s">
        <v>758</v>
      </c>
      <c r="E729" s="1" t="s">
        <v>727</v>
      </c>
      <c r="F729" s="1">
        <f t="shared" si="11"/>
        <v>0</v>
      </c>
      <c r="H729" s="4"/>
    </row>
    <row r="730" spans="1:8" x14ac:dyDescent="0.25">
      <c r="A730" s="6">
        <v>46020</v>
      </c>
      <c r="B730" s="6" t="s">
        <v>537</v>
      </c>
      <c r="C730" s="6" t="s">
        <v>536</v>
      </c>
      <c r="D730" s="6" t="s">
        <v>758</v>
      </c>
      <c r="F730" s="1">
        <f t="shared" si="11"/>
        <v>8</v>
      </c>
      <c r="H730" s="4"/>
    </row>
    <row r="731" spans="1:8" x14ac:dyDescent="0.25">
      <c r="A731" s="6">
        <v>46021</v>
      </c>
      <c r="B731" s="6" t="s">
        <v>537</v>
      </c>
      <c r="C731" s="6" t="s">
        <v>536</v>
      </c>
      <c r="D731" s="6" t="s">
        <v>758</v>
      </c>
      <c r="F731" s="1">
        <f t="shared" si="11"/>
        <v>8</v>
      </c>
      <c r="H731" s="4"/>
    </row>
    <row r="732" spans="1:8" x14ac:dyDescent="0.25">
      <c r="A732" s="6">
        <v>46022</v>
      </c>
      <c r="B732" s="6" t="s">
        <v>537</v>
      </c>
      <c r="C732" s="6" t="s">
        <v>536</v>
      </c>
      <c r="D732" s="6" t="s">
        <v>758</v>
      </c>
      <c r="F732" s="1">
        <f t="shared" si="11"/>
        <v>8</v>
      </c>
      <c r="H732" s="4"/>
    </row>
    <row r="733" spans="1:8" x14ac:dyDescent="0.25">
      <c r="A733" s="6">
        <v>46023</v>
      </c>
      <c r="B733" s="6" t="s">
        <v>537</v>
      </c>
      <c r="C733" s="6" t="s">
        <v>536</v>
      </c>
      <c r="D733" s="6" t="s">
        <v>758</v>
      </c>
      <c r="E733" s="1" t="s">
        <v>782</v>
      </c>
      <c r="F733" s="1">
        <f t="shared" si="11"/>
        <v>0</v>
      </c>
      <c r="H733" s="4"/>
    </row>
    <row r="734" spans="1:8" x14ac:dyDescent="0.25">
      <c r="A734" s="6">
        <v>46024</v>
      </c>
      <c r="B734" s="6" t="s">
        <v>537</v>
      </c>
      <c r="C734" s="6" t="s">
        <v>536</v>
      </c>
      <c r="D734" s="6" t="s">
        <v>758</v>
      </c>
      <c r="E734" s="1" t="s">
        <v>782</v>
      </c>
      <c r="F734" s="1">
        <f t="shared" si="11"/>
        <v>0</v>
      </c>
      <c r="H734" s="4"/>
    </row>
    <row r="735" spans="1:8" x14ac:dyDescent="0.25">
      <c r="A735" s="6">
        <v>46025</v>
      </c>
      <c r="B735" s="6" t="s">
        <v>539</v>
      </c>
      <c r="C735" s="6" t="s">
        <v>538</v>
      </c>
      <c r="D735" s="6" t="s">
        <v>758</v>
      </c>
      <c r="E735" s="1" t="s">
        <v>727</v>
      </c>
      <c r="F735" s="1">
        <f t="shared" si="11"/>
        <v>0</v>
      </c>
      <c r="H735" s="4"/>
    </row>
    <row r="736" spans="1:8" x14ac:dyDescent="0.25">
      <c r="A736" s="6">
        <v>46026</v>
      </c>
      <c r="B736" s="6" t="s">
        <v>539</v>
      </c>
      <c r="C736" s="6" t="s">
        <v>538</v>
      </c>
      <c r="D736" s="6" t="s">
        <v>758</v>
      </c>
      <c r="E736" s="1" t="s">
        <v>629</v>
      </c>
      <c r="F736" s="1">
        <f t="shared" si="11"/>
        <v>8</v>
      </c>
      <c r="H736" s="4"/>
    </row>
    <row r="737" spans="1:8" x14ac:dyDescent="0.25">
      <c r="A737" s="6">
        <v>46027</v>
      </c>
      <c r="B737" s="6" t="s">
        <v>539</v>
      </c>
      <c r="C737" s="6" t="s">
        <v>538</v>
      </c>
      <c r="D737" s="6" t="s">
        <v>758</v>
      </c>
      <c r="F737" s="1">
        <f t="shared" si="11"/>
        <v>8</v>
      </c>
      <c r="H737" s="4"/>
    </row>
    <row r="738" spans="1:8" x14ac:dyDescent="0.25">
      <c r="A738" s="6">
        <v>46028</v>
      </c>
      <c r="B738" s="6" t="s">
        <v>539</v>
      </c>
      <c r="C738" s="6" t="s">
        <v>538</v>
      </c>
      <c r="D738" s="6" t="s">
        <v>758</v>
      </c>
      <c r="F738" s="1">
        <f t="shared" si="11"/>
        <v>8</v>
      </c>
      <c r="H738" s="4"/>
    </row>
    <row r="739" spans="1:8" x14ac:dyDescent="0.25">
      <c r="A739" s="6">
        <v>46029</v>
      </c>
      <c r="B739" s="6" t="s">
        <v>539</v>
      </c>
      <c r="C739" s="6" t="s">
        <v>538</v>
      </c>
      <c r="D739" s="6" t="s">
        <v>758</v>
      </c>
      <c r="F739" s="1">
        <f t="shared" si="11"/>
        <v>8</v>
      </c>
      <c r="H739" s="4"/>
    </row>
    <row r="740" spans="1:8" x14ac:dyDescent="0.25">
      <c r="A740" s="6">
        <v>46030</v>
      </c>
      <c r="B740" s="6" t="s">
        <v>539</v>
      </c>
      <c r="C740" s="6" t="s">
        <v>538</v>
      </c>
      <c r="D740" s="6" t="s">
        <v>758</v>
      </c>
      <c r="F740" s="1">
        <f t="shared" si="11"/>
        <v>8</v>
      </c>
      <c r="H740" s="4"/>
    </row>
    <row r="741" spans="1:8" x14ac:dyDescent="0.25">
      <c r="A741" s="6">
        <v>46031</v>
      </c>
      <c r="B741" s="6" t="s">
        <v>539</v>
      </c>
      <c r="C741" s="6" t="s">
        <v>538</v>
      </c>
      <c r="D741" s="6" t="s">
        <v>758</v>
      </c>
      <c r="F741" s="1">
        <f t="shared" si="11"/>
        <v>8</v>
      </c>
      <c r="H741" s="4"/>
    </row>
    <row r="742" spans="1:8" x14ac:dyDescent="0.25">
      <c r="A742" s="6">
        <v>46032</v>
      </c>
      <c r="B742" s="6" t="s">
        <v>541</v>
      </c>
      <c r="C742" s="6" t="s">
        <v>540</v>
      </c>
      <c r="D742" s="6" t="s">
        <v>758</v>
      </c>
      <c r="E742" s="1" t="s">
        <v>727</v>
      </c>
      <c r="F742" s="1">
        <f t="shared" si="11"/>
        <v>0</v>
      </c>
      <c r="H742" s="4"/>
    </row>
    <row r="743" spans="1:8" x14ac:dyDescent="0.25">
      <c r="A743" s="6">
        <v>46033</v>
      </c>
      <c r="B743" s="6" t="s">
        <v>541</v>
      </c>
      <c r="C743" s="6" t="s">
        <v>540</v>
      </c>
      <c r="D743" s="6" t="s">
        <v>758</v>
      </c>
      <c r="E743" s="1" t="s">
        <v>727</v>
      </c>
      <c r="F743" s="1">
        <f t="shared" si="11"/>
        <v>0</v>
      </c>
      <c r="H743" s="4"/>
    </row>
    <row r="744" spans="1:8" x14ac:dyDescent="0.25">
      <c r="A744" s="6">
        <v>46034</v>
      </c>
      <c r="B744" s="6" t="s">
        <v>541</v>
      </c>
      <c r="C744" s="6" t="s">
        <v>540</v>
      </c>
      <c r="D744" s="6" t="s">
        <v>758</v>
      </c>
      <c r="F744" s="1">
        <f t="shared" si="11"/>
        <v>8</v>
      </c>
      <c r="H744" s="4"/>
    </row>
    <row r="745" spans="1:8" x14ac:dyDescent="0.25">
      <c r="A745" s="6">
        <v>46035</v>
      </c>
      <c r="B745" s="6" t="s">
        <v>541</v>
      </c>
      <c r="C745" s="6" t="s">
        <v>540</v>
      </c>
      <c r="D745" s="6" t="s">
        <v>758</v>
      </c>
      <c r="F745" s="1">
        <f t="shared" si="11"/>
        <v>8</v>
      </c>
      <c r="H745" s="4"/>
    </row>
    <row r="746" spans="1:8" x14ac:dyDescent="0.25">
      <c r="A746" s="6">
        <v>46036</v>
      </c>
      <c r="B746" s="6" t="s">
        <v>541</v>
      </c>
      <c r="C746" s="6" t="s">
        <v>540</v>
      </c>
      <c r="D746" s="6" t="s">
        <v>758</v>
      </c>
      <c r="F746" s="1">
        <f t="shared" si="11"/>
        <v>8</v>
      </c>
      <c r="H746" s="4"/>
    </row>
    <row r="747" spans="1:8" x14ac:dyDescent="0.25">
      <c r="A747" s="6">
        <v>46037</v>
      </c>
      <c r="B747" s="6" t="s">
        <v>541</v>
      </c>
      <c r="C747" s="6" t="s">
        <v>540</v>
      </c>
      <c r="D747" s="6" t="s">
        <v>758</v>
      </c>
      <c r="F747" s="1">
        <f t="shared" si="11"/>
        <v>8</v>
      </c>
      <c r="H747" s="4"/>
    </row>
    <row r="748" spans="1:8" x14ac:dyDescent="0.25">
      <c r="A748" s="6">
        <v>46038</v>
      </c>
      <c r="B748" s="6" t="s">
        <v>541</v>
      </c>
      <c r="C748" s="6" t="s">
        <v>540</v>
      </c>
      <c r="D748" s="6" t="s">
        <v>758</v>
      </c>
      <c r="F748" s="1">
        <f t="shared" si="11"/>
        <v>8</v>
      </c>
      <c r="H748" s="4"/>
    </row>
    <row r="749" spans="1:8" x14ac:dyDescent="0.25">
      <c r="A749" s="6">
        <v>46039</v>
      </c>
      <c r="B749" s="6" t="s">
        <v>543</v>
      </c>
      <c r="C749" s="6" t="s">
        <v>542</v>
      </c>
      <c r="D749" s="6" t="s">
        <v>758</v>
      </c>
      <c r="E749" s="1" t="s">
        <v>727</v>
      </c>
      <c r="F749" s="1">
        <f t="shared" si="11"/>
        <v>0</v>
      </c>
      <c r="H749" s="4"/>
    </row>
    <row r="750" spans="1:8" x14ac:dyDescent="0.25">
      <c r="A750" s="6">
        <v>46040</v>
      </c>
      <c r="B750" s="6" t="s">
        <v>543</v>
      </c>
      <c r="C750" s="6" t="s">
        <v>542</v>
      </c>
      <c r="D750" s="6" t="s">
        <v>758</v>
      </c>
      <c r="E750" s="1" t="s">
        <v>727</v>
      </c>
      <c r="F750" s="1">
        <f t="shared" si="11"/>
        <v>0</v>
      </c>
      <c r="H750" s="4"/>
    </row>
    <row r="751" spans="1:8" x14ac:dyDescent="0.25">
      <c r="A751" s="6">
        <v>46041</v>
      </c>
      <c r="B751" s="6" t="s">
        <v>543</v>
      </c>
      <c r="C751" s="6" t="s">
        <v>542</v>
      </c>
      <c r="D751" s="6" t="s">
        <v>758</v>
      </c>
      <c r="F751" s="1">
        <f t="shared" si="11"/>
        <v>8</v>
      </c>
      <c r="H751" s="4"/>
    </row>
    <row r="752" spans="1:8" x14ac:dyDescent="0.25">
      <c r="A752" s="6">
        <v>46042</v>
      </c>
      <c r="B752" s="6" t="s">
        <v>543</v>
      </c>
      <c r="C752" s="6" t="s">
        <v>542</v>
      </c>
      <c r="D752" s="6" t="s">
        <v>758</v>
      </c>
      <c r="F752" s="1">
        <f t="shared" si="11"/>
        <v>8</v>
      </c>
      <c r="H752" s="4"/>
    </row>
    <row r="753" spans="1:8" x14ac:dyDescent="0.25">
      <c r="A753" s="6">
        <v>46043</v>
      </c>
      <c r="B753" s="6" t="s">
        <v>543</v>
      </c>
      <c r="C753" s="6" t="s">
        <v>542</v>
      </c>
      <c r="D753" s="6" t="s">
        <v>758</v>
      </c>
      <c r="F753" s="1">
        <f t="shared" si="11"/>
        <v>8</v>
      </c>
      <c r="H753" s="4"/>
    </row>
    <row r="754" spans="1:8" x14ac:dyDescent="0.25">
      <c r="A754" s="6">
        <v>46044</v>
      </c>
      <c r="B754" s="6" t="s">
        <v>543</v>
      </c>
      <c r="C754" s="6" t="s">
        <v>542</v>
      </c>
      <c r="D754" s="6" t="s">
        <v>758</v>
      </c>
      <c r="F754" s="1">
        <f t="shared" si="11"/>
        <v>8</v>
      </c>
      <c r="H754" s="4"/>
    </row>
    <row r="755" spans="1:8" x14ac:dyDescent="0.25">
      <c r="A755" s="6">
        <v>46045</v>
      </c>
      <c r="B755" s="6" t="s">
        <v>543</v>
      </c>
      <c r="C755" s="6" t="s">
        <v>542</v>
      </c>
      <c r="D755" s="6" t="s">
        <v>758</v>
      </c>
      <c r="F755" s="1">
        <f t="shared" si="11"/>
        <v>8</v>
      </c>
      <c r="H755" s="4"/>
    </row>
    <row r="756" spans="1:8" x14ac:dyDescent="0.25">
      <c r="A756" s="6">
        <v>46046</v>
      </c>
      <c r="B756" s="6" t="s">
        <v>545</v>
      </c>
      <c r="C756" s="6" t="s">
        <v>544</v>
      </c>
      <c r="D756" s="6" t="s">
        <v>758</v>
      </c>
      <c r="E756" s="1" t="s">
        <v>727</v>
      </c>
      <c r="F756" s="1">
        <f t="shared" si="11"/>
        <v>0</v>
      </c>
      <c r="H756" s="4"/>
    </row>
    <row r="757" spans="1:8" x14ac:dyDescent="0.25">
      <c r="A757" s="6">
        <v>46047</v>
      </c>
      <c r="B757" s="6" t="s">
        <v>545</v>
      </c>
      <c r="C757" s="6" t="s">
        <v>544</v>
      </c>
      <c r="D757" s="6" t="s">
        <v>758</v>
      </c>
      <c r="E757" s="1" t="s">
        <v>727</v>
      </c>
      <c r="F757" s="1">
        <f t="shared" si="11"/>
        <v>0</v>
      </c>
      <c r="H757" s="4"/>
    </row>
    <row r="758" spans="1:8" x14ac:dyDescent="0.25">
      <c r="A758" s="6">
        <v>46048</v>
      </c>
      <c r="B758" s="6" t="s">
        <v>545</v>
      </c>
      <c r="C758" s="6" t="s">
        <v>544</v>
      </c>
      <c r="D758" s="6" t="s">
        <v>758</v>
      </c>
      <c r="F758" s="1">
        <f t="shared" si="11"/>
        <v>8</v>
      </c>
      <c r="H758" s="4"/>
    </row>
    <row r="759" spans="1:8" x14ac:dyDescent="0.25">
      <c r="A759" s="6">
        <v>46049</v>
      </c>
      <c r="B759" s="6" t="s">
        <v>545</v>
      </c>
      <c r="C759" s="6" t="s">
        <v>544</v>
      </c>
      <c r="D759" s="6" t="s">
        <v>758</v>
      </c>
      <c r="F759" s="1">
        <f t="shared" si="11"/>
        <v>8</v>
      </c>
      <c r="H759" s="4"/>
    </row>
    <row r="760" spans="1:8" x14ac:dyDescent="0.25">
      <c r="A760" s="6">
        <v>46050</v>
      </c>
      <c r="B760" s="6" t="s">
        <v>545</v>
      </c>
      <c r="C760" s="6" t="s">
        <v>544</v>
      </c>
      <c r="D760" s="6" t="s">
        <v>758</v>
      </c>
      <c r="F760" s="1">
        <f t="shared" si="11"/>
        <v>8</v>
      </c>
      <c r="H760" s="4"/>
    </row>
    <row r="761" spans="1:8" x14ac:dyDescent="0.25">
      <c r="A761" s="6">
        <v>46051</v>
      </c>
      <c r="B761" s="6" t="s">
        <v>545</v>
      </c>
      <c r="C761" s="6" t="s">
        <v>544</v>
      </c>
      <c r="D761" s="6" t="s">
        <v>758</v>
      </c>
      <c r="F761" s="1">
        <f t="shared" si="11"/>
        <v>8</v>
      </c>
      <c r="H761" s="4"/>
    </row>
    <row r="762" spans="1:8" x14ac:dyDescent="0.25">
      <c r="A762" s="6">
        <v>46052</v>
      </c>
      <c r="B762" s="6" t="s">
        <v>545</v>
      </c>
      <c r="C762" s="6" t="s">
        <v>544</v>
      </c>
      <c r="D762" s="6" t="s">
        <v>758</v>
      </c>
      <c r="F762" s="1">
        <f t="shared" si="11"/>
        <v>8</v>
      </c>
      <c r="H762" s="4"/>
    </row>
    <row r="763" spans="1:8" x14ac:dyDescent="0.25">
      <c r="A763" s="6">
        <v>46053</v>
      </c>
      <c r="B763" s="6" t="s">
        <v>783</v>
      </c>
      <c r="C763" s="6" t="s">
        <v>628</v>
      </c>
      <c r="D763" s="6" t="s">
        <v>758</v>
      </c>
      <c r="E763" s="1" t="s">
        <v>727</v>
      </c>
      <c r="F763" s="1">
        <f t="shared" si="11"/>
        <v>0</v>
      </c>
      <c r="H763" s="4"/>
    </row>
    <row r="764" spans="1:8" x14ac:dyDescent="0.25">
      <c r="A764" s="6">
        <v>46054</v>
      </c>
      <c r="B764" s="6" t="s">
        <v>783</v>
      </c>
      <c r="C764" s="6" t="s">
        <v>628</v>
      </c>
      <c r="D764" s="6" t="s">
        <v>758</v>
      </c>
      <c r="E764" s="1" t="s">
        <v>727</v>
      </c>
      <c r="F764" s="1">
        <f t="shared" si="11"/>
        <v>0</v>
      </c>
      <c r="H764" s="4"/>
    </row>
    <row r="765" spans="1:8" x14ac:dyDescent="0.25">
      <c r="A765" s="6">
        <v>46055</v>
      </c>
      <c r="B765" s="6" t="s">
        <v>783</v>
      </c>
      <c r="C765" s="6" t="s">
        <v>628</v>
      </c>
      <c r="D765" s="6" t="s">
        <v>758</v>
      </c>
      <c r="F765" s="1">
        <f t="shared" si="11"/>
        <v>8</v>
      </c>
      <c r="H765" s="4"/>
    </row>
    <row r="766" spans="1:8" x14ac:dyDescent="0.25">
      <c r="A766" s="6">
        <v>46056</v>
      </c>
      <c r="B766" s="6" t="s">
        <v>783</v>
      </c>
      <c r="C766" s="6" t="s">
        <v>628</v>
      </c>
      <c r="D766" s="6" t="s">
        <v>758</v>
      </c>
      <c r="F766" s="1">
        <f t="shared" si="11"/>
        <v>8</v>
      </c>
      <c r="H766" s="4"/>
    </row>
    <row r="767" spans="1:8" x14ac:dyDescent="0.25">
      <c r="A767" s="6">
        <v>46057</v>
      </c>
      <c r="B767" s="6" t="s">
        <v>783</v>
      </c>
      <c r="C767" s="6" t="s">
        <v>628</v>
      </c>
      <c r="D767" s="6" t="s">
        <v>758</v>
      </c>
      <c r="F767" s="1">
        <f t="shared" si="11"/>
        <v>8</v>
      </c>
      <c r="H767" s="4"/>
    </row>
    <row r="768" spans="1:8" x14ac:dyDescent="0.25">
      <c r="A768" s="6">
        <v>46058</v>
      </c>
      <c r="B768" s="6" t="s">
        <v>783</v>
      </c>
      <c r="C768" s="6" t="s">
        <v>628</v>
      </c>
      <c r="D768" s="6" t="s">
        <v>758</v>
      </c>
      <c r="F768" s="1">
        <f t="shared" si="11"/>
        <v>8</v>
      </c>
      <c r="H768" s="4"/>
    </row>
    <row r="769" spans="1:8" x14ac:dyDescent="0.25">
      <c r="A769" s="6">
        <v>46059</v>
      </c>
      <c r="B769" s="6" t="s">
        <v>783</v>
      </c>
      <c r="C769" s="6" t="s">
        <v>628</v>
      </c>
      <c r="D769" s="6" t="s">
        <v>758</v>
      </c>
      <c r="F769" s="1">
        <f t="shared" si="11"/>
        <v>8</v>
      </c>
      <c r="H769" s="4"/>
    </row>
    <row r="770" spans="1:8" x14ac:dyDescent="0.25">
      <c r="A770" s="6">
        <v>46060</v>
      </c>
      <c r="B770" s="6" t="s">
        <v>784</v>
      </c>
      <c r="C770" s="6" t="s">
        <v>631</v>
      </c>
      <c r="D770" s="6" t="s">
        <v>758</v>
      </c>
      <c r="E770" s="1" t="s">
        <v>727</v>
      </c>
      <c r="F770" s="1">
        <f t="shared" ref="F770:F833" si="12">IF(OR(E770="",E770="调休"),8,0)</f>
        <v>0</v>
      </c>
      <c r="H770" s="4"/>
    </row>
    <row r="771" spans="1:8" x14ac:dyDescent="0.25">
      <c r="A771" s="6">
        <v>46061</v>
      </c>
      <c r="B771" s="6" t="s">
        <v>784</v>
      </c>
      <c r="C771" s="6" t="s">
        <v>631</v>
      </c>
      <c r="D771" s="6" t="s">
        <v>758</v>
      </c>
      <c r="E771" s="1" t="s">
        <v>727</v>
      </c>
      <c r="F771" s="1">
        <f t="shared" si="12"/>
        <v>0</v>
      </c>
      <c r="H771" s="4"/>
    </row>
    <row r="772" spans="1:8" x14ac:dyDescent="0.25">
      <c r="A772" s="6">
        <v>46062</v>
      </c>
      <c r="B772" s="6" t="s">
        <v>784</v>
      </c>
      <c r="C772" s="6" t="s">
        <v>631</v>
      </c>
      <c r="D772" s="6" t="s">
        <v>758</v>
      </c>
      <c r="F772" s="1">
        <f t="shared" si="12"/>
        <v>8</v>
      </c>
      <c r="H772" s="4"/>
    </row>
    <row r="773" spans="1:8" x14ac:dyDescent="0.25">
      <c r="A773" s="6">
        <v>46063</v>
      </c>
      <c r="B773" s="6" t="s">
        <v>784</v>
      </c>
      <c r="C773" s="6" t="s">
        <v>631</v>
      </c>
      <c r="D773" s="6" t="s">
        <v>758</v>
      </c>
      <c r="F773" s="1">
        <f t="shared" si="12"/>
        <v>8</v>
      </c>
      <c r="H773" s="4"/>
    </row>
    <row r="774" spans="1:8" x14ac:dyDescent="0.25">
      <c r="A774" s="6">
        <v>46064</v>
      </c>
      <c r="B774" s="6" t="s">
        <v>784</v>
      </c>
      <c r="C774" s="6" t="s">
        <v>631</v>
      </c>
      <c r="D774" s="6" t="s">
        <v>758</v>
      </c>
      <c r="F774" s="1">
        <f t="shared" si="12"/>
        <v>8</v>
      </c>
      <c r="H774" s="4"/>
    </row>
    <row r="775" spans="1:8" x14ac:dyDescent="0.25">
      <c r="A775" s="6">
        <v>46065</v>
      </c>
      <c r="B775" s="6" t="s">
        <v>784</v>
      </c>
      <c r="C775" s="6" t="s">
        <v>631</v>
      </c>
      <c r="D775" s="6" t="s">
        <v>758</v>
      </c>
      <c r="F775" s="1">
        <f t="shared" si="12"/>
        <v>8</v>
      </c>
      <c r="H775" s="4"/>
    </row>
    <row r="776" spans="1:8" x14ac:dyDescent="0.25">
      <c r="A776" s="6">
        <v>46066</v>
      </c>
      <c r="B776" s="6" t="s">
        <v>784</v>
      </c>
      <c r="C776" s="6" t="s">
        <v>631</v>
      </c>
      <c r="D776" s="6" t="s">
        <v>758</v>
      </c>
      <c r="F776" s="1">
        <f t="shared" si="12"/>
        <v>8</v>
      </c>
      <c r="H776" s="4"/>
    </row>
    <row r="777" spans="1:8" x14ac:dyDescent="0.25">
      <c r="A777" s="6">
        <v>46067</v>
      </c>
      <c r="B777" s="6" t="s">
        <v>785</v>
      </c>
      <c r="C777" s="6" t="s">
        <v>634</v>
      </c>
      <c r="D777" s="6" t="s">
        <v>758</v>
      </c>
      <c r="E777" s="1" t="s">
        <v>629</v>
      </c>
      <c r="F777" s="1">
        <f t="shared" si="12"/>
        <v>8</v>
      </c>
      <c r="H777" s="4"/>
    </row>
    <row r="778" spans="1:8" x14ac:dyDescent="0.25">
      <c r="A778" s="6">
        <v>46068</v>
      </c>
      <c r="B778" s="6" t="s">
        <v>785</v>
      </c>
      <c r="C778" s="6" t="s">
        <v>634</v>
      </c>
      <c r="D778" s="6" t="s">
        <v>758</v>
      </c>
      <c r="E778" s="1" t="s">
        <v>727</v>
      </c>
      <c r="F778" s="1">
        <f t="shared" si="12"/>
        <v>0</v>
      </c>
      <c r="H778" s="4"/>
    </row>
    <row r="779" spans="1:8" x14ac:dyDescent="0.25">
      <c r="A779" s="6">
        <v>46069</v>
      </c>
      <c r="B779" s="6" t="s">
        <v>785</v>
      </c>
      <c r="C779" s="6" t="s">
        <v>634</v>
      </c>
      <c r="D779" s="6" t="s">
        <v>758</v>
      </c>
      <c r="E779" s="1" t="s">
        <v>632</v>
      </c>
      <c r="F779" s="1">
        <f t="shared" si="12"/>
        <v>0</v>
      </c>
      <c r="H779" s="4"/>
    </row>
    <row r="780" spans="1:8" x14ac:dyDescent="0.25">
      <c r="A780" s="6">
        <v>46070</v>
      </c>
      <c r="B780" s="6" t="s">
        <v>785</v>
      </c>
      <c r="C780" s="6" t="s">
        <v>634</v>
      </c>
      <c r="D780" s="6" t="s">
        <v>758</v>
      </c>
      <c r="E780" s="1" t="s">
        <v>632</v>
      </c>
      <c r="F780" s="1">
        <f t="shared" si="12"/>
        <v>0</v>
      </c>
      <c r="H780" s="4"/>
    </row>
    <row r="781" spans="1:8" x14ac:dyDescent="0.25">
      <c r="A781" s="6">
        <v>46071</v>
      </c>
      <c r="B781" s="6" t="s">
        <v>785</v>
      </c>
      <c r="C781" s="6" t="s">
        <v>634</v>
      </c>
      <c r="D781" s="6" t="s">
        <v>758</v>
      </c>
      <c r="E781" s="1" t="s">
        <v>632</v>
      </c>
      <c r="F781" s="1">
        <f t="shared" si="12"/>
        <v>0</v>
      </c>
      <c r="H781" s="4"/>
    </row>
    <row r="782" spans="1:8" x14ac:dyDescent="0.25">
      <c r="A782" s="6">
        <v>46072</v>
      </c>
      <c r="B782" s="6" t="s">
        <v>785</v>
      </c>
      <c r="C782" s="6" t="s">
        <v>634</v>
      </c>
      <c r="D782" s="6" t="s">
        <v>758</v>
      </c>
      <c r="E782" s="1" t="s">
        <v>632</v>
      </c>
      <c r="F782" s="1">
        <f t="shared" si="12"/>
        <v>0</v>
      </c>
      <c r="H782" s="4"/>
    </row>
    <row r="783" spans="1:8" x14ac:dyDescent="0.25">
      <c r="A783" s="6">
        <v>46073</v>
      </c>
      <c r="B783" s="6" t="s">
        <v>785</v>
      </c>
      <c r="C783" s="6" t="s">
        <v>634</v>
      </c>
      <c r="D783" s="6" t="s">
        <v>758</v>
      </c>
      <c r="E783" s="1" t="s">
        <v>632</v>
      </c>
      <c r="F783" s="1">
        <f t="shared" si="12"/>
        <v>0</v>
      </c>
      <c r="H783" s="4"/>
    </row>
    <row r="784" spans="1:8" x14ac:dyDescent="0.25">
      <c r="A784" s="6">
        <v>46074</v>
      </c>
      <c r="B784" s="6" t="s">
        <v>786</v>
      </c>
      <c r="C784" s="6" t="s">
        <v>636</v>
      </c>
      <c r="D784" s="6" t="s">
        <v>758</v>
      </c>
      <c r="E784" s="1" t="s">
        <v>727</v>
      </c>
      <c r="F784" s="1">
        <f t="shared" si="12"/>
        <v>0</v>
      </c>
      <c r="H784" s="4"/>
    </row>
    <row r="785" spans="1:8" x14ac:dyDescent="0.25">
      <c r="A785" s="6">
        <v>46075</v>
      </c>
      <c r="B785" s="6" t="s">
        <v>786</v>
      </c>
      <c r="C785" s="6" t="s">
        <v>636</v>
      </c>
      <c r="D785" s="6" t="s">
        <v>758</v>
      </c>
      <c r="E785" s="1" t="s">
        <v>727</v>
      </c>
      <c r="F785" s="1">
        <f t="shared" si="12"/>
        <v>0</v>
      </c>
      <c r="H785" s="4"/>
    </row>
    <row r="786" spans="1:8" x14ac:dyDescent="0.25">
      <c r="A786" s="6">
        <v>46076</v>
      </c>
      <c r="B786" s="6" t="s">
        <v>786</v>
      </c>
      <c r="C786" s="6" t="s">
        <v>636</v>
      </c>
      <c r="D786" s="6" t="s">
        <v>758</v>
      </c>
      <c r="E786" s="1" t="s">
        <v>632</v>
      </c>
      <c r="F786" s="1">
        <f t="shared" si="12"/>
        <v>0</v>
      </c>
      <c r="H786" s="4"/>
    </row>
    <row r="787" spans="1:8" x14ac:dyDescent="0.25">
      <c r="A787" s="6">
        <v>46077</v>
      </c>
      <c r="B787" s="6" t="s">
        <v>786</v>
      </c>
      <c r="C787" s="6" t="s">
        <v>636</v>
      </c>
      <c r="D787" s="6" t="s">
        <v>758</v>
      </c>
      <c r="F787" s="1">
        <f t="shared" si="12"/>
        <v>8</v>
      </c>
      <c r="H787" s="4"/>
    </row>
    <row r="788" spans="1:8" x14ac:dyDescent="0.25">
      <c r="A788" s="6">
        <v>46078</v>
      </c>
      <c r="B788" s="6" t="s">
        <v>786</v>
      </c>
      <c r="C788" s="6" t="s">
        <v>636</v>
      </c>
      <c r="D788" s="6" t="s">
        <v>758</v>
      </c>
      <c r="F788" s="1">
        <f t="shared" si="12"/>
        <v>8</v>
      </c>
      <c r="H788" s="4"/>
    </row>
    <row r="789" spans="1:8" x14ac:dyDescent="0.25">
      <c r="A789" s="6">
        <v>46079</v>
      </c>
      <c r="B789" s="6" t="s">
        <v>786</v>
      </c>
      <c r="C789" s="6" t="s">
        <v>636</v>
      </c>
      <c r="D789" s="6" t="s">
        <v>758</v>
      </c>
      <c r="F789" s="1">
        <f t="shared" si="12"/>
        <v>8</v>
      </c>
      <c r="H789" s="4"/>
    </row>
    <row r="790" spans="1:8" x14ac:dyDescent="0.25">
      <c r="A790" s="6">
        <v>46080</v>
      </c>
      <c r="B790" s="6" t="s">
        <v>786</v>
      </c>
      <c r="C790" s="6" t="s">
        <v>636</v>
      </c>
      <c r="D790" s="6" t="s">
        <v>758</v>
      </c>
      <c r="F790" s="1">
        <f t="shared" si="12"/>
        <v>8</v>
      </c>
      <c r="H790" s="4"/>
    </row>
    <row r="791" spans="1:8" x14ac:dyDescent="0.25">
      <c r="A791" s="6">
        <v>46081</v>
      </c>
      <c r="B791" s="6" t="s">
        <v>547</v>
      </c>
      <c r="C791" s="6" t="s">
        <v>546</v>
      </c>
      <c r="D791" s="6" t="s">
        <v>758</v>
      </c>
      <c r="E791" s="1" t="s">
        <v>629</v>
      </c>
      <c r="F791" s="1">
        <f t="shared" si="12"/>
        <v>8</v>
      </c>
      <c r="H791" s="4"/>
    </row>
    <row r="792" spans="1:8" x14ac:dyDescent="0.25">
      <c r="A792" s="6">
        <v>46082</v>
      </c>
      <c r="B792" s="6" t="s">
        <v>547</v>
      </c>
      <c r="C792" s="6" t="s">
        <v>546</v>
      </c>
      <c r="D792" s="6" t="s">
        <v>758</v>
      </c>
      <c r="E792" s="1" t="s">
        <v>727</v>
      </c>
      <c r="F792" s="1">
        <f t="shared" si="12"/>
        <v>0</v>
      </c>
      <c r="H792" s="4"/>
    </row>
    <row r="793" spans="1:8" x14ac:dyDescent="0.25">
      <c r="A793" s="6">
        <v>46083</v>
      </c>
      <c r="B793" s="6" t="s">
        <v>547</v>
      </c>
      <c r="C793" s="6" t="s">
        <v>546</v>
      </c>
      <c r="D793" s="6" t="s">
        <v>758</v>
      </c>
      <c r="F793" s="1">
        <f t="shared" si="12"/>
        <v>8</v>
      </c>
      <c r="H793" s="4"/>
    </row>
    <row r="794" spans="1:8" x14ac:dyDescent="0.25">
      <c r="A794" s="6">
        <v>46084</v>
      </c>
      <c r="B794" s="6" t="s">
        <v>547</v>
      </c>
      <c r="C794" s="6" t="s">
        <v>546</v>
      </c>
      <c r="D794" s="6" t="s">
        <v>758</v>
      </c>
      <c r="F794" s="1">
        <f t="shared" si="12"/>
        <v>8</v>
      </c>
      <c r="H794" s="4"/>
    </row>
    <row r="795" spans="1:8" x14ac:dyDescent="0.25">
      <c r="A795" s="6">
        <v>46085</v>
      </c>
      <c r="B795" s="6" t="s">
        <v>547</v>
      </c>
      <c r="C795" s="6" t="s">
        <v>546</v>
      </c>
      <c r="D795" s="6" t="s">
        <v>758</v>
      </c>
      <c r="F795" s="1">
        <f t="shared" si="12"/>
        <v>8</v>
      </c>
      <c r="H795" s="4"/>
    </row>
    <row r="796" spans="1:8" x14ac:dyDescent="0.25">
      <c r="A796" s="6">
        <v>46086</v>
      </c>
      <c r="B796" s="6" t="s">
        <v>547</v>
      </c>
      <c r="C796" s="6" t="s">
        <v>546</v>
      </c>
      <c r="D796" s="6" t="s">
        <v>758</v>
      </c>
      <c r="F796" s="1">
        <f t="shared" si="12"/>
        <v>8</v>
      </c>
      <c r="H796" s="4"/>
    </row>
    <row r="797" spans="1:8" x14ac:dyDescent="0.25">
      <c r="A797" s="6">
        <v>46087</v>
      </c>
      <c r="B797" s="6" t="s">
        <v>547</v>
      </c>
      <c r="C797" s="6" t="s">
        <v>546</v>
      </c>
      <c r="D797" s="6" t="s">
        <v>758</v>
      </c>
      <c r="F797" s="1">
        <f t="shared" si="12"/>
        <v>8</v>
      </c>
      <c r="H797" s="4"/>
    </row>
    <row r="798" spans="1:8" x14ac:dyDescent="0.25">
      <c r="A798" s="6">
        <v>46088</v>
      </c>
      <c r="B798" s="6" t="s">
        <v>549</v>
      </c>
      <c r="C798" s="6" t="s">
        <v>548</v>
      </c>
      <c r="D798" s="6" t="s">
        <v>758</v>
      </c>
      <c r="E798" s="1" t="s">
        <v>727</v>
      </c>
      <c r="F798" s="1">
        <f t="shared" si="12"/>
        <v>0</v>
      </c>
      <c r="H798" s="4"/>
    </row>
    <row r="799" spans="1:8" x14ac:dyDescent="0.25">
      <c r="A799" s="6">
        <v>46089</v>
      </c>
      <c r="B799" s="6" t="s">
        <v>549</v>
      </c>
      <c r="C799" s="6" t="s">
        <v>548</v>
      </c>
      <c r="D799" s="6" t="s">
        <v>758</v>
      </c>
      <c r="E799" s="1" t="s">
        <v>727</v>
      </c>
      <c r="F799" s="1">
        <f t="shared" si="12"/>
        <v>0</v>
      </c>
      <c r="H799" s="4"/>
    </row>
    <row r="800" spans="1:8" x14ac:dyDescent="0.25">
      <c r="A800" s="6">
        <v>46090</v>
      </c>
      <c r="B800" s="6" t="s">
        <v>549</v>
      </c>
      <c r="C800" s="6" t="s">
        <v>548</v>
      </c>
      <c r="D800" s="6" t="s">
        <v>758</v>
      </c>
      <c r="F800" s="1">
        <f t="shared" si="12"/>
        <v>8</v>
      </c>
      <c r="H800" s="4"/>
    </row>
    <row r="801" spans="1:8" x14ac:dyDescent="0.25">
      <c r="A801" s="6">
        <v>46091</v>
      </c>
      <c r="B801" s="6" t="s">
        <v>549</v>
      </c>
      <c r="C801" s="6" t="s">
        <v>548</v>
      </c>
      <c r="D801" s="6" t="s">
        <v>758</v>
      </c>
      <c r="F801" s="1">
        <f t="shared" si="12"/>
        <v>8</v>
      </c>
      <c r="H801" s="4"/>
    </row>
    <row r="802" spans="1:8" x14ac:dyDescent="0.25">
      <c r="A802" s="6">
        <v>46092</v>
      </c>
      <c r="B802" s="6" t="s">
        <v>549</v>
      </c>
      <c r="C802" s="6" t="s">
        <v>548</v>
      </c>
      <c r="D802" s="6" t="s">
        <v>758</v>
      </c>
      <c r="F802" s="1">
        <f t="shared" si="12"/>
        <v>8</v>
      </c>
      <c r="H802" s="4"/>
    </row>
    <row r="803" spans="1:8" x14ac:dyDescent="0.25">
      <c r="A803" s="6">
        <v>46093</v>
      </c>
      <c r="B803" s="6" t="s">
        <v>549</v>
      </c>
      <c r="C803" s="6" t="s">
        <v>548</v>
      </c>
      <c r="D803" s="6" t="s">
        <v>758</v>
      </c>
      <c r="F803" s="1">
        <f t="shared" si="12"/>
        <v>8</v>
      </c>
      <c r="H803" s="4"/>
    </row>
    <row r="804" spans="1:8" x14ac:dyDescent="0.25">
      <c r="A804" s="6">
        <v>46094</v>
      </c>
      <c r="B804" s="6" t="s">
        <v>549</v>
      </c>
      <c r="C804" s="6" t="s">
        <v>548</v>
      </c>
      <c r="D804" s="6" t="s">
        <v>758</v>
      </c>
      <c r="F804" s="1">
        <f t="shared" si="12"/>
        <v>8</v>
      </c>
      <c r="H804" s="4"/>
    </row>
    <row r="805" spans="1:8" x14ac:dyDescent="0.25">
      <c r="A805" s="6">
        <v>46095</v>
      </c>
      <c r="B805" s="6" t="s">
        <v>787</v>
      </c>
      <c r="C805" s="6" t="s">
        <v>640</v>
      </c>
      <c r="D805" s="6" t="s">
        <v>758</v>
      </c>
      <c r="E805" s="1" t="s">
        <v>727</v>
      </c>
      <c r="F805" s="1">
        <f t="shared" si="12"/>
        <v>0</v>
      </c>
      <c r="H805" s="4"/>
    </row>
    <row r="806" spans="1:8" x14ac:dyDescent="0.25">
      <c r="A806" s="6">
        <v>46096</v>
      </c>
      <c r="B806" s="6" t="s">
        <v>787</v>
      </c>
      <c r="C806" s="6" t="s">
        <v>640</v>
      </c>
      <c r="D806" s="6" t="s">
        <v>758</v>
      </c>
      <c r="E806" s="1" t="s">
        <v>727</v>
      </c>
      <c r="F806" s="1">
        <f t="shared" si="12"/>
        <v>0</v>
      </c>
      <c r="H806" s="4"/>
    </row>
    <row r="807" spans="1:8" x14ac:dyDescent="0.25">
      <c r="A807" s="6">
        <v>46097</v>
      </c>
      <c r="B807" s="6" t="s">
        <v>787</v>
      </c>
      <c r="C807" s="6" t="s">
        <v>640</v>
      </c>
      <c r="D807" s="6" t="s">
        <v>758</v>
      </c>
      <c r="F807" s="1">
        <f t="shared" si="12"/>
        <v>8</v>
      </c>
      <c r="H807" s="4"/>
    </row>
    <row r="808" spans="1:8" x14ac:dyDescent="0.25">
      <c r="A808" s="6">
        <v>46098</v>
      </c>
      <c r="B808" s="6" t="s">
        <v>787</v>
      </c>
      <c r="C808" s="6" t="s">
        <v>640</v>
      </c>
      <c r="D808" s="6" t="s">
        <v>758</v>
      </c>
      <c r="F808" s="1">
        <f t="shared" si="12"/>
        <v>8</v>
      </c>
      <c r="H808" s="4"/>
    </row>
    <row r="809" spans="1:8" x14ac:dyDescent="0.25">
      <c r="A809" s="6">
        <v>46099</v>
      </c>
      <c r="B809" s="6" t="s">
        <v>787</v>
      </c>
      <c r="C809" s="6" t="s">
        <v>640</v>
      </c>
      <c r="D809" s="6" t="s">
        <v>758</v>
      </c>
      <c r="F809" s="1">
        <f t="shared" si="12"/>
        <v>8</v>
      </c>
      <c r="H809" s="4"/>
    </row>
    <row r="810" spans="1:8" x14ac:dyDescent="0.25">
      <c r="A810" s="6">
        <v>46100</v>
      </c>
      <c r="B810" s="6" t="s">
        <v>787</v>
      </c>
      <c r="C810" s="6" t="s">
        <v>640</v>
      </c>
      <c r="D810" s="6" t="s">
        <v>758</v>
      </c>
      <c r="F810" s="1">
        <f t="shared" si="12"/>
        <v>8</v>
      </c>
      <c r="H810" s="4"/>
    </row>
    <row r="811" spans="1:8" x14ac:dyDescent="0.25">
      <c r="A811" s="6">
        <v>46101</v>
      </c>
      <c r="B811" s="6" t="s">
        <v>787</v>
      </c>
      <c r="C811" s="6" t="s">
        <v>640</v>
      </c>
      <c r="D811" s="6" t="s">
        <v>758</v>
      </c>
      <c r="F811" s="1">
        <f t="shared" si="12"/>
        <v>8</v>
      </c>
      <c r="H811" s="4"/>
    </row>
    <row r="812" spans="1:8" x14ac:dyDescent="0.25">
      <c r="A812" s="6">
        <v>46102</v>
      </c>
      <c r="B812" s="6" t="s">
        <v>788</v>
      </c>
      <c r="C812" s="6" t="s">
        <v>642</v>
      </c>
      <c r="D812" s="6" t="s">
        <v>758</v>
      </c>
      <c r="E812" s="1" t="s">
        <v>727</v>
      </c>
      <c r="F812" s="1">
        <f t="shared" si="12"/>
        <v>0</v>
      </c>
      <c r="H812" s="4"/>
    </row>
    <row r="813" spans="1:8" x14ac:dyDescent="0.25">
      <c r="A813" s="6">
        <v>46103</v>
      </c>
      <c r="B813" s="6" t="s">
        <v>788</v>
      </c>
      <c r="C813" s="6" t="s">
        <v>642</v>
      </c>
      <c r="D813" s="6" t="s">
        <v>758</v>
      </c>
      <c r="E813" s="1" t="s">
        <v>727</v>
      </c>
      <c r="F813" s="1">
        <f t="shared" si="12"/>
        <v>0</v>
      </c>
      <c r="H813" s="4"/>
    </row>
    <row r="814" spans="1:8" x14ac:dyDescent="0.25">
      <c r="A814" s="6">
        <v>46104</v>
      </c>
      <c r="B814" s="6" t="s">
        <v>788</v>
      </c>
      <c r="C814" s="6" t="s">
        <v>642</v>
      </c>
      <c r="D814" s="6" t="s">
        <v>758</v>
      </c>
      <c r="F814" s="1">
        <f t="shared" si="12"/>
        <v>8</v>
      </c>
      <c r="H814" s="4"/>
    </row>
    <row r="815" spans="1:8" x14ac:dyDescent="0.25">
      <c r="A815" s="6">
        <v>46105</v>
      </c>
      <c r="B815" s="6" t="s">
        <v>788</v>
      </c>
      <c r="C815" s="6" t="s">
        <v>642</v>
      </c>
      <c r="D815" s="6" t="s">
        <v>758</v>
      </c>
      <c r="F815" s="1">
        <f t="shared" si="12"/>
        <v>8</v>
      </c>
      <c r="H815" s="4"/>
    </row>
    <row r="816" spans="1:8" x14ac:dyDescent="0.25">
      <c r="A816" s="6">
        <v>46106</v>
      </c>
      <c r="B816" s="6" t="s">
        <v>788</v>
      </c>
      <c r="C816" s="6" t="s">
        <v>642</v>
      </c>
      <c r="D816" s="6" t="s">
        <v>758</v>
      </c>
      <c r="F816" s="1">
        <f t="shared" si="12"/>
        <v>8</v>
      </c>
      <c r="H816" s="4"/>
    </row>
    <row r="817" spans="1:8" x14ac:dyDescent="0.25">
      <c r="A817" s="6">
        <v>46107</v>
      </c>
      <c r="B817" s="6" t="s">
        <v>788</v>
      </c>
      <c r="C817" s="6" t="s">
        <v>642</v>
      </c>
      <c r="D817" s="6" t="s">
        <v>758</v>
      </c>
      <c r="F817" s="1">
        <f t="shared" si="12"/>
        <v>8</v>
      </c>
      <c r="H817" s="4"/>
    </row>
    <row r="818" spans="1:8" x14ac:dyDescent="0.25">
      <c r="A818" s="6">
        <v>46108</v>
      </c>
      <c r="B818" s="6" t="s">
        <v>788</v>
      </c>
      <c r="C818" s="6" t="s">
        <v>642</v>
      </c>
      <c r="D818" s="6" t="s">
        <v>758</v>
      </c>
      <c r="F818" s="1">
        <f t="shared" si="12"/>
        <v>8</v>
      </c>
      <c r="H818" s="4"/>
    </row>
    <row r="819" spans="1:8" x14ac:dyDescent="0.25">
      <c r="A819" s="6">
        <v>46109</v>
      </c>
      <c r="B819" s="6" t="s">
        <v>789</v>
      </c>
      <c r="C819" s="6" t="s">
        <v>644</v>
      </c>
      <c r="D819" s="6" t="s">
        <v>758</v>
      </c>
      <c r="E819" s="1" t="s">
        <v>727</v>
      </c>
      <c r="F819" s="1">
        <f t="shared" si="12"/>
        <v>0</v>
      </c>
      <c r="H819" s="4"/>
    </row>
    <row r="820" spans="1:8" x14ac:dyDescent="0.25">
      <c r="A820" s="6">
        <v>46110</v>
      </c>
      <c r="B820" s="6" t="s">
        <v>789</v>
      </c>
      <c r="C820" s="6" t="s">
        <v>644</v>
      </c>
      <c r="D820" s="6" t="s">
        <v>758</v>
      </c>
      <c r="E820" s="1" t="s">
        <v>727</v>
      </c>
      <c r="F820" s="1">
        <f t="shared" si="12"/>
        <v>0</v>
      </c>
      <c r="H820" s="4"/>
    </row>
    <row r="821" spans="1:8" x14ac:dyDescent="0.25">
      <c r="A821" s="6">
        <v>46111</v>
      </c>
      <c r="B821" s="6" t="s">
        <v>789</v>
      </c>
      <c r="C821" s="6" t="s">
        <v>644</v>
      </c>
      <c r="D821" s="6" t="s">
        <v>758</v>
      </c>
      <c r="F821" s="1">
        <f t="shared" si="12"/>
        <v>8</v>
      </c>
      <c r="H821" s="4"/>
    </row>
    <row r="822" spans="1:8" x14ac:dyDescent="0.25">
      <c r="A822" s="6">
        <v>46112</v>
      </c>
      <c r="B822" s="6" t="s">
        <v>789</v>
      </c>
      <c r="C822" s="6" t="s">
        <v>644</v>
      </c>
      <c r="D822" s="6" t="s">
        <v>758</v>
      </c>
      <c r="F822" s="1">
        <f t="shared" si="12"/>
        <v>8</v>
      </c>
      <c r="H822" s="4"/>
    </row>
    <row r="823" spans="1:8" x14ac:dyDescent="0.25">
      <c r="A823" s="6">
        <v>46113</v>
      </c>
      <c r="B823" s="6" t="s">
        <v>789</v>
      </c>
      <c r="C823" s="6" t="s">
        <v>644</v>
      </c>
      <c r="D823" s="6" t="s">
        <v>758</v>
      </c>
      <c r="F823" s="1">
        <f t="shared" si="12"/>
        <v>8</v>
      </c>
      <c r="H823" s="4"/>
    </row>
    <row r="824" spans="1:8" x14ac:dyDescent="0.25">
      <c r="A824" s="6">
        <v>46114</v>
      </c>
      <c r="B824" s="6" t="s">
        <v>789</v>
      </c>
      <c r="C824" s="6" t="s">
        <v>644</v>
      </c>
      <c r="D824" s="6" t="s">
        <v>758</v>
      </c>
      <c r="F824" s="1">
        <f t="shared" si="12"/>
        <v>8</v>
      </c>
      <c r="H824" s="4"/>
    </row>
    <row r="825" spans="1:8" x14ac:dyDescent="0.25">
      <c r="A825" s="6">
        <v>46115</v>
      </c>
      <c r="B825" s="6" t="s">
        <v>789</v>
      </c>
      <c r="C825" s="6" t="s">
        <v>644</v>
      </c>
      <c r="D825" s="6" t="s">
        <v>758</v>
      </c>
      <c r="F825" s="1">
        <f t="shared" si="12"/>
        <v>8</v>
      </c>
      <c r="H825" s="4"/>
    </row>
    <row r="826" spans="1:8" x14ac:dyDescent="0.25">
      <c r="A826" s="6">
        <v>46116</v>
      </c>
      <c r="B826" s="6" t="s">
        <v>790</v>
      </c>
      <c r="C826" s="6" t="s">
        <v>647</v>
      </c>
      <c r="D826" s="6" t="s">
        <v>758</v>
      </c>
      <c r="E826" s="1" t="s">
        <v>727</v>
      </c>
      <c r="F826" s="1">
        <f t="shared" si="12"/>
        <v>0</v>
      </c>
      <c r="H826" s="4"/>
    </row>
    <row r="827" spans="1:8" x14ac:dyDescent="0.25">
      <c r="A827" s="6">
        <v>46117</v>
      </c>
      <c r="B827" s="6" t="s">
        <v>790</v>
      </c>
      <c r="C827" s="6" t="s">
        <v>647</v>
      </c>
      <c r="D827" s="6" t="s">
        <v>758</v>
      </c>
      <c r="E827" s="1" t="s">
        <v>727</v>
      </c>
      <c r="F827" s="1">
        <f t="shared" si="12"/>
        <v>0</v>
      </c>
      <c r="H827" s="4"/>
    </row>
    <row r="828" spans="1:8" x14ac:dyDescent="0.25">
      <c r="A828" s="6">
        <v>46118</v>
      </c>
      <c r="B828" s="6" t="s">
        <v>790</v>
      </c>
      <c r="C828" s="6" t="s">
        <v>647</v>
      </c>
      <c r="D828" s="6" t="s">
        <v>758</v>
      </c>
      <c r="E828" s="1" t="s">
        <v>645</v>
      </c>
      <c r="F828" s="1">
        <f t="shared" si="12"/>
        <v>0</v>
      </c>
      <c r="H828" s="4"/>
    </row>
    <row r="829" spans="1:8" x14ac:dyDescent="0.25">
      <c r="A829" s="6">
        <v>46119</v>
      </c>
      <c r="B829" s="6" t="s">
        <v>790</v>
      </c>
      <c r="C829" s="6" t="s">
        <v>647</v>
      </c>
      <c r="D829" s="6" t="s">
        <v>758</v>
      </c>
      <c r="F829" s="1">
        <f t="shared" si="12"/>
        <v>8</v>
      </c>
      <c r="H829" s="4"/>
    </row>
    <row r="830" spans="1:8" x14ac:dyDescent="0.25">
      <c r="A830" s="6">
        <v>46120</v>
      </c>
      <c r="B830" s="6" t="s">
        <v>790</v>
      </c>
      <c r="C830" s="6" t="s">
        <v>647</v>
      </c>
      <c r="D830" s="6" t="s">
        <v>758</v>
      </c>
      <c r="F830" s="1">
        <f t="shared" si="12"/>
        <v>8</v>
      </c>
      <c r="H830" s="4"/>
    </row>
    <row r="831" spans="1:8" x14ac:dyDescent="0.25">
      <c r="A831" s="6">
        <v>46121</v>
      </c>
      <c r="B831" s="6" t="s">
        <v>790</v>
      </c>
      <c r="C831" s="6" t="s">
        <v>647</v>
      </c>
      <c r="D831" s="6" t="s">
        <v>758</v>
      </c>
      <c r="F831" s="1">
        <f t="shared" si="12"/>
        <v>8</v>
      </c>
      <c r="H831" s="4"/>
    </row>
    <row r="832" spans="1:8" x14ac:dyDescent="0.25">
      <c r="A832" s="6">
        <v>46122</v>
      </c>
      <c r="B832" s="6" t="s">
        <v>790</v>
      </c>
      <c r="C832" s="6" t="s">
        <v>647</v>
      </c>
      <c r="D832" s="6" t="s">
        <v>758</v>
      </c>
      <c r="F832" s="1">
        <f t="shared" si="12"/>
        <v>8</v>
      </c>
      <c r="H832" s="4"/>
    </row>
    <row r="833" spans="1:8" x14ac:dyDescent="0.25">
      <c r="A833" s="6">
        <v>46123</v>
      </c>
      <c r="B833" s="6" t="s">
        <v>791</v>
      </c>
      <c r="C833" s="6" t="s">
        <v>649</v>
      </c>
      <c r="D833" s="6" t="s">
        <v>758</v>
      </c>
      <c r="E833" s="1" t="s">
        <v>727</v>
      </c>
      <c r="F833" s="1">
        <f t="shared" si="12"/>
        <v>0</v>
      </c>
      <c r="H833" s="4"/>
    </row>
    <row r="834" spans="1:8" x14ac:dyDescent="0.25">
      <c r="A834" s="6">
        <v>46124</v>
      </c>
      <c r="B834" s="6" t="s">
        <v>791</v>
      </c>
      <c r="C834" s="6" t="s">
        <v>649</v>
      </c>
      <c r="D834" s="6" t="s">
        <v>758</v>
      </c>
      <c r="E834" s="1" t="s">
        <v>727</v>
      </c>
      <c r="F834" s="1">
        <f t="shared" ref="F834:F897" si="13">IF(OR(E834="",E834="调休"),8,0)</f>
        <v>0</v>
      </c>
      <c r="H834" s="4"/>
    </row>
    <row r="835" spans="1:8" x14ac:dyDescent="0.25">
      <c r="A835" s="6">
        <v>46125</v>
      </c>
      <c r="B835" s="6" t="s">
        <v>791</v>
      </c>
      <c r="C835" s="6" t="s">
        <v>649</v>
      </c>
      <c r="D835" s="6" t="s">
        <v>758</v>
      </c>
      <c r="F835" s="1">
        <f t="shared" si="13"/>
        <v>8</v>
      </c>
      <c r="H835" s="4"/>
    </row>
    <row r="836" spans="1:8" x14ac:dyDescent="0.25">
      <c r="A836" s="6">
        <v>46126</v>
      </c>
      <c r="B836" s="6" t="s">
        <v>791</v>
      </c>
      <c r="C836" s="6" t="s">
        <v>649</v>
      </c>
      <c r="D836" s="6" t="s">
        <v>758</v>
      </c>
      <c r="F836" s="1">
        <f t="shared" si="13"/>
        <v>8</v>
      </c>
      <c r="H836" s="4"/>
    </row>
    <row r="837" spans="1:8" x14ac:dyDescent="0.25">
      <c r="A837" s="6">
        <v>46127</v>
      </c>
      <c r="B837" s="6" t="s">
        <v>791</v>
      </c>
      <c r="C837" s="6" t="s">
        <v>649</v>
      </c>
      <c r="D837" s="6" t="s">
        <v>758</v>
      </c>
      <c r="F837" s="1">
        <f t="shared" si="13"/>
        <v>8</v>
      </c>
      <c r="H837" s="4"/>
    </row>
    <row r="838" spans="1:8" x14ac:dyDescent="0.25">
      <c r="A838" s="6">
        <v>46128</v>
      </c>
      <c r="B838" s="6" t="s">
        <v>791</v>
      </c>
      <c r="C838" s="6" t="s">
        <v>649</v>
      </c>
      <c r="D838" s="6" t="s">
        <v>758</v>
      </c>
      <c r="F838" s="1">
        <f t="shared" si="13"/>
        <v>8</v>
      </c>
      <c r="H838" s="4"/>
    </row>
    <row r="839" spans="1:8" x14ac:dyDescent="0.25">
      <c r="A839" s="6">
        <v>46129</v>
      </c>
      <c r="B839" s="6" t="s">
        <v>791</v>
      </c>
      <c r="C839" s="6" t="s">
        <v>649</v>
      </c>
      <c r="D839" s="6" t="s">
        <v>758</v>
      </c>
      <c r="F839" s="1">
        <f t="shared" si="13"/>
        <v>8</v>
      </c>
      <c r="H839" s="4"/>
    </row>
    <row r="840" spans="1:8" x14ac:dyDescent="0.25">
      <c r="A840" s="6">
        <v>46130</v>
      </c>
      <c r="B840" s="6" t="s">
        <v>792</v>
      </c>
      <c r="C840" s="6" t="s">
        <v>651</v>
      </c>
      <c r="D840" s="6" t="s">
        <v>758</v>
      </c>
      <c r="E840" s="1" t="s">
        <v>727</v>
      </c>
      <c r="F840" s="1">
        <f t="shared" si="13"/>
        <v>0</v>
      </c>
      <c r="H840" s="4"/>
    </row>
    <row r="841" spans="1:8" x14ac:dyDescent="0.25">
      <c r="A841" s="6">
        <v>46131</v>
      </c>
      <c r="B841" s="6" t="s">
        <v>792</v>
      </c>
      <c r="C841" s="6" t="s">
        <v>651</v>
      </c>
      <c r="D841" s="6" t="s">
        <v>758</v>
      </c>
      <c r="E841" s="1" t="s">
        <v>727</v>
      </c>
      <c r="F841" s="1">
        <f t="shared" si="13"/>
        <v>0</v>
      </c>
      <c r="H841" s="4"/>
    </row>
    <row r="842" spans="1:8" x14ac:dyDescent="0.25">
      <c r="A842" s="6">
        <v>46132</v>
      </c>
      <c r="B842" s="6" t="s">
        <v>792</v>
      </c>
      <c r="C842" s="6" t="s">
        <v>651</v>
      </c>
      <c r="D842" s="6" t="s">
        <v>758</v>
      </c>
      <c r="F842" s="1">
        <f t="shared" si="13"/>
        <v>8</v>
      </c>
      <c r="H842" s="4"/>
    </row>
    <row r="843" spans="1:8" x14ac:dyDescent="0.25">
      <c r="A843" s="6">
        <v>46133</v>
      </c>
      <c r="B843" s="6" t="s">
        <v>792</v>
      </c>
      <c r="C843" s="6" t="s">
        <v>651</v>
      </c>
      <c r="D843" s="6" t="s">
        <v>758</v>
      </c>
      <c r="F843" s="1">
        <f t="shared" si="13"/>
        <v>8</v>
      </c>
      <c r="H843" s="4"/>
    </row>
    <row r="844" spans="1:8" x14ac:dyDescent="0.25">
      <c r="A844" s="6">
        <v>46134</v>
      </c>
      <c r="B844" s="6" t="s">
        <v>792</v>
      </c>
      <c r="C844" s="6" t="s">
        <v>651</v>
      </c>
      <c r="D844" s="6" t="s">
        <v>758</v>
      </c>
      <c r="F844" s="1">
        <f t="shared" si="13"/>
        <v>8</v>
      </c>
      <c r="H844" s="4"/>
    </row>
    <row r="845" spans="1:8" x14ac:dyDescent="0.25">
      <c r="A845" s="6">
        <v>46135</v>
      </c>
      <c r="B845" s="6" t="s">
        <v>792</v>
      </c>
      <c r="C845" s="6" t="s">
        <v>651</v>
      </c>
      <c r="D845" s="6" t="s">
        <v>758</v>
      </c>
      <c r="F845" s="1">
        <f t="shared" si="13"/>
        <v>8</v>
      </c>
      <c r="H845" s="4"/>
    </row>
    <row r="846" spans="1:8" x14ac:dyDescent="0.25">
      <c r="A846" s="6">
        <v>46136</v>
      </c>
      <c r="B846" s="6" t="s">
        <v>792</v>
      </c>
      <c r="C846" s="6" t="s">
        <v>651</v>
      </c>
      <c r="D846" s="6" t="s">
        <v>758</v>
      </c>
      <c r="F846" s="1">
        <f t="shared" si="13"/>
        <v>8</v>
      </c>
      <c r="H846" s="4"/>
    </row>
    <row r="847" spans="1:8" x14ac:dyDescent="0.25">
      <c r="A847" s="6">
        <v>46137</v>
      </c>
      <c r="B847" s="6" t="s">
        <v>793</v>
      </c>
      <c r="C847" s="6" t="s">
        <v>653</v>
      </c>
      <c r="D847" s="6" t="s">
        <v>758</v>
      </c>
      <c r="E847" s="1" t="s">
        <v>727</v>
      </c>
      <c r="F847" s="1">
        <f t="shared" si="13"/>
        <v>0</v>
      </c>
      <c r="H847" s="4"/>
    </row>
    <row r="848" spans="1:8" x14ac:dyDescent="0.25">
      <c r="A848" s="6">
        <v>46138</v>
      </c>
      <c r="B848" s="6" t="s">
        <v>793</v>
      </c>
      <c r="C848" s="6" t="s">
        <v>653</v>
      </c>
      <c r="D848" s="6" t="s">
        <v>758</v>
      </c>
      <c r="E848" s="1" t="s">
        <v>727</v>
      </c>
      <c r="F848" s="1">
        <f t="shared" si="13"/>
        <v>0</v>
      </c>
      <c r="H848" s="4"/>
    </row>
    <row r="849" spans="1:8" x14ac:dyDescent="0.25">
      <c r="A849" s="6">
        <v>46139</v>
      </c>
      <c r="B849" s="6" t="s">
        <v>793</v>
      </c>
      <c r="C849" s="6" t="s">
        <v>653</v>
      </c>
      <c r="D849" s="6" t="s">
        <v>758</v>
      </c>
      <c r="F849" s="1">
        <f t="shared" si="13"/>
        <v>8</v>
      </c>
      <c r="H849" s="4"/>
    </row>
    <row r="850" spans="1:8" x14ac:dyDescent="0.25">
      <c r="A850" s="6">
        <v>46140</v>
      </c>
      <c r="B850" s="6" t="s">
        <v>793</v>
      </c>
      <c r="C850" s="6" t="s">
        <v>653</v>
      </c>
      <c r="D850" s="6" t="s">
        <v>758</v>
      </c>
      <c r="F850" s="1">
        <f t="shared" si="13"/>
        <v>8</v>
      </c>
      <c r="H850" s="4"/>
    </row>
    <row r="851" spans="1:8" x14ac:dyDescent="0.25">
      <c r="A851" s="6">
        <v>46141</v>
      </c>
      <c r="B851" s="6" t="s">
        <v>793</v>
      </c>
      <c r="C851" s="6" t="s">
        <v>653</v>
      </c>
      <c r="D851" s="6" t="s">
        <v>758</v>
      </c>
      <c r="F851" s="1">
        <f t="shared" si="13"/>
        <v>8</v>
      </c>
      <c r="H851" s="4"/>
    </row>
    <row r="852" spans="1:8" x14ac:dyDescent="0.25">
      <c r="A852" s="6">
        <v>46142</v>
      </c>
      <c r="B852" s="6" t="s">
        <v>793</v>
      </c>
      <c r="C852" s="6" t="s">
        <v>653</v>
      </c>
      <c r="D852" s="6" t="s">
        <v>758</v>
      </c>
      <c r="F852" s="1">
        <f t="shared" si="13"/>
        <v>8</v>
      </c>
      <c r="H852" s="4"/>
    </row>
    <row r="853" spans="1:8" x14ac:dyDescent="0.25">
      <c r="A853" s="6">
        <v>46143</v>
      </c>
      <c r="B853" s="6" t="s">
        <v>793</v>
      </c>
      <c r="C853" s="6" t="s">
        <v>653</v>
      </c>
      <c r="D853" s="6" t="s">
        <v>758</v>
      </c>
      <c r="E853" s="1" t="s">
        <v>654</v>
      </c>
      <c r="F853" s="1">
        <f t="shared" si="13"/>
        <v>0</v>
      </c>
      <c r="H853" s="4"/>
    </row>
    <row r="854" spans="1:8" x14ac:dyDescent="0.25">
      <c r="A854" s="6">
        <v>46144</v>
      </c>
      <c r="B854" s="6" t="s">
        <v>794</v>
      </c>
      <c r="C854" s="6" t="s">
        <v>656</v>
      </c>
      <c r="D854" s="6" t="s">
        <v>758</v>
      </c>
      <c r="E854" s="1" t="s">
        <v>727</v>
      </c>
      <c r="F854" s="1">
        <f t="shared" si="13"/>
        <v>0</v>
      </c>
      <c r="H854" s="4"/>
    </row>
    <row r="855" spans="1:8" x14ac:dyDescent="0.25">
      <c r="A855" s="6">
        <v>46145</v>
      </c>
      <c r="B855" s="6" t="s">
        <v>794</v>
      </c>
      <c r="C855" s="6" t="s">
        <v>656</v>
      </c>
      <c r="D855" s="6" t="s">
        <v>758</v>
      </c>
      <c r="E855" s="1" t="s">
        <v>727</v>
      </c>
      <c r="F855" s="1">
        <f t="shared" si="13"/>
        <v>0</v>
      </c>
      <c r="H855" s="4"/>
    </row>
    <row r="856" spans="1:8" x14ac:dyDescent="0.25">
      <c r="A856" s="6">
        <v>46146</v>
      </c>
      <c r="B856" s="6" t="s">
        <v>794</v>
      </c>
      <c r="C856" s="6" t="s">
        <v>656</v>
      </c>
      <c r="D856" s="6" t="s">
        <v>758</v>
      </c>
      <c r="E856" s="1" t="s">
        <v>654</v>
      </c>
      <c r="F856" s="1">
        <f t="shared" si="13"/>
        <v>0</v>
      </c>
      <c r="H856" s="4"/>
    </row>
    <row r="857" spans="1:8" x14ac:dyDescent="0.25">
      <c r="A857" s="6">
        <v>46147</v>
      </c>
      <c r="B857" s="6" t="s">
        <v>794</v>
      </c>
      <c r="C857" s="6" t="s">
        <v>656</v>
      </c>
      <c r="D857" s="6" t="s">
        <v>758</v>
      </c>
      <c r="E857" s="1" t="s">
        <v>654</v>
      </c>
      <c r="F857" s="1">
        <f t="shared" si="13"/>
        <v>0</v>
      </c>
      <c r="H857" s="4"/>
    </row>
    <row r="858" spans="1:8" x14ac:dyDescent="0.25">
      <c r="A858" s="6">
        <v>46148</v>
      </c>
      <c r="B858" s="6" t="s">
        <v>794</v>
      </c>
      <c r="C858" s="6" t="s">
        <v>656</v>
      </c>
      <c r="D858" s="6" t="s">
        <v>758</v>
      </c>
      <c r="F858" s="1">
        <f t="shared" si="13"/>
        <v>8</v>
      </c>
      <c r="H858" s="4"/>
    </row>
    <row r="859" spans="1:8" x14ac:dyDescent="0.25">
      <c r="A859" s="6">
        <v>46149</v>
      </c>
      <c r="B859" s="6" t="s">
        <v>794</v>
      </c>
      <c r="C859" s="6" t="s">
        <v>656</v>
      </c>
      <c r="D859" s="6" t="s">
        <v>758</v>
      </c>
      <c r="F859" s="1">
        <f t="shared" si="13"/>
        <v>8</v>
      </c>
      <c r="H859" s="4"/>
    </row>
    <row r="860" spans="1:8" x14ac:dyDescent="0.25">
      <c r="A860" s="6">
        <v>46150</v>
      </c>
      <c r="B860" s="6" t="s">
        <v>794</v>
      </c>
      <c r="C860" s="6" t="s">
        <v>656</v>
      </c>
      <c r="D860" s="6" t="s">
        <v>758</v>
      </c>
      <c r="F860" s="1">
        <f t="shared" si="13"/>
        <v>8</v>
      </c>
      <c r="H860" s="4"/>
    </row>
    <row r="861" spans="1:8" x14ac:dyDescent="0.25">
      <c r="A861" s="6">
        <v>46151</v>
      </c>
      <c r="B861" s="6" t="s">
        <v>795</v>
      </c>
      <c r="C861" s="6" t="s">
        <v>658</v>
      </c>
      <c r="D861" s="6" t="s">
        <v>758</v>
      </c>
      <c r="E861" s="1" t="s">
        <v>629</v>
      </c>
      <c r="F861" s="1">
        <f t="shared" si="13"/>
        <v>8</v>
      </c>
      <c r="H861" s="4"/>
    </row>
    <row r="862" spans="1:8" x14ac:dyDescent="0.25">
      <c r="A862" s="6">
        <v>46152</v>
      </c>
      <c r="B862" s="6" t="s">
        <v>795</v>
      </c>
      <c r="C862" s="6" t="s">
        <v>658</v>
      </c>
      <c r="D862" s="6" t="s">
        <v>758</v>
      </c>
      <c r="E862" s="1" t="s">
        <v>727</v>
      </c>
      <c r="F862" s="1">
        <f t="shared" si="13"/>
        <v>0</v>
      </c>
      <c r="H862" s="4"/>
    </row>
    <row r="863" spans="1:8" x14ac:dyDescent="0.25">
      <c r="A863" s="6">
        <v>46153</v>
      </c>
      <c r="B863" s="6" t="s">
        <v>795</v>
      </c>
      <c r="C863" s="6" t="s">
        <v>658</v>
      </c>
      <c r="D863" s="6" t="s">
        <v>758</v>
      </c>
      <c r="F863" s="1">
        <f t="shared" si="13"/>
        <v>8</v>
      </c>
      <c r="H863" s="4"/>
    </row>
    <row r="864" spans="1:8" x14ac:dyDescent="0.25">
      <c r="A864" s="6">
        <v>46154</v>
      </c>
      <c r="B864" s="6" t="s">
        <v>795</v>
      </c>
      <c r="C864" s="6" t="s">
        <v>658</v>
      </c>
      <c r="D864" s="6" t="s">
        <v>758</v>
      </c>
      <c r="F864" s="1">
        <f t="shared" si="13"/>
        <v>8</v>
      </c>
      <c r="H864" s="4"/>
    </row>
    <row r="865" spans="1:8" x14ac:dyDescent="0.25">
      <c r="A865" s="6">
        <v>46155</v>
      </c>
      <c r="B865" s="6" t="s">
        <v>795</v>
      </c>
      <c r="C865" s="6" t="s">
        <v>658</v>
      </c>
      <c r="D865" s="6" t="s">
        <v>758</v>
      </c>
      <c r="F865" s="1">
        <f t="shared" si="13"/>
        <v>8</v>
      </c>
      <c r="H865" s="4"/>
    </row>
    <row r="866" spans="1:8" x14ac:dyDescent="0.25">
      <c r="A866" s="6">
        <v>46156</v>
      </c>
      <c r="B866" s="6" t="s">
        <v>795</v>
      </c>
      <c r="C866" s="6" t="s">
        <v>658</v>
      </c>
      <c r="D866" s="6" t="s">
        <v>758</v>
      </c>
      <c r="F866" s="1">
        <f t="shared" si="13"/>
        <v>8</v>
      </c>
      <c r="H866" s="4"/>
    </row>
    <row r="867" spans="1:8" x14ac:dyDescent="0.25">
      <c r="A867" s="6">
        <v>46157</v>
      </c>
      <c r="B867" s="6" t="s">
        <v>795</v>
      </c>
      <c r="C867" s="6" t="s">
        <v>658</v>
      </c>
      <c r="D867" s="6" t="s">
        <v>758</v>
      </c>
      <c r="F867" s="1">
        <f t="shared" si="13"/>
        <v>8</v>
      </c>
      <c r="H867" s="4"/>
    </row>
    <row r="868" spans="1:8" x14ac:dyDescent="0.25">
      <c r="A868" s="6">
        <v>46158</v>
      </c>
      <c r="B868" s="6" t="s">
        <v>796</v>
      </c>
      <c r="C868" s="6" t="s">
        <v>660</v>
      </c>
      <c r="D868" s="6" t="s">
        <v>758</v>
      </c>
      <c r="E868" s="1" t="s">
        <v>727</v>
      </c>
      <c r="F868" s="1">
        <f t="shared" si="13"/>
        <v>0</v>
      </c>
      <c r="H868" s="4"/>
    </row>
    <row r="869" spans="1:8" x14ac:dyDescent="0.25">
      <c r="A869" s="6">
        <v>46159</v>
      </c>
      <c r="B869" s="6" t="s">
        <v>796</v>
      </c>
      <c r="C869" s="6" t="s">
        <v>660</v>
      </c>
      <c r="D869" s="6" t="s">
        <v>758</v>
      </c>
      <c r="E869" s="1" t="s">
        <v>727</v>
      </c>
      <c r="F869" s="1">
        <f t="shared" si="13"/>
        <v>0</v>
      </c>
      <c r="H869" s="4"/>
    </row>
    <row r="870" spans="1:8" x14ac:dyDescent="0.25">
      <c r="A870" s="6">
        <v>46160</v>
      </c>
      <c r="B870" s="6" t="s">
        <v>796</v>
      </c>
      <c r="C870" s="6" t="s">
        <v>660</v>
      </c>
      <c r="D870" s="6" t="s">
        <v>758</v>
      </c>
      <c r="F870" s="1">
        <f t="shared" si="13"/>
        <v>8</v>
      </c>
      <c r="H870" s="4"/>
    </row>
    <row r="871" spans="1:8" x14ac:dyDescent="0.25">
      <c r="A871" s="6">
        <v>46161</v>
      </c>
      <c r="B871" s="6" t="s">
        <v>796</v>
      </c>
      <c r="C871" s="6" t="s">
        <v>660</v>
      </c>
      <c r="D871" s="6" t="s">
        <v>758</v>
      </c>
      <c r="F871" s="1">
        <f t="shared" si="13"/>
        <v>8</v>
      </c>
      <c r="H871" s="4"/>
    </row>
    <row r="872" spans="1:8" x14ac:dyDescent="0.25">
      <c r="A872" s="6">
        <v>46162</v>
      </c>
      <c r="B872" s="6" t="s">
        <v>796</v>
      </c>
      <c r="C872" s="6" t="s">
        <v>660</v>
      </c>
      <c r="D872" s="6" t="s">
        <v>758</v>
      </c>
      <c r="F872" s="1">
        <f t="shared" si="13"/>
        <v>8</v>
      </c>
      <c r="H872" s="4"/>
    </row>
    <row r="873" spans="1:8" x14ac:dyDescent="0.25">
      <c r="A873" s="6">
        <v>46163</v>
      </c>
      <c r="B873" s="6" t="s">
        <v>796</v>
      </c>
      <c r="C873" s="6" t="s">
        <v>660</v>
      </c>
      <c r="D873" s="6" t="s">
        <v>758</v>
      </c>
      <c r="F873" s="1">
        <f t="shared" si="13"/>
        <v>8</v>
      </c>
      <c r="H873" s="4"/>
    </row>
    <row r="874" spans="1:8" x14ac:dyDescent="0.25">
      <c r="A874" s="6">
        <v>46164</v>
      </c>
      <c r="B874" s="6" t="s">
        <v>796</v>
      </c>
      <c r="C874" s="6" t="s">
        <v>660</v>
      </c>
      <c r="D874" s="6" t="s">
        <v>758</v>
      </c>
      <c r="F874" s="1">
        <f t="shared" si="13"/>
        <v>8</v>
      </c>
      <c r="H874" s="4"/>
    </row>
    <row r="875" spans="1:8" x14ac:dyDescent="0.25">
      <c r="A875" s="6">
        <v>46165</v>
      </c>
      <c r="B875" s="6" t="s">
        <v>797</v>
      </c>
      <c r="C875" s="6" t="s">
        <v>662</v>
      </c>
      <c r="D875" s="6" t="s">
        <v>758</v>
      </c>
      <c r="E875" s="1" t="s">
        <v>727</v>
      </c>
      <c r="F875" s="1">
        <f t="shared" si="13"/>
        <v>0</v>
      </c>
      <c r="H875" s="4"/>
    </row>
    <row r="876" spans="1:8" x14ac:dyDescent="0.25">
      <c r="A876" s="6">
        <v>46166</v>
      </c>
      <c r="B876" s="6" t="s">
        <v>797</v>
      </c>
      <c r="C876" s="6" t="s">
        <v>662</v>
      </c>
      <c r="D876" s="6" t="s">
        <v>758</v>
      </c>
      <c r="E876" s="1" t="s">
        <v>727</v>
      </c>
      <c r="F876" s="1">
        <f t="shared" si="13"/>
        <v>0</v>
      </c>
      <c r="H876" s="4"/>
    </row>
    <row r="877" spans="1:8" x14ac:dyDescent="0.25">
      <c r="A877" s="6">
        <v>46167</v>
      </c>
      <c r="B877" s="6" t="s">
        <v>797</v>
      </c>
      <c r="C877" s="6" t="s">
        <v>662</v>
      </c>
      <c r="D877" s="6" t="s">
        <v>758</v>
      </c>
      <c r="F877" s="1">
        <f t="shared" si="13"/>
        <v>8</v>
      </c>
      <c r="H877" s="4"/>
    </row>
    <row r="878" spans="1:8" x14ac:dyDescent="0.25">
      <c r="A878" s="6">
        <v>46168</v>
      </c>
      <c r="B878" s="6" t="s">
        <v>797</v>
      </c>
      <c r="C878" s="6" t="s">
        <v>662</v>
      </c>
      <c r="D878" s="6" t="s">
        <v>758</v>
      </c>
      <c r="F878" s="1">
        <f t="shared" si="13"/>
        <v>8</v>
      </c>
      <c r="H878" s="4"/>
    </row>
    <row r="879" spans="1:8" x14ac:dyDescent="0.25">
      <c r="A879" s="6">
        <v>46169</v>
      </c>
      <c r="B879" s="6" t="s">
        <v>797</v>
      </c>
      <c r="C879" s="6" t="s">
        <v>662</v>
      </c>
      <c r="D879" s="6" t="s">
        <v>758</v>
      </c>
      <c r="F879" s="1">
        <f t="shared" si="13"/>
        <v>8</v>
      </c>
      <c r="H879" s="4"/>
    </row>
    <row r="880" spans="1:8" x14ac:dyDescent="0.25">
      <c r="A880" s="6">
        <v>46170</v>
      </c>
      <c r="B880" s="6" t="s">
        <v>797</v>
      </c>
      <c r="C880" s="6" t="s">
        <v>662</v>
      </c>
      <c r="D880" s="6" t="s">
        <v>758</v>
      </c>
      <c r="F880" s="1">
        <f t="shared" si="13"/>
        <v>8</v>
      </c>
      <c r="H880" s="4"/>
    </row>
    <row r="881" spans="1:8" x14ac:dyDescent="0.25">
      <c r="A881" s="6">
        <v>46171</v>
      </c>
      <c r="B881" s="6" t="s">
        <v>797</v>
      </c>
      <c r="C881" s="6" t="s">
        <v>662</v>
      </c>
      <c r="D881" s="6" t="s">
        <v>758</v>
      </c>
      <c r="F881" s="1">
        <f t="shared" si="13"/>
        <v>8</v>
      </c>
      <c r="H881" s="4"/>
    </row>
    <row r="882" spans="1:8" x14ac:dyDescent="0.25">
      <c r="A882" s="6">
        <v>46172</v>
      </c>
      <c r="B882" s="6" t="s">
        <v>798</v>
      </c>
      <c r="C882" s="6" t="s">
        <v>664</v>
      </c>
      <c r="D882" s="6" t="s">
        <v>758</v>
      </c>
      <c r="E882" s="1" t="s">
        <v>727</v>
      </c>
      <c r="F882" s="1">
        <f t="shared" si="13"/>
        <v>0</v>
      </c>
      <c r="H882" s="4"/>
    </row>
    <row r="883" spans="1:8" x14ac:dyDescent="0.25">
      <c r="A883" s="6">
        <v>46173</v>
      </c>
      <c r="B883" s="6" t="s">
        <v>798</v>
      </c>
      <c r="C883" s="6" t="s">
        <v>664</v>
      </c>
      <c r="D883" s="6" t="s">
        <v>758</v>
      </c>
      <c r="E883" s="1" t="s">
        <v>727</v>
      </c>
      <c r="F883" s="1">
        <f t="shared" si="13"/>
        <v>0</v>
      </c>
      <c r="H883" s="4"/>
    </row>
    <row r="884" spans="1:8" x14ac:dyDescent="0.25">
      <c r="A884" s="6">
        <v>46174</v>
      </c>
      <c r="B884" s="6" t="s">
        <v>798</v>
      </c>
      <c r="C884" s="6" t="s">
        <v>664</v>
      </c>
      <c r="D884" s="6" t="s">
        <v>758</v>
      </c>
      <c r="F884" s="1">
        <f t="shared" si="13"/>
        <v>8</v>
      </c>
      <c r="H884" s="4"/>
    </row>
    <row r="885" spans="1:8" x14ac:dyDescent="0.25">
      <c r="A885" s="6">
        <v>46175</v>
      </c>
      <c r="B885" s="6" t="s">
        <v>798</v>
      </c>
      <c r="C885" s="6" t="s">
        <v>664</v>
      </c>
      <c r="D885" s="6" t="s">
        <v>758</v>
      </c>
      <c r="F885" s="1">
        <f t="shared" si="13"/>
        <v>8</v>
      </c>
      <c r="H885" s="4"/>
    </row>
    <row r="886" spans="1:8" x14ac:dyDescent="0.25">
      <c r="A886" s="6">
        <v>46176</v>
      </c>
      <c r="B886" s="6" t="s">
        <v>798</v>
      </c>
      <c r="C886" s="6" t="s">
        <v>664</v>
      </c>
      <c r="D886" s="6" t="s">
        <v>758</v>
      </c>
      <c r="F886" s="1">
        <f t="shared" si="13"/>
        <v>8</v>
      </c>
      <c r="H886" s="4"/>
    </row>
    <row r="887" spans="1:8" x14ac:dyDescent="0.25">
      <c r="A887" s="6">
        <v>46177</v>
      </c>
      <c r="B887" s="6" t="s">
        <v>798</v>
      </c>
      <c r="C887" s="6" t="s">
        <v>664</v>
      </c>
      <c r="D887" s="6" t="s">
        <v>758</v>
      </c>
      <c r="F887" s="1">
        <f t="shared" si="13"/>
        <v>8</v>
      </c>
      <c r="H887" s="4"/>
    </row>
    <row r="888" spans="1:8" x14ac:dyDescent="0.25">
      <c r="A888" s="6">
        <v>46178</v>
      </c>
      <c r="B888" s="6" t="s">
        <v>798</v>
      </c>
      <c r="C888" s="6" t="s">
        <v>664</v>
      </c>
      <c r="D888" s="6" t="s">
        <v>758</v>
      </c>
      <c r="F888" s="1">
        <f t="shared" si="13"/>
        <v>8</v>
      </c>
      <c r="H888" s="4"/>
    </row>
    <row r="889" spans="1:8" x14ac:dyDescent="0.25">
      <c r="A889" s="6">
        <v>46179</v>
      </c>
      <c r="B889" s="6" t="s">
        <v>799</v>
      </c>
      <c r="C889" s="6" t="s">
        <v>666</v>
      </c>
      <c r="D889" s="6" t="s">
        <v>758</v>
      </c>
      <c r="E889" s="1" t="s">
        <v>727</v>
      </c>
      <c r="F889" s="1">
        <f t="shared" si="13"/>
        <v>0</v>
      </c>
      <c r="H889" s="4"/>
    </row>
    <row r="890" spans="1:8" x14ac:dyDescent="0.25">
      <c r="A890" s="6">
        <v>46180</v>
      </c>
      <c r="B890" s="6" t="s">
        <v>799</v>
      </c>
      <c r="C890" s="6" t="s">
        <v>666</v>
      </c>
      <c r="D890" s="6" t="s">
        <v>758</v>
      </c>
      <c r="E890" s="1" t="s">
        <v>727</v>
      </c>
      <c r="F890" s="1">
        <f t="shared" si="13"/>
        <v>0</v>
      </c>
      <c r="H890" s="4"/>
    </row>
    <row r="891" spans="1:8" x14ac:dyDescent="0.25">
      <c r="A891" s="6">
        <v>46181</v>
      </c>
      <c r="B891" s="6" t="s">
        <v>799</v>
      </c>
      <c r="C891" s="6" t="s">
        <v>666</v>
      </c>
      <c r="D891" s="6" t="s">
        <v>758</v>
      </c>
      <c r="F891" s="1">
        <f t="shared" si="13"/>
        <v>8</v>
      </c>
      <c r="H891" s="4"/>
    </row>
    <row r="892" spans="1:8" x14ac:dyDescent="0.25">
      <c r="A892" s="6">
        <v>46182</v>
      </c>
      <c r="B892" s="6" t="s">
        <v>799</v>
      </c>
      <c r="C892" s="6" t="s">
        <v>666</v>
      </c>
      <c r="D892" s="6" t="s">
        <v>758</v>
      </c>
      <c r="F892" s="1">
        <f t="shared" si="13"/>
        <v>8</v>
      </c>
      <c r="H892" s="4"/>
    </row>
    <row r="893" spans="1:8" x14ac:dyDescent="0.25">
      <c r="A893" s="6">
        <v>46183</v>
      </c>
      <c r="B893" s="6" t="s">
        <v>799</v>
      </c>
      <c r="C893" s="6" t="s">
        <v>666</v>
      </c>
      <c r="D893" s="6" t="s">
        <v>758</v>
      </c>
      <c r="F893" s="1">
        <f t="shared" si="13"/>
        <v>8</v>
      </c>
      <c r="H893" s="4"/>
    </row>
    <row r="894" spans="1:8" x14ac:dyDescent="0.25">
      <c r="A894" s="6">
        <v>46184</v>
      </c>
      <c r="B894" s="6" t="s">
        <v>799</v>
      </c>
      <c r="C894" s="6" t="s">
        <v>666</v>
      </c>
      <c r="D894" s="6" t="s">
        <v>758</v>
      </c>
      <c r="F894" s="1">
        <f t="shared" si="13"/>
        <v>8</v>
      </c>
      <c r="H894" s="4"/>
    </row>
    <row r="895" spans="1:8" x14ac:dyDescent="0.25">
      <c r="A895" s="6">
        <v>46185</v>
      </c>
      <c r="B895" s="6" t="s">
        <v>799</v>
      </c>
      <c r="C895" s="6" t="s">
        <v>666</v>
      </c>
      <c r="D895" s="6" t="s">
        <v>758</v>
      </c>
      <c r="F895" s="1">
        <f t="shared" si="13"/>
        <v>8</v>
      </c>
      <c r="H895" s="4"/>
    </row>
    <row r="896" spans="1:8" x14ac:dyDescent="0.25">
      <c r="A896" s="6">
        <v>46186</v>
      </c>
      <c r="B896" s="6" t="s">
        <v>800</v>
      </c>
      <c r="C896" s="6" t="s">
        <v>669</v>
      </c>
      <c r="D896" s="6" t="s">
        <v>758</v>
      </c>
      <c r="E896" s="1" t="s">
        <v>727</v>
      </c>
      <c r="F896" s="1">
        <f t="shared" si="13"/>
        <v>0</v>
      </c>
      <c r="H896" s="4"/>
    </row>
    <row r="897" spans="1:8" x14ac:dyDescent="0.25">
      <c r="A897" s="6">
        <v>46187</v>
      </c>
      <c r="B897" s="6" t="s">
        <v>800</v>
      </c>
      <c r="C897" s="6" t="s">
        <v>669</v>
      </c>
      <c r="D897" s="6" t="s">
        <v>758</v>
      </c>
      <c r="E897" s="1" t="s">
        <v>727</v>
      </c>
      <c r="F897" s="1">
        <f t="shared" si="13"/>
        <v>0</v>
      </c>
      <c r="H897" s="4"/>
    </row>
    <row r="898" spans="1:8" x14ac:dyDescent="0.25">
      <c r="A898" s="6">
        <v>46188</v>
      </c>
      <c r="B898" s="6" t="s">
        <v>800</v>
      </c>
      <c r="C898" s="6" t="s">
        <v>669</v>
      </c>
      <c r="D898" s="6" t="s">
        <v>758</v>
      </c>
      <c r="F898" s="1">
        <f t="shared" ref="F898:F961" si="14">IF(OR(E898="",E898="调休"),8,0)</f>
        <v>8</v>
      </c>
      <c r="H898" s="4"/>
    </row>
    <row r="899" spans="1:8" x14ac:dyDescent="0.25">
      <c r="A899" s="6">
        <v>46189</v>
      </c>
      <c r="B899" s="6" t="s">
        <v>800</v>
      </c>
      <c r="C899" s="6" t="s">
        <v>669</v>
      </c>
      <c r="D899" s="6" t="s">
        <v>758</v>
      </c>
      <c r="F899" s="1">
        <f t="shared" si="14"/>
        <v>8</v>
      </c>
      <c r="H899" s="4"/>
    </row>
    <row r="900" spans="1:8" x14ac:dyDescent="0.25">
      <c r="A900" s="6">
        <v>46190</v>
      </c>
      <c r="B900" s="6" t="s">
        <v>800</v>
      </c>
      <c r="C900" s="6" t="s">
        <v>669</v>
      </c>
      <c r="D900" s="6" t="s">
        <v>758</v>
      </c>
      <c r="F900" s="1">
        <f t="shared" si="14"/>
        <v>8</v>
      </c>
      <c r="H900" s="4"/>
    </row>
    <row r="901" spans="1:8" x14ac:dyDescent="0.25">
      <c r="A901" s="6">
        <v>46191</v>
      </c>
      <c r="B901" s="6" t="s">
        <v>800</v>
      </c>
      <c r="C901" s="6" t="s">
        <v>669</v>
      </c>
      <c r="D901" s="6" t="s">
        <v>758</v>
      </c>
      <c r="F901" s="1">
        <f t="shared" si="14"/>
        <v>8</v>
      </c>
      <c r="H901" s="4"/>
    </row>
    <row r="902" spans="1:8" x14ac:dyDescent="0.25">
      <c r="A902" s="6">
        <v>46192</v>
      </c>
      <c r="B902" s="6" t="s">
        <v>800</v>
      </c>
      <c r="C902" s="6" t="s">
        <v>669</v>
      </c>
      <c r="D902" s="6" t="s">
        <v>758</v>
      </c>
      <c r="E902" s="1" t="s">
        <v>667</v>
      </c>
      <c r="F902" s="1">
        <f t="shared" si="14"/>
        <v>0</v>
      </c>
      <c r="H902" s="4"/>
    </row>
    <row r="903" spans="1:8" x14ac:dyDescent="0.25">
      <c r="A903" s="6">
        <v>46193</v>
      </c>
      <c r="B903" s="6" t="s">
        <v>801</v>
      </c>
      <c r="C903" s="6" t="s">
        <v>671</v>
      </c>
      <c r="D903" s="6" t="s">
        <v>758</v>
      </c>
      <c r="E903" s="1" t="s">
        <v>727</v>
      </c>
      <c r="F903" s="1">
        <f t="shared" si="14"/>
        <v>0</v>
      </c>
      <c r="H903" s="4"/>
    </row>
    <row r="904" spans="1:8" x14ac:dyDescent="0.25">
      <c r="A904" s="6">
        <v>46194</v>
      </c>
      <c r="B904" s="6" t="s">
        <v>801</v>
      </c>
      <c r="C904" s="6" t="s">
        <v>671</v>
      </c>
      <c r="D904" s="6" t="s">
        <v>758</v>
      </c>
      <c r="E904" s="1" t="s">
        <v>727</v>
      </c>
      <c r="F904" s="1">
        <f t="shared" si="14"/>
        <v>0</v>
      </c>
      <c r="H904" s="4"/>
    </row>
    <row r="905" spans="1:8" x14ac:dyDescent="0.25">
      <c r="A905" s="6">
        <v>46195</v>
      </c>
      <c r="B905" s="6" t="s">
        <v>801</v>
      </c>
      <c r="C905" s="6" t="s">
        <v>671</v>
      </c>
      <c r="D905" s="6" t="s">
        <v>758</v>
      </c>
      <c r="F905" s="1">
        <f t="shared" si="14"/>
        <v>8</v>
      </c>
      <c r="H905" s="4"/>
    </row>
    <row r="906" spans="1:8" x14ac:dyDescent="0.25">
      <c r="A906" s="6">
        <v>46196</v>
      </c>
      <c r="B906" s="6" t="s">
        <v>801</v>
      </c>
      <c r="C906" s="6" t="s">
        <v>671</v>
      </c>
      <c r="D906" s="6" t="s">
        <v>758</v>
      </c>
      <c r="F906" s="1">
        <f t="shared" si="14"/>
        <v>8</v>
      </c>
      <c r="H906" s="4"/>
    </row>
    <row r="907" spans="1:8" x14ac:dyDescent="0.25">
      <c r="A907" s="6">
        <v>46197</v>
      </c>
      <c r="B907" s="6" t="s">
        <v>801</v>
      </c>
      <c r="C907" s="6" t="s">
        <v>671</v>
      </c>
      <c r="D907" s="6" t="s">
        <v>758</v>
      </c>
      <c r="F907" s="1">
        <f t="shared" si="14"/>
        <v>8</v>
      </c>
      <c r="H907" s="4"/>
    </row>
    <row r="908" spans="1:8" x14ac:dyDescent="0.25">
      <c r="A908" s="6">
        <v>46198</v>
      </c>
      <c r="B908" s="6" t="s">
        <v>801</v>
      </c>
      <c r="C908" s="6" t="s">
        <v>671</v>
      </c>
      <c r="D908" s="6" t="s">
        <v>758</v>
      </c>
      <c r="F908" s="1">
        <f t="shared" si="14"/>
        <v>8</v>
      </c>
      <c r="H908" s="4"/>
    </row>
    <row r="909" spans="1:8" x14ac:dyDescent="0.25">
      <c r="A909" s="6">
        <v>46199</v>
      </c>
      <c r="B909" s="6" t="s">
        <v>801</v>
      </c>
      <c r="C909" s="6" t="s">
        <v>671</v>
      </c>
      <c r="D909" s="6" t="s">
        <v>758</v>
      </c>
      <c r="F909" s="1">
        <f t="shared" si="14"/>
        <v>8</v>
      </c>
      <c r="H909" s="4"/>
    </row>
    <row r="910" spans="1:8" x14ac:dyDescent="0.25">
      <c r="A910" s="6">
        <v>46200</v>
      </c>
      <c r="B910" s="6" t="s">
        <v>802</v>
      </c>
      <c r="C910" s="6" t="s">
        <v>803</v>
      </c>
      <c r="D910" s="6" t="s">
        <v>758</v>
      </c>
      <c r="E910" s="1" t="s">
        <v>727</v>
      </c>
      <c r="F910" s="1">
        <f t="shared" si="14"/>
        <v>0</v>
      </c>
      <c r="H910" s="4"/>
    </row>
    <row r="911" spans="1:8" x14ac:dyDescent="0.25">
      <c r="A911" s="6">
        <v>46201</v>
      </c>
      <c r="B911" s="6" t="s">
        <v>802</v>
      </c>
      <c r="C911" s="6" t="s">
        <v>803</v>
      </c>
      <c r="D911" s="6" t="s">
        <v>758</v>
      </c>
      <c r="E911" s="1" t="s">
        <v>727</v>
      </c>
      <c r="F911" s="1">
        <f t="shared" si="14"/>
        <v>0</v>
      </c>
      <c r="H911" s="4"/>
    </row>
    <row r="912" spans="1:8" x14ac:dyDescent="0.25">
      <c r="A912" s="6">
        <v>46202</v>
      </c>
      <c r="B912" s="6" t="s">
        <v>802</v>
      </c>
      <c r="C912" s="6" t="s">
        <v>803</v>
      </c>
      <c r="D912" s="6" t="s">
        <v>758</v>
      </c>
      <c r="F912" s="1">
        <f t="shared" si="14"/>
        <v>8</v>
      </c>
      <c r="H912" s="4"/>
    </row>
    <row r="913" spans="1:8" x14ac:dyDescent="0.25">
      <c r="A913" s="6">
        <v>46203</v>
      </c>
      <c r="B913" s="6" t="s">
        <v>802</v>
      </c>
      <c r="C913" s="6" t="s">
        <v>803</v>
      </c>
      <c r="D913" s="6" t="s">
        <v>758</v>
      </c>
      <c r="F913" s="1">
        <f t="shared" si="14"/>
        <v>8</v>
      </c>
      <c r="H913" s="4"/>
    </row>
    <row r="914" spans="1:8" x14ac:dyDescent="0.25">
      <c r="A914" s="6">
        <v>46204</v>
      </c>
      <c r="B914" s="6" t="s">
        <v>802</v>
      </c>
      <c r="C914" s="6" t="s">
        <v>803</v>
      </c>
      <c r="D914" s="6" t="s">
        <v>758</v>
      </c>
      <c r="F914" s="1">
        <f t="shared" si="14"/>
        <v>8</v>
      </c>
      <c r="H914" s="4"/>
    </row>
    <row r="915" spans="1:8" x14ac:dyDescent="0.25">
      <c r="A915" s="6">
        <v>46205</v>
      </c>
      <c r="B915" s="6" t="s">
        <v>802</v>
      </c>
      <c r="C915" s="6" t="s">
        <v>803</v>
      </c>
      <c r="D915" s="6" t="s">
        <v>758</v>
      </c>
      <c r="F915" s="1">
        <f t="shared" si="14"/>
        <v>8</v>
      </c>
      <c r="H915" s="4"/>
    </row>
    <row r="916" spans="1:8" x14ac:dyDescent="0.25">
      <c r="A916" s="6">
        <v>46206</v>
      </c>
      <c r="B916" s="6" t="s">
        <v>802</v>
      </c>
      <c r="C916" s="6" t="s">
        <v>803</v>
      </c>
      <c r="D916" s="6" t="s">
        <v>758</v>
      </c>
      <c r="F916" s="1">
        <f t="shared" si="14"/>
        <v>8</v>
      </c>
      <c r="H916" s="4"/>
    </row>
    <row r="917" spans="1:8" x14ac:dyDescent="0.25">
      <c r="A917" s="6">
        <v>46207</v>
      </c>
      <c r="B917" s="6" t="s">
        <v>804</v>
      </c>
      <c r="C917" s="6" t="s">
        <v>673</v>
      </c>
      <c r="D917" s="6" t="s">
        <v>805</v>
      </c>
      <c r="E917" s="1" t="s">
        <v>727</v>
      </c>
      <c r="F917" s="1">
        <f t="shared" si="14"/>
        <v>0</v>
      </c>
      <c r="H917" s="4"/>
    </row>
    <row r="918" spans="1:8" x14ac:dyDescent="0.25">
      <c r="A918" s="6">
        <v>46208</v>
      </c>
      <c r="B918" s="6" t="s">
        <v>804</v>
      </c>
      <c r="C918" s="6" t="s">
        <v>673</v>
      </c>
      <c r="D918" s="6" t="s">
        <v>805</v>
      </c>
      <c r="E918" s="1" t="s">
        <v>727</v>
      </c>
      <c r="F918" s="1">
        <f t="shared" si="14"/>
        <v>0</v>
      </c>
      <c r="H918" s="4"/>
    </row>
    <row r="919" spans="1:8" x14ac:dyDescent="0.25">
      <c r="A919" s="6">
        <v>46209</v>
      </c>
      <c r="B919" s="6" t="s">
        <v>804</v>
      </c>
      <c r="C919" s="6" t="s">
        <v>673</v>
      </c>
      <c r="D919" s="6" t="s">
        <v>805</v>
      </c>
      <c r="F919" s="1">
        <f t="shared" si="14"/>
        <v>8</v>
      </c>
      <c r="H919" s="4"/>
    </row>
    <row r="920" spans="1:8" x14ac:dyDescent="0.25">
      <c r="A920" s="6">
        <v>46210</v>
      </c>
      <c r="B920" s="6" t="s">
        <v>804</v>
      </c>
      <c r="C920" s="6" t="s">
        <v>673</v>
      </c>
      <c r="D920" s="6" t="s">
        <v>805</v>
      </c>
      <c r="F920" s="1">
        <f t="shared" si="14"/>
        <v>8</v>
      </c>
      <c r="H920" s="4"/>
    </row>
    <row r="921" spans="1:8" x14ac:dyDescent="0.25">
      <c r="A921" s="6">
        <v>46211</v>
      </c>
      <c r="B921" s="6" t="s">
        <v>804</v>
      </c>
      <c r="C921" s="6" t="s">
        <v>673</v>
      </c>
      <c r="D921" s="6" t="s">
        <v>805</v>
      </c>
      <c r="F921" s="1">
        <f t="shared" si="14"/>
        <v>8</v>
      </c>
      <c r="H921" s="4"/>
    </row>
    <row r="922" spans="1:8" x14ac:dyDescent="0.25">
      <c r="A922" s="6">
        <v>46212</v>
      </c>
      <c r="B922" s="6" t="s">
        <v>804</v>
      </c>
      <c r="C922" s="6" t="s">
        <v>673</v>
      </c>
      <c r="D922" s="6" t="s">
        <v>805</v>
      </c>
      <c r="F922" s="1">
        <f t="shared" si="14"/>
        <v>8</v>
      </c>
      <c r="H922" s="4"/>
    </row>
    <row r="923" spans="1:8" x14ac:dyDescent="0.25">
      <c r="A923" s="6">
        <v>46213</v>
      </c>
      <c r="B923" s="6" t="s">
        <v>804</v>
      </c>
      <c r="C923" s="6" t="s">
        <v>673</v>
      </c>
      <c r="D923" s="6" t="s">
        <v>805</v>
      </c>
      <c r="F923" s="1">
        <f t="shared" si="14"/>
        <v>8</v>
      </c>
      <c r="H923" s="4"/>
    </row>
    <row r="924" spans="1:8" x14ac:dyDescent="0.25">
      <c r="A924" s="6">
        <v>46214</v>
      </c>
      <c r="B924" s="6" t="s">
        <v>806</v>
      </c>
      <c r="C924" s="6" t="s">
        <v>676</v>
      </c>
      <c r="D924" s="6" t="s">
        <v>805</v>
      </c>
      <c r="E924" s="1" t="s">
        <v>727</v>
      </c>
      <c r="F924" s="1">
        <f t="shared" si="14"/>
        <v>0</v>
      </c>
      <c r="H924" s="4"/>
    </row>
    <row r="925" spans="1:8" x14ac:dyDescent="0.25">
      <c r="A925" s="6">
        <v>46215</v>
      </c>
      <c r="B925" s="6" t="s">
        <v>806</v>
      </c>
      <c r="C925" s="6" t="s">
        <v>676</v>
      </c>
      <c r="D925" s="6" t="s">
        <v>805</v>
      </c>
      <c r="E925" s="1" t="s">
        <v>727</v>
      </c>
      <c r="F925" s="1">
        <f t="shared" si="14"/>
        <v>0</v>
      </c>
      <c r="H925" s="4"/>
    </row>
    <row r="926" spans="1:8" x14ac:dyDescent="0.25">
      <c r="A926" s="6">
        <v>46216</v>
      </c>
      <c r="B926" s="6" t="s">
        <v>806</v>
      </c>
      <c r="C926" s="6" t="s">
        <v>676</v>
      </c>
      <c r="D926" s="6" t="s">
        <v>805</v>
      </c>
      <c r="F926" s="1">
        <f t="shared" si="14"/>
        <v>8</v>
      </c>
      <c r="H926" s="4"/>
    </row>
    <row r="927" spans="1:8" x14ac:dyDescent="0.25">
      <c r="A927" s="6">
        <v>46217</v>
      </c>
      <c r="B927" s="6" t="s">
        <v>806</v>
      </c>
      <c r="C927" s="6" t="s">
        <v>676</v>
      </c>
      <c r="D927" s="6" t="s">
        <v>805</v>
      </c>
      <c r="F927" s="1">
        <f t="shared" si="14"/>
        <v>8</v>
      </c>
      <c r="H927" s="4"/>
    </row>
    <row r="928" spans="1:8" x14ac:dyDescent="0.25">
      <c r="A928" s="6">
        <v>46218</v>
      </c>
      <c r="B928" s="6" t="s">
        <v>806</v>
      </c>
      <c r="C928" s="6" t="s">
        <v>676</v>
      </c>
      <c r="D928" s="6" t="s">
        <v>805</v>
      </c>
      <c r="F928" s="1">
        <f t="shared" si="14"/>
        <v>8</v>
      </c>
      <c r="H928" s="4"/>
    </row>
    <row r="929" spans="1:8" x14ac:dyDescent="0.25">
      <c r="A929" s="6">
        <v>46219</v>
      </c>
      <c r="B929" s="6" t="s">
        <v>806</v>
      </c>
      <c r="C929" s="6" t="s">
        <v>676</v>
      </c>
      <c r="D929" s="6" t="s">
        <v>805</v>
      </c>
      <c r="F929" s="1">
        <f t="shared" si="14"/>
        <v>8</v>
      </c>
      <c r="H929" s="4"/>
    </row>
    <row r="930" spans="1:8" x14ac:dyDescent="0.25">
      <c r="A930" s="6">
        <v>46220</v>
      </c>
      <c r="B930" s="6" t="s">
        <v>806</v>
      </c>
      <c r="C930" s="6" t="s">
        <v>676</v>
      </c>
      <c r="D930" s="6" t="s">
        <v>805</v>
      </c>
      <c r="F930" s="1">
        <f t="shared" si="14"/>
        <v>8</v>
      </c>
      <c r="H930" s="4"/>
    </row>
    <row r="931" spans="1:8" x14ac:dyDescent="0.25">
      <c r="A931" s="6">
        <v>46221</v>
      </c>
      <c r="B931" s="6" t="s">
        <v>807</v>
      </c>
      <c r="C931" s="6" t="s">
        <v>678</v>
      </c>
      <c r="D931" s="6" t="s">
        <v>805</v>
      </c>
      <c r="E931" s="1" t="s">
        <v>727</v>
      </c>
      <c r="F931" s="1">
        <f t="shared" si="14"/>
        <v>0</v>
      </c>
      <c r="H931" s="4"/>
    </row>
    <row r="932" spans="1:8" x14ac:dyDescent="0.25">
      <c r="A932" s="6">
        <v>46222</v>
      </c>
      <c r="B932" s="6" t="s">
        <v>807</v>
      </c>
      <c r="C932" s="6" t="s">
        <v>678</v>
      </c>
      <c r="D932" s="6" t="s">
        <v>805</v>
      </c>
      <c r="E932" s="1" t="s">
        <v>727</v>
      </c>
      <c r="F932" s="1">
        <f t="shared" si="14"/>
        <v>0</v>
      </c>
      <c r="H932" s="4"/>
    </row>
    <row r="933" spans="1:8" x14ac:dyDescent="0.25">
      <c r="A933" s="6">
        <v>46223</v>
      </c>
      <c r="B933" s="6" t="s">
        <v>807</v>
      </c>
      <c r="C933" s="6" t="s">
        <v>678</v>
      </c>
      <c r="D933" s="6" t="s">
        <v>805</v>
      </c>
      <c r="F933" s="1">
        <f t="shared" si="14"/>
        <v>8</v>
      </c>
      <c r="H933" s="4"/>
    </row>
    <row r="934" spans="1:8" x14ac:dyDescent="0.25">
      <c r="A934" s="6">
        <v>46224</v>
      </c>
      <c r="B934" s="6" t="s">
        <v>807</v>
      </c>
      <c r="C934" s="6" t="s">
        <v>678</v>
      </c>
      <c r="D934" s="6" t="s">
        <v>805</v>
      </c>
      <c r="F934" s="1">
        <f t="shared" si="14"/>
        <v>8</v>
      </c>
      <c r="H934" s="4"/>
    </row>
    <row r="935" spans="1:8" x14ac:dyDescent="0.25">
      <c r="A935" s="6">
        <v>46225</v>
      </c>
      <c r="B935" s="6" t="s">
        <v>807</v>
      </c>
      <c r="C935" s="6" t="s">
        <v>678</v>
      </c>
      <c r="D935" s="6" t="s">
        <v>805</v>
      </c>
      <c r="F935" s="1">
        <f t="shared" si="14"/>
        <v>8</v>
      </c>
      <c r="H935" s="4"/>
    </row>
    <row r="936" spans="1:8" x14ac:dyDescent="0.25">
      <c r="A936" s="6">
        <v>46226</v>
      </c>
      <c r="B936" s="6" t="s">
        <v>807</v>
      </c>
      <c r="C936" s="6" t="s">
        <v>678</v>
      </c>
      <c r="D936" s="6" t="s">
        <v>805</v>
      </c>
      <c r="F936" s="1">
        <f t="shared" si="14"/>
        <v>8</v>
      </c>
      <c r="H936" s="4"/>
    </row>
    <row r="937" spans="1:8" x14ac:dyDescent="0.25">
      <c r="A937" s="6">
        <v>46227</v>
      </c>
      <c r="B937" s="6" t="s">
        <v>807</v>
      </c>
      <c r="C937" s="6" t="s">
        <v>678</v>
      </c>
      <c r="D937" s="6" t="s">
        <v>805</v>
      </c>
      <c r="F937" s="1">
        <f t="shared" si="14"/>
        <v>8</v>
      </c>
      <c r="H937" s="4"/>
    </row>
    <row r="938" spans="1:8" x14ac:dyDescent="0.25">
      <c r="A938" s="6">
        <v>46228</v>
      </c>
      <c r="B938" s="6" t="s">
        <v>808</v>
      </c>
      <c r="C938" s="6" t="s">
        <v>680</v>
      </c>
      <c r="D938" s="6" t="s">
        <v>805</v>
      </c>
      <c r="E938" s="1" t="s">
        <v>727</v>
      </c>
      <c r="F938" s="1">
        <f t="shared" si="14"/>
        <v>0</v>
      </c>
      <c r="H938" s="4"/>
    </row>
    <row r="939" spans="1:8" x14ac:dyDescent="0.25">
      <c r="A939" s="6">
        <v>46229</v>
      </c>
      <c r="B939" s="6" t="s">
        <v>808</v>
      </c>
      <c r="C939" s="6" t="s">
        <v>680</v>
      </c>
      <c r="D939" s="6" t="s">
        <v>805</v>
      </c>
      <c r="E939" s="1" t="s">
        <v>727</v>
      </c>
      <c r="F939" s="1">
        <f t="shared" si="14"/>
        <v>0</v>
      </c>
      <c r="H939" s="4"/>
    </row>
    <row r="940" spans="1:8" x14ac:dyDescent="0.25">
      <c r="A940" s="6">
        <v>46230</v>
      </c>
      <c r="B940" s="6" t="s">
        <v>808</v>
      </c>
      <c r="C940" s="6" t="s">
        <v>680</v>
      </c>
      <c r="D940" s="6" t="s">
        <v>805</v>
      </c>
      <c r="F940" s="1">
        <f t="shared" si="14"/>
        <v>8</v>
      </c>
      <c r="H940" s="4"/>
    </row>
    <row r="941" spans="1:8" x14ac:dyDescent="0.25">
      <c r="A941" s="6">
        <v>46231</v>
      </c>
      <c r="B941" s="6" t="s">
        <v>808</v>
      </c>
      <c r="C941" s="6" t="s">
        <v>680</v>
      </c>
      <c r="D941" s="6" t="s">
        <v>805</v>
      </c>
      <c r="F941" s="1">
        <f t="shared" si="14"/>
        <v>8</v>
      </c>
      <c r="H941" s="4"/>
    </row>
    <row r="942" spans="1:8" x14ac:dyDescent="0.25">
      <c r="A942" s="6">
        <v>46232</v>
      </c>
      <c r="B942" s="6" t="s">
        <v>808</v>
      </c>
      <c r="C942" s="6" t="s">
        <v>680</v>
      </c>
      <c r="D942" s="6" t="s">
        <v>805</v>
      </c>
      <c r="F942" s="1">
        <f t="shared" si="14"/>
        <v>8</v>
      </c>
      <c r="H942" s="4"/>
    </row>
    <row r="943" spans="1:8" x14ac:dyDescent="0.25">
      <c r="A943" s="6">
        <v>46233</v>
      </c>
      <c r="B943" s="6" t="s">
        <v>808</v>
      </c>
      <c r="C943" s="6" t="s">
        <v>680</v>
      </c>
      <c r="D943" s="6" t="s">
        <v>805</v>
      </c>
      <c r="F943" s="1">
        <f t="shared" si="14"/>
        <v>8</v>
      </c>
      <c r="H943" s="4"/>
    </row>
    <row r="944" spans="1:8" x14ac:dyDescent="0.25">
      <c r="A944" s="6">
        <v>46234</v>
      </c>
      <c r="B944" s="6" t="s">
        <v>808</v>
      </c>
      <c r="C944" s="6" t="s">
        <v>680</v>
      </c>
      <c r="D944" s="6" t="s">
        <v>805</v>
      </c>
      <c r="F944" s="1">
        <f t="shared" si="14"/>
        <v>8</v>
      </c>
      <c r="H944" s="4"/>
    </row>
    <row r="945" spans="1:8" x14ac:dyDescent="0.25">
      <c r="A945" s="6">
        <v>46235</v>
      </c>
      <c r="B945" s="6" t="s">
        <v>809</v>
      </c>
      <c r="C945" s="6" t="s">
        <v>682</v>
      </c>
      <c r="D945" s="6" t="s">
        <v>805</v>
      </c>
      <c r="E945" s="1" t="s">
        <v>727</v>
      </c>
      <c r="F945" s="1">
        <f t="shared" si="14"/>
        <v>0</v>
      </c>
      <c r="H945" s="4"/>
    </row>
    <row r="946" spans="1:8" x14ac:dyDescent="0.25">
      <c r="A946" s="6">
        <v>46236</v>
      </c>
      <c r="B946" s="6" t="s">
        <v>809</v>
      </c>
      <c r="C946" s="6" t="s">
        <v>682</v>
      </c>
      <c r="D946" s="6" t="s">
        <v>805</v>
      </c>
      <c r="E946" s="1" t="s">
        <v>727</v>
      </c>
      <c r="F946" s="1">
        <f t="shared" si="14"/>
        <v>0</v>
      </c>
      <c r="H946" s="4"/>
    </row>
    <row r="947" spans="1:8" x14ac:dyDescent="0.25">
      <c r="A947" s="6">
        <v>46237</v>
      </c>
      <c r="B947" s="6" t="s">
        <v>809</v>
      </c>
      <c r="C947" s="6" t="s">
        <v>682</v>
      </c>
      <c r="D947" s="6" t="s">
        <v>805</v>
      </c>
      <c r="F947" s="1">
        <f t="shared" si="14"/>
        <v>8</v>
      </c>
      <c r="H947" s="4"/>
    </row>
    <row r="948" spans="1:8" x14ac:dyDescent="0.25">
      <c r="A948" s="6">
        <v>46238</v>
      </c>
      <c r="B948" s="6" t="s">
        <v>809</v>
      </c>
      <c r="C948" s="6" t="s">
        <v>682</v>
      </c>
      <c r="D948" s="6" t="s">
        <v>805</v>
      </c>
      <c r="F948" s="1">
        <f t="shared" si="14"/>
        <v>8</v>
      </c>
      <c r="H948" s="4"/>
    </row>
    <row r="949" spans="1:8" x14ac:dyDescent="0.25">
      <c r="A949" s="6">
        <v>46239</v>
      </c>
      <c r="B949" s="6" t="s">
        <v>809</v>
      </c>
      <c r="C949" s="6" t="s">
        <v>682</v>
      </c>
      <c r="D949" s="6" t="s">
        <v>805</v>
      </c>
      <c r="F949" s="1">
        <f t="shared" si="14"/>
        <v>8</v>
      </c>
      <c r="H949" s="4"/>
    </row>
    <row r="950" spans="1:8" x14ac:dyDescent="0.25">
      <c r="A950" s="6">
        <v>46240</v>
      </c>
      <c r="B950" s="6" t="s">
        <v>809</v>
      </c>
      <c r="C950" s="6" t="s">
        <v>682</v>
      </c>
      <c r="D950" s="6" t="s">
        <v>805</v>
      </c>
      <c r="F950" s="1">
        <f t="shared" si="14"/>
        <v>8</v>
      </c>
      <c r="H950" s="4"/>
    </row>
    <row r="951" spans="1:8" x14ac:dyDescent="0.25">
      <c r="A951" s="6">
        <v>46241</v>
      </c>
      <c r="B951" s="6" t="s">
        <v>809</v>
      </c>
      <c r="C951" s="6" t="s">
        <v>682</v>
      </c>
      <c r="D951" s="6" t="s">
        <v>805</v>
      </c>
      <c r="F951" s="1">
        <f t="shared" si="14"/>
        <v>8</v>
      </c>
      <c r="H951" s="4"/>
    </row>
    <row r="952" spans="1:8" x14ac:dyDescent="0.25">
      <c r="A952" s="6">
        <v>46242</v>
      </c>
      <c r="B952" s="6" t="s">
        <v>810</v>
      </c>
      <c r="C952" s="6" t="s">
        <v>684</v>
      </c>
      <c r="D952" s="6" t="s">
        <v>805</v>
      </c>
      <c r="E952" s="1" t="s">
        <v>727</v>
      </c>
      <c r="F952" s="1">
        <f t="shared" si="14"/>
        <v>0</v>
      </c>
      <c r="H952" s="4"/>
    </row>
    <row r="953" spans="1:8" x14ac:dyDescent="0.25">
      <c r="A953" s="6">
        <v>46243</v>
      </c>
      <c r="B953" s="6" t="s">
        <v>810</v>
      </c>
      <c r="C953" s="6" t="s">
        <v>684</v>
      </c>
      <c r="D953" s="6" t="s">
        <v>805</v>
      </c>
      <c r="E953" s="1" t="s">
        <v>727</v>
      </c>
      <c r="F953" s="1">
        <f t="shared" si="14"/>
        <v>0</v>
      </c>
      <c r="H953" s="4"/>
    </row>
    <row r="954" spans="1:8" x14ac:dyDescent="0.25">
      <c r="A954" s="6">
        <v>46244</v>
      </c>
      <c r="B954" s="6" t="s">
        <v>810</v>
      </c>
      <c r="C954" s="6" t="s">
        <v>684</v>
      </c>
      <c r="D954" s="6" t="s">
        <v>805</v>
      </c>
      <c r="F954" s="1">
        <f t="shared" si="14"/>
        <v>8</v>
      </c>
      <c r="H954" s="4"/>
    </row>
    <row r="955" spans="1:8" x14ac:dyDescent="0.25">
      <c r="A955" s="6">
        <v>46245</v>
      </c>
      <c r="B955" s="6" t="s">
        <v>810</v>
      </c>
      <c r="C955" s="6" t="s">
        <v>684</v>
      </c>
      <c r="D955" s="6" t="s">
        <v>805</v>
      </c>
      <c r="F955" s="1">
        <f t="shared" si="14"/>
        <v>8</v>
      </c>
      <c r="H955" s="4"/>
    </row>
    <row r="956" spans="1:8" x14ac:dyDescent="0.25">
      <c r="A956" s="6">
        <v>46246</v>
      </c>
      <c r="B956" s="6" t="s">
        <v>810</v>
      </c>
      <c r="C956" s="6" t="s">
        <v>684</v>
      </c>
      <c r="D956" s="6" t="s">
        <v>805</v>
      </c>
      <c r="F956" s="1">
        <f t="shared" si="14"/>
        <v>8</v>
      </c>
      <c r="H956" s="4"/>
    </row>
    <row r="957" spans="1:8" x14ac:dyDescent="0.25">
      <c r="A957" s="6">
        <v>46247</v>
      </c>
      <c r="B957" s="6" t="s">
        <v>810</v>
      </c>
      <c r="C957" s="6" t="s">
        <v>684</v>
      </c>
      <c r="D957" s="6" t="s">
        <v>805</v>
      </c>
      <c r="F957" s="1">
        <f t="shared" si="14"/>
        <v>8</v>
      </c>
      <c r="H957" s="4"/>
    </row>
    <row r="958" spans="1:8" x14ac:dyDescent="0.25">
      <c r="A958" s="6">
        <v>46248</v>
      </c>
      <c r="B958" s="6" t="s">
        <v>810</v>
      </c>
      <c r="C958" s="6" t="s">
        <v>684</v>
      </c>
      <c r="D958" s="6" t="s">
        <v>805</v>
      </c>
      <c r="F958" s="1">
        <f t="shared" si="14"/>
        <v>8</v>
      </c>
      <c r="H958" s="4"/>
    </row>
    <row r="959" spans="1:8" x14ac:dyDescent="0.25">
      <c r="A959" s="6">
        <v>46249</v>
      </c>
      <c r="B959" s="6" t="s">
        <v>811</v>
      </c>
      <c r="C959" s="6" t="s">
        <v>686</v>
      </c>
      <c r="D959" s="6" t="s">
        <v>805</v>
      </c>
      <c r="E959" s="1" t="s">
        <v>727</v>
      </c>
      <c r="F959" s="1">
        <f t="shared" si="14"/>
        <v>0</v>
      </c>
      <c r="H959" s="4"/>
    </row>
    <row r="960" spans="1:8" x14ac:dyDescent="0.25">
      <c r="A960" s="6">
        <v>46250</v>
      </c>
      <c r="B960" s="6" t="s">
        <v>811</v>
      </c>
      <c r="C960" s="6" t="s">
        <v>686</v>
      </c>
      <c r="D960" s="6" t="s">
        <v>805</v>
      </c>
      <c r="E960" s="1" t="s">
        <v>727</v>
      </c>
      <c r="F960" s="1">
        <f t="shared" si="14"/>
        <v>0</v>
      </c>
      <c r="H960" s="4"/>
    </row>
    <row r="961" spans="1:8" x14ac:dyDescent="0.25">
      <c r="A961" s="6">
        <v>46251</v>
      </c>
      <c r="B961" s="6" t="s">
        <v>811</v>
      </c>
      <c r="C961" s="6" t="s">
        <v>686</v>
      </c>
      <c r="D961" s="6" t="s">
        <v>805</v>
      </c>
      <c r="F961" s="1">
        <f t="shared" si="14"/>
        <v>8</v>
      </c>
      <c r="H961" s="4"/>
    </row>
    <row r="962" spans="1:8" x14ac:dyDescent="0.25">
      <c r="A962" s="6">
        <v>46252</v>
      </c>
      <c r="B962" s="6" t="s">
        <v>811</v>
      </c>
      <c r="C962" s="6" t="s">
        <v>686</v>
      </c>
      <c r="D962" s="6" t="s">
        <v>805</v>
      </c>
      <c r="F962" s="1">
        <f t="shared" ref="F962:F1025" si="15">IF(OR(E962="",E962="调休"),8,0)</f>
        <v>8</v>
      </c>
      <c r="H962" s="4"/>
    </row>
    <row r="963" spans="1:8" x14ac:dyDescent="0.25">
      <c r="A963" s="6">
        <v>46253</v>
      </c>
      <c r="B963" s="6" t="s">
        <v>811</v>
      </c>
      <c r="C963" s="6" t="s">
        <v>686</v>
      </c>
      <c r="D963" s="6" t="s">
        <v>805</v>
      </c>
      <c r="F963" s="1">
        <f t="shared" si="15"/>
        <v>8</v>
      </c>
      <c r="H963" s="4"/>
    </row>
    <row r="964" spans="1:8" x14ac:dyDescent="0.25">
      <c r="A964" s="6">
        <v>46254</v>
      </c>
      <c r="B964" s="6" t="s">
        <v>811</v>
      </c>
      <c r="C964" s="6" t="s">
        <v>686</v>
      </c>
      <c r="D964" s="6" t="s">
        <v>805</v>
      </c>
      <c r="F964" s="1">
        <f t="shared" si="15"/>
        <v>8</v>
      </c>
      <c r="H964" s="4"/>
    </row>
    <row r="965" spans="1:8" x14ac:dyDescent="0.25">
      <c r="A965" s="6">
        <v>46255</v>
      </c>
      <c r="B965" s="6" t="s">
        <v>811</v>
      </c>
      <c r="C965" s="6" t="s">
        <v>686</v>
      </c>
      <c r="D965" s="6" t="s">
        <v>805</v>
      </c>
      <c r="F965" s="1">
        <f t="shared" si="15"/>
        <v>8</v>
      </c>
      <c r="H965" s="4"/>
    </row>
    <row r="966" spans="1:8" x14ac:dyDescent="0.25">
      <c r="A966" s="6">
        <v>46256</v>
      </c>
      <c r="B966" s="6" t="s">
        <v>812</v>
      </c>
      <c r="C966" s="6" t="s">
        <v>688</v>
      </c>
      <c r="D966" s="6" t="s">
        <v>805</v>
      </c>
      <c r="E966" s="1" t="s">
        <v>727</v>
      </c>
      <c r="F966" s="1">
        <f t="shared" si="15"/>
        <v>0</v>
      </c>
      <c r="H966" s="4"/>
    </row>
    <row r="967" spans="1:8" x14ac:dyDescent="0.25">
      <c r="A967" s="6">
        <v>46257</v>
      </c>
      <c r="B967" s="6" t="s">
        <v>812</v>
      </c>
      <c r="C967" s="6" t="s">
        <v>688</v>
      </c>
      <c r="D967" s="6" t="s">
        <v>805</v>
      </c>
      <c r="E967" s="1" t="s">
        <v>727</v>
      </c>
      <c r="F967" s="1">
        <f t="shared" si="15"/>
        <v>0</v>
      </c>
      <c r="H967" s="4"/>
    </row>
    <row r="968" spans="1:8" x14ac:dyDescent="0.25">
      <c r="A968" s="6">
        <v>46258</v>
      </c>
      <c r="B968" s="6" t="s">
        <v>812</v>
      </c>
      <c r="C968" s="6" t="s">
        <v>688</v>
      </c>
      <c r="D968" s="6" t="s">
        <v>805</v>
      </c>
      <c r="F968" s="1">
        <f t="shared" si="15"/>
        <v>8</v>
      </c>
      <c r="H968" s="4"/>
    </row>
    <row r="969" spans="1:8" x14ac:dyDescent="0.25">
      <c r="A969" s="6">
        <v>46259</v>
      </c>
      <c r="B969" s="6" t="s">
        <v>812</v>
      </c>
      <c r="C969" s="6" t="s">
        <v>688</v>
      </c>
      <c r="D969" s="6" t="s">
        <v>805</v>
      </c>
      <c r="F969" s="1">
        <f t="shared" si="15"/>
        <v>8</v>
      </c>
      <c r="H969" s="4"/>
    </row>
    <row r="970" spans="1:8" x14ac:dyDescent="0.25">
      <c r="A970" s="6">
        <v>46260</v>
      </c>
      <c r="B970" s="6" t="s">
        <v>812</v>
      </c>
      <c r="C970" s="6" t="s">
        <v>688</v>
      </c>
      <c r="D970" s="6" t="s">
        <v>805</v>
      </c>
      <c r="F970" s="1">
        <f t="shared" si="15"/>
        <v>8</v>
      </c>
      <c r="H970" s="4"/>
    </row>
    <row r="971" spans="1:8" x14ac:dyDescent="0.25">
      <c r="A971" s="6">
        <v>46261</v>
      </c>
      <c r="B971" s="6" t="s">
        <v>812</v>
      </c>
      <c r="C971" s="6" t="s">
        <v>688</v>
      </c>
      <c r="D971" s="6" t="s">
        <v>805</v>
      </c>
      <c r="F971" s="1">
        <f t="shared" si="15"/>
        <v>8</v>
      </c>
      <c r="H971" s="4"/>
    </row>
    <row r="972" spans="1:8" x14ac:dyDescent="0.25">
      <c r="A972" s="6">
        <v>46262</v>
      </c>
      <c r="B972" s="6" t="s">
        <v>812</v>
      </c>
      <c r="C972" s="6" t="s">
        <v>688</v>
      </c>
      <c r="D972" s="6" t="s">
        <v>805</v>
      </c>
      <c r="F972" s="1">
        <f t="shared" si="15"/>
        <v>8</v>
      </c>
      <c r="H972" s="4"/>
    </row>
    <row r="973" spans="1:8" x14ac:dyDescent="0.25">
      <c r="A973" s="6">
        <v>46263</v>
      </c>
      <c r="B973" s="6" t="s">
        <v>813</v>
      </c>
      <c r="C973" s="6" t="s">
        <v>690</v>
      </c>
      <c r="D973" s="6" t="s">
        <v>805</v>
      </c>
      <c r="E973" s="1" t="s">
        <v>727</v>
      </c>
      <c r="F973" s="1">
        <f t="shared" si="15"/>
        <v>0</v>
      </c>
      <c r="H973" s="4"/>
    </row>
    <row r="974" spans="1:8" x14ac:dyDescent="0.25">
      <c r="A974" s="6">
        <v>46264</v>
      </c>
      <c r="B974" s="6" t="s">
        <v>813</v>
      </c>
      <c r="C974" s="6" t="s">
        <v>690</v>
      </c>
      <c r="D974" s="6" t="s">
        <v>805</v>
      </c>
      <c r="E974" s="1" t="s">
        <v>727</v>
      </c>
      <c r="F974" s="1">
        <f t="shared" si="15"/>
        <v>0</v>
      </c>
      <c r="H974" s="4"/>
    </row>
    <row r="975" spans="1:8" x14ac:dyDescent="0.25">
      <c r="A975" s="6">
        <v>46265</v>
      </c>
      <c r="B975" s="6" t="s">
        <v>813</v>
      </c>
      <c r="C975" s="6" t="s">
        <v>690</v>
      </c>
      <c r="D975" s="6" t="s">
        <v>805</v>
      </c>
      <c r="F975" s="1">
        <f t="shared" si="15"/>
        <v>8</v>
      </c>
      <c r="H975" s="4"/>
    </row>
    <row r="976" spans="1:8" x14ac:dyDescent="0.25">
      <c r="A976" s="6">
        <v>46266</v>
      </c>
      <c r="B976" s="6" t="s">
        <v>813</v>
      </c>
      <c r="C976" s="6" t="s">
        <v>690</v>
      </c>
      <c r="D976" s="6" t="s">
        <v>805</v>
      </c>
      <c r="F976" s="1">
        <f t="shared" si="15"/>
        <v>8</v>
      </c>
      <c r="H976" s="4"/>
    </row>
    <row r="977" spans="1:8" x14ac:dyDescent="0.25">
      <c r="A977" s="6">
        <v>46267</v>
      </c>
      <c r="B977" s="6" t="s">
        <v>813</v>
      </c>
      <c r="C977" s="6" t="s">
        <v>690</v>
      </c>
      <c r="D977" s="6" t="s">
        <v>805</v>
      </c>
      <c r="F977" s="1">
        <f t="shared" si="15"/>
        <v>8</v>
      </c>
      <c r="H977" s="4"/>
    </row>
    <row r="978" spans="1:8" x14ac:dyDescent="0.25">
      <c r="A978" s="6">
        <v>46268</v>
      </c>
      <c r="B978" s="6" t="s">
        <v>813</v>
      </c>
      <c r="C978" s="6" t="s">
        <v>690</v>
      </c>
      <c r="D978" s="6" t="s">
        <v>805</v>
      </c>
      <c r="F978" s="1">
        <f t="shared" si="15"/>
        <v>8</v>
      </c>
      <c r="H978" s="4"/>
    </row>
    <row r="979" spans="1:8" x14ac:dyDescent="0.25">
      <c r="A979" s="6">
        <v>46269</v>
      </c>
      <c r="B979" s="6" t="s">
        <v>813</v>
      </c>
      <c r="C979" s="6" t="s">
        <v>690</v>
      </c>
      <c r="D979" s="6" t="s">
        <v>805</v>
      </c>
      <c r="F979" s="1">
        <f t="shared" si="15"/>
        <v>8</v>
      </c>
      <c r="H979" s="4"/>
    </row>
    <row r="980" spans="1:8" x14ac:dyDescent="0.25">
      <c r="A980" s="6">
        <v>46270</v>
      </c>
      <c r="B980" s="6" t="s">
        <v>814</v>
      </c>
      <c r="C980" s="6" t="s">
        <v>692</v>
      </c>
      <c r="D980" s="6" t="s">
        <v>805</v>
      </c>
      <c r="E980" s="1" t="s">
        <v>727</v>
      </c>
      <c r="F980" s="1">
        <f t="shared" si="15"/>
        <v>0</v>
      </c>
      <c r="H980" s="4"/>
    </row>
    <row r="981" spans="1:8" x14ac:dyDescent="0.25">
      <c r="A981" s="6">
        <v>46271</v>
      </c>
      <c r="B981" s="6" t="s">
        <v>814</v>
      </c>
      <c r="C981" s="6" t="s">
        <v>692</v>
      </c>
      <c r="D981" s="6" t="s">
        <v>805</v>
      </c>
      <c r="E981" s="1" t="s">
        <v>727</v>
      </c>
      <c r="F981" s="1">
        <f t="shared" si="15"/>
        <v>0</v>
      </c>
      <c r="H981" s="4"/>
    </row>
    <row r="982" spans="1:8" x14ac:dyDescent="0.25">
      <c r="A982" s="6">
        <v>46272</v>
      </c>
      <c r="B982" s="6" t="s">
        <v>814</v>
      </c>
      <c r="C982" s="6" t="s">
        <v>692</v>
      </c>
      <c r="D982" s="6" t="s">
        <v>805</v>
      </c>
      <c r="F982" s="1">
        <f t="shared" si="15"/>
        <v>8</v>
      </c>
      <c r="H982" s="4"/>
    </row>
    <row r="983" spans="1:8" x14ac:dyDescent="0.25">
      <c r="A983" s="6">
        <v>46273</v>
      </c>
      <c r="B983" s="6" t="s">
        <v>814</v>
      </c>
      <c r="C983" s="6" t="s">
        <v>692</v>
      </c>
      <c r="D983" s="6" t="s">
        <v>805</v>
      </c>
      <c r="F983" s="1">
        <f t="shared" si="15"/>
        <v>8</v>
      </c>
      <c r="H983" s="4"/>
    </row>
    <row r="984" spans="1:8" x14ac:dyDescent="0.25">
      <c r="A984" s="6">
        <v>46274</v>
      </c>
      <c r="B984" s="6" t="s">
        <v>814</v>
      </c>
      <c r="C984" s="6" t="s">
        <v>692</v>
      </c>
      <c r="D984" s="6" t="s">
        <v>805</v>
      </c>
      <c r="F984" s="1">
        <f t="shared" si="15"/>
        <v>8</v>
      </c>
      <c r="H984" s="4"/>
    </row>
    <row r="985" spans="1:8" x14ac:dyDescent="0.25">
      <c r="A985" s="6">
        <v>46275</v>
      </c>
      <c r="B985" s="6" t="s">
        <v>814</v>
      </c>
      <c r="C985" s="6" t="s">
        <v>692</v>
      </c>
      <c r="D985" s="6" t="s">
        <v>805</v>
      </c>
      <c r="F985" s="1">
        <f t="shared" si="15"/>
        <v>8</v>
      </c>
      <c r="H985" s="4"/>
    </row>
    <row r="986" spans="1:8" x14ac:dyDescent="0.25">
      <c r="A986" s="6">
        <v>46276</v>
      </c>
      <c r="B986" s="6" t="s">
        <v>814</v>
      </c>
      <c r="C986" s="6" t="s">
        <v>692</v>
      </c>
      <c r="D986" s="6" t="s">
        <v>805</v>
      </c>
      <c r="F986" s="1">
        <f t="shared" si="15"/>
        <v>8</v>
      </c>
      <c r="H986" s="4"/>
    </row>
    <row r="987" spans="1:8" x14ac:dyDescent="0.25">
      <c r="A987" s="6">
        <v>46277</v>
      </c>
      <c r="B987" s="6" t="s">
        <v>815</v>
      </c>
      <c r="C987" s="6" t="s">
        <v>694</v>
      </c>
      <c r="D987" s="6" t="s">
        <v>805</v>
      </c>
      <c r="E987" s="1" t="s">
        <v>727</v>
      </c>
      <c r="F987" s="1">
        <f t="shared" si="15"/>
        <v>0</v>
      </c>
      <c r="H987" s="4"/>
    </row>
    <row r="988" spans="1:8" x14ac:dyDescent="0.25">
      <c r="A988" s="6">
        <v>46278</v>
      </c>
      <c r="B988" s="6" t="s">
        <v>815</v>
      </c>
      <c r="C988" s="6" t="s">
        <v>694</v>
      </c>
      <c r="D988" s="6" t="s">
        <v>805</v>
      </c>
      <c r="E988" s="1" t="s">
        <v>727</v>
      </c>
      <c r="F988" s="1">
        <f t="shared" si="15"/>
        <v>0</v>
      </c>
      <c r="H988" s="4"/>
    </row>
    <row r="989" spans="1:8" x14ac:dyDescent="0.25">
      <c r="A989" s="6">
        <v>46279</v>
      </c>
      <c r="B989" s="6" t="s">
        <v>815</v>
      </c>
      <c r="C989" s="6" t="s">
        <v>694</v>
      </c>
      <c r="D989" s="6" t="s">
        <v>805</v>
      </c>
      <c r="F989" s="1">
        <f t="shared" si="15"/>
        <v>8</v>
      </c>
      <c r="H989" s="4"/>
    </row>
    <row r="990" spans="1:8" x14ac:dyDescent="0.25">
      <c r="A990" s="6">
        <v>46280</v>
      </c>
      <c r="B990" s="6" t="s">
        <v>815</v>
      </c>
      <c r="C990" s="6" t="s">
        <v>694</v>
      </c>
      <c r="D990" s="6" t="s">
        <v>805</v>
      </c>
      <c r="F990" s="1">
        <f t="shared" si="15"/>
        <v>8</v>
      </c>
      <c r="H990" s="4"/>
    </row>
    <row r="991" spans="1:8" x14ac:dyDescent="0.25">
      <c r="A991" s="6">
        <v>46281</v>
      </c>
      <c r="B991" s="6" t="s">
        <v>815</v>
      </c>
      <c r="C991" s="6" t="s">
        <v>694</v>
      </c>
      <c r="D991" s="6" t="s">
        <v>805</v>
      </c>
      <c r="F991" s="1">
        <f t="shared" si="15"/>
        <v>8</v>
      </c>
      <c r="H991" s="4"/>
    </row>
    <row r="992" spans="1:8" x14ac:dyDescent="0.25">
      <c r="A992" s="6">
        <v>46282</v>
      </c>
      <c r="B992" s="6" t="s">
        <v>815</v>
      </c>
      <c r="C992" s="6" t="s">
        <v>694</v>
      </c>
      <c r="D992" s="6" t="s">
        <v>805</v>
      </c>
      <c r="F992" s="1">
        <f t="shared" si="15"/>
        <v>8</v>
      </c>
      <c r="H992" s="4"/>
    </row>
    <row r="993" spans="1:8" x14ac:dyDescent="0.25">
      <c r="A993" s="6">
        <v>46283</v>
      </c>
      <c r="B993" s="6" t="s">
        <v>815</v>
      </c>
      <c r="C993" s="6" t="s">
        <v>694</v>
      </c>
      <c r="D993" s="6" t="s">
        <v>805</v>
      </c>
      <c r="F993" s="1">
        <f t="shared" si="15"/>
        <v>8</v>
      </c>
      <c r="H993" s="4"/>
    </row>
    <row r="994" spans="1:8" x14ac:dyDescent="0.25">
      <c r="A994" s="6">
        <v>46284</v>
      </c>
      <c r="B994" s="6" t="s">
        <v>816</v>
      </c>
      <c r="C994" s="6" t="s">
        <v>696</v>
      </c>
      <c r="D994" s="6" t="s">
        <v>805</v>
      </c>
      <c r="E994" s="1" t="s">
        <v>727</v>
      </c>
      <c r="F994" s="1">
        <f t="shared" si="15"/>
        <v>0</v>
      </c>
      <c r="H994" s="4"/>
    </row>
    <row r="995" spans="1:8" x14ac:dyDescent="0.25">
      <c r="A995" s="6">
        <v>46285</v>
      </c>
      <c r="B995" s="6" t="s">
        <v>816</v>
      </c>
      <c r="C995" s="6" t="s">
        <v>696</v>
      </c>
      <c r="D995" s="6" t="s">
        <v>805</v>
      </c>
      <c r="E995" s="1" t="s">
        <v>629</v>
      </c>
      <c r="F995" s="1">
        <f t="shared" si="15"/>
        <v>8</v>
      </c>
      <c r="H995" s="4"/>
    </row>
    <row r="996" spans="1:8" x14ac:dyDescent="0.25">
      <c r="A996" s="6">
        <v>46286</v>
      </c>
      <c r="B996" s="6" t="s">
        <v>816</v>
      </c>
      <c r="C996" s="6" t="s">
        <v>696</v>
      </c>
      <c r="D996" s="6" t="s">
        <v>805</v>
      </c>
      <c r="F996" s="1">
        <f t="shared" si="15"/>
        <v>8</v>
      </c>
      <c r="H996" s="4"/>
    </row>
    <row r="997" spans="1:8" x14ac:dyDescent="0.25">
      <c r="A997" s="6">
        <v>46287</v>
      </c>
      <c r="B997" s="6" t="s">
        <v>816</v>
      </c>
      <c r="C997" s="6" t="s">
        <v>696</v>
      </c>
      <c r="D997" s="6" t="s">
        <v>805</v>
      </c>
      <c r="F997" s="1">
        <f t="shared" si="15"/>
        <v>8</v>
      </c>
      <c r="H997" s="4"/>
    </row>
    <row r="998" spans="1:8" x14ac:dyDescent="0.25">
      <c r="A998" s="6">
        <v>46288</v>
      </c>
      <c r="B998" s="6" t="s">
        <v>816</v>
      </c>
      <c r="C998" s="6" t="s">
        <v>696</v>
      </c>
      <c r="D998" s="6" t="s">
        <v>805</v>
      </c>
      <c r="F998" s="1">
        <f t="shared" si="15"/>
        <v>8</v>
      </c>
      <c r="H998" s="4"/>
    </row>
    <row r="999" spans="1:8" x14ac:dyDescent="0.25">
      <c r="A999" s="6">
        <v>46289</v>
      </c>
      <c r="B999" s="6" t="s">
        <v>816</v>
      </c>
      <c r="C999" s="6" t="s">
        <v>696</v>
      </c>
      <c r="D999" s="6" t="s">
        <v>805</v>
      </c>
      <c r="F999" s="1">
        <f t="shared" si="15"/>
        <v>8</v>
      </c>
      <c r="H999" s="4"/>
    </row>
    <row r="1000" spans="1:8" x14ac:dyDescent="0.25">
      <c r="A1000" s="6">
        <v>46290</v>
      </c>
      <c r="B1000" s="6" t="s">
        <v>816</v>
      </c>
      <c r="C1000" s="6" t="s">
        <v>696</v>
      </c>
      <c r="D1000" s="6" t="s">
        <v>805</v>
      </c>
      <c r="E1000" s="1" t="s">
        <v>697</v>
      </c>
      <c r="F1000" s="1">
        <f t="shared" si="15"/>
        <v>0</v>
      </c>
      <c r="H1000" s="4"/>
    </row>
    <row r="1001" spans="1:8" x14ac:dyDescent="0.25">
      <c r="A1001" s="6">
        <v>46291</v>
      </c>
      <c r="B1001" s="6" t="s">
        <v>817</v>
      </c>
      <c r="C1001" s="6" t="s">
        <v>699</v>
      </c>
      <c r="D1001" s="6" t="s">
        <v>805</v>
      </c>
      <c r="E1001" s="1" t="s">
        <v>727</v>
      </c>
      <c r="F1001" s="1">
        <f t="shared" si="15"/>
        <v>0</v>
      </c>
      <c r="H1001" s="4"/>
    </row>
    <row r="1002" spans="1:8" x14ac:dyDescent="0.25">
      <c r="A1002" s="6">
        <v>46292</v>
      </c>
      <c r="B1002" s="6" t="s">
        <v>817</v>
      </c>
      <c r="C1002" s="6" t="s">
        <v>699</v>
      </c>
      <c r="D1002" s="6" t="s">
        <v>805</v>
      </c>
      <c r="E1002" s="1" t="s">
        <v>727</v>
      </c>
      <c r="F1002" s="1">
        <f t="shared" si="15"/>
        <v>0</v>
      </c>
      <c r="H1002" s="4"/>
    </row>
    <row r="1003" spans="1:8" x14ac:dyDescent="0.25">
      <c r="A1003" s="6">
        <v>46293</v>
      </c>
      <c r="B1003" s="6" t="s">
        <v>817</v>
      </c>
      <c r="C1003" s="6" t="s">
        <v>699</v>
      </c>
      <c r="D1003" s="6" t="s">
        <v>805</v>
      </c>
      <c r="F1003" s="1">
        <f t="shared" si="15"/>
        <v>8</v>
      </c>
      <c r="H1003" s="4"/>
    </row>
    <row r="1004" spans="1:8" x14ac:dyDescent="0.25">
      <c r="A1004" s="6">
        <v>46294</v>
      </c>
      <c r="B1004" s="6" t="s">
        <v>817</v>
      </c>
      <c r="C1004" s="6" t="s">
        <v>699</v>
      </c>
      <c r="D1004" s="6" t="s">
        <v>805</v>
      </c>
      <c r="F1004" s="1">
        <f t="shared" si="15"/>
        <v>8</v>
      </c>
      <c r="H1004" s="4"/>
    </row>
    <row r="1005" spans="1:8" x14ac:dyDescent="0.25">
      <c r="A1005" s="6">
        <v>46295</v>
      </c>
      <c r="B1005" s="6" t="s">
        <v>817</v>
      </c>
      <c r="C1005" s="6" t="s">
        <v>699</v>
      </c>
      <c r="D1005" s="6" t="s">
        <v>805</v>
      </c>
      <c r="F1005" s="1">
        <f t="shared" si="15"/>
        <v>8</v>
      </c>
      <c r="H1005" s="4"/>
    </row>
    <row r="1006" spans="1:8" x14ac:dyDescent="0.25">
      <c r="A1006" s="6">
        <v>46296</v>
      </c>
      <c r="B1006" s="6" t="s">
        <v>817</v>
      </c>
      <c r="C1006" s="6" t="s">
        <v>699</v>
      </c>
      <c r="D1006" s="6" t="s">
        <v>805</v>
      </c>
      <c r="E1006" s="1" t="s">
        <v>702</v>
      </c>
      <c r="F1006" s="1">
        <f t="shared" si="15"/>
        <v>0</v>
      </c>
      <c r="H1006" s="4"/>
    </row>
    <row r="1007" spans="1:8" x14ac:dyDescent="0.25">
      <c r="A1007" s="6">
        <v>46297</v>
      </c>
      <c r="B1007" s="6" t="s">
        <v>817</v>
      </c>
      <c r="C1007" s="6" t="s">
        <v>699</v>
      </c>
      <c r="D1007" s="6" t="s">
        <v>805</v>
      </c>
      <c r="E1007" s="1" t="s">
        <v>702</v>
      </c>
      <c r="F1007" s="1">
        <f t="shared" si="15"/>
        <v>0</v>
      </c>
      <c r="H1007" s="4"/>
    </row>
    <row r="1008" spans="1:8" x14ac:dyDescent="0.25">
      <c r="A1008" s="6">
        <v>46298</v>
      </c>
      <c r="B1008" s="6" t="s">
        <v>818</v>
      </c>
      <c r="C1008" s="6" t="s">
        <v>701</v>
      </c>
      <c r="D1008" s="6" t="s">
        <v>805</v>
      </c>
      <c r="E1008" s="1" t="s">
        <v>727</v>
      </c>
      <c r="F1008" s="1">
        <f t="shared" si="15"/>
        <v>0</v>
      </c>
      <c r="H1008" s="4"/>
    </row>
    <row r="1009" spans="1:8" x14ac:dyDescent="0.25">
      <c r="A1009" s="6">
        <v>46299</v>
      </c>
      <c r="B1009" s="6" t="s">
        <v>818</v>
      </c>
      <c r="C1009" s="6" t="s">
        <v>701</v>
      </c>
      <c r="D1009" s="6" t="s">
        <v>805</v>
      </c>
      <c r="E1009" s="1" t="s">
        <v>727</v>
      </c>
      <c r="F1009" s="1">
        <f t="shared" si="15"/>
        <v>0</v>
      </c>
      <c r="H1009" s="4"/>
    </row>
    <row r="1010" spans="1:8" x14ac:dyDescent="0.25">
      <c r="A1010" s="6">
        <v>46300</v>
      </c>
      <c r="B1010" s="6" t="s">
        <v>818</v>
      </c>
      <c r="C1010" s="6" t="s">
        <v>701</v>
      </c>
      <c r="D1010" s="6" t="s">
        <v>805</v>
      </c>
      <c r="E1010" s="1" t="s">
        <v>702</v>
      </c>
      <c r="F1010" s="1">
        <f t="shared" si="15"/>
        <v>0</v>
      </c>
      <c r="H1010" s="4"/>
    </row>
    <row r="1011" spans="1:8" x14ac:dyDescent="0.25">
      <c r="A1011" s="6">
        <v>46301</v>
      </c>
      <c r="B1011" s="6" t="s">
        <v>818</v>
      </c>
      <c r="C1011" s="6" t="s">
        <v>701</v>
      </c>
      <c r="D1011" s="6" t="s">
        <v>805</v>
      </c>
      <c r="E1011" s="1" t="s">
        <v>702</v>
      </c>
      <c r="F1011" s="1">
        <f t="shared" si="15"/>
        <v>0</v>
      </c>
      <c r="H1011" s="4"/>
    </row>
    <row r="1012" spans="1:8" x14ac:dyDescent="0.25">
      <c r="A1012" s="6">
        <v>46302</v>
      </c>
      <c r="B1012" s="6" t="s">
        <v>818</v>
      </c>
      <c r="C1012" s="6" t="s">
        <v>701</v>
      </c>
      <c r="D1012" s="6" t="s">
        <v>805</v>
      </c>
      <c r="E1012" s="1" t="s">
        <v>702</v>
      </c>
      <c r="F1012" s="1">
        <f t="shared" si="15"/>
        <v>0</v>
      </c>
      <c r="H1012" s="4"/>
    </row>
    <row r="1013" spans="1:8" x14ac:dyDescent="0.25">
      <c r="A1013" s="6">
        <v>46303</v>
      </c>
      <c r="B1013" s="6" t="s">
        <v>818</v>
      </c>
      <c r="C1013" s="6" t="s">
        <v>701</v>
      </c>
      <c r="D1013" s="6" t="s">
        <v>805</v>
      </c>
      <c r="F1013" s="1">
        <f t="shared" si="15"/>
        <v>8</v>
      </c>
      <c r="H1013" s="4"/>
    </row>
    <row r="1014" spans="1:8" x14ac:dyDescent="0.25">
      <c r="A1014" s="6">
        <v>46304</v>
      </c>
      <c r="B1014" s="6" t="s">
        <v>818</v>
      </c>
      <c r="C1014" s="6" t="s">
        <v>701</v>
      </c>
      <c r="D1014" s="6" t="s">
        <v>805</v>
      </c>
      <c r="F1014" s="1">
        <f t="shared" si="15"/>
        <v>8</v>
      </c>
      <c r="H1014" s="4"/>
    </row>
    <row r="1015" spans="1:8" x14ac:dyDescent="0.25">
      <c r="A1015" s="6">
        <v>46305</v>
      </c>
      <c r="B1015" s="6" t="s">
        <v>819</v>
      </c>
      <c r="C1015" s="6" t="s">
        <v>704</v>
      </c>
      <c r="D1015" s="6" t="s">
        <v>805</v>
      </c>
      <c r="E1015" s="1" t="s">
        <v>629</v>
      </c>
      <c r="F1015" s="1">
        <f t="shared" si="15"/>
        <v>8</v>
      </c>
      <c r="H1015" s="4"/>
    </row>
    <row r="1016" spans="1:8" x14ac:dyDescent="0.25">
      <c r="A1016" s="6">
        <v>46306</v>
      </c>
      <c r="B1016" s="6" t="s">
        <v>819</v>
      </c>
      <c r="C1016" s="6" t="s">
        <v>704</v>
      </c>
      <c r="D1016" s="6" t="s">
        <v>805</v>
      </c>
      <c r="E1016" s="1" t="s">
        <v>727</v>
      </c>
      <c r="F1016" s="1">
        <f t="shared" si="15"/>
        <v>0</v>
      </c>
      <c r="H1016" s="4"/>
    </row>
    <row r="1017" spans="1:8" x14ac:dyDescent="0.25">
      <c r="A1017" s="6">
        <v>46307</v>
      </c>
      <c r="B1017" s="6" t="s">
        <v>819</v>
      </c>
      <c r="C1017" s="6" t="s">
        <v>704</v>
      </c>
      <c r="D1017" s="6" t="s">
        <v>805</v>
      </c>
      <c r="F1017" s="1">
        <f t="shared" si="15"/>
        <v>8</v>
      </c>
      <c r="H1017" s="4"/>
    </row>
    <row r="1018" spans="1:8" x14ac:dyDescent="0.25">
      <c r="A1018" s="6">
        <v>46308</v>
      </c>
      <c r="B1018" s="6" t="s">
        <v>819</v>
      </c>
      <c r="C1018" s="6" t="s">
        <v>704</v>
      </c>
      <c r="D1018" s="6" t="s">
        <v>805</v>
      </c>
      <c r="F1018" s="1">
        <f t="shared" si="15"/>
        <v>8</v>
      </c>
      <c r="H1018" s="4"/>
    </row>
    <row r="1019" spans="1:8" x14ac:dyDescent="0.25">
      <c r="A1019" s="6">
        <v>46309</v>
      </c>
      <c r="B1019" s="6" t="s">
        <v>819</v>
      </c>
      <c r="C1019" s="6" t="s">
        <v>704</v>
      </c>
      <c r="D1019" s="6" t="s">
        <v>805</v>
      </c>
      <c r="F1019" s="1">
        <f t="shared" si="15"/>
        <v>8</v>
      </c>
      <c r="H1019" s="4"/>
    </row>
    <row r="1020" spans="1:8" x14ac:dyDescent="0.25">
      <c r="A1020" s="6">
        <v>46310</v>
      </c>
      <c r="B1020" s="6" t="s">
        <v>819</v>
      </c>
      <c r="C1020" s="6" t="s">
        <v>704</v>
      </c>
      <c r="D1020" s="6" t="s">
        <v>805</v>
      </c>
      <c r="F1020" s="1">
        <f t="shared" si="15"/>
        <v>8</v>
      </c>
      <c r="H1020" s="4"/>
    </row>
    <row r="1021" spans="1:8" x14ac:dyDescent="0.25">
      <c r="A1021" s="6">
        <v>46311</v>
      </c>
      <c r="B1021" s="6" t="s">
        <v>819</v>
      </c>
      <c r="C1021" s="6" t="s">
        <v>704</v>
      </c>
      <c r="D1021" s="6" t="s">
        <v>805</v>
      </c>
      <c r="F1021" s="1">
        <f t="shared" si="15"/>
        <v>8</v>
      </c>
      <c r="H1021" s="4"/>
    </row>
    <row r="1022" spans="1:8" x14ac:dyDescent="0.25">
      <c r="A1022" s="6">
        <v>46312</v>
      </c>
      <c r="B1022" s="6" t="s">
        <v>820</v>
      </c>
      <c r="C1022" s="6" t="s">
        <v>706</v>
      </c>
      <c r="D1022" s="6" t="s">
        <v>805</v>
      </c>
      <c r="E1022" s="1" t="s">
        <v>727</v>
      </c>
      <c r="F1022" s="1">
        <f t="shared" si="15"/>
        <v>0</v>
      </c>
      <c r="H1022" s="4"/>
    </row>
    <row r="1023" spans="1:8" x14ac:dyDescent="0.25">
      <c r="A1023" s="6">
        <v>46313</v>
      </c>
      <c r="B1023" s="6" t="s">
        <v>820</v>
      </c>
      <c r="C1023" s="6" t="s">
        <v>706</v>
      </c>
      <c r="D1023" s="6" t="s">
        <v>805</v>
      </c>
      <c r="E1023" s="1" t="s">
        <v>727</v>
      </c>
      <c r="F1023" s="1">
        <f t="shared" si="15"/>
        <v>0</v>
      </c>
      <c r="H1023" s="4"/>
    </row>
    <row r="1024" spans="1:8" x14ac:dyDescent="0.25">
      <c r="A1024" s="6">
        <v>46314</v>
      </c>
      <c r="B1024" s="6" t="s">
        <v>820</v>
      </c>
      <c r="C1024" s="6" t="s">
        <v>706</v>
      </c>
      <c r="D1024" s="6" t="s">
        <v>805</v>
      </c>
      <c r="F1024" s="1">
        <f t="shared" si="15"/>
        <v>8</v>
      </c>
      <c r="H1024" s="4"/>
    </row>
    <row r="1025" spans="1:8" x14ac:dyDescent="0.25">
      <c r="A1025" s="6">
        <v>46315</v>
      </c>
      <c r="B1025" s="6" t="s">
        <v>820</v>
      </c>
      <c r="C1025" s="6" t="s">
        <v>706</v>
      </c>
      <c r="D1025" s="6" t="s">
        <v>805</v>
      </c>
      <c r="F1025" s="1">
        <f t="shared" si="15"/>
        <v>8</v>
      </c>
      <c r="H1025" s="4"/>
    </row>
    <row r="1026" spans="1:8" x14ac:dyDescent="0.25">
      <c r="A1026" s="6">
        <v>46316</v>
      </c>
      <c r="B1026" s="6" t="s">
        <v>820</v>
      </c>
      <c r="C1026" s="6" t="s">
        <v>706</v>
      </c>
      <c r="D1026" s="6" t="s">
        <v>805</v>
      </c>
      <c r="F1026" s="1">
        <f t="shared" ref="F1026:F1089" si="16">IF(OR(E1026="",E1026="调休"),8,0)</f>
        <v>8</v>
      </c>
      <c r="H1026" s="4"/>
    </row>
    <row r="1027" spans="1:8" x14ac:dyDescent="0.25">
      <c r="A1027" s="6">
        <v>46317</v>
      </c>
      <c r="B1027" s="6" t="s">
        <v>820</v>
      </c>
      <c r="C1027" s="6" t="s">
        <v>706</v>
      </c>
      <c r="D1027" s="6" t="s">
        <v>805</v>
      </c>
      <c r="F1027" s="1">
        <f t="shared" si="16"/>
        <v>8</v>
      </c>
      <c r="H1027" s="4"/>
    </row>
    <row r="1028" spans="1:8" x14ac:dyDescent="0.25">
      <c r="A1028" s="6">
        <v>46318</v>
      </c>
      <c r="B1028" s="6" t="s">
        <v>820</v>
      </c>
      <c r="C1028" s="6" t="s">
        <v>706</v>
      </c>
      <c r="D1028" s="6" t="s">
        <v>805</v>
      </c>
      <c r="F1028" s="1">
        <f t="shared" si="16"/>
        <v>8</v>
      </c>
      <c r="H1028" s="4"/>
    </row>
    <row r="1029" spans="1:8" x14ac:dyDescent="0.25">
      <c r="A1029" s="6">
        <v>46319</v>
      </c>
      <c r="B1029" s="6" t="s">
        <v>821</v>
      </c>
      <c r="C1029" s="6" t="s">
        <v>708</v>
      </c>
      <c r="D1029" s="6" t="s">
        <v>805</v>
      </c>
      <c r="E1029" s="1" t="s">
        <v>727</v>
      </c>
      <c r="F1029" s="1">
        <f t="shared" si="16"/>
        <v>0</v>
      </c>
      <c r="H1029" s="4"/>
    </row>
    <row r="1030" spans="1:8" x14ac:dyDescent="0.25">
      <c r="A1030" s="6">
        <v>46320</v>
      </c>
      <c r="B1030" s="6" t="s">
        <v>821</v>
      </c>
      <c r="C1030" s="6" t="s">
        <v>708</v>
      </c>
      <c r="D1030" s="6" t="s">
        <v>805</v>
      </c>
      <c r="E1030" s="1" t="s">
        <v>727</v>
      </c>
      <c r="F1030" s="1">
        <f t="shared" si="16"/>
        <v>0</v>
      </c>
      <c r="H1030" s="4"/>
    </row>
    <row r="1031" spans="1:8" x14ac:dyDescent="0.25">
      <c r="A1031" s="6">
        <v>46321</v>
      </c>
      <c r="B1031" s="6" t="s">
        <v>821</v>
      </c>
      <c r="C1031" s="6" t="s">
        <v>708</v>
      </c>
      <c r="D1031" s="6" t="s">
        <v>805</v>
      </c>
      <c r="F1031" s="1">
        <f t="shared" si="16"/>
        <v>8</v>
      </c>
      <c r="H1031" s="4"/>
    </row>
    <row r="1032" spans="1:8" x14ac:dyDescent="0.25">
      <c r="A1032" s="6">
        <v>46322</v>
      </c>
      <c r="B1032" s="6" t="s">
        <v>821</v>
      </c>
      <c r="C1032" s="6" t="s">
        <v>708</v>
      </c>
      <c r="D1032" s="6" t="s">
        <v>805</v>
      </c>
      <c r="F1032" s="1">
        <f t="shared" si="16"/>
        <v>8</v>
      </c>
      <c r="H1032" s="4"/>
    </row>
    <row r="1033" spans="1:8" x14ac:dyDescent="0.25">
      <c r="A1033" s="6">
        <v>46323</v>
      </c>
      <c r="B1033" s="6" t="s">
        <v>821</v>
      </c>
      <c r="C1033" s="6" t="s">
        <v>708</v>
      </c>
      <c r="D1033" s="6" t="s">
        <v>805</v>
      </c>
      <c r="F1033" s="1">
        <f t="shared" si="16"/>
        <v>8</v>
      </c>
      <c r="H1033" s="4"/>
    </row>
    <row r="1034" spans="1:8" x14ac:dyDescent="0.25">
      <c r="A1034" s="6">
        <v>46324</v>
      </c>
      <c r="B1034" s="6" t="s">
        <v>821</v>
      </c>
      <c r="C1034" s="6" t="s">
        <v>708</v>
      </c>
      <c r="D1034" s="6" t="s">
        <v>805</v>
      </c>
      <c r="F1034" s="1">
        <f t="shared" si="16"/>
        <v>8</v>
      </c>
      <c r="H1034" s="4"/>
    </row>
    <row r="1035" spans="1:8" x14ac:dyDescent="0.25">
      <c r="A1035" s="6">
        <v>46325</v>
      </c>
      <c r="B1035" s="6" t="s">
        <v>821</v>
      </c>
      <c r="C1035" s="6" t="s">
        <v>708</v>
      </c>
      <c r="D1035" s="6" t="s">
        <v>805</v>
      </c>
      <c r="F1035" s="1">
        <f t="shared" si="16"/>
        <v>8</v>
      </c>
      <c r="H1035" s="4"/>
    </row>
    <row r="1036" spans="1:8" x14ac:dyDescent="0.25">
      <c r="A1036" s="6">
        <v>46326</v>
      </c>
      <c r="B1036" s="6" t="s">
        <v>822</v>
      </c>
      <c r="C1036" s="6" t="s">
        <v>710</v>
      </c>
      <c r="D1036" s="6" t="s">
        <v>805</v>
      </c>
      <c r="E1036" s="1" t="s">
        <v>727</v>
      </c>
      <c r="F1036" s="1">
        <f t="shared" si="16"/>
        <v>0</v>
      </c>
      <c r="H1036" s="4"/>
    </row>
    <row r="1037" spans="1:8" x14ac:dyDescent="0.25">
      <c r="A1037" s="6">
        <v>46327</v>
      </c>
      <c r="B1037" s="6" t="s">
        <v>822</v>
      </c>
      <c r="C1037" s="6" t="s">
        <v>710</v>
      </c>
      <c r="D1037" s="6" t="s">
        <v>805</v>
      </c>
      <c r="E1037" s="1" t="s">
        <v>727</v>
      </c>
      <c r="F1037" s="1">
        <f t="shared" si="16"/>
        <v>0</v>
      </c>
      <c r="H1037" s="4"/>
    </row>
    <row r="1038" spans="1:8" x14ac:dyDescent="0.25">
      <c r="A1038" s="6">
        <v>46328</v>
      </c>
      <c r="B1038" s="6" t="s">
        <v>822</v>
      </c>
      <c r="C1038" s="6" t="s">
        <v>710</v>
      </c>
      <c r="D1038" s="6" t="s">
        <v>805</v>
      </c>
      <c r="F1038" s="1">
        <f t="shared" si="16"/>
        <v>8</v>
      </c>
      <c r="H1038" s="4"/>
    </row>
    <row r="1039" spans="1:8" x14ac:dyDescent="0.25">
      <c r="A1039" s="6">
        <v>46329</v>
      </c>
      <c r="B1039" s="6" t="s">
        <v>822</v>
      </c>
      <c r="C1039" s="6" t="s">
        <v>710</v>
      </c>
      <c r="D1039" s="6" t="s">
        <v>805</v>
      </c>
      <c r="F1039" s="1">
        <f t="shared" si="16"/>
        <v>8</v>
      </c>
      <c r="H1039" s="4"/>
    </row>
    <row r="1040" spans="1:8" x14ac:dyDescent="0.25">
      <c r="A1040" s="6">
        <v>46330</v>
      </c>
      <c r="B1040" s="6" t="s">
        <v>822</v>
      </c>
      <c r="C1040" s="6" t="s">
        <v>710</v>
      </c>
      <c r="D1040" s="6" t="s">
        <v>805</v>
      </c>
      <c r="F1040" s="1">
        <f t="shared" si="16"/>
        <v>8</v>
      </c>
      <c r="H1040" s="4"/>
    </row>
    <row r="1041" spans="1:8" x14ac:dyDescent="0.25">
      <c r="A1041" s="6">
        <v>46331</v>
      </c>
      <c r="B1041" s="6" t="s">
        <v>822</v>
      </c>
      <c r="C1041" s="6" t="s">
        <v>710</v>
      </c>
      <c r="D1041" s="6" t="s">
        <v>805</v>
      </c>
      <c r="F1041" s="1">
        <f t="shared" si="16"/>
        <v>8</v>
      </c>
      <c r="H1041" s="4"/>
    </row>
    <row r="1042" spans="1:8" x14ac:dyDescent="0.25">
      <c r="A1042" s="6">
        <v>46332</v>
      </c>
      <c r="B1042" s="6" t="s">
        <v>822</v>
      </c>
      <c r="C1042" s="6" t="s">
        <v>710</v>
      </c>
      <c r="D1042" s="6" t="s">
        <v>805</v>
      </c>
      <c r="F1042" s="1">
        <f t="shared" si="16"/>
        <v>8</v>
      </c>
      <c r="H1042" s="4"/>
    </row>
    <row r="1043" spans="1:8" x14ac:dyDescent="0.25">
      <c r="A1043" s="6">
        <v>46333</v>
      </c>
      <c r="B1043" s="6" t="s">
        <v>823</v>
      </c>
      <c r="C1043" s="6" t="s">
        <v>712</v>
      </c>
      <c r="D1043" s="6" t="s">
        <v>805</v>
      </c>
      <c r="E1043" s="1" t="s">
        <v>727</v>
      </c>
      <c r="F1043" s="1">
        <f t="shared" si="16"/>
        <v>0</v>
      </c>
      <c r="H1043" s="4"/>
    </row>
    <row r="1044" spans="1:8" x14ac:dyDescent="0.25">
      <c r="A1044" s="6">
        <v>46334</v>
      </c>
      <c r="B1044" s="6" t="s">
        <v>823</v>
      </c>
      <c r="C1044" s="6" t="s">
        <v>712</v>
      </c>
      <c r="D1044" s="6" t="s">
        <v>805</v>
      </c>
      <c r="E1044" s="1" t="s">
        <v>727</v>
      </c>
      <c r="F1044" s="1">
        <f t="shared" si="16"/>
        <v>0</v>
      </c>
      <c r="H1044" s="4"/>
    </row>
    <row r="1045" spans="1:8" x14ac:dyDescent="0.25">
      <c r="A1045" s="6">
        <v>46335</v>
      </c>
      <c r="B1045" s="6" t="s">
        <v>823</v>
      </c>
      <c r="C1045" s="6" t="s">
        <v>712</v>
      </c>
      <c r="D1045" s="6" t="s">
        <v>805</v>
      </c>
      <c r="F1045" s="1">
        <f t="shared" si="16"/>
        <v>8</v>
      </c>
      <c r="H1045" s="4"/>
    </row>
    <row r="1046" spans="1:8" x14ac:dyDescent="0.25">
      <c r="A1046" s="6">
        <v>46336</v>
      </c>
      <c r="B1046" s="6" t="s">
        <v>823</v>
      </c>
      <c r="C1046" s="6" t="s">
        <v>712</v>
      </c>
      <c r="D1046" s="6" t="s">
        <v>805</v>
      </c>
      <c r="F1046" s="1">
        <f t="shared" si="16"/>
        <v>8</v>
      </c>
      <c r="H1046" s="4"/>
    </row>
    <row r="1047" spans="1:8" x14ac:dyDescent="0.25">
      <c r="A1047" s="6">
        <v>46337</v>
      </c>
      <c r="B1047" s="6" t="s">
        <v>823</v>
      </c>
      <c r="C1047" s="6" t="s">
        <v>712</v>
      </c>
      <c r="D1047" s="6" t="s">
        <v>805</v>
      </c>
      <c r="F1047" s="1">
        <f t="shared" si="16"/>
        <v>8</v>
      </c>
      <c r="H1047" s="4"/>
    </row>
    <row r="1048" spans="1:8" x14ac:dyDescent="0.25">
      <c r="A1048" s="6">
        <v>46338</v>
      </c>
      <c r="B1048" s="6" t="s">
        <v>823</v>
      </c>
      <c r="C1048" s="6" t="s">
        <v>712</v>
      </c>
      <c r="D1048" s="6" t="s">
        <v>805</v>
      </c>
      <c r="F1048" s="1">
        <f t="shared" si="16"/>
        <v>8</v>
      </c>
      <c r="H1048" s="4"/>
    </row>
    <row r="1049" spans="1:8" x14ac:dyDescent="0.25">
      <c r="A1049" s="6">
        <v>46339</v>
      </c>
      <c r="B1049" s="6" t="s">
        <v>823</v>
      </c>
      <c r="C1049" s="6" t="s">
        <v>712</v>
      </c>
      <c r="D1049" s="6" t="s">
        <v>805</v>
      </c>
      <c r="F1049" s="1">
        <f t="shared" si="16"/>
        <v>8</v>
      </c>
      <c r="H1049" s="4"/>
    </row>
    <row r="1050" spans="1:8" x14ac:dyDescent="0.25">
      <c r="A1050" s="6">
        <v>46340</v>
      </c>
      <c r="B1050" s="6" t="s">
        <v>824</v>
      </c>
      <c r="C1050" s="6" t="s">
        <v>714</v>
      </c>
      <c r="D1050" s="6" t="s">
        <v>805</v>
      </c>
      <c r="E1050" s="1" t="s">
        <v>727</v>
      </c>
      <c r="F1050" s="1">
        <f t="shared" si="16"/>
        <v>0</v>
      </c>
      <c r="H1050" s="4"/>
    </row>
    <row r="1051" spans="1:8" x14ac:dyDescent="0.25">
      <c r="A1051" s="6">
        <v>46341</v>
      </c>
      <c r="B1051" s="6" t="s">
        <v>824</v>
      </c>
      <c r="C1051" s="6" t="s">
        <v>714</v>
      </c>
      <c r="D1051" s="6" t="s">
        <v>805</v>
      </c>
      <c r="E1051" s="1" t="s">
        <v>727</v>
      </c>
      <c r="F1051" s="1">
        <f t="shared" si="16"/>
        <v>0</v>
      </c>
      <c r="H1051" s="4"/>
    </row>
    <row r="1052" spans="1:8" x14ac:dyDescent="0.25">
      <c r="A1052" s="6">
        <v>46342</v>
      </c>
      <c r="B1052" s="6" t="s">
        <v>824</v>
      </c>
      <c r="C1052" s="6" t="s">
        <v>714</v>
      </c>
      <c r="D1052" s="6" t="s">
        <v>805</v>
      </c>
      <c r="F1052" s="1">
        <f t="shared" si="16"/>
        <v>8</v>
      </c>
      <c r="H1052" s="4"/>
    </row>
    <row r="1053" spans="1:8" x14ac:dyDescent="0.25">
      <c r="A1053" s="6">
        <v>46343</v>
      </c>
      <c r="B1053" s="6" t="s">
        <v>824</v>
      </c>
      <c r="C1053" s="6" t="s">
        <v>714</v>
      </c>
      <c r="D1053" s="6" t="s">
        <v>805</v>
      </c>
      <c r="F1053" s="1">
        <f t="shared" si="16"/>
        <v>8</v>
      </c>
      <c r="H1053" s="4"/>
    </row>
    <row r="1054" spans="1:8" x14ac:dyDescent="0.25">
      <c r="A1054" s="6">
        <v>46344</v>
      </c>
      <c r="B1054" s="6" t="s">
        <v>824</v>
      </c>
      <c r="C1054" s="6" t="s">
        <v>714</v>
      </c>
      <c r="D1054" s="6" t="s">
        <v>805</v>
      </c>
      <c r="F1054" s="1">
        <f t="shared" si="16"/>
        <v>8</v>
      </c>
      <c r="H1054" s="4"/>
    </row>
    <row r="1055" spans="1:8" x14ac:dyDescent="0.25">
      <c r="A1055" s="6">
        <v>46345</v>
      </c>
      <c r="B1055" s="6" t="s">
        <v>824</v>
      </c>
      <c r="C1055" s="6" t="s">
        <v>714</v>
      </c>
      <c r="D1055" s="6" t="s">
        <v>805</v>
      </c>
      <c r="F1055" s="1">
        <f t="shared" si="16"/>
        <v>8</v>
      </c>
      <c r="H1055" s="4"/>
    </row>
    <row r="1056" spans="1:8" x14ac:dyDescent="0.25">
      <c r="A1056" s="6">
        <v>46346</v>
      </c>
      <c r="B1056" s="6" t="s">
        <v>824</v>
      </c>
      <c r="C1056" s="6" t="s">
        <v>714</v>
      </c>
      <c r="D1056" s="6" t="s">
        <v>805</v>
      </c>
      <c r="F1056" s="1">
        <f t="shared" si="16"/>
        <v>8</v>
      </c>
      <c r="H1056" s="4"/>
    </row>
    <row r="1057" spans="1:8" x14ac:dyDescent="0.25">
      <c r="A1057" s="6">
        <v>46347</v>
      </c>
      <c r="B1057" s="6" t="s">
        <v>825</v>
      </c>
      <c r="C1057" s="6" t="s">
        <v>716</v>
      </c>
      <c r="D1057" s="6" t="s">
        <v>805</v>
      </c>
      <c r="E1057" s="1" t="s">
        <v>727</v>
      </c>
      <c r="F1057" s="1">
        <f t="shared" si="16"/>
        <v>0</v>
      </c>
      <c r="H1057" s="4"/>
    </row>
    <row r="1058" spans="1:8" x14ac:dyDescent="0.25">
      <c r="A1058" s="6">
        <v>46348</v>
      </c>
      <c r="B1058" s="6" t="s">
        <v>825</v>
      </c>
      <c r="C1058" s="6" t="s">
        <v>716</v>
      </c>
      <c r="D1058" s="6" t="s">
        <v>805</v>
      </c>
      <c r="E1058" s="1" t="s">
        <v>727</v>
      </c>
      <c r="F1058" s="1">
        <f t="shared" si="16"/>
        <v>0</v>
      </c>
      <c r="H1058" s="4"/>
    </row>
    <row r="1059" spans="1:8" x14ac:dyDescent="0.25">
      <c r="A1059" s="6">
        <v>46349</v>
      </c>
      <c r="B1059" s="6" t="s">
        <v>825</v>
      </c>
      <c r="C1059" s="6" t="s">
        <v>716</v>
      </c>
      <c r="D1059" s="6" t="s">
        <v>805</v>
      </c>
      <c r="F1059" s="1">
        <f t="shared" si="16"/>
        <v>8</v>
      </c>
      <c r="H1059" s="4"/>
    </row>
    <row r="1060" spans="1:8" x14ac:dyDescent="0.25">
      <c r="A1060" s="6">
        <v>46350</v>
      </c>
      <c r="B1060" s="6" t="s">
        <v>825</v>
      </c>
      <c r="C1060" s="6" t="s">
        <v>716</v>
      </c>
      <c r="D1060" s="6" t="s">
        <v>805</v>
      </c>
      <c r="F1060" s="1">
        <f t="shared" si="16"/>
        <v>8</v>
      </c>
      <c r="H1060" s="4"/>
    </row>
    <row r="1061" spans="1:8" x14ac:dyDescent="0.25">
      <c r="A1061" s="6">
        <v>46351</v>
      </c>
      <c r="B1061" s="6" t="s">
        <v>825</v>
      </c>
      <c r="C1061" s="6" t="s">
        <v>716</v>
      </c>
      <c r="D1061" s="6" t="s">
        <v>805</v>
      </c>
      <c r="F1061" s="1">
        <f t="shared" si="16"/>
        <v>8</v>
      </c>
      <c r="H1061" s="4"/>
    </row>
    <row r="1062" spans="1:8" x14ac:dyDescent="0.25">
      <c r="A1062" s="6">
        <v>46352</v>
      </c>
      <c r="B1062" s="6" t="s">
        <v>825</v>
      </c>
      <c r="C1062" s="6" t="s">
        <v>716</v>
      </c>
      <c r="D1062" s="6" t="s">
        <v>805</v>
      </c>
      <c r="F1062" s="1">
        <f t="shared" si="16"/>
        <v>8</v>
      </c>
      <c r="H1062" s="4"/>
    </row>
    <row r="1063" spans="1:8" x14ac:dyDescent="0.25">
      <c r="A1063" s="6">
        <v>46353</v>
      </c>
      <c r="B1063" s="6" t="s">
        <v>825</v>
      </c>
      <c r="C1063" s="6" t="s">
        <v>716</v>
      </c>
      <c r="D1063" s="6" t="s">
        <v>805</v>
      </c>
      <c r="F1063" s="1">
        <f t="shared" si="16"/>
        <v>8</v>
      </c>
      <c r="H1063" s="4"/>
    </row>
    <row r="1064" spans="1:8" x14ac:dyDescent="0.25">
      <c r="A1064" s="6">
        <v>46354</v>
      </c>
      <c r="B1064" s="6" t="s">
        <v>826</v>
      </c>
      <c r="C1064" s="6" t="s">
        <v>718</v>
      </c>
      <c r="D1064" s="6" t="s">
        <v>805</v>
      </c>
      <c r="E1064" s="1" t="s">
        <v>727</v>
      </c>
      <c r="F1064" s="1">
        <f t="shared" si="16"/>
        <v>0</v>
      </c>
      <c r="H1064" s="4"/>
    </row>
    <row r="1065" spans="1:8" x14ac:dyDescent="0.25">
      <c r="A1065" s="6">
        <v>46355</v>
      </c>
      <c r="B1065" s="6" t="s">
        <v>826</v>
      </c>
      <c r="C1065" s="6" t="s">
        <v>718</v>
      </c>
      <c r="D1065" s="6" t="s">
        <v>805</v>
      </c>
      <c r="E1065" s="1" t="s">
        <v>727</v>
      </c>
      <c r="F1065" s="1">
        <f t="shared" si="16"/>
        <v>0</v>
      </c>
      <c r="H1065" s="4"/>
    </row>
    <row r="1066" spans="1:8" x14ac:dyDescent="0.25">
      <c r="A1066" s="6">
        <v>46356</v>
      </c>
      <c r="B1066" s="6" t="s">
        <v>826</v>
      </c>
      <c r="C1066" s="6" t="s">
        <v>718</v>
      </c>
      <c r="D1066" s="6" t="s">
        <v>805</v>
      </c>
      <c r="F1066" s="1">
        <f t="shared" si="16"/>
        <v>8</v>
      </c>
      <c r="H1066" s="4"/>
    </row>
    <row r="1067" spans="1:8" x14ac:dyDescent="0.25">
      <c r="A1067" s="6">
        <v>46357</v>
      </c>
      <c r="B1067" s="6" t="s">
        <v>826</v>
      </c>
      <c r="C1067" s="6" t="s">
        <v>718</v>
      </c>
      <c r="D1067" s="6" t="s">
        <v>805</v>
      </c>
      <c r="F1067" s="1">
        <f t="shared" si="16"/>
        <v>8</v>
      </c>
      <c r="H1067" s="4"/>
    </row>
    <row r="1068" spans="1:8" x14ac:dyDescent="0.25">
      <c r="A1068" s="6">
        <v>46358</v>
      </c>
      <c r="B1068" s="6" t="s">
        <v>826</v>
      </c>
      <c r="C1068" s="6" t="s">
        <v>718</v>
      </c>
      <c r="D1068" s="6" t="s">
        <v>805</v>
      </c>
      <c r="F1068" s="1">
        <f t="shared" si="16"/>
        <v>8</v>
      </c>
      <c r="H1068" s="4"/>
    </row>
    <row r="1069" spans="1:8" x14ac:dyDescent="0.25">
      <c r="A1069" s="6">
        <v>46359</v>
      </c>
      <c r="B1069" s="6" t="s">
        <v>826</v>
      </c>
      <c r="C1069" s="6" t="s">
        <v>718</v>
      </c>
      <c r="D1069" s="6" t="s">
        <v>805</v>
      </c>
      <c r="F1069" s="1">
        <f t="shared" si="16"/>
        <v>8</v>
      </c>
      <c r="H1069" s="4"/>
    </row>
    <row r="1070" spans="1:8" x14ac:dyDescent="0.25">
      <c r="A1070" s="6">
        <v>46360</v>
      </c>
      <c r="B1070" s="6" t="s">
        <v>826</v>
      </c>
      <c r="C1070" s="6" t="s">
        <v>718</v>
      </c>
      <c r="D1070" s="6" t="s">
        <v>805</v>
      </c>
      <c r="F1070" s="1">
        <f t="shared" si="16"/>
        <v>8</v>
      </c>
      <c r="H1070" s="4"/>
    </row>
    <row r="1071" spans="1:8" x14ac:dyDescent="0.25">
      <c r="A1071" s="6">
        <v>46361</v>
      </c>
      <c r="B1071" s="6" t="s">
        <v>827</v>
      </c>
      <c r="C1071" s="6" t="s">
        <v>720</v>
      </c>
      <c r="D1071" s="6" t="s">
        <v>805</v>
      </c>
      <c r="E1071" s="1" t="s">
        <v>727</v>
      </c>
      <c r="F1071" s="1">
        <f t="shared" si="16"/>
        <v>0</v>
      </c>
      <c r="H1071" s="4"/>
    </row>
    <row r="1072" spans="1:8" x14ac:dyDescent="0.25">
      <c r="A1072" s="6">
        <v>46362</v>
      </c>
      <c r="B1072" s="6" t="s">
        <v>827</v>
      </c>
      <c r="C1072" s="6" t="s">
        <v>720</v>
      </c>
      <c r="D1072" s="6" t="s">
        <v>805</v>
      </c>
      <c r="E1072" s="1" t="s">
        <v>727</v>
      </c>
      <c r="F1072" s="1">
        <f t="shared" si="16"/>
        <v>0</v>
      </c>
      <c r="H1072" s="4"/>
    </row>
    <row r="1073" spans="1:8" x14ac:dyDescent="0.25">
      <c r="A1073" s="6">
        <v>46363</v>
      </c>
      <c r="B1073" s="6" t="s">
        <v>827</v>
      </c>
      <c r="C1073" s="6" t="s">
        <v>720</v>
      </c>
      <c r="D1073" s="6" t="s">
        <v>805</v>
      </c>
      <c r="F1073" s="1">
        <f t="shared" si="16"/>
        <v>8</v>
      </c>
      <c r="H1073" s="4"/>
    </row>
    <row r="1074" spans="1:8" x14ac:dyDescent="0.25">
      <c r="A1074" s="6">
        <v>46364</v>
      </c>
      <c r="B1074" s="6" t="s">
        <v>827</v>
      </c>
      <c r="C1074" s="6" t="s">
        <v>720</v>
      </c>
      <c r="D1074" s="6" t="s">
        <v>805</v>
      </c>
      <c r="F1074" s="1">
        <f t="shared" si="16"/>
        <v>8</v>
      </c>
      <c r="H1074" s="4"/>
    </row>
    <row r="1075" spans="1:8" x14ac:dyDescent="0.25">
      <c r="A1075" s="6">
        <v>46365</v>
      </c>
      <c r="B1075" s="6" t="s">
        <v>827</v>
      </c>
      <c r="C1075" s="6" t="s">
        <v>720</v>
      </c>
      <c r="D1075" s="6" t="s">
        <v>805</v>
      </c>
      <c r="F1075" s="1">
        <f t="shared" si="16"/>
        <v>8</v>
      </c>
      <c r="H1075" s="4"/>
    </row>
    <row r="1076" spans="1:8" x14ac:dyDescent="0.25">
      <c r="A1076" s="6">
        <v>46366</v>
      </c>
      <c r="B1076" s="6" t="s">
        <v>827</v>
      </c>
      <c r="C1076" s="6" t="s">
        <v>720</v>
      </c>
      <c r="D1076" s="6" t="s">
        <v>805</v>
      </c>
      <c r="F1076" s="1">
        <f t="shared" si="16"/>
        <v>8</v>
      </c>
      <c r="H1076" s="4"/>
    </row>
    <row r="1077" spans="1:8" x14ac:dyDescent="0.25">
      <c r="A1077" s="6">
        <v>46367</v>
      </c>
      <c r="B1077" s="6" t="s">
        <v>827</v>
      </c>
      <c r="C1077" s="6" t="s">
        <v>720</v>
      </c>
      <c r="D1077" s="6" t="s">
        <v>805</v>
      </c>
      <c r="F1077" s="1">
        <f t="shared" si="16"/>
        <v>8</v>
      </c>
      <c r="H1077" s="4"/>
    </row>
    <row r="1078" spans="1:8" x14ac:dyDescent="0.25">
      <c r="A1078" s="6">
        <v>46368</v>
      </c>
      <c r="B1078" s="6" t="s">
        <v>828</v>
      </c>
      <c r="C1078" s="6" t="s">
        <v>528</v>
      </c>
      <c r="D1078" s="6" t="s">
        <v>805</v>
      </c>
      <c r="E1078" s="1" t="s">
        <v>727</v>
      </c>
      <c r="F1078" s="1">
        <f t="shared" si="16"/>
        <v>0</v>
      </c>
      <c r="H1078" s="4"/>
    </row>
    <row r="1079" spans="1:8" x14ac:dyDescent="0.25">
      <c r="A1079" s="6">
        <v>46369</v>
      </c>
      <c r="B1079" s="6" t="s">
        <v>828</v>
      </c>
      <c r="C1079" s="6" t="s">
        <v>528</v>
      </c>
      <c r="D1079" s="6" t="s">
        <v>805</v>
      </c>
      <c r="E1079" s="1" t="s">
        <v>727</v>
      </c>
      <c r="F1079" s="1">
        <f t="shared" si="16"/>
        <v>0</v>
      </c>
      <c r="H1079" s="4"/>
    </row>
    <row r="1080" spans="1:8" x14ac:dyDescent="0.25">
      <c r="A1080" s="6">
        <v>46370</v>
      </c>
      <c r="B1080" s="6" t="s">
        <v>828</v>
      </c>
      <c r="C1080" s="6" t="s">
        <v>528</v>
      </c>
      <c r="D1080" s="6" t="s">
        <v>805</v>
      </c>
      <c r="F1080" s="1">
        <f t="shared" si="16"/>
        <v>8</v>
      </c>
      <c r="H1080" s="4"/>
    </row>
    <row r="1081" spans="1:8" x14ac:dyDescent="0.25">
      <c r="A1081" s="6">
        <v>46371</v>
      </c>
      <c r="B1081" s="6" t="s">
        <v>828</v>
      </c>
      <c r="C1081" s="6" t="s">
        <v>528</v>
      </c>
      <c r="D1081" s="6" t="s">
        <v>805</v>
      </c>
      <c r="F1081" s="1">
        <f t="shared" si="16"/>
        <v>8</v>
      </c>
      <c r="H1081" s="4"/>
    </row>
    <row r="1082" spans="1:8" x14ac:dyDescent="0.25">
      <c r="A1082" s="6">
        <v>46372</v>
      </c>
      <c r="B1082" s="6" t="s">
        <v>828</v>
      </c>
      <c r="C1082" s="6" t="s">
        <v>528</v>
      </c>
      <c r="D1082" s="6" t="s">
        <v>805</v>
      </c>
      <c r="F1082" s="1">
        <f t="shared" si="16"/>
        <v>8</v>
      </c>
      <c r="H1082" s="4"/>
    </row>
    <row r="1083" spans="1:8" x14ac:dyDescent="0.25">
      <c r="A1083" s="6">
        <v>46373</v>
      </c>
      <c r="B1083" s="6" t="s">
        <v>828</v>
      </c>
      <c r="C1083" s="6" t="s">
        <v>528</v>
      </c>
      <c r="D1083" s="6" t="s">
        <v>805</v>
      </c>
      <c r="F1083" s="1">
        <f t="shared" si="16"/>
        <v>8</v>
      </c>
      <c r="H1083" s="4"/>
    </row>
    <row r="1084" spans="1:8" x14ac:dyDescent="0.25">
      <c r="A1084" s="6">
        <v>46374</v>
      </c>
      <c r="B1084" s="6" t="s">
        <v>828</v>
      </c>
      <c r="C1084" s="6" t="s">
        <v>528</v>
      </c>
      <c r="D1084" s="6" t="s">
        <v>805</v>
      </c>
      <c r="F1084" s="1">
        <f t="shared" si="16"/>
        <v>8</v>
      </c>
      <c r="H1084" s="4"/>
    </row>
    <row r="1085" spans="1:8" x14ac:dyDescent="0.25">
      <c r="A1085" s="6">
        <v>46375</v>
      </c>
      <c r="B1085" s="6" t="s">
        <v>829</v>
      </c>
      <c r="C1085" s="6" t="s">
        <v>532</v>
      </c>
      <c r="D1085" s="6" t="s">
        <v>805</v>
      </c>
      <c r="E1085" s="1" t="s">
        <v>727</v>
      </c>
      <c r="F1085" s="1">
        <f t="shared" si="16"/>
        <v>0</v>
      </c>
      <c r="H1085" s="4"/>
    </row>
    <row r="1086" spans="1:8" x14ac:dyDescent="0.25">
      <c r="A1086" s="6">
        <v>46376</v>
      </c>
      <c r="B1086" s="6" t="s">
        <v>829</v>
      </c>
      <c r="C1086" s="6" t="s">
        <v>532</v>
      </c>
      <c r="D1086" s="6" t="s">
        <v>805</v>
      </c>
      <c r="E1086" s="1" t="s">
        <v>727</v>
      </c>
      <c r="F1086" s="1">
        <f t="shared" si="16"/>
        <v>0</v>
      </c>
      <c r="H1086" s="4"/>
    </row>
    <row r="1087" spans="1:8" x14ac:dyDescent="0.25">
      <c r="A1087" s="6">
        <v>46377</v>
      </c>
      <c r="B1087" s="6" t="s">
        <v>829</v>
      </c>
      <c r="C1087" s="6" t="s">
        <v>532</v>
      </c>
      <c r="D1087" s="6" t="s">
        <v>805</v>
      </c>
      <c r="F1087" s="1">
        <f t="shared" si="16"/>
        <v>8</v>
      </c>
      <c r="H1087" s="4"/>
    </row>
    <row r="1088" spans="1:8" x14ac:dyDescent="0.25">
      <c r="A1088" s="6">
        <v>46378</v>
      </c>
      <c r="B1088" s="6" t="s">
        <v>829</v>
      </c>
      <c r="C1088" s="6" t="s">
        <v>532</v>
      </c>
      <c r="D1088" s="6" t="s">
        <v>805</v>
      </c>
      <c r="F1088" s="1">
        <f t="shared" si="16"/>
        <v>8</v>
      </c>
      <c r="H1088" s="4"/>
    </row>
    <row r="1089" spans="1:8" x14ac:dyDescent="0.25">
      <c r="A1089" s="6">
        <v>46379</v>
      </c>
      <c r="B1089" s="6" t="s">
        <v>829</v>
      </c>
      <c r="C1089" s="6" t="s">
        <v>532</v>
      </c>
      <c r="D1089" s="6" t="s">
        <v>805</v>
      </c>
      <c r="F1089" s="1">
        <f t="shared" si="16"/>
        <v>8</v>
      </c>
      <c r="H1089" s="4"/>
    </row>
    <row r="1090" spans="1:8" x14ac:dyDescent="0.25">
      <c r="A1090" s="6">
        <v>46380</v>
      </c>
      <c r="B1090" s="6" t="s">
        <v>829</v>
      </c>
      <c r="C1090" s="6" t="s">
        <v>532</v>
      </c>
      <c r="D1090" s="6" t="s">
        <v>805</v>
      </c>
      <c r="F1090" s="1">
        <f t="shared" ref="F1090:F1153" si="17">IF(OR(E1090="",E1090="调休"),8,0)</f>
        <v>8</v>
      </c>
      <c r="H1090" s="4"/>
    </row>
    <row r="1091" spans="1:8" x14ac:dyDescent="0.25">
      <c r="A1091" s="6">
        <v>46381</v>
      </c>
      <c r="B1091" s="6" t="s">
        <v>829</v>
      </c>
      <c r="C1091" s="6" t="s">
        <v>532</v>
      </c>
      <c r="D1091" s="6" t="s">
        <v>805</v>
      </c>
      <c r="F1091" s="1">
        <f t="shared" si="17"/>
        <v>8</v>
      </c>
      <c r="H1091" s="4"/>
    </row>
    <row r="1092" spans="1:8" x14ac:dyDescent="0.25">
      <c r="A1092" s="6">
        <v>46382</v>
      </c>
      <c r="B1092" s="6" t="s">
        <v>830</v>
      </c>
      <c r="C1092" s="6" t="s">
        <v>534</v>
      </c>
      <c r="D1092" s="6" t="s">
        <v>805</v>
      </c>
      <c r="E1092" s="1" t="s">
        <v>727</v>
      </c>
      <c r="F1092" s="1">
        <f t="shared" si="17"/>
        <v>0</v>
      </c>
      <c r="H1092" s="4"/>
    </row>
    <row r="1093" spans="1:8" x14ac:dyDescent="0.25">
      <c r="A1093" s="6">
        <v>46383</v>
      </c>
      <c r="B1093" s="6" t="s">
        <v>830</v>
      </c>
      <c r="C1093" s="6" t="s">
        <v>534</v>
      </c>
      <c r="D1093" s="6" t="s">
        <v>805</v>
      </c>
      <c r="E1093" s="1" t="s">
        <v>727</v>
      </c>
      <c r="F1093" s="1">
        <f t="shared" si="17"/>
        <v>0</v>
      </c>
      <c r="H1093" s="4"/>
    </row>
    <row r="1094" spans="1:8" x14ac:dyDescent="0.25">
      <c r="A1094" s="6">
        <v>46384</v>
      </c>
      <c r="B1094" s="6" t="s">
        <v>830</v>
      </c>
      <c r="C1094" s="6" t="s">
        <v>534</v>
      </c>
      <c r="D1094" s="6" t="s">
        <v>805</v>
      </c>
      <c r="F1094" s="1">
        <f t="shared" si="17"/>
        <v>8</v>
      </c>
      <c r="H1094" s="4"/>
    </row>
    <row r="1095" spans="1:8" x14ac:dyDescent="0.25">
      <c r="A1095" s="6">
        <v>46385</v>
      </c>
      <c r="B1095" s="6" t="s">
        <v>830</v>
      </c>
      <c r="C1095" s="6" t="s">
        <v>534</v>
      </c>
      <c r="D1095" s="6" t="s">
        <v>805</v>
      </c>
      <c r="F1095" s="1">
        <f t="shared" si="17"/>
        <v>8</v>
      </c>
      <c r="H1095" s="4"/>
    </row>
    <row r="1096" spans="1:8" x14ac:dyDescent="0.25">
      <c r="A1096" s="6">
        <v>46386</v>
      </c>
      <c r="B1096" s="6" t="s">
        <v>830</v>
      </c>
      <c r="C1096" s="6" t="s">
        <v>534</v>
      </c>
      <c r="D1096" s="6" t="s">
        <v>805</v>
      </c>
      <c r="F1096" s="1">
        <f t="shared" si="17"/>
        <v>8</v>
      </c>
      <c r="H1096" s="4"/>
    </row>
    <row r="1097" spans="1:8" x14ac:dyDescent="0.25">
      <c r="A1097" s="6">
        <v>46387</v>
      </c>
      <c r="B1097" s="6" t="s">
        <v>830</v>
      </c>
      <c r="C1097" s="6" t="s">
        <v>534</v>
      </c>
      <c r="D1097" s="6" t="s">
        <v>805</v>
      </c>
      <c r="F1097" s="1">
        <f t="shared" si="17"/>
        <v>8</v>
      </c>
      <c r="H1097" s="4"/>
    </row>
    <row r="1098" spans="1:8" x14ac:dyDescent="0.25">
      <c r="A1098" s="6">
        <v>46388</v>
      </c>
      <c r="B1098" s="6" t="s">
        <v>830</v>
      </c>
      <c r="C1098" s="6" t="s">
        <v>534</v>
      </c>
      <c r="D1098" s="6" t="s">
        <v>805</v>
      </c>
      <c r="F1098" s="1">
        <f t="shared" si="17"/>
        <v>8</v>
      </c>
      <c r="H1098" s="4"/>
    </row>
    <row r="1099" spans="1:8" x14ac:dyDescent="0.25">
      <c r="A1099" s="6">
        <v>46389</v>
      </c>
      <c r="B1099" s="6" t="s">
        <v>831</v>
      </c>
      <c r="C1099" s="6" t="s">
        <v>536</v>
      </c>
      <c r="D1099" s="6" t="s">
        <v>805</v>
      </c>
      <c r="E1099" s="1" t="s">
        <v>727</v>
      </c>
      <c r="F1099" s="1">
        <f t="shared" si="17"/>
        <v>0</v>
      </c>
      <c r="H1099" s="4"/>
    </row>
    <row r="1100" spans="1:8" x14ac:dyDescent="0.25">
      <c r="A1100" s="6">
        <v>46390</v>
      </c>
      <c r="B1100" s="6" t="s">
        <v>831</v>
      </c>
      <c r="C1100" s="6" t="s">
        <v>536</v>
      </c>
      <c r="D1100" s="6" t="s">
        <v>805</v>
      </c>
      <c r="E1100" s="1" t="s">
        <v>727</v>
      </c>
      <c r="F1100" s="1">
        <f t="shared" si="17"/>
        <v>0</v>
      </c>
      <c r="H1100" s="4"/>
    </row>
    <row r="1101" spans="1:8" x14ac:dyDescent="0.25">
      <c r="A1101" s="6">
        <v>46391</v>
      </c>
      <c r="B1101" s="6" t="s">
        <v>831</v>
      </c>
      <c r="C1101" s="6" t="s">
        <v>536</v>
      </c>
      <c r="D1101" s="6" t="s">
        <v>805</v>
      </c>
      <c r="F1101" s="1">
        <f t="shared" si="17"/>
        <v>8</v>
      </c>
      <c r="H1101" s="4"/>
    </row>
    <row r="1102" spans="1:8" x14ac:dyDescent="0.25">
      <c r="A1102" s="6">
        <v>46392</v>
      </c>
      <c r="B1102" s="6" t="s">
        <v>831</v>
      </c>
      <c r="C1102" s="6" t="s">
        <v>536</v>
      </c>
      <c r="D1102" s="6" t="s">
        <v>805</v>
      </c>
      <c r="F1102" s="1">
        <f t="shared" si="17"/>
        <v>8</v>
      </c>
      <c r="H1102" s="4"/>
    </row>
    <row r="1103" spans="1:8" x14ac:dyDescent="0.25">
      <c r="A1103" s="6">
        <v>46393</v>
      </c>
      <c r="B1103" s="6" t="s">
        <v>831</v>
      </c>
      <c r="C1103" s="6" t="s">
        <v>536</v>
      </c>
      <c r="D1103" s="6" t="s">
        <v>805</v>
      </c>
      <c r="F1103" s="1">
        <f t="shared" si="17"/>
        <v>8</v>
      </c>
      <c r="H1103" s="4"/>
    </row>
    <row r="1104" spans="1:8" x14ac:dyDescent="0.25">
      <c r="A1104" s="6">
        <v>46394</v>
      </c>
      <c r="B1104" s="6" t="s">
        <v>831</v>
      </c>
      <c r="C1104" s="6" t="s">
        <v>536</v>
      </c>
      <c r="D1104" s="6" t="s">
        <v>805</v>
      </c>
      <c r="F1104" s="1">
        <f t="shared" si="17"/>
        <v>8</v>
      </c>
      <c r="H1104" s="4"/>
    </row>
    <row r="1105" spans="1:8" x14ac:dyDescent="0.25">
      <c r="A1105" s="6">
        <v>46395</v>
      </c>
      <c r="B1105" s="6" t="s">
        <v>831</v>
      </c>
      <c r="C1105" s="6" t="s">
        <v>536</v>
      </c>
      <c r="D1105" s="6" t="s">
        <v>805</v>
      </c>
      <c r="F1105" s="1">
        <f t="shared" si="17"/>
        <v>8</v>
      </c>
      <c r="H1105" s="4"/>
    </row>
    <row r="1106" spans="1:8" x14ac:dyDescent="0.25">
      <c r="A1106" s="6">
        <v>46396</v>
      </c>
      <c r="B1106" s="6" t="s">
        <v>832</v>
      </c>
      <c r="C1106" s="6" t="s">
        <v>538</v>
      </c>
      <c r="D1106" s="6" t="s">
        <v>805</v>
      </c>
      <c r="E1106" s="1" t="s">
        <v>727</v>
      </c>
      <c r="F1106" s="1">
        <f t="shared" si="17"/>
        <v>0</v>
      </c>
      <c r="H1106" s="4"/>
    </row>
    <row r="1107" spans="1:8" x14ac:dyDescent="0.25">
      <c r="A1107" s="6">
        <v>46397</v>
      </c>
      <c r="B1107" s="6" t="s">
        <v>832</v>
      </c>
      <c r="C1107" s="6" t="s">
        <v>538</v>
      </c>
      <c r="D1107" s="6" t="s">
        <v>805</v>
      </c>
      <c r="E1107" s="1" t="s">
        <v>727</v>
      </c>
      <c r="F1107" s="1">
        <f t="shared" si="17"/>
        <v>0</v>
      </c>
      <c r="H1107" s="4"/>
    </row>
    <row r="1108" spans="1:8" x14ac:dyDescent="0.25">
      <c r="A1108" s="6">
        <v>46398</v>
      </c>
      <c r="B1108" s="6" t="s">
        <v>832</v>
      </c>
      <c r="C1108" s="6" t="s">
        <v>538</v>
      </c>
      <c r="D1108" s="6" t="s">
        <v>805</v>
      </c>
      <c r="F1108" s="1">
        <f t="shared" si="17"/>
        <v>8</v>
      </c>
      <c r="H1108" s="4"/>
    </row>
    <row r="1109" spans="1:8" x14ac:dyDescent="0.25">
      <c r="A1109" s="6">
        <v>46399</v>
      </c>
      <c r="B1109" s="6" t="s">
        <v>832</v>
      </c>
      <c r="C1109" s="6" t="s">
        <v>538</v>
      </c>
      <c r="D1109" s="6" t="s">
        <v>805</v>
      </c>
      <c r="F1109" s="1">
        <f t="shared" si="17"/>
        <v>8</v>
      </c>
      <c r="H1109" s="4"/>
    </row>
    <row r="1110" spans="1:8" x14ac:dyDescent="0.25">
      <c r="A1110" s="6">
        <v>46400</v>
      </c>
      <c r="B1110" s="6" t="s">
        <v>832</v>
      </c>
      <c r="C1110" s="6" t="s">
        <v>538</v>
      </c>
      <c r="D1110" s="6" t="s">
        <v>805</v>
      </c>
      <c r="F1110" s="1">
        <f t="shared" si="17"/>
        <v>8</v>
      </c>
      <c r="H1110" s="4"/>
    </row>
    <row r="1111" spans="1:8" x14ac:dyDescent="0.25">
      <c r="A1111" s="6">
        <v>46401</v>
      </c>
      <c r="B1111" s="6" t="s">
        <v>832</v>
      </c>
      <c r="C1111" s="6" t="s">
        <v>538</v>
      </c>
      <c r="D1111" s="6" t="s">
        <v>805</v>
      </c>
      <c r="F1111" s="1">
        <f t="shared" si="17"/>
        <v>8</v>
      </c>
      <c r="H1111" s="4"/>
    </row>
    <row r="1112" spans="1:8" x14ac:dyDescent="0.25">
      <c r="A1112" s="6">
        <v>46402</v>
      </c>
      <c r="B1112" s="6" t="s">
        <v>832</v>
      </c>
      <c r="C1112" s="6" t="s">
        <v>538</v>
      </c>
      <c r="D1112" s="6" t="s">
        <v>805</v>
      </c>
      <c r="F1112" s="1">
        <f t="shared" si="17"/>
        <v>8</v>
      </c>
      <c r="H1112" s="4"/>
    </row>
    <row r="1113" spans="1:8" x14ac:dyDescent="0.25">
      <c r="A1113" s="6">
        <v>46403</v>
      </c>
      <c r="B1113" s="6" t="s">
        <v>833</v>
      </c>
      <c r="C1113" s="6" t="s">
        <v>540</v>
      </c>
      <c r="D1113" s="6" t="s">
        <v>805</v>
      </c>
      <c r="E1113" s="1" t="s">
        <v>727</v>
      </c>
      <c r="F1113" s="1">
        <f t="shared" si="17"/>
        <v>0</v>
      </c>
      <c r="H1113" s="4"/>
    </row>
    <row r="1114" spans="1:8" x14ac:dyDescent="0.25">
      <c r="A1114" s="6">
        <v>46404</v>
      </c>
      <c r="B1114" s="6" t="s">
        <v>833</v>
      </c>
      <c r="C1114" s="6" t="s">
        <v>540</v>
      </c>
      <c r="D1114" s="6" t="s">
        <v>805</v>
      </c>
      <c r="E1114" s="1" t="s">
        <v>727</v>
      </c>
      <c r="F1114" s="1">
        <f t="shared" si="17"/>
        <v>0</v>
      </c>
      <c r="H1114" s="4"/>
    </row>
    <row r="1115" spans="1:8" x14ac:dyDescent="0.25">
      <c r="A1115" s="6">
        <v>46405</v>
      </c>
      <c r="B1115" s="6" t="s">
        <v>833</v>
      </c>
      <c r="C1115" s="6" t="s">
        <v>540</v>
      </c>
      <c r="D1115" s="6" t="s">
        <v>805</v>
      </c>
      <c r="F1115" s="1">
        <f t="shared" si="17"/>
        <v>8</v>
      </c>
      <c r="H1115" s="4"/>
    </row>
    <row r="1116" spans="1:8" x14ac:dyDescent="0.25">
      <c r="A1116" s="6">
        <v>46406</v>
      </c>
      <c r="B1116" s="6" t="s">
        <v>833</v>
      </c>
      <c r="C1116" s="6" t="s">
        <v>540</v>
      </c>
      <c r="D1116" s="6" t="s">
        <v>805</v>
      </c>
      <c r="F1116" s="1">
        <f t="shared" si="17"/>
        <v>8</v>
      </c>
      <c r="H1116" s="4"/>
    </row>
    <row r="1117" spans="1:8" x14ac:dyDescent="0.25">
      <c r="A1117" s="6">
        <v>46407</v>
      </c>
      <c r="B1117" s="6" t="s">
        <v>833</v>
      </c>
      <c r="C1117" s="6" t="s">
        <v>540</v>
      </c>
      <c r="D1117" s="6" t="s">
        <v>805</v>
      </c>
      <c r="F1117" s="1">
        <f t="shared" si="17"/>
        <v>8</v>
      </c>
      <c r="H1117" s="4"/>
    </row>
    <row r="1118" spans="1:8" x14ac:dyDescent="0.25">
      <c r="A1118" s="6">
        <v>46408</v>
      </c>
      <c r="B1118" s="6" t="s">
        <v>833</v>
      </c>
      <c r="C1118" s="6" t="s">
        <v>540</v>
      </c>
      <c r="D1118" s="6" t="s">
        <v>805</v>
      </c>
      <c r="F1118" s="1">
        <f t="shared" si="17"/>
        <v>8</v>
      </c>
      <c r="H1118" s="4"/>
    </row>
    <row r="1119" spans="1:8" x14ac:dyDescent="0.25">
      <c r="A1119" s="6">
        <v>46409</v>
      </c>
      <c r="B1119" s="6" t="s">
        <v>833</v>
      </c>
      <c r="C1119" s="6" t="s">
        <v>540</v>
      </c>
      <c r="D1119" s="6" t="s">
        <v>805</v>
      </c>
      <c r="F1119" s="1">
        <f t="shared" si="17"/>
        <v>8</v>
      </c>
      <c r="H1119" s="4"/>
    </row>
    <row r="1120" spans="1:8" x14ac:dyDescent="0.25">
      <c r="A1120" s="6">
        <v>46410</v>
      </c>
      <c r="B1120" s="6" t="s">
        <v>834</v>
      </c>
      <c r="C1120" s="6" t="s">
        <v>542</v>
      </c>
      <c r="D1120" s="6" t="s">
        <v>805</v>
      </c>
      <c r="E1120" s="1" t="s">
        <v>727</v>
      </c>
      <c r="F1120" s="1">
        <f t="shared" si="17"/>
        <v>0</v>
      </c>
      <c r="H1120" s="4"/>
    </row>
    <row r="1121" spans="1:8" x14ac:dyDescent="0.25">
      <c r="A1121" s="6">
        <v>46411</v>
      </c>
      <c r="B1121" s="6" t="s">
        <v>834</v>
      </c>
      <c r="C1121" s="6" t="s">
        <v>542</v>
      </c>
      <c r="D1121" s="6" t="s">
        <v>805</v>
      </c>
      <c r="E1121" s="1" t="s">
        <v>727</v>
      </c>
      <c r="F1121" s="1">
        <f t="shared" si="17"/>
        <v>0</v>
      </c>
      <c r="H1121" s="4"/>
    </row>
    <row r="1122" spans="1:8" x14ac:dyDescent="0.25">
      <c r="A1122" s="6">
        <v>46412</v>
      </c>
      <c r="B1122" s="6" t="s">
        <v>834</v>
      </c>
      <c r="C1122" s="6" t="s">
        <v>542</v>
      </c>
      <c r="D1122" s="6" t="s">
        <v>805</v>
      </c>
      <c r="F1122" s="1">
        <f t="shared" si="17"/>
        <v>8</v>
      </c>
      <c r="H1122" s="4"/>
    </row>
    <row r="1123" spans="1:8" x14ac:dyDescent="0.25">
      <c r="A1123" s="6">
        <v>46413</v>
      </c>
      <c r="B1123" s="6" t="s">
        <v>834</v>
      </c>
      <c r="C1123" s="6" t="s">
        <v>542</v>
      </c>
      <c r="D1123" s="6" t="s">
        <v>805</v>
      </c>
      <c r="F1123" s="1">
        <f t="shared" si="17"/>
        <v>8</v>
      </c>
      <c r="H1123" s="4"/>
    </row>
    <row r="1124" spans="1:8" x14ac:dyDescent="0.25">
      <c r="A1124" s="6">
        <v>46414</v>
      </c>
      <c r="B1124" s="6" t="s">
        <v>834</v>
      </c>
      <c r="C1124" s="6" t="s">
        <v>542</v>
      </c>
      <c r="D1124" s="6" t="s">
        <v>805</v>
      </c>
      <c r="F1124" s="1">
        <f t="shared" si="17"/>
        <v>8</v>
      </c>
      <c r="H1124" s="4"/>
    </row>
    <row r="1125" spans="1:8" x14ac:dyDescent="0.25">
      <c r="A1125" s="6">
        <v>46415</v>
      </c>
      <c r="B1125" s="6" t="s">
        <v>834</v>
      </c>
      <c r="C1125" s="6" t="s">
        <v>542</v>
      </c>
      <c r="D1125" s="6" t="s">
        <v>805</v>
      </c>
      <c r="F1125" s="1">
        <f t="shared" si="17"/>
        <v>8</v>
      </c>
      <c r="H1125" s="4"/>
    </row>
    <row r="1126" spans="1:8" x14ac:dyDescent="0.25">
      <c r="A1126" s="6">
        <v>46416</v>
      </c>
      <c r="B1126" s="6" t="s">
        <v>834</v>
      </c>
      <c r="C1126" s="6" t="s">
        <v>542</v>
      </c>
      <c r="D1126" s="6" t="s">
        <v>805</v>
      </c>
      <c r="F1126" s="1">
        <f t="shared" si="17"/>
        <v>8</v>
      </c>
      <c r="H1126" s="4"/>
    </row>
    <row r="1127" spans="1:8" x14ac:dyDescent="0.25">
      <c r="A1127" s="6">
        <v>46417</v>
      </c>
      <c r="B1127" s="6" t="s">
        <v>835</v>
      </c>
      <c r="C1127" s="6" t="s">
        <v>544</v>
      </c>
      <c r="D1127" s="6" t="s">
        <v>805</v>
      </c>
      <c r="E1127" s="1" t="s">
        <v>727</v>
      </c>
      <c r="F1127" s="1">
        <f t="shared" si="17"/>
        <v>0</v>
      </c>
      <c r="H1127" s="4"/>
    </row>
    <row r="1128" spans="1:8" x14ac:dyDescent="0.25">
      <c r="A1128" s="6">
        <v>46418</v>
      </c>
      <c r="B1128" s="6" t="s">
        <v>835</v>
      </c>
      <c r="C1128" s="6" t="s">
        <v>544</v>
      </c>
      <c r="D1128" s="6" t="s">
        <v>805</v>
      </c>
      <c r="E1128" s="1" t="s">
        <v>727</v>
      </c>
      <c r="F1128" s="1">
        <f t="shared" si="17"/>
        <v>0</v>
      </c>
      <c r="H1128" s="4"/>
    </row>
    <row r="1129" spans="1:8" x14ac:dyDescent="0.25">
      <c r="A1129" s="6">
        <v>46419</v>
      </c>
      <c r="B1129" s="6" t="s">
        <v>835</v>
      </c>
      <c r="C1129" s="6" t="s">
        <v>544</v>
      </c>
      <c r="D1129" s="6" t="s">
        <v>805</v>
      </c>
      <c r="F1129" s="1">
        <f t="shared" si="17"/>
        <v>8</v>
      </c>
      <c r="H1129" s="4"/>
    </row>
    <row r="1130" spans="1:8" x14ac:dyDescent="0.25">
      <c r="A1130" s="6">
        <v>46420</v>
      </c>
      <c r="B1130" s="6" t="s">
        <v>835</v>
      </c>
      <c r="C1130" s="6" t="s">
        <v>544</v>
      </c>
      <c r="D1130" s="6" t="s">
        <v>805</v>
      </c>
      <c r="F1130" s="1">
        <f t="shared" si="17"/>
        <v>8</v>
      </c>
      <c r="H1130" s="4"/>
    </row>
    <row r="1131" spans="1:8" x14ac:dyDescent="0.25">
      <c r="A1131" s="6">
        <v>46421</v>
      </c>
      <c r="B1131" s="6" t="s">
        <v>835</v>
      </c>
      <c r="C1131" s="6" t="s">
        <v>544</v>
      </c>
      <c r="D1131" s="6" t="s">
        <v>805</v>
      </c>
      <c r="F1131" s="1">
        <f t="shared" si="17"/>
        <v>8</v>
      </c>
      <c r="H1131" s="4"/>
    </row>
    <row r="1132" spans="1:8" x14ac:dyDescent="0.25">
      <c r="A1132" s="6">
        <v>46422</v>
      </c>
      <c r="B1132" s="6" t="s">
        <v>835</v>
      </c>
      <c r="C1132" s="6" t="s">
        <v>544</v>
      </c>
      <c r="D1132" s="6" t="s">
        <v>805</v>
      </c>
      <c r="F1132" s="1">
        <f t="shared" si="17"/>
        <v>8</v>
      </c>
      <c r="H1132" s="4"/>
    </row>
    <row r="1133" spans="1:8" x14ac:dyDescent="0.25">
      <c r="A1133" s="6">
        <v>46423</v>
      </c>
      <c r="B1133" s="6" t="s">
        <v>835</v>
      </c>
      <c r="C1133" s="6" t="s">
        <v>544</v>
      </c>
      <c r="D1133" s="6" t="s">
        <v>805</v>
      </c>
      <c r="F1133" s="1">
        <f t="shared" si="17"/>
        <v>8</v>
      </c>
      <c r="H1133" s="4"/>
    </row>
    <row r="1134" spans="1:8" x14ac:dyDescent="0.25">
      <c r="A1134" s="6">
        <v>46424</v>
      </c>
      <c r="B1134" s="6" t="s">
        <v>836</v>
      </c>
      <c r="C1134" s="6" t="s">
        <v>628</v>
      </c>
      <c r="D1134" s="6" t="s">
        <v>805</v>
      </c>
      <c r="E1134" s="1" t="s">
        <v>727</v>
      </c>
      <c r="F1134" s="1">
        <f t="shared" si="17"/>
        <v>0</v>
      </c>
      <c r="H1134" s="4"/>
    </row>
    <row r="1135" spans="1:8" x14ac:dyDescent="0.25">
      <c r="A1135" s="6">
        <v>46425</v>
      </c>
      <c r="B1135" s="6" t="s">
        <v>836</v>
      </c>
      <c r="C1135" s="6" t="s">
        <v>628</v>
      </c>
      <c r="D1135" s="6" t="s">
        <v>805</v>
      </c>
      <c r="E1135" s="1" t="s">
        <v>727</v>
      </c>
      <c r="F1135" s="1">
        <f t="shared" si="17"/>
        <v>0</v>
      </c>
      <c r="H1135" s="4"/>
    </row>
    <row r="1136" spans="1:8" x14ac:dyDescent="0.25">
      <c r="A1136" s="6">
        <v>46426</v>
      </c>
      <c r="B1136" s="6" t="s">
        <v>836</v>
      </c>
      <c r="C1136" s="6" t="s">
        <v>628</v>
      </c>
      <c r="D1136" s="6" t="s">
        <v>805</v>
      </c>
      <c r="F1136" s="1">
        <f t="shared" si="17"/>
        <v>8</v>
      </c>
      <c r="H1136" s="4"/>
    </row>
    <row r="1137" spans="1:8" x14ac:dyDescent="0.25">
      <c r="A1137" s="6">
        <v>46427</v>
      </c>
      <c r="B1137" s="6" t="s">
        <v>836</v>
      </c>
      <c r="C1137" s="6" t="s">
        <v>628</v>
      </c>
      <c r="D1137" s="6" t="s">
        <v>805</v>
      </c>
      <c r="F1137" s="1">
        <f t="shared" si="17"/>
        <v>8</v>
      </c>
      <c r="H1137" s="4"/>
    </row>
    <row r="1138" spans="1:8" x14ac:dyDescent="0.25">
      <c r="A1138" s="6">
        <v>46428</v>
      </c>
      <c r="B1138" s="6" t="s">
        <v>836</v>
      </c>
      <c r="C1138" s="6" t="s">
        <v>628</v>
      </c>
      <c r="D1138" s="6" t="s">
        <v>805</v>
      </c>
      <c r="F1138" s="1">
        <f t="shared" si="17"/>
        <v>8</v>
      </c>
      <c r="H1138" s="4"/>
    </row>
    <row r="1139" spans="1:8" x14ac:dyDescent="0.25">
      <c r="A1139" s="6">
        <v>46429</v>
      </c>
      <c r="B1139" s="6" t="s">
        <v>836</v>
      </c>
      <c r="C1139" s="6" t="s">
        <v>628</v>
      </c>
      <c r="D1139" s="6" t="s">
        <v>805</v>
      </c>
      <c r="F1139" s="1">
        <f t="shared" si="17"/>
        <v>8</v>
      </c>
      <c r="H1139" s="4"/>
    </row>
    <row r="1140" spans="1:8" x14ac:dyDescent="0.25">
      <c r="A1140" s="6">
        <v>46430</v>
      </c>
      <c r="B1140" s="6" t="s">
        <v>836</v>
      </c>
      <c r="C1140" s="6" t="s">
        <v>628</v>
      </c>
      <c r="D1140" s="6" t="s">
        <v>805</v>
      </c>
      <c r="F1140" s="1">
        <f t="shared" si="17"/>
        <v>8</v>
      </c>
      <c r="H1140" s="4"/>
    </row>
    <row r="1141" spans="1:8" x14ac:dyDescent="0.25">
      <c r="A1141" s="6">
        <v>46431</v>
      </c>
      <c r="B1141" s="6" t="s">
        <v>837</v>
      </c>
      <c r="C1141" s="6" t="s">
        <v>631</v>
      </c>
      <c r="D1141" s="6" t="s">
        <v>805</v>
      </c>
      <c r="E1141" s="1" t="s">
        <v>727</v>
      </c>
      <c r="F1141" s="1">
        <f t="shared" si="17"/>
        <v>0</v>
      </c>
      <c r="H1141" s="4"/>
    </row>
    <row r="1142" spans="1:8" x14ac:dyDescent="0.25">
      <c r="A1142" s="6">
        <v>46432</v>
      </c>
      <c r="B1142" s="6" t="s">
        <v>837</v>
      </c>
      <c r="C1142" s="6" t="s">
        <v>631</v>
      </c>
      <c r="D1142" s="6" t="s">
        <v>805</v>
      </c>
      <c r="E1142" s="1" t="s">
        <v>727</v>
      </c>
      <c r="F1142" s="1">
        <f t="shared" si="17"/>
        <v>0</v>
      </c>
      <c r="H1142" s="4"/>
    </row>
    <row r="1143" spans="1:8" x14ac:dyDescent="0.25">
      <c r="A1143" s="6">
        <v>46433</v>
      </c>
      <c r="B1143" s="6" t="s">
        <v>837</v>
      </c>
      <c r="C1143" s="6" t="s">
        <v>631</v>
      </c>
      <c r="D1143" s="6" t="s">
        <v>805</v>
      </c>
      <c r="F1143" s="1">
        <f t="shared" si="17"/>
        <v>8</v>
      </c>
      <c r="H1143" s="4"/>
    </row>
    <row r="1144" spans="1:8" x14ac:dyDescent="0.25">
      <c r="A1144" s="6">
        <v>46434</v>
      </c>
      <c r="B1144" s="6" t="s">
        <v>837</v>
      </c>
      <c r="C1144" s="6" t="s">
        <v>631</v>
      </c>
      <c r="D1144" s="6" t="s">
        <v>805</v>
      </c>
      <c r="F1144" s="1">
        <f t="shared" si="17"/>
        <v>8</v>
      </c>
      <c r="H1144" s="4"/>
    </row>
    <row r="1145" spans="1:8" x14ac:dyDescent="0.25">
      <c r="A1145" s="6">
        <v>46435</v>
      </c>
      <c r="B1145" s="6" t="s">
        <v>837</v>
      </c>
      <c r="C1145" s="6" t="s">
        <v>631</v>
      </c>
      <c r="D1145" s="6" t="s">
        <v>805</v>
      </c>
      <c r="F1145" s="1">
        <f t="shared" si="17"/>
        <v>8</v>
      </c>
      <c r="H1145" s="4"/>
    </row>
    <row r="1146" spans="1:8" x14ac:dyDescent="0.25">
      <c r="A1146" s="6">
        <v>46436</v>
      </c>
      <c r="B1146" s="6" t="s">
        <v>837</v>
      </c>
      <c r="C1146" s="6" t="s">
        <v>631</v>
      </c>
      <c r="D1146" s="6" t="s">
        <v>805</v>
      </c>
      <c r="F1146" s="1">
        <f t="shared" si="17"/>
        <v>8</v>
      </c>
      <c r="H1146" s="4"/>
    </row>
    <row r="1147" spans="1:8" x14ac:dyDescent="0.25">
      <c r="A1147" s="6">
        <v>46437</v>
      </c>
      <c r="B1147" s="6" t="s">
        <v>837</v>
      </c>
      <c r="C1147" s="6" t="s">
        <v>631</v>
      </c>
      <c r="D1147" s="6" t="s">
        <v>805</v>
      </c>
      <c r="F1147" s="1">
        <f t="shared" si="17"/>
        <v>8</v>
      </c>
      <c r="H1147" s="4"/>
    </row>
    <row r="1148" spans="1:8" x14ac:dyDescent="0.25">
      <c r="A1148" s="6">
        <v>46438</v>
      </c>
      <c r="B1148" s="6" t="s">
        <v>838</v>
      </c>
      <c r="C1148" s="6" t="s">
        <v>634</v>
      </c>
      <c r="D1148" s="6" t="s">
        <v>805</v>
      </c>
      <c r="E1148" s="1" t="s">
        <v>727</v>
      </c>
      <c r="F1148" s="1">
        <f t="shared" si="17"/>
        <v>0</v>
      </c>
      <c r="H1148" s="4"/>
    </row>
    <row r="1149" spans="1:8" x14ac:dyDescent="0.25">
      <c r="A1149" s="6">
        <v>46439</v>
      </c>
      <c r="B1149" s="6" t="s">
        <v>838</v>
      </c>
      <c r="C1149" s="6" t="s">
        <v>634</v>
      </c>
      <c r="D1149" s="6" t="s">
        <v>805</v>
      </c>
      <c r="E1149" s="1" t="s">
        <v>727</v>
      </c>
      <c r="F1149" s="1">
        <f t="shared" si="17"/>
        <v>0</v>
      </c>
      <c r="H1149" s="4"/>
    </row>
    <row r="1150" spans="1:8" x14ac:dyDescent="0.25">
      <c r="A1150" s="6">
        <v>46440</v>
      </c>
      <c r="B1150" s="6" t="s">
        <v>838</v>
      </c>
      <c r="C1150" s="6" t="s">
        <v>634</v>
      </c>
      <c r="D1150" s="6" t="s">
        <v>805</v>
      </c>
      <c r="F1150" s="1">
        <f t="shared" si="17"/>
        <v>8</v>
      </c>
      <c r="H1150" s="4"/>
    </row>
    <row r="1151" spans="1:8" x14ac:dyDescent="0.25">
      <c r="A1151" s="6">
        <v>46441</v>
      </c>
      <c r="B1151" s="6" t="s">
        <v>838</v>
      </c>
      <c r="C1151" s="6" t="s">
        <v>634</v>
      </c>
      <c r="D1151" s="6" t="s">
        <v>805</v>
      </c>
      <c r="F1151" s="1">
        <f t="shared" si="17"/>
        <v>8</v>
      </c>
      <c r="H1151" s="4"/>
    </row>
    <row r="1152" spans="1:8" x14ac:dyDescent="0.25">
      <c r="A1152" s="6">
        <v>46442</v>
      </c>
      <c r="B1152" s="6" t="s">
        <v>838</v>
      </c>
      <c r="C1152" s="6" t="s">
        <v>634</v>
      </c>
      <c r="D1152" s="6" t="s">
        <v>805</v>
      </c>
      <c r="F1152" s="1">
        <f t="shared" si="17"/>
        <v>8</v>
      </c>
      <c r="H1152" s="4"/>
    </row>
    <row r="1153" spans="1:8" x14ac:dyDescent="0.25">
      <c r="A1153" s="6">
        <v>46443</v>
      </c>
      <c r="B1153" s="6" t="s">
        <v>838</v>
      </c>
      <c r="C1153" s="6" t="s">
        <v>634</v>
      </c>
      <c r="D1153" s="6" t="s">
        <v>805</v>
      </c>
      <c r="F1153" s="1">
        <f t="shared" si="17"/>
        <v>8</v>
      </c>
      <c r="H1153" s="4"/>
    </row>
    <row r="1154" spans="1:8" x14ac:dyDescent="0.25">
      <c r="A1154" s="6">
        <v>46444</v>
      </c>
      <c r="B1154" s="6" t="s">
        <v>838</v>
      </c>
      <c r="C1154" s="6" t="s">
        <v>634</v>
      </c>
      <c r="D1154" s="6" t="s">
        <v>805</v>
      </c>
      <c r="F1154" s="1">
        <f t="shared" ref="F1154:F1217" si="18">IF(OR(E1154="",E1154="调休"),8,0)</f>
        <v>8</v>
      </c>
      <c r="H1154" s="4"/>
    </row>
    <row r="1155" spans="1:8" x14ac:dyDescent="0.25">
      <c r="A1155" s="6">
        <v>46445</v>
      </c>
      <c r="B1155" s="6" t="s">
        <v>839</v>
      </c>
      <c r="C1155" s="6" t="s">
        <v>636</v>
      </c>
      <c r="D1155" s="6" t="s">
        <v>805</v>
      </c>
      <c r="E1155" s="1" t="s">
        <v>727</v>
      </c>
      <c r="F1155" s="1">
        <f t="shared" si="18"/>
        <v>0</v>
      </c>
      <c r="H1155" s="4"/>
    </row>
    <row r="1156" spans="1:8" x14ac:dyDescent="0.25">
      <c r="A1156" s="6">
        <v>46446</v>
      </c>
      <c r="B1156" s="6" t="s">
        <v>839</v>
      </c>
      <c r="C1156" s="6" t="s">
        <v>636</v>
      </c>
      <c r="D1156" s="6" t="s">
        <v>805</v>
      </c>
      <c r="E1156" s="1" t="s">
        <v>727</v>
      </c>
      <c r="F1156" s="1">
        <f t="shared" si="18"/>
        <v>0</v>
      </c>
      <c r="H1156" s="4"/>
    </row>
    <row r="1157" spans="1:8" x14ac:dyDescent="0.25">
      <c r="A1157" s="6">
        <v>46447</v>
      </c>
      <c r="B1157" s="6" t="s">
        <v>839</v>
      </c>
      <c r="C1157" s="6" t="s">
        <v>636</v>
      </c>
      <c r="D1157" s="6" t="s">
        <v>805</v>
      </c>
      <c r="F1157" s="1">
        <f t="shared" si="18"/>
        <v>8</v>
      </c>
      <c r="H1157" s="4"/>
    </row>
    <row r="1158" spans="1:8" x14ac:dyDescent="0.25">
      <c r="A1158" s="6">
        <v>46448</v>
      </c>
      <c r="B1158" s="6" t="s">
        <v>839</v>
      </c>
      <c r="C1158" s="6" t="s">
        <v>636</v>
      </c>
      <c r="D1158" s="6" t="s">
        <v>805</v>
      </c>
      <c r="F1158" s="1">
        <f t="shared" si="18"/>
        <v>8</v>
      </c>
      <c r="H1158" s="4"/>
    </row>
    <row r="1159" spans="1:8" x14ac:dyDescent="0.25">
      <c r="A1159" s="6">
        <v>46449</v>
      </c>
      <c r="B1159" s="6" t="s">
        <v>839</v>
      </c>
      <c r="C1159" s="6" t="s">
        <v>636</v>
      </c>
      <c r="D1159" s="6" t="s">
        <v>805</v>
      </c>
      <c r="F1159" s="1">
        <f t="shared" si="18"/>
        <v>8</v>
      </c>
      <c r="H1159" s="4"/>
    </row>
    <row r="1160" spans="1:8" x14ac:dyDescent="0.25">
      <c r="A1160" s="6">
        <v>46450</v>
      </c>
      <c r="B1160" s="6" t="s">
        <v>839</v>
      </c>
      <c r="C1160" s="6" t="s">
        <v>636</v>
      </c>
      <c r="D1160" s="6" t="s">
        <v>805</v>
      </c>
      <c r="F1160" s="1">
        <f t="shared" si="18"/>
        <v>8</v>
      </c>
      <c r="H1160" s="4"/>
    </row>
    <row r="1161" spans="1:8" x14ac:dyDescent="0.25">
      <c r="A1161" s="6">
        <v>46451</v>
      </c>
      <c r="B1161" s="6" t="s">
        <v>839</v>
      </c>
      <c r="C1161" s="6" t="s">
        <v>636</v>
      </c>
      <c r="D1161" s="6" t="s">
        <v>805</v>
      </c>
      <c r="F1161" s="1">
        <f t="shared" si="18"/>
        <v>8</v>
      </c>
      <c r="H1161" s="4"/>
    </row>
    <row r="1162" spans="1:8" x14ac:dyDescent="0.25">
      <c r="A1162" s="6">
        <v>46452</v>
      </c>
      <c r="B1162" s="6" t="s">
        <v>840</v>
      </c>
      <c r="C1162" s="6" t="s">
        <v>546</v>
      </c>
      <c r="D1162" s="6" t="s">
        <v>805</v>
      </c>
      <c r="E1162" s="1" t="s">
        <v>727</v>
      </c>
      <c r="F1162" s="1">
        <f t="shared" si="18"/>
        <v>0</v>
      </c>
      <c r="H1162" s="4"/>
    </row>
    <row r="1163" spans="1:8" x14ac:dyDescent="0.25">
      <c r="A1163" s="6">
        <v>46453</v>
      </c>
      <c r="B1163" s="6" t="s">
        <v>840</v>
      </c>
      <c r="C1163" s="6" t="s">
        <v>546</v>
      </c>
      <c r="D1163" s="6" t="s">
        <v>805</v>
      </c>
      <c r="E1163" s="1" t="s">
        <v>727</v>
      </c>
      <c r="F1163" s="1">
        <f t="shared" si="18"/>
        <v>0</v>
      </c>
      <c r="H1163" s="4"/>
    </row>
    <row r="1164" spans="1:8" x14ac:dyDescent="0.25">
      <c r="A1164" s="6">
        <v>46454</v>
      </c>
      <c r="B1164" s="6" t="s">
        <v>840</v>
      </c>
      <c r="C1164" s="6" t="s">
        <v>546</v>
      </c>
      <c r="D1164" s="6" t="s">
        <v>805</v>
      </c>
      <c r="F1164" s="1">
        <f t="shared" si="18"/>
        <v>8</v>
      </c>
      <c r="H1164" s="4"/>
    </row>
    <row r="1165" spans="1:8" x14ac:dyDescent="0.25">
      <c r="A1165" s="6">
        <v>46455</v>
      </c>
      <c r="B1165" s="6" t="s">
        <v>840</v>
      </c>
      <c r="C1165" s="6" t="s">
        <v>546</v>
      </c>
      <c r="D1165" s="6" t="s">
        <v>805</v>
      </c>
      <c r="F1165" s="1">
        <f t="shared" si="18"/>
        <v>8</v>
      </c>
      <c r="H1165" s="4"/>
    </row>
    <row r="1166" spans="1:8" x14ac:dyDescent="0.25">
      <c r="A1166" s="6">
        <v>46456</v>
      </c>
      <c r="B1166" s="6" t="s">
        <v>840</v>
      </c>
      <c r="C1166" s="6" t="s">
        <v>546</v>
      </c>
      <c r="D1166" s="6" t="s">
        <v>805</v>
      </c>
      <c r="F1166" s="1">
        <f t="shared" si="18"/>
        <v>8</v>
      </c>
      <c r="H1166" s="4"/>
    </row>
    <row r="1167" spans="1:8" x14ac:dyDescent="0.25">
      <c r="A1167" s="6">
        <v>46457</v>
      </c>
      <c r="B1167" s="6" t="s">
        <v>840</v>
      </c>
      <c r="C1167" s="6" t="s">
        <v>546</v>
      </c>
      <c r="D1167" s="6" t="s">
        <v>805</v>
      </c>
      <c r="F1167" s="1">
        <f t="shared" si="18"/>
        <v>8</v>
      </c>
      <c r="H1167" s="4"/>
    </row>
    <row r="1168" spans="1:8" x14ac:dyDescent="0.25">
      <c r="A1168" s="6">
        <v>46458</v>
      </c>
      <c r="B1168" s="6" t="s">
        <v>840</v>
      </c>
      <c r="C1168" s="6" t="s">
        <v>546</v>
      </c>
      <c r="D1168" s="6" t="s">
        <v>805</v>
      </c>
      <c r="F1168" s="1">
        <f t="shared" si="18"/>
        <v>8</v>
      </c>
      <c r="H1168" s="4"/>
    </row>
    <row r="1169" spans="1:8" x14ac:dyDescent="0.25">
      <c r="A1169" s="6">
        <v>46459</v>
      </c>
      <c r="B1169" s="6" t="s">
        <v>841</v>
      </c>
      <c r="C1169" s="6" t="s">
        <v>548</v>
      </c>
      <c r="D1169" s="6" t="s">
        <v>805</v>
      </c>
      <c r="E1169" s="1" t="s">
        <v>727</v>
      </c>
      <c r="F1169" s="1">
        <f t="shared" si="18"/>
        <v>0</v>
      </c>
      <c r="H1169" s="4"/>
    </row>
    <row r="1170" spans="1:8" x14ac:dyDescent="0.25">
      <c r="A1170" s="6">
        <v>46460</v>
      </c>
      <c r="B1170" s="6" t="s">
        <v>841</v>
      </c>
      <c r="C1170" s="6" t="s">
        <v>548</v>
      </c>
      <c r="D1170" s="6" t="s">
        <v>805</v>
      </c>
      <c r="E1170" s="1" t="s">
        <v>727</v>
      </c>
      <c r="F1170" s="1">
        <f t="shared" si="18"/>
        <v>0</v>
      </c>
      <c r="H1170" s="4"/>
    </row>
    <row r="1171" spans="1:8" x14ac:dyDescent="0.25">
      <c r="A1171" s="6">
        <v>46461</v>
      </c>
      <c r="B1171" s="6" t="s">
        <v>841</v>
      </c>
      <c r="C1171" s="6" t="s">
        <v>548</v>
      </c>
      <c r="D1171" s="6" t="s">
        <v>805</v>
      </c>
      <c r="F1171" s="1">
        <f t="shared" si="18"/>
        <v>8</v>
      </c>
      <c r="H1171" s="4"/>
    </row>
    <row r="1172" spans="1:8" x14ac:dyDescent="0.25">
      <c r="A1172" s="6">
        <v>46462</v>
      </c>
      <c r="B1172" s="6" t="s">
        <v>841</v>
      </c>
      <c r="C1172" s="6" t="s">
        <v>548</v>
      </c>
      <c r="D1172" s="6" t="s">
        <v>805</v>
      </c>
      <c r="F1172" s="1">
        <f t="shared" si="18"/>
        <v>8</v>
      </c>
      <c r="H1172" s="4"/>
    </row>
    <row r="1173" spans="1:8" x14ac:dyDescent="0.25">
      <c r="A1173" s="6">
        <v>46463</v>
      </c>
      <c r="B1173" s="6" t="s">
        <v>841</v>
      </c>
      <c r="C1173" s="6" t="s">
        <v>548</v>
      </c>
      <c r="D1173" s="6" t="s">
        <v>805</v>
      </c>
      <c r="F1173" s="1">
        <f t="shared" si="18"/>
        <v>8</v>
      </c>
      <c r="H1173" s="4"/>
    </row>
    <row r="1174" spans="1:8" x14ac:dyDescent="0.25">
      <c r="A1174" s="6">
        <v>46464</v>
      </c>
      <c r="B1174" s="6" t="s">
        <v>841</v>
      </c>
      <c r="C1174" s="6" t="s">
        <v>548</v>
      </c>
      <c r="D1174" s="6" t="s">
        <v>805</v>
      </c>
      <c r="F1174" s="1">
        <f t="shared" si="18"/>
        <v>8</v>
      </c>
      <c r="H1174" s="4"/>
    </row>
    <row r="1175" spans="1:8" x14ac:dyDescent="0.25">
      <c r="A1175" s="6">
        <v>46465</v>
      </c>
      <c r="B1175" s="6" t="s">
        <v>841</v>
      </c>
      <c r="C1175" s="6" t="s">
        <v>548</v>
      </c>
      <c r="D1175" s="6" t="s">
        <v>805</v>
      </c>
      <c r="F1175" s="1">
        <f t="shared" si="18"/>
        <v>8</v>
      </c>
      <c r="H1175" s="4"/>
    </row>
    <row r="1176" spans="1:8" x14ac:dyDescent="0.25">
      <c r="A1176" s="6">
        <v>46466</v>
      </c>
      <c r="B1176" s="6" t="s">
        <v>842</v>
      </c>
      <c r="C1176" s="6" t="s">
        <v>640</v>
      </c>
      <c r="D1176" s="6" t="s">
        <v>805</v>
      </c>
      <c r="E1176" s="1" t="s">
        <v>727</v>
      </c>
      <c r="F1176" s="1">
        <f t="shared" si="18"/>
        <v>0</v>
      </c>
      <c r="H1176" s="4"/>
    </row>
    <row r="1177" spans="1:8" x14ac:dyDescent="0.25">
      <c r="A1177" s="6">
        <v>46467</v>
      </c>
      <c r="B1177" s="6" t="s">
        <v>842</v>
      </c>
      <c r="C1177" s="6" t="s">
        <v>640</v>
      </c>
      <c r="D1177" s="6" t="s">
        <v>805</v>
      </c>
      <c r="E1177" s="1" t="s">
        <v>727</v>
      </c>
      <c r="F1177" s="1">
        <f t="shared" si="18"/>
        <v>0</v>
      </c>
      <c r="H1177" s="4"/>
    </row>
    <row r="1178" spans="1:8" x14ac:dyDescent="0.25">
      <c r="A1178" s="6">
        <v>46468</v>
      </c>
      <c r="B1178" s="6" t="s">
        <v>842</v>
      </c>
      <c r="C1178" s="6" t="s">
        <v>640</v>
      </c>
      <c r="D1178" s="6" t="s">
        <v>805</v>
      </c>
      <c r="F1178" s="1">
        <f t="shared" si="18"/>
        <v>8</v>
      </c>
      <c r="H1178" s="4"/>
    </row>
    <row r="1179" spans="1:8" x14ac:dyDescent="0.25">
      <c r="A1179" s="6">
        <v>46469</v>
      </c>
      <c r="B1179" s="6" t="s">
        <v>842</v>
      </c>
      <c r="C1179" s="6" t="s">
        <v>640</v>
      </c>
      <c r="D1179" s="6" t="s">
        <v>805</v>
      </c>
      <c r="F1179" s="1">
        <f t="shared" si="18"/>
        <v>8</v>
      </c>
      <c r="H1179" s="4"/>
    </row>
    <row r="1180" spans="1:8" x14ac:dyDescent="0.25">
      <c r="A1180" s="6">
        <v>46470</v>
      </c>
      <c r="B1180" s="6" t="s">
        <v>842</v>
      </c>
      <c r="C1180" s="6" t="s">
        <v>640</v>
      </c>
      <c r="D1180" s="6" t="s">
        <v>805</v>
      </c>
      <c r="F1180" s="1">
        <f t="shared" si="18"/>
        <v>8</v>
      </c>
      <c r="H1180" s="4"/>
    </row>
    <row r="1181" spans="1:8" x14ac:dyDescent="0.25">
      <c r="A1181" s="6">
        <v>46471</v>
      </c>
      <c r="B1181" s="6" t="s">
        <v>842</v>
      </c>
      <c r="C1181" s="6" t="s">
        <v>640</v>
      </c>
      <c r="D1181" s="6" t="s">
        <v>805</v>
      </c>
      <c r="F1181" s="1">
        <f t="shared" si="18"/>
        <v>8</v>
      </c>
      <c r="H1181" s="4"/>
    </row>
    <row r="1182" spans="1:8" x14ac:dyDescent="0.25">
      <c r="A1182" s="6">
        <v>46472</v>
      </c>
      <c r="B1182" s="6" t="s">
        <v>842</v>
      </c>
      <c r="C1182" s="6" t="s">
        <v>640</v>
      </c>
      <c r="D1182" s="6" t="s">
        <v>805</v>
      </c>
      <c r="F1182" s="1">
        <f t="shared" si="18"/>
        <v>8</v>
      </c>
      <c r="H1182" s="4"/>
    </row>
    <row r="1183" spans="1:8" x14ac:dyDescent="0.25">
      <c r="A1183" s="6">
        <v>46473</v>
      </c>
      <c r="B1183" s="6" t="s">
        <v>843</v>
      </c>
      <c r="C1183" s="6" t="s">
        <v>642</v>
      </c>
      <c r="D1183" s="6" t="s">
        <v>805</v>
      </c>
      <c r="E1183" s="1" t="s">
        <v>727</v>
      </c>
      <c r="F1183" s="1">
        <f t="shared" si="18"/>
        <v>0</v>
      </c>
      <c r="H1183" s="4"/>
    </row>
    <row r="1184" spans="1:8" x14ac:dyDescent="0.25">
      <c r="A1184" s="6">
        <v>46474</v>
      </c>
      <c r="B1184" s="6" t="s">
        <v>843</v>
      </c>
      <c r="C1184" s="6" t="s">
        <v>642</v>
      </c>
      <c r="D1184" s="6" t="s">
        <v>805</v>
      </c>
      <c r="E1184" s="1" t="s">
        <v>727</v>
      </c>
      <c r="F1184" s="1">
        <f t="shared" si="18"/>
        <v>0</v>
      </c>
      <c r="H1184" s="4"/>
    </row>
    <row r="1185" spans="1:8" x14ac:dyDescent="0.25">
      <c r="A1185" s="6">
        <v>46475</v>
      </c>
      <c r="B1185" s="6" t="s">
        <v>843</v>
      </c>
      <c r="C1185" s="6" t="s">
        <v>642</v>
      </c>
      <c r="D1185" s="6" t="s">
        <v>805</v>
      </c>
      <c r="F1185" s="1">
        <f t="shared" si="18"/>
        <v>8</v>
      </c>
      <c r="H1185" s="4"/>
    </row>
    <row r="1186" spans="1:8" x14ac:dyDescent="0.25">
      <c r="A1186" s="6">
        <v>46476</v>
      </c>
      <c r="B1186" s="6" t="s">
        <v>843</v>
      </c>
      <c r="C1186" s="6" t="s">
        <v>642</v>
      </c>
      <c r="D1186" s="6" t="s">
        <v>805</v>
      </c>
      <c r="F1186" s="1">
        <f t="shared" si="18"/>
        <v>8</v>
      </c>
      <c r="H1186" s="4"/>
    </row>
    <row r="1187" spans="1:8" x14ac:dyDescent="0.25">
      <c r="A1187" s="6">
        <v>46477</v>
      </c>
      <c r="B1187" s="6" t="s">
        <v>843</v>
      </c>
      <c r="C1187" s="6" t="s">
        <v>642</v>
      </c>
      <c r="D1187" s="6" t="s">
        <v>805</v>
      </c>
      <c r="F1187" s="1">
        <f t="shared" si="18"/>
        <v>8</v>
      </c>
      <c r="H1187" s="4"/>
    </row>
    <row r="1188" spans="1:8" x14ac:dyDescent="0.25">
      <c r="A1188" s="6">
        <v>46478</v>
      </c>
      <c r="B1188" s="6" t="s">
        <v>843</v>
      </c>
      <c r="C1188" s="6" t="s">
        <v>642</v>
      </c>
      <c r="D1188" s="6" t="s">
        <v>805</v>
      </c>
      <c r="F1188" s="1">
        <f t="shared" si="18"/>
        <v>8</v>
      </c>
      <c r="H1188" s="4"/>
    </row>
    <row r="1189" spans="1:8" x14ac:dyDescent="0.25">
      <c r="A1189" s="6">
        <v>46479</v>
      </c>
      <c r="B1189" s="6" t="s">
        <v>843</v>
      </c>
      <c r="C1189" s="6" t="s">
        <v>642</v>
      </c>
      <c r="D1189" s="6" t="s">
        <v>805</v>
      </c>
      <c r="F1189" s="1">
        <f t="shared" si="18"/>
        <v>8</v>
      </c>
      <c r="H1189" s="4"/>
    </row>
    <row r="1190" spans="1:8" x14ac:dyDescent="0.25">
      <c r="A1190" s="6">
        <v>46480</v>
      </c>
      <c r="B1190" s="6" t="s">
        <v>844</v>
      </c>
      <c r="C1190" s="6" t="s">
        <v>644</v>
      </c>
      <c r="D1190" s="6" t="s">
        <v>805</v>
      </c>
      <c r="E1190" s="1" t="s">
        <v>727</v>
      </c>
      <c r="F1190" s="1">
        <f t="shared" si="18"/>
        <v>0</v>
      </c>
      <c r="H1190" s="4"/>
    </row>
    <row r="1191" spans="1:8" x14ac:dyDescent="0.25">
      <c r="A1191" s="6">
        <v>46481</v>
      </c>
      <c r="B1191" s="6" t="s">
        <v>844</v>
      </c>
      <c r="C1191" s="6" t="s">
        <v>644</v>
      </c>
      <c r="D1191" s="6" t="s">
        <v>805</v>
      </c>
      <c r="E1191" s="1" t="s">
        <v>727</v>
      </c>
      <c r="F1191" s="1">
        <f t="shared" si="18"/>
        <v>0</v>
      </c>
      <c r="H1191" s="4"/>
    </row>
    <row r="1192" spans="1:8" x14ac:dyDescent="0.25">
      <c r="A1192" s="6">
        <v>46482</v>
      </c>
      <c r="B1192" s="6" t="s">
        <v>844</v>
      </c>
      <c r="C1192" s="6" t="s">
        <v>644</v>
      </c>
      <c r="D1192" s="6" t="s">
        <v>805</v>
      </c>
      <c r="F1192" s="1">
        <f t="shared" si="18"/>
        <v>8</v>
      </c>
      <c r="H1192" s="4"/>
    </row>
    <row r="1193" spans="1:8" x14ac:dyDescent="0.25">
      <c r="A1193" s="6">
        <v>46483</v>
      </c>
      <c r="B1193" s="6" t="s">
        <v>844</v>
      </c>
      <c r="C1193" s="6" t="s">
        <v>644</v>
      </c>
      <c r="D1193" s="6" t="s">
        <v>805</v>
      </c>
      <c r="F1193" s="1">
        <f t="shared" si="18"/>
        <v>8</v>
      </c>
      <c r="H1193" s="4"/>
    </row>
    <row r="1194" spans="1:8" x14ac:dyDescent="0.25">
      <c r="A1194" s="6">
        <v>46484</v>
      </c>
      <c r="B1194" s="6" t="s">
        <v>844</v>
      </c>
      <c r="C1194" s="6" t="s">
        <v>644</v>
      </c>
      <c r="D1194" s="6" t="s">
        <v>805</v>
      </c>
      <c r="F1194" s="1">
        <f t="shared" si="18"/>
        <v>8</v>
      </c>
      <c r="H1194" s="4"/>
    </row>
    <row r="1195" spans="1:8" x14ac:dyDescent="0.25">
      <c r="A1195" s="6">
        <v>46485</v>
      </c>
      <c r="B1195" s="6" t="s">
        <v>844</v>
      </c>
      <c r="C1195" s="6" t="s">
        <v>644</v>
      </c>
      <c r="D1195" s="6" t="s">
        <v>805</v>
      </c>
      <c r="F1195" s="1">
        <f t="shared" si="18"/>
        <v>8</v>
      </c>
      <c r="H1195" s="4"/>
    </row>
    <row r="1196" spans="1:8" x14ac:dyDescent="0.25">
      <c r="A1196" s="6">
        <v>46486</v>
      </c>
      <c r="B1196" s="6" t="s">
        <v>844</v>
      </c>
      <c r="C1196" s="6" t="s">
        <v>644</v>
      </c>
      <c r="D1196" s="6" t="s">
        <v>805</v>
      </c>
      <c r="F1196" s="1">
        <f t="shared" si="18"/>
        <v>8</v>
      </c>
      <c r="H1196" s="4"/>
    </row>
    <row r="1197" spans="1:8" x14ac:dyDescent="0.25">
      <c r="A1197" s="6">
        <v>46487</v>
      </c>
      <c r="B1197" s="6" t="s">
        <v>845</v>
      </c>
      <c r="C1197" s="6" t="s">
        <v>647</v>
      </c>
      <c r="D1197" s="6" t="s">
        <v>805</v>
      </c>
      <c r="E1197" s="1" t="s">
        <v>727</v>
      </c>
      <c r="F1197" s="1">
        <f t="shared" si="18"/>
        <v>0</v>
      </c>
      <c r="H1197" s="4"/>
    </row>
    <row r="1198" spans="1:8" x14ac:dyDescent="0.25">
      <c r="A1198" s="6">
        <v>46488</v>
      </c>
      <c r="B1198" s="6" t="s">
        <v>845</v>
      </c>
      <c r="C1198" s="6" t="s">
        <v>647</v>
      </c>
      <c r="D1198" s="6" t="s">
        <v>805</v>
      </c>
      <c r="E1198" s="1" t="s">
        <v>727</v>
      </c>
      <c r="F1198" s="1">
        <f t="shared" si="18"/>
        <v>0</v>
      </c>
      <c r="H1198" s="4"/>
    </row>
    <row r="1199" spans="1:8" x14ac:dyDescent="0.25">
      <c r="A1199" s="6">
        <v>46489</v>
      </c>
      <c r="B1199" s="6" t="s">
        <v>845</v>
      </c>
      <c r="C1199" s="6" t="s">
        <v>647</v>
      </c>
      <c r="D1199" s="6" t="s">
        <v>805</v>
      </c>
      <c r="F1199" s="1">
        <f t="shared" si="18"/>
        <v>8</v>
      </c>
      <c r="H1199" s="4"/>
    </row>
    <row r="1200" spans="1:8" x14ac:dyDescent="0.25">
      <c r="A1200" s="6">
        <v>46490</v>
      </c>
      <c r="B1200" s="6" t="s">
        <v>845</v>
      </c>
      <c r="C1200" s="6" t="s">
        <v>647</v>
      </c>
      <c r="D1200" s="6" t="s">
        <v>805</v>
      </c>
      <c r="F1200" s="1">
        <f t="shared" si="18"/>
        <v>8</v>
      </c>
      <c r="H1200" s="4"/>
    </row>
    <row r="1201" spans="1:8" x14ac:dyDescent="0.25">
      <c r="A1201" s="6">
        <v>46491</v>
      </c>
      <c r="B1201" s="6" t="s">
        <v>845</v>
      </c>
      <c r="C1201" s="6" t="s">
        <v>647</v>
      </c>
      <c r="D1201" s="6" t="s">
        <v>805</v>
      </c>
      <c r="F1201" s="1">
        <f t="shared" si="18"/>
        <v>8</v>
      </c>
      <c r="H1201" s="4"/>
    </row>
    <row r="1202" spans="1:8" x14ac:dyDescent="0.25">
      <c r="A1202" s="6">
        <v>46492</v>
      </c>
      <c r="B1202" s="6" t="s">
        <v>845</v>
      </c>
      <c r="C1202" s="6" t="s">
        <v>647</v>
      </c>
      <c r="D1202" s="6" t="s">
        <v>805</v>
      </c>
      <c r="F1202" s="1">
        <f t="shared" si="18"/>
        <v>8</v>
      </c>
      <c r="H1202" s="4"/>
    </row>
    <row r="1203" spans="1:8" x14ac:dyDescent="0.25">
      <c r="A1203" s="6">
        <v>46493</v>
      </c>
      <c r="B1203" s="6" t="s">
        <v>845</v>
      </c>
      <c r="C1203" s="6" t="s">
        <v>647</v>
      </c>
      <c r="D1203" s="6" t="s">
        <v>805</v>
      </c>
      <c r="F1203" s="1">
        <f t="shared" si="18"/>
        <v>8</v>
      </c>
      <c r="H1203" s="4"/>
    </row>
    <row r="1204" spans="1:8" x14ac:dyDescent="0.25">
      <c r="A1204" s="6">
        <v>46494</v>
      </c>
      <c r="B1204" s="6" t="s">
        <v>846</v>
      </c>
      <c r="C1204" s="6" t="s">
        <v>649</v>
      </c>
      <c r="D1204" s="6" t="s">
        <v>805</v>
      </c>
      <c r="E1204" s="1" t="s">
        <v>727</v>
      </c>
      <c r="F1204" s="1">
        <f t="shared" si="18"/>
        <v>0</v>
      </c>
      <c r="H1204" s="4"/>
    </row>
    <row r="1205" spans="1:8" x14ac:dyDescent="0.25">
      <c r="A1205" s="6">
        <v>46495</v>
      </c>
      <c r="B1205" s="6" t="s">
        <v>846</v>
      </c>
      <c r="C1205" s="6" t="s">
        <v>649</v>
      </c>
      <c r="D1205" s="6" t="s">
        <v>805</v>
      </c>
      <c r="E1205" s="1" t="s">
        <v>727</v>
      </c>
      <c r="F1205" s="1">
        <f t="shared" si="18"/>
        <v>0</v>
      </c>
      <c r="H1205" s="4"/>
    </row>
    <row r="1206" spans="1:8" x14ac:dyDescent="0.25">
      <c r="A1206" s="6">
        <v>46496</v>
      </c>
      <c r="B1206" s="6" t="s">
        <v>846</v>
      </c>
      <c r="C1206" s="6" t="s">
        <v>649</v>
      </c>
      <c r="D1206" s="6" t="s">
        <v>805</v>
      </c>
      <c r="F1206" s="1">
        <f t="shared" si="18"/>
        <v>8</v>
      </c>
      <c r="H1206" s="4"/>
    </row>
    <row r="1207" spans="1:8" x14ac:dyDescent="0.25">
      <c r="A1207" s="6">
        <v>46497</v>
      </c>
      <c r="B1207" s="6" t="s">
        <v>846</v>
      </c>
      <c r="C1207" s="6" t="s">
        <v>649</v>
      </c>
      <c r="D1207" s="6" t="s">
        <v>805</v>
      </c>
      <c r="F1207" s="1">
        <f t="shared" si="18"/>
        <v>8</v>
      </c>
      <c r="H1207" s="4"/>
    </row>
    <row r="1208" spans="1:8" x14ac:dyDescent="0.25">
      <c r="A1208" s="6">
        <v>46498</v>
      </c>
      <c r="B1208" s="6" t="s">
        <v>846</v>
      </c>
      <c r="C1208" s="6" t="s">
        <v>649</v>
      </c>
      <c r="D1208" s="6" t="s">
        <v>805</v>
      </c>
      <c r="F1208" s="1">
        <f t="shared" si="18"/>
        <v>8</v>
      </c>
      <c r="H1208" s="4"/>
    </row>
    <row r="1209" spans="1:8" x14ac:dyDescent="0.25">
      <c r="A1209" s="6">
        <v>46499</v>
      </c>
      <c r="B1209" s="6" t="s">
        <v>846</v>
      </c>
      <c r="C1209" s="6" t="s">
        <v>649</v>
      </c>
      <c r="D1209" s="6" t="s">
        <v>805</v>
      </c>
      <c r="F1209" s="1">
        <f t="shared" si="18"/>
        <v>8</v>
      </c>
      <c r="H1209" s="4"/>
    </row>
    <row r="1210" spans="1:8" x14ac:dyDescent="0.25">
      <c r="A1210" s="6">
        <v>46500</v>
      </c>
      <c r="B1210" s="6" t="s">
        <v>846</v>
      </c>
      <c r="C1210" s="6" t="s">
        <v>649</v>
      </c>
      <c r="D1210" s="6" t="s">
        <v>805</v>
      </c>
      <c r="F1210" s="1">
        <f t="shared" si="18"/>
        <v>8</v>
      </c>
      <c r="H1210" s="4"/>
    </row>
    <row r="1211" spans="1:8" x14ac:dyDescent="0.25">
      <c r="A1211" s="6">
        <v>46501</v>
      </c>
      <c r="B1211" s="6" t="s">
        <v>847</v>
      </c>
      <c r="C1211" s="6" t="s">
        <v>651</v>
      </c>
      <c r="D1211" s="6" t="s">
        <v>805</v>
      </c>
      <c r="E1211" s="1" t="s">
        <v>727</v>
      </c>
      <c r="F1211" s="1">
        <f t="shared" si="18"/>
        <v>0</v>
      </c>
      <c r="H1211" s="4"/>
    </row>
    <row r="1212" spans="1:8" x14ac:dyDescent="0.25">
      <c r="A1212" s="6">
        <v>46502</v>
      </c>
      <c r="B1212" s="6" t="s">
        <v>847</v>
      </c>
      <c r="C1212" s="6" t="s">
        <v>651</v>
      </c>
      <c r="D1212" s="6" t="s">
        <v>805</v>
      </c>
      <c r="E1212" s="1" t="s">
        <v>727</v>
      </c>
      <c r="F1212" s="1">
        <f t="shared" si="18"/>
        <v>0</v>
      </c>
      <c r="H1212" s="4"/>
    </row>
    <row r="1213" spans="1:8" x14ac:dyDescent="0.25">
      <c r="A1213" s="6">
        <v>46503</v>
      </c>
      <c r="B1213" s="6" t="s">
        <v>847</v>
      </c>
      <c r="C1213" s="6" t="s">
        <v>651</v>
      </c>
      <c r="D1213" s="6" t="s">
        <v>805</v>
      </c>
      <c r="F1213" s="1">
        <f t="shared" si="18"/>
        <v>8</v>
      </c>
      <c r="H1213" s="4"/>
    </row>
    <row r="1214" spans="1:8" x14ac:dyDescent="0.25">
      <c r="A1214" s="6">
        <v>46504</v>
      </c>
      <c r="B1214" s="6" t="s">
        <v>847</v>
      </c>
      <c r="C1214" s="6" t="s">
        <v>651</v>
      </c>
      <c r="D1214" s="6" t="s">
        <v>805</v>
      </c>
      <c r="F1214" s="1">
        <f t="shared" si="18"/>
        <v>8</v>
      </c>
      <c r="H1214" s="4"/>
    </row>
    <row r="1215" spans="1:8" x14ac:dyDescent="0.25">
      <c r="A1215" s="6">
        <v>46505</v>
      </c>
      <c r="B1215" s="6" t="s">
        <v>847</v>
      </c>
      <c r="C1215" s="6" t="s">
        <v>651</v>
      </c>
      <c r="D1215" s="6" t="s">
        <v>805</v>
      </c>
      <c r="F1215" s="1">
        <f t="shared" si="18"/>
        <v>8</v>
      </c>
      <c r="H1215" s="4"/>
    </row>
    <row r="1216" spans="1:8" x14ac:dyDescent="0.25">
      <c r="A1216" s="6">
        <v>46506</v>
      </c>
      <c r="B1216" s="6" t="s">
        <v>847</v>
      </c>
      <c r="C1216" s="6" t="s">
        <v>651</v>
      </c>
      <c r="D1216" s="6" t="s">
        <v>805</v>
      </c>
      <c r="F1216" s="1">
        <f t="shared" si="18"/>
        <v>8</v>
      </c>
      <c r="H1216" s="4"/>
    </row>
    <row r="1217" spans="1:8" x14ac:dyDescent="0.25">
      <c r="A1217" s="6">
        <v>46507</v>
      </c>
      <c r="B1217" s="6" t="s">
        <v>847</v>
      </c>
      <c r="C1217" s="6" t="s">
        <v>651</v>
      </c>
      <c r="D1217" s="6" t="s">
        <v>805</v>
      </c>
      <c r="F1217" s="1">
        <f t="shared" si="18"/>
        <v>8</v>
      </c>
      <c r="H1217" s="4"/>
    </row>
    <row r="1218" spans="1:8" x14ac:dyDescent="0.25">
      <c r="A1218" s="6">
        <v>46508</v>
      </c>
      <c r="B1218" s="6" t="s">
        <v>848</v>
      </c>
      <c r="C1218" s="6" t="s">
        <v>653</v>
      </c>
      <c r="D1218" s="6" t="s">
        <v>805</v>
      </c>
      <c r="E1218" s="1" t="s">
        <v>727</v>
      </c>
      <c r="F1218" s="1">
        <f t="shared" ref="F1218:F1281" si="19">IF(OR(E1218="",E1218="调休"),8,0)</f>
        <v>0</v>
      </c>
      <c r="H1218" s="4"/>
    </row>
    <row r="1219" spans="1:8" x14ac:dyDescent="0.25">
      <c r="A1219" s="6">
        <v>46509</v>
      </c>
      <c r="B1219" s="6" t="s">
        <v>848</v>
      </c>
      <c r="C1219" s="6" t="s">
        <v>653</v>
      </c>
      <c r="D1219" s="6" t="s">
        <v>805</v>
      </c>
      <c r="E1219" s="1" t="s">
        <v>727</v>
      </c>
      <c r="F1219" s="1">
        <f t="shared" si="19"/>
        <v>0</v>
      </c>
      <c r="H1219" s="4"/>
    </row>
    <row r="1220" spans="1:8" x14ac:dyDescent="0.25">
      <c r="A1220" s="6">
        <v>46510</v>
      </c>
      <c r="B1220" s="6" t="s">
        <v>848</v>
      </c>
      <c r="C1220" s="6" t="s">
        <v>653</v>
      </c>
      <c r="D1220" s="6" t="s">
        <v>805</v>
      </c>
      <c r="F1220" s="1">
        <f t="shared" si="19"/>
        <v>8</v>
      </c>
      <c r="H1220" s="4"/>
    </row>
    <row r="1221" spans="1:8" x14ac:dyDescent="0.25">
      <c r="A1221" s="6">
        <v>46511</v>
      </c>
      <c r="B1221" s="6" t="s">
        <v>848</v>
      </c>
      <c r="C1221" s="6" t="s">
        <v>653</v>
      </c>
      <c r="D1221" s="6" t="s">
        <v>805</v>
      </c>
      <c r="F1221" s="1">
        <f t="shared" si="19"/>
        <v>8</v>
      </c>
      <c r="H1221" s="4"/>
    </row>
    <row r="1222" spans="1:8" x14ac:dyDescent="0.25">
      <c r="A1222" s="6">
        <v>46512</v>
      </c>
      <c r="B1222" s="6" t="s">
        <v>848</v>
      </c>
      <c r="C1222" s="6" t="s">
        <v>653</v>
      </c>
      <c r="D1222" s="6" t="s">
        <v>805</v>
      </c>
      <c r="F1222" s="1">
        <f t="shared" si="19"/>
        <v>8</v>
      </c>
      <c r="H1222" s="4"/>
    </row>
    <row r="1223" spans="1:8" x14ac:dyDescent="0.25">
      <c r="A1223" s="6">
        <v>46513</v>
      </c>
      <c r="B1223" s="6" t="s">
        <v>848</v>
      </c>
      <c r="C1223" s="6" t="s">
        <v>653</v>
      </c>
      <c r="D1223" s="6" t="s">
        <v>805</v>
      </c>
      <c r="F1223" s="1">
        <f t="shared" si="19"/>
        <v>8</v>
      </c>
      <c r="H1223" s="4"/>
    </row>
    <row r="1224" spans="1:8" x14ac:dyDescent="0.25">
      <c r="A1224" s="6">
        <v>46514</v>
      </c>
      <c r="B1224" s="6" t="s">
        <v>848</v>
      </c>
      <c r="C1224" s="6" t="s">
        <v>653</v>
      </c>
      <c r="D1224" s="6" t="s">
        <v>805</v>
      </c>
      <c r="F1224" s="1">
        <f t="shared" si="19"/>
        <v>8</v>
      </c>
      <c r="H1224" s="4"/>
    </row>
    <row r="1225" spans="1:8" x14ac:dyDescent="0.25">
      <c r="A1225" s="6">
        <v>46515</v>
      </c>
      <c r="B1225" s="6" t="s">
        <v>849</v>
      </c>
      <c r="C1225" s="6" t="s">
        <v>656</v>
      </c>
      <c r="D1225" s="6" t="s">
        <v>805</v>
      </c>
      <c r="E1225" s="1" t="s">
        <v>727</v>
      </c>
      <c r="F1225" s="1">
        <f t="shared" si="19"/>
        <v>0</v>
      </c>
      <c r="H1225" s="4"/>
    </row>
    <row r="1226" spans="1:8" x14ac:dyDescent="0.25">
      <c r="A1226" s="6">
        <v>46516</v>
      </c>
      <c r="B1226" s="6" t="s">
        <v>849</v>
      </c>
      <c r="C1226" s="6" t="s">
        <v>656</v>
      </c>
      <c r="D1226" s="6" t="s">
        <v>805</v>
      </c>
      <c r="E1226" s="1" t="s">
        <v>727</v>
      </c>
      <c r="F1226" s="1">
        <f t="shared" si="19"/>
        <v>0</v>
      </c>
      <c r="H1226" s="4"/>
    </row>
    <row r="1227" spans="1:8" x14ac:dyDescent="0.25">
      <c r="A1227" s="6">
        <v>46517</v>
      </c>
      <c r="B1227" s="6" t="s">
        <v>849</v>
      </c>
      <c r="C1227" s="6" t="s">
        <v>656</v>
      </c>
      <c r="D1227" s="6" t="s">
        <v>805</v>
      </c>
      <c r="F1227" s="1">
        <f t="shared" si="19"/>
        <v>8</v>
      </c>
      <c r="H1227" s="4"/>
    </row>
    <row r="1228" spans="1:8" x14ac:dyDescent="0.25">
      <c r="A1228" s="6">
        <v>46518</v>
      </c>
      <c r="B1228" s="6" t="s">
        <v>849</v>
      </c>
      <c r="C1228" s="6" t="s">
        <v>656</v>
      </c>
      <c r="D1228" s="6" t="s">
        <v>805</v>
      </c>
      <c r="F1228" s="1">
        <f t="shared" si="19"/>
        <v>8</v>
      </c>
      <c r="H1228" s="4"/>
    </row>
    <row r="1229" spans="1:8" x14ac:dyDescent="0.25">
      <c r="A1229" s="6">
        <v>46519</v>
      </c>
      <c r="B1229" s="6" t="s">
        <v>849</v>
      </c>
      <c r="C1229" s="6" t="s">
        <v>656</v>
      </c>
      <c r="D1229" s="6" t="s">
        <v>805</v>
      </c>
      <c r="F1229" s="1">
        <f t="shared" si="19"/>
        <v>8</v>
      </c>
      <c r="H1229" s="4"/>
    </row>
    <row r="1230" spans="1:8" x14ac:dyDescent="0.25">
      <c r="A1230" s="6">
        <v>46520</v>
      </c>
      <c r="B1230" s="6" t="s">
        <v>849</v>
      </c>
      <c r="C1230" s="6" t="s">
        <v>656</v>
      </c>
      <c r="D1230" s="6" t="s">
        <v>805</v>
      </c>
      <c r="F1230" s="1">
        <f t="shared" si="19"/>
        <v>8</v>
      </c>
      <c r="H1230" s="4"/>
    </row>
    <row r="1231" spans="1:8" x14ac:dyDescent="0.25">
      <c r="A1231" s="6">
        <v>46521</v>
      </c>
      <c r="B1231" s="6" t="s">
        <v>849</v>
      </c>
      <c r="C1231" s="6" t="s">
        <v>656</v>
      </c>
      <c r="D1231" s="6" t="s">
        <v>805</v>
      </c>
      <c r="F1231" s="1">
        <f t="shared" si="19"/>
        <v>8</v>
      </c>
      <c r="H1231" s="4"/>
    </row>
    <row r="1232" spans="1:8" x14ac:dyDescent="0.25">
      <c r="A1232" s="6">
        <v>46522</v>
      </c>
      <c r="B1232" s="6" t="s">
        <v>850</v>
      </c>
      <c r="C1232" s="6" t="s">
        <v>658</v>
      </c>
      <c r="D1232" s="6" t="s">
        <v>805</v>
      </c>
      <c r="E1232" s="1" t="s">
        <v>727</v>
      </c>
      <c r="F1232" s="1">
        <f t="shared" si="19"/>
        <v>0</v>
      </c>
      <c r="H1232" s="4"/>
    </row>
    <row r="1233" spans="1:8" x14ac:dyDescent="0.25">
      <c r="A1233" s="6">
        <v>46523</v>
      </c>
      <c r="B1233" s="6" t="s">
        <v>850</v>
      </c>
      <c r="C1233" s="6" t="s">
        <v>658</v>
      </c>
      <c r="D1233" s="6" t="s">
        <v>805</v>
      </c>
      <c r="E1233" s="1" t="s">
        <v>727</v>
      </c>
      <c r="F1233" s="1">
        <f t="shared" si="19"/>
        <v>0</v>
      </c>
      <c r="H1233" s="4"/>
    </row>
    <row r="1234" spans="1:8" x14ac:dyDescent="0.25">
      <c r="A1234" s="6">
        <v>46524</v>
      </c>
      <c r="B1234" s="6" t="s">
        <v>850</v>
      </c>
      <c r="C1234" s="6" t="s">
        <v>658</v>
      </c>
      <c r="D1234" s="6" t="s">
        <v>805</v>
      </c>
      <c r="F1234" s="1">
        <f t="shared" si="19"/>
        <v>8</v>
      </c>
      <c r="H1234" s="4"/>
    </row>
    <row r="1235" spans="1:8" x14ac:dyDescent="0.25">
      <c r="A1235" s="6">
        <v>46525</v>
      </c>
      <c r="B1235" s="6" t="s">
        <v>850</v>
      </c>
      <c r="C1235" s="6" t="s">
        <v>658</v>
      </c>
      <c r="D1235" s="6" t="s">
        <v>805</v>
      </c>
      <c r="F1235" s="1">
        <f t="shared" si="19"/>
        <v>8</v>
      </c>
      <c r="H1235" s="4"/>
    </row>
    <row r="1236" spans="1:8" x14ac:dyDescent="0.25">
      <c r="A1236" s="6">
        <v>46526</v>
      </c>
      <c r="B1236" s="6" t="s">
        <v>850</v>
      </c>
      <c r="C1236" s="6" t="s">
        <v>658</v>
      </c>
      <c r="D1236" s="6" t="s">
        <v>805</v>
      </c>
      <c r="F1236" s="1">
        <f t="shared" si="19"/>
        <v>8</v>
      </c>
      <c r="H1236" s="4"/>
    </row>
    <row r="1237" spans="1:8" x14ac:dyDescent="0.25">
      <c r="A1237" s="6">
        <v>46527</v>
      </c>
      <c r="B1237" s="6" t="s">
        <v>850</v>
      </c>
      <c r="C1237" s="6" t="s">
        <v>658</v>
      </c>
      <c r="D1237" s="6" t="s">
        <v>805</v>
      </c>
      <c r="F1237" s="1">
        <f t="shared" si="19"/>
        <v>8</v>
      </c>
      <c r="H1237" s="4"/>
    </row>
    <row r="1238" spans="1:8" x14ac:dyDescent="0.25">
      <c r="A1238" s="6">
        <v>46528</v>
      </c>
      <c r="B1238" s="6" t="s">
        <v>850</v>
      </c>
      <c r="C1238" s="6" t="s">
        <v>658</v>
      </c>
      <c r="D1238" s="6" t="s">
        <v>805</v>
      </c>
      <c r="F1238" s="1">
        <f t="shared" si="19"/>
        <v>8</v>
      </c>
      <c r="H1238" s="4"/>
    </row>
    <row r="1239" spans="1:8" x14ac:dyDescent="0.25">
      <c r="A1239" s="6">
        <v>46529</v>
      </c>
      <c r="B1239" s="6" t="s">
        <v>851</v>
      </c>
      <c r="C1239" s="6" t="s">
        <v>660</v>
      </c>
      <c r="D1239" s="6" t="s">
        <v>805</v>
      </c>
      <c r="E1239" s="1" t="s">
        <v>727</v>
      </c>
      <c r="F1239" s="1">
        <f t="shared" si="19"/>
        <v>0</v>
      </c>
      <c r="H1239" s="4"/>
    </row>
    <row r="1240" spans="1:8" x14ac:dyDescent="0.25">
      <c r="A1240" s="6">
        <v>46530</v>
      </c>
      <c r="B1240" s="6" t="s">
        <v>851</v>
      </c>
      <c r="C1240" s="6" t="s">
        <v>660</v>
      </c>
      <c r="D1240" s="6" t="s">
        <v>805</v>
      </c>
      <c r="E1240" s="1" t="s">
        <v>727</v>
      </c>
      <c r="F1240" s="1">
        <f t="shared" si="19"/>
        <v>0</v>
      </c>
      <c r="H1240" s="4"/>
    </row>
    <row r="1241" spans="1:8" x14ac:dyDescent="0.25">
      <c r="A1241" s="6">
        <v>46531</v>
      </c>
      <c r="B1241" s="6" t="s">
        <v>851</v>
      </c>
      <c r="C1241" s="6" t="s">
        <v>660</v>
      </c>
      <c r="D1241" s="6" t="s">
        <v>805</v>
      </c>
      <c r="F1241" s="1">
        <f t="shared" si="19"/>
        <v>8</v>
      </c>
      <c r="H1241" s="4"/>
    </row>
    <row r="1242" spans="1:8" x14ac:dyDescent="0.25">
      <c r="A1242" s="6">
        <v>46532</v>
      </c>
      <c r="B1242" s="6" t="s">
        <v>851</v>
      </c>
      <c r="C1242" s="6" t="s">
        <v>660</v>
      </c>
      <c r="D1242" s="6" t="s">
        <v>805</v>
      </c>
      <c r="F1242" s="1">
        <f t="shared" si="19"/>
        <v>8</v>
      </c>
      <c r="H1242" s="4"/>
    </row>
    <row r="1243" spans="1:8" x14ac:dyDescent="0.25">
      <c r="A1243" s="6">
        <v>46533</v>
      </c>
      <c r="B1243" s="6" t="s">
        <v>851</v>
      </c>
      <c r="C1243" s="6" t="s">
        <v>660</v>
      </c>
      <c r="D1243" s="6" t="s">
        <v>805</v>
      </c>
      <c r="F1243" s="1">
        <f t="shared" si="19"/>
        <v>8</v>
      </c>
      <c r="H1243" s="4"/>
    </row>
    <row r="1244" spans="1:8" x14ac:dyDescent="0.25">
      <c r="A1244" s="6">
        <v>46534</v>
      </c>
      <c r="B1244" s="6" t="s">
        <v>851</v>
      </c>
      <c r="C1244" s="6" t="s">
        <v>660</v>
      </c>
      <c r="D1244" s="6" t="s">
        <v>805</v>
      </c>
      <c r="F1244" s="1">
        <f t="shared" si="19"/>
        <v>8</v>
      </c>
      <c r="H1244" s="4"/>
    </row>
    <row r="1245" spans="1:8" x14ac:dyDescent="0.25">
      <c r="A1245" s="6">
        <v>46535</v>
      </c>
      <c r="B1245" s="6" t="s">
        <v>851</v>
      </c>
      <c r="C1245" s="6" t="s">
        <v>660</v>
      </c>
      <c r="D1245" s="6" t="s">
        <v>805</v>
      </c>
      <c r="F1245" s="1">
        <f t="shared" si="19"/>
        <v>8</v>
      </c>
      <c r="H1245" s="4"/>
    </row>
    <row r="1246" spans="1:8" x14ac:dyDescent="0.25">
      <c r="A1246" s="6">
        <v>46536</v>
      </c>
      <c r="B1246" s="6" t="s">
        <v>852</v>
      </c>
      <c r="C1246" s="6" t="s">
        <v>662</v>
      </c>
      <c r="D1246" s="6" t="s">
        <v>805</v>
      </c>
      <c r="E1246" s="1" t="s">
        <v>727</v>
      </c>
      <c r="F1246" s="1">
        <f t="shared" si="19"/>
        <v>0</v>
      </c>
      <c r="H1246" s="4"/>
    </row>
    <row r="1247" spans="1:8" x14ac:dyDescent="0.25">
      <c r="A1247" s="6">
        <v>46537</v>
      </c>
      <c r="B1247" s="6" t="s">
        <v>852</v>
      </c>
      <c r="C1247" s="6" t="s">
        <v>662</v>
      </c>
      <c r="D1247" s="6" t="s">
        <v>805</v>
      </c>
      <c r="E1247" s="1" t="s">
        <v>727</v>
      </c>
      <c r="F1247" s="1">
        <f t="shared" si="19"/>
        <v>0</v>
      </c>
      <c r="H1247" s="4"/>
    </row>
    <row r="1248" spans="1:8" x14ac:dyDescent="0.25">
      <c r="A1248" s="6">
        <v>46538</v>
      </c>
      <c r="B1248" s="6" t="s">
        <v>852</v>
      </c>
      <c r="C1248" s="6" t="s">
        <v>662</v>
      </c>
      <c r="D1248" s="6" t="s">
        <v>805</v>
      </c>
      <c r="F1248" s="1">
        <f t="shared" si="19"/>
        <v>8</v>
      </c>
      <c r="H1248" s="4"/>
    </row>
    <row r="1249" spans="1:8" x14ac:dyDescent="0.25">
      <c r="A1249" s="6">
        <v>46539</v>
      </c>
      <c r="B1249" s="6" t="s">
        <v>852</v>
      </c>
      <c r="C1249" s="6" t="s">
        <v>662</v>
      </c>
      <c r="D1249" s="6" t="s">
        <v>805</v>
      </c>
      <c r="F1249" s="1">
        <f t="shared" si="19"/>
        <v>8</v>
      </c>
      <c r="H1249" s="4"/>
    </row>
    <row r="1250" spans="1:8" x14ac:dyDescent="0.25">
      <c r="A1250" s="6">
        <v>46540</v>
      </c>
      <c r="B1250" s="6" t="s">
        <v>852</v>
      </c>
      <c r="C1250" s="6" t="s">
        <v>662</v>
      </c>
      <c r="D1250" s="6" t="s">
        <v>805</v>
      </c>
      <c r="F1250" s="1">
        <f t="shared" si="19"/>
        <v>8</v>
      </c>
      <c r="H1250" s="4"/>
    </row>
    <row r="1251" spans="1:8" x14ac:dyDescent="0.25">
      <c r="A1251" s="6">
        <v>46541</v>
      </c>
      <c r="B1251" s="6" t="s">
        <v>852</v>
      </c>
      <c r="C1251" s="6" t="s">
        <v>662</v>
      </c>
      <c r="D1251" s="6" t="s">
        <v>805</v>
      </c>
      <c r="F1251" s="1">
        <f t="shared" si="19"/>
        <v>8</v>
      </c>
      <c r="H1251" s="4"/>
    </row>
    <row r="1252" spans="1:8" x14ac:dyDescent="0.25">
      <c r="A1252" s="6">
        <v>46542</v>
      </c>
      <c r="B1252" s="6" t="s">
        <v>852</v>
      </c>
      <c r="C1252" s="6" t="s">
        <v>662</v>
      </c>
      <c r="D1252" s="6" t="s">
        <v>805</v>
      </c>
      <c r="F1252" s="1">
        <f t="shared" si="19"/>
        <v>8</v>
      </c>
      <c r="H1252" s="4"/>
    </row>
    <row r="1253" spans="1:8" x14ac:dyDescent="0.25">
      <c r="A1253" s="6">
        <v>46543</v>
      </c>
      <c r="B1253" s="6" t="s">
        <v>853</v>
      </c>
      <c r="C1253" s="6" t="s">
        <v>664</v>
      </c>
      <c r="D1253" s="6" t="s">
        <v>805</v>
      </c>
      <c r="E1253" s="1" t="s">
        <v>727</v>
      </c>
      <c r="F1253" s="1">
        <f t="shared" si="19"/>
        <v>0</v>
      </c>
      <c r="H1253" s="4"/>
    </row>
    <row r="1254" spans="1:8" x14ac:dyDescent="0.25">
      <c r="A1254" s="6">
        <v>46544</v>
      </c>
      <c r="B1254" s="6" t="s">
        <v>853</v>
      </c>
      <c r="C1254" s="6" t="s">
        <v>664</v>
      </c>
      <c r="D1254" s="6" t="s">
        <v>805</v>
      </c>
      <c r="E1254" s="1" t="s">
        <v>727</v>
      </c>
      <c r="F1254" s="1">
        <f t="shared" si="19"/>
        <v>0</v>
      </c>
      <c r="H1254" s="4"/>
    </row>
    <row r="1255" spans="1:8" x14ac:dyDescent="0.25">
      <c r="A1255" s="6">
        <v>46545</v>
      </c>
      <c r="B1255" s="6" t="s">
        <v>853</v>
      </c>
      <c r="C1255" s="6" t="s">
        <v>664</v>
      </c>
      <c r="D1255" s="6" t="s">
        <v>805</v>
      </c>
      <c r="F1255" s="1">
        <f t="shared" si="19"/>
        <v>8</v>
      </c>
      <c r="H1255" s="4"/>
    </row>
    <row r="1256" spans="1:8" x14ac:dyDescent="0.25">
      <c r="A1256" s="6">
        <v>46546</v>
      </c>
      <c r="B1256" s="6" t="s">
        <v>853</v>
      </c>
      <c r="C1256" s="6" t="s">
        <v>664</v>
      </c>
      <c r="D1256" s="6" t="s">
        <v>805</v>
      </c>
      <c r="F1256" s="1">
        <f t="shared" si="19"/>
        <v>8</v>
      </c>
      <c r="H1256" s="4"/>
    </row>
    <row r="1257" spans="1:8" x14ac:dyDescent="0.25">
      <c r="A1257" s="6">
        <v>46547</v>
      </c>
      <c r="B1257" s="6" t="s">
        <v>853</v>
      </c>
      <c r="C1257" s="6" t="s">
        <v>664</v>
      </c>
      <c r="D1257" s="6" t="s">
        <v>805</v>
      </c>
      <c r="F1257" s="1">
        <f t="shared" si="19"/>
        <v>8</v>
      </c>
      <c r="H1257" s="4"/>
    </row>
    <row r="1258" spans="1:8" x14ac:dyDescent="0.25">
      <c r="A1258" s="6">
        <v>46548</v>
      </c>
      <c r="B1258" s="6" t="s">
        <v>853</v>
      </c>
      <c r="C1258" s="6" t="s">
        <v>664</v>
      </c>
      <c r="D1258" s="6" t="s">
        <v>805</v>
      </c>
      <c r="F1258" s="1">
        <f t="shared" si="19"/>
        <v>8</v>
      </c>
      <c r="H1258" s="4"/>
    </row>
    <row r="1259" spans="1:8" x14ac:dyDescent="0.25">
      <c r="A1259" s="6">
        <v>46549</v>
      </c>
      <c r="B1259" s="6" t="s">
        <v>853</v>
      </c>
      <c r="C1259" s="6" t="s">
        <v>664</v>
      </c>
      <c r="D1259" s="6" t="s">
        <v>805</v>
      </c>
      <c r="F1259" s="1">
        <f t="shared" si="19"/>
        <v>8</v>
      </c>
      <c r="H1259" s="4"/>
    </row>
    <row r="1260" spans="1:8" x14ac:dyDescent="0.25">
      <c r="A1260" s="6">
        <v>46550</v>
      </c>
      <c r="B1260" s="6" t="s">
        <v>854</v>
      </c>
      <c r="C1260" s="6" t="s">
        <v>666</v>
      </c>
      <c r="D1260" s="6" t="s">
        <v>805</v>
      </c>
      <c r="E1260" s="1" t="s">
        <v>727</v>
      </c>
      <c r="F1260" s="1">
        <f t="shared" si="19"/>
        <v>0</v>
      </c>
      <c r="H1260" s="4"/>
    </row>
    <row r="1261" spans="1:8" x14ac:dyDescent="0.25">
      <c r="A1261" s="6">
        <v>46551</v>
      </c>
      <c r="B1261" s="6" t="s">
        <v>854</v>
      </c>
      <c r="C1261" s="6" t="s">
        <v>666</v>
      </c>
      <c r="D1261" s="6" t="s">
        <v>805</v>
      </c>
      <c r="E1261" s="1" t="s">
        <v>727</v>
      </c>
      <c r="F1261" s="1">
        <f t="shared" si="19"/>
        <v>0</v>
      </c>
      <c r="H1261" s="4"/>
    </row>
    <row r="1262" spans="1:8" x14ac:dyDescent="0.25">
      <c r="A1262" s="6">
        <v>46552</v>
      </c>
      <c r="B1262" s="6" t="s">
        <v>854</v>
      </c>
      <c r="C1262" s="6" t="s">
        <v>666</v>
      </c>
      <c r="D1262" s="6" t="s">
        <v>805</v>
      </c>
      <c r="F1262" s="1">
        <f t="shared" si="19"/>
        <v>8</v>
      </c>
      <c r="H1262" s="4"/>
    </row>
    <row r="1263" spans="1:8" x14ac:dyDescent="0.25">
      <c r="A1263" s="6">
        <v>46553</v>
      </c>
      <c r="B1263" s="6" t="s">
        <v>854</v>
      </c>
      <c r="C1263" s="6" t="s">
        <v>666</v>
      </c>
      <c r="D1263" s="6" t="s">
        <v>805</v>
      </c>
      <c r="F1263" s="1">
        <f t="shared" si="19"/>
        <v>8</v>
      </c>
      <c r="H1263" s="4"/>
    </row>
    <row r="1264" spans="1:8" x14ac:dyDescent="0.25">
      <c r="A1264" s="6">
        <v>46554</v>
      </c>
      <c r="B1264" s="6" t="s">
        <v>854</v>
      </c>
      <c r="C1264" s="6" t="s">
        <v>666</v>
      </c>
      <c r="D1264" s="6" t="s">
        <v>805</v>
      </c>
      <c r="F1264" s="1">
        <f t="shared" si="19"/>
        <v>8</v>
      </c>
      <c r="H1264" s="4"/>
    </row>
    <row r="1265" spans="1:8" x14ac:dyDescent="0.25">
      <c r="A1265" s="6">
        <v>46555</v>
      </c>
      <c r="B1265" s="6" t="s">
        <v>854</v>
      </c>
      <c r="C1265" s="6" t="s">
        <v>666</v>
      </c>
      <c r="D1265" s="6" t="s">
        <v>805</v>
      </c>
      <c r="F1265" s="1">
        <f t="shared" si="19"/>
        <v>8</v>
      </c>
      <c r="H1265" s="4"/>
    </row>
    <row r="1266" spans="1:8" x14ac:dyDescent="0.25">
      <c r="A1266" s="6">
        <v>46556</v>
      </c>
      <c r="B1266" s="6" t="s">
        <v>854</v>
      </c>
      <c r="C1266" s="6" t="s">
        <v>666</v>
      </c>
      <c r="D1266" s="6" t="s">
        <v>805</v>
      </c>
      <c r="F1266" s="1">
        <f t="shared" si="19"/>
        <v>8</v>
      </c>
      <c r="H1266" s="4"/>
    </row>
    <row r="1267" spans="1:8" x14ac:dyDescent="0.25">
      <c r="A1267" s="6">
        <v>46557</v>
      </c>
      <c r="B1267" s="6" t="s">
        <v>855</v>
      </c>
      <c r="C1267" s="6" t="s">
        <v>669</v>
      </c>
      <c r="D1267" s="6" t="s">
        <v>805</v>
      </c>
      <c r="E1267" s="1" t="s">
        <v>727</v>
      </c>
      <c r="F1267" s="1">
        <f t="shared" si="19"/>
        <v>0</v>
      </c>
      <c r="H1267" s="4"/>
    </row>
    <row r="1268" spans="1:8" x14ac:dyDescent="0.25">
      <c r="A1268" s="6">
        <v>46558</v>
      </c>
      <c r="B1268" s="6" t="s">
        <v>855</v>
      </c>
      <c r="C1268" s="6" t="s">
        <v>669</v>
      </c>
      <c r="D1268" s="6" t="s">
        <v>805</v>
      </c>
      <c r="E1268" s="1" t="s">
        <v>727</v>
      </c>
      <c r="F1268" s="1">
        <f t="shared" si="19"/>
        <v>0</v>
      </c>
      <c r="H1268" s="4"/>
    </row>
    <row r="1269" spans="1:8" x14ac:dyDescent="0.25">
      <c r="A1269" s="6">
        <v>46559</v>
      </c>
      <c r="B1269" s="6" t="s">
        <v>855</v>
      </c>
      <c r="C1269" s="6" t="s">
        <v>669</v>
      </c>
      <c r="D1269" s="6" t="s">
        <v>805</v>
      </c>
      <c r="F1269" s="1">
        <f t="shared" si="19"/>
        <v>8</v>
      </c>
      <c r="H1269" s="4"/>
    </row>
    <row r="1270" spans="1:8" x14ac:dyDescent="0.25">
      <c r="A1270" s="6">
        <v>46560</v>
      </c>
      <c r="B1270" s="6" t="s">
        <v>855</v>
      </c>
      <c r="C1270" s="6" t="s">
        <v>669</v>
      </c>
      <c r="D1270" s="6" t="s">
        <v>805</v>
      </c>
      <c r="F1270" s="1">
        <f t="shared" si="19"/>
        <v>8</v>
      </c>
      <c r="H1270" s="4"/>
    </row>
    <row r="1271" spans="1:8" x14ac:dyDescent="0.25">
      <c r="A1271" s="6">
        <v>46561</v>
      </c>
      <c r="B1271" s="6" t="s">
        <v>855</v>
      </c>
      <c r="C1271" s="6" t="s">
        <v>669</v>
      </c>
      <c r="D1271" s="6" t="s">
        <v>805</v>
      </c>
      <c r="F1271" s="1">
        <f t="shared" si="19"/>
        <v>8</v>
      </c>
      <c r="H1271" s="4"/>
    </row>
    <row r="1272" spans="1:8" x14ac:dyDescent="0.25">
      <c r="A1272" s="6">
        <v>46562</v>
      </c>
      <c r="B1272" s="6" t="s">
        <v>855</v>
      </c>
      <c r="C1272" s="6" t="s">
        <v>669</v>
      </c>
      <c r="D1272" s="6" t="s">
        <v>805</v>
      </c>
      <c r="F1272" s="1">
        <f t="shared" si="19"/>
        <v>8</v>
      </c>
      <c r="H1272" s="4"/>
    </row>
    <row r="1273" spans="1:8" x14ac:dyDescent="0.25">
      <c r="A1273" s="6">
        <v>46563</v>
      </c>
      <c r="B1273" s="6" t="s">
        <v>855</v>
      </c>
      <c r="C1273" s="6" t="s">
        <v>669</v>
      </c>
      <c r="D1273" s="6" t="s">
        <v>805</v>
      </c>
      <c r="F1273" s="1">
        <f t="shared" si="19"/>
        <v>8</v>
      </c>
      <c r="H1273" s="4"/>
    </row>
    <row r="1274" spans="1:8" x14ac:dyDescent="0.25">
      <c r="A1274" s="6">
        <v>46564</v>
      </c>
      <c r="B1274" s="6" t="s">
        <v>856</v>
      </c>
      <c r="C1274" s="6" t="s">
        <v>671</v>
      </c>
      <c r="D1274" s="6" t="s">
        <v>805</v>
      </c>
      <c r="E1274" s="1" t="s">
        <v>727</v>
      </c>
      <c r="F1274" s="1">
        <f t="shared" si="19"/>
        <v>0</v>
      </c>
      <c r="H1274" s="4"/>
    </row>
    <row r="1275" spans="1:8" x14ac:dyDescent="0.25">
      <c r="A1275" s="6">
        <v>46565</v>
      </c>
      <c r="B1275" s="6" t="s">
        <v>856</v>
      </c>
      <c r="C1275" s="6" t="s">
        <v>671</v>
      </c>
      <c r="D1275" s="6" t="s">
        <v>805</v>
      </c>
      <c r="E1275" s="1" t="s">
        <v>727</v>
      </c>
      <c r="F1275" s="1">
        <f t="shared" si="19"/>
        <v>0</v>
      </c>
      <c r="H1275" s="4"/>
    </row>
    <row r="1276" spans="1:8" x14ac:dyDescent="0.25">
      <c r="A1276" s="6">
        <v>46566</v>
      </c>
      <c r="B1276" s="6" t="s">
        <v>856</v>
      </c>
      <c r="C1276" s="6" t="s">
        <v>671</v>
      </c>
      <c r="D1276" s="6" t="s">
        <v>805</v>
      </c>
      <c r="F1276" s="1">
        <f t="shared" si="19"/>
        <v>8</v>
      </c>
      <c r="H1276" s="4"/>
    </row>
    <row r="1277" spans="1:8" x14ac:dyDescent="0.25">
      <c r="A1277" s="6">
        <v>46567</v>
      </c>
      <c r="B1277" s="6" t="s">
        <v>856</v>
      </c>
      <c r="C1277" s="6" t="s">
        <v>671</v>
      </c>
      <c r="D1277" s="6" t="s">
        <v>805</v>
      </c>
      <c r="F1277" s="1">
        <f t="shared" si="19"/>
        <v>8</v>
      </c>
      <c r="H1277" s="4"/>
    </row>
    <row r="1278" spans="1:8" x14ac:dyDescent="0.25">
      <c r="A1278" s="6">
        <v>46568</v>
      </c>
      <c r="B1278" s="6" t="s">
        <v>856</v>
      </c>
      <c r="C1278" s="6" t="s">
        <v>671</v>
      </c>
      <c r="D1278" s="6" t="s">
        <v>805</v>
      </c>
      <c r="F1278" s="1">
        <f t="shared" si="19"/>
        <v>8</v>
      </c>
      <c r="H1278" s="4"/>
    </row>
    <row r="1279" spans="1:8" x14ac:dyDescent="0.25">
      <c r="A1279" s="6">
        <v>46569</v>
      </c>
      <c r="B1279" s="6" t="s">
        <v>856</v>
      </c>
      <c r="C1279" s="6" t="s">
        <v>671</v>
      </c>
      <c r="D1279" s="6" t="s">
        <v>805</v>
      </c>
      <c r="F1279" s="1">
        <f t="shared" si="19"/>
        <v>8</v>
      </c>
      <c r="H1279" s="4"/>
    </row>
    <row r="1280" spans="1:8" x14ac:dyDescent="0.25">
      <c r="A1280" s="6">
        <v>46570</v>
      </c>
      <c r="B1280" s="6" t="s">
        <v>856</v>
      </c>
      <c r="C1280" s="6" t="s">
        <v>671</v>
      </c>
      <c r="D1280" s="6" t="s">
        <v>805</v>
      </c>
      <c r="F1280" s="1">
        <f t="shared" si="19"/>
        <v>8</v>
      </c>
      <c r="H1280" s="4"/>
    </row>
    <row r="1281" spans="1:8" x14ac:dyDescent="0.25">
      <c r="A1281" s="6">
        <v>46571</v>
      </c>
      <c r="B1281" s="6" t="s">
        <v>857</v>
      </c>
      <c r="C1281" s="6" t="s">
        <v>673</v>
      </c>
      <c r="D1281" s="6" t="s">
        <v>858</v>
      </c>
      <c r="E1281" s="1" t="s">
        <v>727</v>
      </c>
      <c r="F1281" s="1">
        <f t="shared" si="19"/>
        <v>0</v>
      </c>
      <c r="H1281" s="4"/>
    </row>
    <row r="1282" spans="1:8" x14ac:dyDescent="0.25">
      <c r="A1282" s="6">
        <v>46572</v>
      </c>
      <c r="B1282" s="6" t="s">
        <v>857</v>
      </c>
      <c r="C1282" s="6" t="s">
        <v>673</v>
      </c>
      <c r="D1282" s="6" t="s">
        <v>858</v>
      </c>
      <c r="E1282" s="1" t="s">
        <v>727</v>
      </c>
      <c r="F1282" s="1">
        <f t="shared" ref="F1282:F1345" si="20">IF(OR(E1282="",E1282="调休"),8,0)</f>
        <v>0</v>
      </c>
      <c r="H1282" s="4"/>
    </row>
    <row r="1283" spans="1:8" x14ac:dyDescent="0.25">
      <c r="A1283" s="6">
        <v>46573</v>
      </c>
      <c r="B1283" s="6" t="s">
        <v>857</v>
      </c>
      <c r="C1283" s="6" t="s">
        <v>673</v>
      </c>
      <c r="D1283" s="6" t="s">
        <v>858</v>
      </c>
      <c r="F1283" s="1">
        <f t="shared" si="20"/>
        <v>8</v>
      </c>
      <c r="H1283" s="4"/>
    </row>
    <row r="1284" spans="1:8" x14ac:dyDescent="0.25">
      <c r="A1284" s="6">
        <v>46574</v>
      </c>
      <c r="B1284" s="6" t="s">
        <v>857</v>
      </c>
      <c r="C1284" s="6" t="s">
        <v>673</v>
      </c>
      <c r="D1284" s="6" t="s">
        <v>858</v>
      </c>
      <c r="F1284" s="1">
        <f t="shared" si="20"/>
        <v>8</v>
      </c>
      <c r="H1284" s="4"/>
    </row>
    <row r="1285" spans="1:8" x14ac:dyDescent="0.25">
      <c r="A1285" s="6">
        <v>46575</v>
      </c>
      <c r="B1285" s="6" t="s">
        <v>857</v>
      </c>
      <c r="C1285" s="6" t="s">
        <v>673</v>
      </c>
      <c r="D1285" s="6" t="s">
        <v>858</v>
      </c>
      <c r="F1285" s="1">
        <f t="shared" si="20"/>
        <v>8</v>
      </c>
      <c r="H1285" s="4"/>
    </row>
    <row r="1286" spans="1:8" x14ac:dyDescent="0.25">
      <c r="A1286" s="6">
        <v>46576</v>
      </c>
      <c r="B1286" s="6" t="s">
        <v>857</v>
      </c>
      <c r="C1286" s="6" t="s">
        <v>673</v>
      </c>
      <c r="D1286" s="6" t="s">
        <v>858</v>
      </c>
      <c r="F1286" s="1">
        <f t="shared" si="20"/>
        <v>8</v>
      </c>
      <c r="H1286" s="4"/>
    </row>
    <row r="1287" spans="1:8" x14ac:dyDescent="0.25">
      <c r="A1287" s="6">
        <v>46577</v>
      </c>
      <c r="B1287" s="6" t="s">
        <v>857</v>
      </c>
      <c r="C1287" s="6" t="s">
        <v>673</v>
      </c>
      <c r="D1287" s="6" t="s">
        <v>858</v>
      </c>
      <c r="F1287" s="1">
        <f t="shared" si="20"/>
        <v>8</v>
      </c>
      <c r="H1287" s="4"/>
    </row>
    <row r="1288" spans="1:8" x14ac:dyDescent="0.25">
      <c r="A1288" s="6">
        <v>46578</v>
      </c>
      <c r="B1288" s="6" t="s">
        <v>859</v>
      </c>
      <c r="C1288" s="6" t="s">
        <v>676</v>
      </c>
      <c r="D1288" s="6" t="s">
        <v>858</v>
      </c>
      <c r="E1288" s="1" t="s">
        <v>727</v>
      </c>
      <c r="F1288" s="1">
        <f t="shared" si="20"/>
        <v>0</v>
      </c>
      <c r="H1288" s="4"/>
    </row>
    <row r="1289" spans="1:8" x14ac:dyDescent="0.25">
      <c r="A1289" s="6">
        <v>46579</v>
      </c>
      <c r="B1289" s="6" t="s">
        <v>859</v>
      </c>
      <c r="C1289" s="6" t="s">
        <v>676</v>
      </c>
      <c r="D1289" s="6" t="s">
        <v>858</v>
      </c>
      <c r="E1289" s="1" t="s">
        <v>727</v>
      </c>
      <c r="F1289" s="1">
        <f t="shared" si="20"/>
        <v>0</v>
      </c>
      <c r="H1289" s="4"/>
    </row>
    <row r="1290" spans="1:8" x14ac:dyDescent="0.25">
      <c r="A1290" s="6">
        <v>46580</v>
      </c>
      <c r="B1290" s="6" t="s">
        <v>859</v>
      </c>
      <c r="C1290" s="6" t="s">
        <v>676</v>
      </c>
      <c r="D1290" s="6" t="s">
        <v>858</v>
      </c>
      <c r="F1290" s="1">
        <f t="shared" si="20"/>
        <v>8</v>
      </c>
      <c r="H1290" s="4"/>
    </row>
    <row r="1291" spans="1:8" x14ac:dyDescent="0.25">
      <c r="A1291" s="6">
        <v>46581</v>
      </c>
      <c r="B1291" s="6" t="s">
        <v>859</v>
      </c>
      <c r="C1291" s="6" t="s">
        <v>676</v>
      </c>
      <c r="D1291" s="6" t="s">
        <v>858</v>
      </c>
      <c r="F1291" s="1">
        <f t="shared" si="20"/>
        <v>8</v>
      </c>
      <c r="H1291" s="4"/>
    </row>
    <row r="1292" spans="1:8" x14ac:dyDescent="0.25">
      <c r="A1292" s="6">
        <v>46582</v>
      </c>
      <c r="B1292" s="6" t="s">
        <v>859</v>
      </c>
      <c r="C1292" s="6" t="s">
        <v>676</v>
      </c>
      <c r="D1292" s="6" t="s">
        <v>858</v>
      </c>
      <c r="F1292" s="1">
        <f t="shared" si="20"/>
        <v>8</v>
      </c>
      <c r="H1292" s="4"/>
    </row>
    <row r="1293" spans="1:8" x14ac:dyDescent="0.25">
      <c r="A1293" s="6">
        <v>46583</v>
      </c>
      <c r="B1293" s="6" t="s">
        <v>859</v>
      </c>
      <c r="C1293" s="6" t="s">
        <v>676</v>
      </c>
      <c r="D1293" s="6" t="s">
        <v>858</v>
      </c>
      <c r="F1293" s="1">
        <f t="shared" si="20"/>
        <v>8</v>
      </c>
      <c r="H1293" s="4"/>
    </row>
    <row r="1294" spans="1:8" x14ac:dyDescent="0.25">
      <c r="A1294" s="6">
        <v>46584</v>
      </c>
      <c r="B1294" s="6" t="s">
        <v>859</v>
      </c>
      <c r="C1294" s="6" t="s">
        <v>676</v>
      </c>
      <c r="D1294" s="6" t="s">
        <v>858</v>
      </c>
      <c r="F1294" s="1">
        <f t="shared" si="20"/>
        <v>8</v>
      </c>
      <c r="H1294" s="4"/>
    </row>
    <row r="1295" spans="1:8" x14ac:dyDescent="0.25">
      <c r="A1295" s="6">
        <v>46585</v>
      </c>
      <c r="B1295" s="6" t="s">
        <v>860</v>
      </c>
      <c r="C1295" s="6" t="s">
        <v>678</v>
      </c>
      <c r="D1295" s="6" t="s">
        <v>858</v>
      </c>
      <c r="E1295" s="1" t="s">
        <v>727</v>
      </c>
      <c r="F1295" s="1">
        <f t="shared" si="20"/>
        <v>0</v>
      </c>
      <c r="H1295" s="4"/>
    </row>
    <row r="1296" spans="1:8" x14ac:dyDescent="0.25">
      <c r="A1296" s="6">
        <v>46586</v>
      </c>
      <c r="B1296" s="6" t="s">
        <v>860</v>
      </c>
      <c r="C1296" s="6" t="s">
        <v>678</v>
      </c>
      <c r="D1296" s="6" t="s">
        <v>858</v>
      </c>
      <c r="E1296" s="1" t="s">
        <v>727</v>
      </c>
      <c r="F1296" s="1">
        <f t="shared" si="20"/>
        <v>0</v>
      </c>
      <c r="H1296" s="4"/>
    </row>
    <row r="1297" spans="1:8" x14ac:dyDescent="0.25">
      <c r="A1297" s="6">
        <v>46587</v>
      </c>
      <c r="B1297" s="6" t="s">
        <v>860</v>
      </c>
      <c r="C1297" s="6" t="s">
        <v>678</v>
      </c>
      <c r="D1297" s="6" t="s">
        <v>858</v>
      </c>
      <c r="F1297" s="1">
        <f t="shared" si="20"/>
        <v>8</v>
      </c>
      <c r="H1297" s="4"/>
    </row>
    <row r="1298" spans="1:8" x14ac:dyDescent="0.25">
      <c r="A1298" s="6">
        <v>46588</v>
      </c>
      <c r="B1298" s="6" t="s">
        <v>860</v>
      </c>
      <c r="C1298" s="6" t="s">
        <v>678</v>
      </c>
      <c r="D1298" s="6" t="s">
        <v>858</v>
      </c>
      <c r="F1298" s="1">
        <f t="shared" si="20"/>
        <v>8</v>
      </c>
      <c r="H1298" s="4"/>
    </row>
    <row r="1299" spans="1:8" x14ac:dyDescent="0.25">
      <c r="A1299" s="6">
        <v>46589</v>
      </c>
      <c r="B1299" s="6" t="s">
        <v>860</v>
      </c>
      <c r="C1299" s="6" t="s">
        <v>678</v>
      </c>
      <c r="D1299" s="6" t="s">
        <v>858</v>
      </c>
      <c r="F1299" s="1">
        <f t="shared" si="20"/>
        <v>8</v>
      </c>
      <c r="H1299" s="4"/>
    </row>
    <row r="1300" spans="1:8" x14ac:dyDescent="0.25">
      <c r="A1300" s="6">
        <v>46590</v>
      </c>
      <c r="B1300" s="6" t="s">
        <v>860</v>
      </c>
      <c r="C1300" s="6" t="s">
        <v>678</v>
      </c>
      <c r="D1300" s="6" t="s">
        <v>858</v>
      </c>
      <c r="F1300" s="1">
        <f t="shared" si="20"/>
        <v>8</v>
      </c>
      <c r="H1300" s="4"/>
    </row>
    <row r="1301" spans="1:8" x14ac:dyDescent="0.25">
      <c r="A1301" s="6">
        <v>46591</v>
      </c>
      <c r="B1301" s="6" t="s">
        <v>860</v>
      </c>
      <c r="C1301" s="6" t="s">
        <v>678</v>
      </c>
      <c r="D1301" s="6" t="s">
        <v>858</v>
      </c>
      <c r="F1301" s="1">
        <f t="shared" si="20"/>
        <v>8</v>
      </c>
      <c r="H1301" s="4"/>
    </row>
    <row r="1302" spans="1:8" x14ac:dyDescent="0.25">
      <c r="A1302" s="6">
        <v>46592</v>
      </c>
      <c r="B1302" s="6" t="s">
        <v>861</v>
      </c>
      <c r="C1302" s="6" t="s">
        <v>680</v>
      </c>
      <c r="D1302" s="6" t="s">
        <v>858</v>
      </c>
      <c r="E1302" s="1" t="s">
        <v>727</v>
      </c>
      <c r="F1302" s="1">
        <f t="shared" si="20"/>
        <v>0</v>
      </c>
      <c r="H1302" s="4"/>
    </row>
    <row r="1303" spans="1:8" x14ac:dyDescent="0.25">
      <c r="A1303" s="6">
        <v>46593</v>
      </c>
      <c r="B1303" s="6" t="s">
        <v>861</v>
      </c>
      <c r="C1303" s="6" t="s">
        <v>680</v>
      </c>
      <c r="D1303" s="6" t="s">
        <v>858</v>
      </c>
      <c r="E1303" s="1" t="s">
        <v>727</v>
      </c>
      <c r="F1303" s="1">
        <f t="shared" si="20"/>
        <v>0</v>
      </c>
      <c r="H1303" s="4"/>
    </row>
    <row r="1304" spans="1:8" x14ac:dyDescent="0.25">
      <c r="A1304" s="6">
        <v>46594</v>
      </c>
      <c r="B1304" s="6" t="s">
        <v>861</v>
      </c>
      <c r="C1304" s="6" t="s">
        <v>680</v>
      </c>
      <c r="D1304" s="6" t="s">
        <v>858</v>
      </c>
      <c r="F1304" s="1">
        <f t="shared" si="20"/>
        <v>8</v>
      </c>
      <c r="H1304" s="4"/>
    </row>
    <row r="1305" spans="1:8" x14ac:dyDescent="0.25">
      <c r="A1305" s="6">
        <v>46595</v>
      </c>
      <c r="B1305" s="6" t="s">
        <v>861</v>
      </c>
      <c r="C1305" s="6" t="s">
        <v>680</v>
      </c>
      <c r="D1305" s="6" t="s">
        <v>858</v>
      </c>
      <c r="F1305" s="1">
        <f t="shared" si="20"/>
        <v>8</v>
      </c>
      <c r="H1305" s="4"/>
    </row>
    <row r="1306" spans="1:8" x14ac:dyDescent="0.25">
      <c r="A1306" s="6">
        <v>46596</v>
      </c>
      <c r="B1306" s="6" t="s">
        <v>861</v>
      </c>
      <c r="C1306" s="6" t="s">
        <v>680</v>
      </c>
      <c r="D1306" s="6" t="s">
        <v>858</v>
      </c>
      <c r="F1306" s="1">
        <f t="shared" si="20"/>
        <v>8</v>
      </c>
      <c r="H1306" s="4"/>
    </row>
    <row r="1307" spans="1:8" x14ac:dyDescent="0.25">
      <c r="A1307" s="6">
        <v>46597</v>
      </c>
      <c r="B1307" s="6" t="s">
        <v>861</v>
      </c>
      <c r="C1307" s="6" t="s">
        <v>680</v>
      </c>
      <c r="D1307" s="6" t="s">
        <v>858</v>
      </c>
      <c r="F1307" s="1">
        <f t="shared" si="20"/>
        <v>8</v>
      </c>
      <c r="H1307" s="4"/>
    </row>
    <row r="1308" spans="1:8" x14ac:dyDescent="0.25">
      <c r="A1308" s="6">
        <v>46598</v>
      </c>
      <c r="B1308" s="6" t="s">
        <v>861</v>
      </c>
      <c r="C1308" s="6" t="s">
        <v>680</v>
      </c>
      <c r="D1308" s="6" t="s">
        <v>858</v>
      </c>
      <c r="F1308" s="1">
        <f t="shared" si="20"/>
        <v>8</v>
      </c>
      <c r="H1308" s="4"/>
    </row>
    <row r="1309" spans="1:8" x14ac:dyDescent="0.25">
      <c r="A1309" s="6">
        <v>46599</v>
      </c>
      <c r="B1309" s="6" t="s">
        <v>862</v>
      </c>
      <c r="C1309" s="6" t="s">
        <v>682</v>
      </c>
      <c r="D1309" s="6" t="s">
        <v>858</v>
      </c>
      <c r="E1309" s="1" t="s">
        <v>727</v>
      </c>
      <c r="F1309" s="1">
        <f t="shared" si="20"/>
        <v>0</v>
      </c>
      <c r="H1309" s="4"/>
    </row>
    <row r="1310" spans="1:8" x14ac:dyDescent="0.25">
      <c r="A1310" s="6">
        <v>46600</v>
      </c>
      <c r="B1310" s="6" t="s">
        <v>862</v>
      </c>
      <c r="C1310" s="6" t="s">
        <v>682</v>
      </c>
      <c r="D1310" s="6" t="s">
        <v>858</v>
      </c>
      <c r="E1310" s="1" t="s">
        <v>727</v>
      </c>
      <c r="F1310" s="1">
        <f t="shared" si="20"/>
        <v>0</v>
      </c>
      <c r="H1310" s="4"/>
    </row>
    <row r="1311" spans="1:8" x14ac:dyDescent="0.25">
      <c r="A1311" s="6">
        <v>46601</v>
      </c>
      <c r="B1311" s="6" t="s">
        <v>862</v>
      </c>
      <c r="C1311" s="6" t="s">
        <v>682</v>
      </c>
      <c r="D1311" s="6" t="s">
        <v>858</v>
      </c>
      <c r="F1311" s="1">
        <f t="shared" si="20"/>
        <v>8</v>
      </c>
      <c r="H1311" s="4"/>
    </row>
    <row r="1312" spans="1:8" x14ac:dyDescent="0.25">
      <c r="A1312" s="6">
        <v>46602</v>
      </c>
      <c r="B1312" s="6" t="s">
        <v>862</v>
      </c>
      <c r="C1312" s="6" t="s">
        <v>682</v>
      </c>
      <c r="D1312" s="6" t="s">
        <v>858</v>
      </c>
      <c r="F1312" s="1">
        <f t="shared" si="20"/>
        <v>8</v>
      </c>
      <c r="H1312" s="4"/>
    </row>
    <row r="1313" spans="1:8" x14ac:dyDescent="0.25">
      <c r="A1313" s="6">
        <v>46603</v>
      </c>
      <c r="B1313" s="6" t="s">
        <v>862</v>
      </c>
      <c r="C1313" s="6" t="s">
        <v>682</v>
      </c>
      <c r="D1313" s="6" t="s">
        <v>858</v>
      </c>
      <c r="F1313" s="1">
        <f t="shared" si="20"/>
        <v>8</v>
      </c>
      <c r="H1313" s="4"/>
    </row>
    <row r="1314" spans="1:8" x14ac:dyDescent="0.25">
      <c r="A1314" s="6">
        <v>46604</v>
      </c>
      <c r="B1314" s="6" t="s">
        <v>862</v>
      </c>
      <c r="C1314" s="6" t="s">
        <v>682</v>
      </c>
      <c r="D1314" s="6" t="s">
        <v>858</v>
      </c>
      <c r="F1314" s="1">
        <f t="shared" si="20"/>
        <v>8</v>
      </c>
      <c r="H1314" s="4"/>
    </row>
    <row r="1315" spans="1:8" x14ac:dyDescent="0.25">
      <c r="A1315" s="6">
        <v>46605</v>
      </c>
      <c r="B1315" s="6" t="s">
        <v>862</v>
      </c>
      <c r="C1315" s="6" t="s">
        <v>682</v>
      </c>
      <c r="D1315" s="6" t="s">
        <v>858</v>
      </c>
      <c r="F1315" s="1">
        <f t="shared" si="20"/>
        <v>8</v>
      </c>
      <c r="H1315" s="4"/>
    </row>
    <row r="1316" spans="1:8" x14ac:dyDescent="0.25">
      <c r="A1316" s="6">
        <v>46606</v>
      </c>
      <c r="B1316" s="6" t="s">
        <v>863</v>
      </c>
      <c r="C1316" s="6" t="s">
        <v>684</v>
      </c>
      <c r="D1316" s="6" t="s">
        <v>858</v>
      </c>
      <c r="E1316" s="1" t="s">
        <v>727</v>
      </c>
      <c r="F1316" s="1">
        <f t="shared" si="20"/>
        <v>0</v>
      </c>
      <c r="H1316" s="4"/>
    </row>
    <row r="1317" spans="1:8" x14ac:dyDescent="0.25">
      <c r="A1317" s="6">
        <v>46607</v>
      </c>
      <c r="B1317" s="6" t="s">
        <v>863</v>
      </c>
      <c r="C1317" s="6" t="s">
        <v>684</v>
      </c>
      <c r="D1317" s="6" t="s">
        <v>858</v>
      </c>
      <c r="E1317" s="1" t="s">
        <v>727</v>
      </c>
      <c r="F1317" s="1">
        <f t="shared" si="20"/>
        <v>0</v>
      </c>
      <c r="H1317" s="4"/>
    </row>
    <row r="1318" spans="1:8" x14ac:dyDescent="0.25">
      <c r="A1318" s="6">
        <v>46608</v>
      </c>
      <c r="B1318" s="6" t="s">
        <v>863</v>
      </c>
      <c r="C1318" s="6" t="s">
        <v>684</v>
      </c>
      <c r="D1318" s="6" t="s">
        <v>858</v>
      </c>
      <c r="F1318" s="1">
        <f t="shared" si="20"/>
        <v>8</v>
      </c>
      <c r="H1318" s="4"/>
    </row>
    <row r="1319" spans="1:8" x14ac:dyDescent="0.25">
      <c r="A1319" s="6">
        <v>46609</v>
      </c>
      <c r="B1319" s="6" t="s">
        <v>863</v>
      </c>
      <c r="C1319" s="6" t="s">
        <v>684</v>
      </c>
      <c r="D1319" s="6" t="s">
        <v>858</v>
      </c>
      <c r="F1319" s="1">
        <f t="shared" si="20"/>
        <v>8</v>
      </c>
      <c r="H1319" s="4"/>
    </row>
    <row r="1320" spans="1:8" x14ac:dyDescent="0.25">
      <c r="A1320" s="6">
        <v>46610</v>
      </c>
      <c r="B1320" s="6" t="s">
        <v>863</v>
      </c>
      <c r="C1320" s="6" t="s">
        <v>684</v>
      </c>
      <c r="D1320" s="6" t="s">
        <v>858</v>
      </c>
      <c r="F1320" s="1">
        <f t="shared" si="20"/>
        <v>8</v>
      </c>
      <c r="H1320" s="4"/>
    </row>
    <row r="1321" spans="1:8" x14ac:dyDescent="0.25">
      <c r="A1321" s="6">
        <v>46611</v>
      </c>
      <c r="B1321" s="6" t="s">
        <v>863</v>
      </c>
      <c r="C1321" s="6" t="s">
        <v>684</v>
      </c>
      <c r="D1321" s="6" t="s">
        <v>858</v>
      </c>
      <c r="F1321" s="1">
        <f t="shared" si="20"/>
        <v>8</v>
      </c>
      <c r="H1321" s="4"/>
    </row>
    <row r="1322" spans="1:8" x14ac:dyDescent="0.25">
      <c r="A1322" s="6">
        <v>46612</v>
      </c>
      <c r="B1322" s="6" t="s">
        <v>863</v>
      </c>
      <c r="C1322" s="6" t="s">
        <v>684</v>
      </c>
      <c r="D1322" s="6" t="s">
        <v>858</v>
      </c>
      <c r="F1322" s="1">
        <f t="shared" si="20"/>
        <v>8</v>
      </c>
      <c r="H1322" s="4"/>
    </row>
    <row r="1323" spans="1:8" x14ac:dyDescent="0.25">
      <c r="A1323" s="6">
        <v>46613</v>
      </c>
      <c r="B1323" s="6" t="s">
        <v>864</v>
      </c>
      <c r="C1323" s="6" t="s">
        <v>686</v>
      </c>
      <c r="D1323" s="6" t="s">
        <v>858</v>
      </c>
      <c r="E1323" s="1" t="s">
        <v>727</v>
      </c>
      <c r="F1323" s="1">
        <f t="shared" si="20"/>
        <v>0</v>
      </c>
      <c r="H1323" s="4"/>
    </row>
    <row r="1324" spans="1:8" x14ac:dyDescent="0.25">
      <c r="A1324" s="6">
        <v>46614</v>
      </c>
      <c r="B1324" s="6" t="s">
        <v>864</v>
      </c>
      <c r="C1324" s="6" t="s">
        <v>686</v>
      </c>
      <c r="D1324" s="6" t="s">
        <v>858</v>
      </c>
      <c r="E1324" s="1" t="s">
        <v>727</v>
      </c>
      <c r="F1324" s="1">
        <f t="shared" si="20"/>
        <v>0</v>
      </c>
      <c r="H1324" s="4"/>
    </row>
    <row r="1325" spans="1:8" x14ac:dyDescent="0.25">
      <c r="A1325" s="6">
        <v>46615</v>
      </c>
      <c r="B1325" s="6" t="s">
        <v>864</v>
      </c>
      <c r="C1325" s="6" t="s">
        <v>686</v>
      </c>
      <c r="D1325" s="6" t="s">
        <v>858</v>
      </c>
      <c r="F1325" s="1">
        <f t="shared" si="20"/>
        <v>8</v>
      </c>
      <c r="H1325" s="4"/>
    </row>
    <row r="1326" spans="1:8" x14ac:dyDescent="0.25">
      <c r="A1326" s="6">
        <v>46616</v>
      </c>
      <c r="B1326" s="6" t="s">
        <v>864</v>
      </c>
      <c r="C1326" s="6" t="s">
        <v>686</v>
      </c>
      <c r="D1326" s="6" t="s">
        <v>858</v>
      </c>
      <c r="F1326" s="1">
        <f t="shared" si="20"/>
        <v>8</v>
      </c>
      <c r="H1326" s="4"/>
    </row>
    <row r="1327" spans="1:8" x14ac:dyDescent="0.25">
      <c r="A1327" s="6">
        <v>46617</v>
      </c>
      <c r="B1327" s="6" t="s">
        <v>864</v>
      </c>
      <c r="C1327" s="6" t="s">
        <v>686</v>
      </c>
      <c r="D1327" s="6" t="s">
        <v>858</v>
      </c>
      <c r="F1327" s="1">
        <f t="shared" si="20"/>
        <v>8</v>
      </c>
      <c r="H1327" s="4"/>
    </row>
    <row r="1328" spans="1:8" x14ac:dyDescent="0.25">
      <c r="A1328" s="6">
        <v>46618</v>
      </c>
      <c r="B1328" s="6" t="s">
        <v>864</v>
      </c>
      <c r="C1328" s="6" t="s">
        <v>686</v>
      </c>
      <c r="D1328" s="6" t="s">
        <v>858</v>
      </c>
      <c r="F1328" s="1">
        <f t="shared" si="20"/>
        <v>8</v>
      </c>
      <c r="H1328" s="4"/>
    </row>
    <row r="1329" spans="1:8" x14ac:dyDescent="0.25">
      <c r="A1329" s="6">
        <v>46619</v>
      </c>
      <c r="B1329" s="6" t="s">
        <v>864</v>
      </c>
      <c r="C1329" s="6" t="s">
        <v>686</v>
      </c>
      <c r="D1329" s="6" t="s">
        <v>858</v>
      </c>
      <c r="F1329" s="1">
        <f t="shared" si="20"/>
        <v>8</v>
      </c>
      <c r="H1329" s="4"/>
    </row>
    <row r="1330" spans="1:8" x14ac:dyDescent="0.25">
      <c r="A1330" s="6">
        <v>46620</v>
      </c>
      <c r="B1330" s="6" t="s">
        <v>865</v>
      </c>
      <c r="C1330" s="6" t="s">
        <v>688</v>
      </c>
      <c r="D1330" s="6" t="s">
        <v>858</v>
      </c>
      <c r="E1330" s="1" t="s">
        <v>727</v>
      </c>
      <c r="F1330" s="1">
        <f t="shared" si="20"/>
        <v>0</v>
      </c>
      <c r="H1330" s="4"/>
    </row>
    <row r="1331" spans="1:8" x14ac:dyDescent="0.25">
      <c r="A1331" s="6">
        <v>46621</v>
      </c>
      <c r="B1331" s="6" t="s">
        <v>865</v>
      </c>
      <c r="C1331" s="6" t="s">
        <v>688</v>
      </c>
      <c r="D1331" s="6" t="s">
        <v>858</v>
      </c>
      <c r="E1331" s="1" t="s">
        <v>727</v>
      </c>
      <c r="F1331" s="1">
        <f t="shared" si="20"/>
        <v>0</v>
      </c>
      <c r="H1331" s="4"/>
    </row>
    <row r="1332" spans="1:8" x14ac:dyDescent="0.25">
      <c r="A1332" s="6">
        <v>46622</v>
      </c>
      <c r="B1332" s="6" t="s">
        <v>865</v>
      </c>
      <c r="C1332" s="6" t="s">
        <v>688</v>
      </c>
      <c r="D1332" s="6" t="s">
        <v>858</v>
      </c>
      <c r="F1332" s="1">
        <f t="shared" si="20"/>
        <v>8</v>
      </c>
      <c r="H1332" s="4"/>
    </row>
    <row r="1333" spans="1:8" x14ac:dyDescent="0.25">
      <c r="A1333" s="6">
        <v>46623</v>
      </c>
      <c r="B1333" s="6" t="s">
        <v>865</v>
      </c>
      <c r="C1333" s="6" t="s">
        <v>688</v>
      </c>
      <c r="D1333" s="6" t="s">
        <v>858</v>
      </c>
      <c r="F1333" s="1">
        <f t="shared" si="20"/>
        <v>8</v>
      </c>
      <c r="H1333" s="4"/>
    </row>
    <row r="1334" spans="1:8" x14ac:dyDescent="0.25">
      <c r="A1334" s="6">
        <v>46624</v>
      </c>
      <c r="B1334" s="6" t="s">
        <v>865</v>
      </c>
      <c r="C1334" s="6" t="s">
        <v>688</v>
      </c>
      <c r="D1334" s="6" t="s">
        <v>858</v>
      </c>
      <c r="F1334" s="1">
        <f t="shared" si="20"/>
        <v>8</v>
      </c>
      <c r="H1334" s="4"/>
    </row>
    <row r="1335" spans="1:8" x14ac:dyDescent="0.25">
      <c r="A1335" s="6">
        <v>46625</v>
      </c>
      <c r="B1335" s="6" t="s">
        <v>865</v>
      </c>
      <c r="C1335" s="6" t="s">
        <v>688</v>
      </c>
      <c r="D1335" s="6" t="s">
        <v>858</v>
      </c>
      <c r="F1335" s="1">
        <f t="shared" si="20"/>
        <v>8</v>
      </c>
      <c r="H1335" s="4"/>
    </row>
    <row r="1336" spans="1:8" x14ac:dyDescent="0.25">
      <c r="A1336" s="6">
        <v>46626</v>
      </c>
      <c r="B1336" s="6" t="s">
        <v>865</v>
      </c>
      <c r="C1336" s="6" t="s">
        <v>688</v>
      </c>
      <c r="D1336" s="6" t="s">
        <v>858</v>
      </c>
      <c r="F1336" s="1">
        <f t="shared" si="20"/>
        <v>8</v>
      </c>
      <c r="H1336" s="4"/>
    </row>
    <row r="1337" spans="1:8" x14ac:dyDescent="0.25">
      <c r="A1337" s="6">
        <v>46627</v>
      </c>
      <c r="B1337" s="6" t="s">
        <v>866</v>
      </c>
      <c r="C1337" s="6" t="s">
        <v>690</v>
      </c>
      <c r="D1337" s="6" t="s">
        <v>858</v>
      </c>
      <c r="E1337" s="1" t="s">
        <v>727</v>
      </c>
      <c r="F1337" s="1">
        <f t="shared" si="20"/>
        <v>0</v>
      </c>
      <c r="H1337" s="4"/>
    </row>
    <row r="1338" spans="1:8" x14ac:dyDescent="0.25">
      <c r="A1338" s="6">
        <v>46628</v>
      </c>
      <c r="B1338" s="6" t="s">
        <v>866</v>
      </c>
      <c r="C1338" s="6" t="s">
        <v>690</v>
      </c>
      <c r="D1338" s="6" t="s">
        <v>858</v>
      </c>
      <c r="E1338" s="1" t="s">
        <v>727</v>
      </c>
      <c r="F1338" s="1">
        <f t="shared" si="20"/>
        <v>0</v>
      </c>
      <c r="H1338" s="4"/>
    </row>
    <row r="1339" spans="1:8" x14ac:dyDescent="0.25">
      <c r="A1339" s="6">
        <v>46629</v>
      </c>
      <c r="B1339" s="6" t="s">
        <v>866</v>
      </c>
      <c r="C1339" s="6" t="s">
        <v>690</v>
      </c>
      <c r="D1339" s="6" t="s">
        <v>858</v>
      </c>
      <c r="F1339" s="1">
        <f t="shared" si="20"/>
        <v>8</v>
      </c>
      <c r="H1339" s="4"/>
    </row>
    <row r="1340" spans="1:8" x14ac:dyDescent="0.25">
      <c r="A1340" s="6">
        <v>46630</v>
      </c>
      <c r="B1340" s="6" t="s">
        <v>866</v>
      </c>
      <c r="C1340" s="6" t="s">
        <v>690</v>
      </c>
      <c r="D1340" s="6" t="s">
        <v>858</v>
      </c>
      <c r="F1340" s="1">
        <f t="shared" si="20"/>
        <v>8</v>
      </c>
      <c r="H1340" s="4"/>
    </row>
    <row r="1341" spans="1:8" x14ac:dyDescent="0.25">
      <c r="A1341" s="6">
        <v>46631</v>
      </c>
      <c r="B1341" s="6" t="s">
        <v>866</v>
      </c>
      <c r="C1341" s="6" t="s">
        <v>690</v>
      </c>
      <c r="D1341" s="6" t="s">
        <v>858</v>
      </c>
      <c r="F1341" s="1">
        <f t="shared" si="20"/>
        <v>8</v>
      </c>
      <c r="H1341" s="4"/>
    </row>
    <row r="1342" spans="1:8" x14ac:dyDescent="0.25">
      <c r="A1342" s="6">
        <v>46632</v>
      </c>
      <c r="B1342" s="6" t="s">
        <v>866</v>
      </c>
      <c r="C1342" s="6" t="s">
        <v>690</v>
      </c>
      <c r="D1342" s="6" t="s">
        <v>858</v>
      </c>
      <c r="F1342" s="1">
        <f t="shared" si="20"/>
        <v>8</v>
      </c>
      <c r="H1342" s="4"/>
    </row>
    <row r="1343" spans="1:8" x14ac:dyDescent="0.25">
      <c r="A1343" s="6">
        <v>46633</v>
      </c>
      <c r="B1343" s="6" t="s">
        <v>866</v>
      </c>
      <c r="C1343" s="6" t="s">
        <v>690</v>
      </c>
      <c r="D1343" s="6" t="s">
        <v>858</v>
      </c>
      <c r="F1343" s="1">
        <f t="shared" si="20"/>
        <v>8</v>
      </c>
      <c r="H1343" s="4"/>
    </row>
    <row r="1344" spans="1:8" x14ac:dyDescent="0.25">
      <c r="A1344" s="6">
        <v>46634</v>
      </c>
      <c r="B1344" s="6" t="s">
        <v>867</v>
      </c>
      <c r="C1344" s="6" t="s">
        <v>692</v>
      </c>
      <c r="D1344" s="6" t="s">
        <v>858</v>
      </c>
      <c r="E1344" s="1" t="s">
        <v>727</v>
      </c>
      <c r="F1344" s="1">
        <f t="shared" si="20"/>
        <v>0</v>
      </c>
      <c r="H1344" s="4"/>
    </row>
    <row r="1345" spans="1:8" x14ac:dyDescent="0.25">
      <c r="A1345" s="6">
        <v>46635</v>
      </c>
      <c r="B1345" s="6" t="s">
        <v>867</v>
      </c>
      <c r="C1345" s="6" t="s">
        <v>692</v>
      </c>
      <c r="D1345" s="6" t="s">
        <v>858</v>
      </c>
      <c r="E1345" s="1" t="s">
        <v>727</v>
      </c>
      <c r="F1345" s="1">
        <f t="shared" si="20"/>
        <v>0</v>
      </c>
      <c r="H1345" s="4"/>
    </row>
    <row r="1346" spans="1:8" x14ac:dyDescent="0.25">
      <c r="A1346" s="6">
        <v>46636</v>
      </c>
      <c r="B1346" s="6" t="s">
        <v>867</v>
      </c>
      <c r="C1346" s="6" t="s">
        <v>692</v>
      </c>
      <c r="D1346" s="6" t="s">
        <v>858</v>
      </c>
      <c r="F1346" s="1">
        <f t="shared" ref="F1346:F1409" si="21">IF(OR(E1346="",E1346="调休"),8,0)</f>
        <v>8</v>
      </c>
      <c r="H1346" s="4"/>
    </row>
    <row r="1347" spans="1:8" x14ac:dyDescent="0.25">
      <c r="A1347" s="6">
        <v>46637</v>
      </c>
      <c r="B1347" s="6" t="s">
        <v>867</v>
      </c>
      <c r="C1347" s="6" t="s">
        <v>692</v>
      </c>
      <c r="D1347" s="6" t="s">
        <v>858</v>
      </c>
      <c r="F1347" s="1">
        <f t="shared" si="21"/>
        <v>8</v>
      </c>
      <c r="H1347" s="4"/>
    </row>
    <row r="1348" spans="1:8" x14ac:dyDescent="0.25">
      <c r="A1348" s="6">
        <v>46638</v>
      </c>
      <c r="B1348" s="6" t="s">
        <v>867</v>
      </c>
      <c r="C1348" s="6" t="s">
        <v>692</v>
      </c>
      <c r="D1348" s="6" t="s">
        <v>858</v>
      </c>
      <c r="F1348" s="1">
        <f t="shared" si="21"/>
        <v>8</v>
      </c>
      <c r="H1348" s="4"/>
    </row>
    <row r="1349" spans="1:8" x14ac:dyDescent="0.25">
      <c r="A1349" s="6">
        <v>46639</v>
      </c>
      <c r="B1349" s="6" t="s">
        <v>867</v>
      </c>
      <c r="C1349" s="6" t="s">
        <v>692</v>
      </c>
      <c r="D1349" s="6" t="s">
        <v>858</v>
      </c>
      <c r="F1349" s="1">
        <f t="shared" si="21"/>
        <v>8</v>
      </c>
      <c r="H1349" s="4"/>
    </row>
    <row r="1350" spans="1:8" x14ac:dyDescent="0.25">
      <c r="A1350" s="6">
        <v>46640</v>
      </c>
      <c r="B1350" s="6" t="s">
        <v>867</v>
      </c>
      <c r="C1350" s="6" t="s">
        <v>692</v>
      </c>
      <c r="D1350" s="6" t="s">
        <v>858</v>
      </c>
      <c r="F1350" s="1">
        <f t="shared" si="21"/>
        <v>8</v>
      </c>
      <c r="H1350" s="4"/>
    </row>
    <row r="1351" spans="1:8" x14ac:dyDescent="0.25">
      <c r="A1351" s="6">
        <v>46641</v>
      </c>
      <c r="B1351" s="6" t="s">
        <v>868</v>
      </c>
      <c r="C1351" s="6" t="s">
        <v>694</v>
      </c>
      <c r="D1351" s="6" t="s">
        <v>858</v>
      </c>
      <c r="E1351" s="1" t="s">
        <v>727</v>
      </c>
      <c r="F1351" s="1">
        <f t="shared" si="21"/>
        <v>0</v>
      </c>
      <c r="H1351" s="4"/>
    </row>
    <row r="1352" spans="1:8" x14ac:dyDescent="0.25">
      <c r="A1352" s="6">
        <v>46642</v>
      </c>
      <c r="B1352" s="6" t="s">
        <v>868</v>
      </c>
      <c r="C1352" s="6" t="s">
        <v>694</v>
      </c>
      <c r="D1352" s="6" t="s">
        <v>858</v>
      </c>
      <c r="E1352" s="1" t="s">
        <v>727</v>
      </c>
      <c r="F1352" s="1">
        <f t="shared" si="21"/>
        <v>0</v>
      </c>
      <c r="H1352" s="4"/>
    </row>
    <row r="1353" spans="1:8" x14ac:dyDescent="0.25">
      <c r="A1353" s="6">
        <v>46643</v>
      </c>
      <c r="B1353" s="6" t="s">
        <v>868</v>
      </c>
      <c r="C1353" s="6" t="s">
        <v>694</v>
      </c>
      <c r="D1353" s="6" t="s">
        <v>858</v>
      </c>
      <c r="F1353" s="1">
        <f t="shared" si="21"/>
        <v>8</v>
      </c>
      <c r="H1353" s="4"/>
    </row>
    <row r="1354" spans="1:8" x14ac:dyDescent="0.25">
      <c r="A1354" s="6">
        <v>46644</v>
      </c>
      <c r="B1354" s="6" t="s">
        <v>868</v>
      </c>
      <c r="C1354" s="6" t="s">
        <v>694</v>
      </c>
      <c r="D1354" s="6" t="s">
        <v>858</v>
      </c>
      <c r="F1354" s="1">
        <f t="shared" si="21"/>
        <v>8</v>
      </c>
      <c r="H1354" s="4"/>
    </row>
    <row r="1355" spans="1:8" x14ac:dyDescent="0.25">
      <c r="A1355" s="6">
        <v>46645</v>
      </c>
      <c r="B1355" s="6" t="s">
        <v>868</v>
      </c>
      <c r="C1355" s="6" t="s">
        <v>694</v>
      </c>
      <c r="D1355" s="6" t="s">
        <v>858</v>
      </c>
      <c r="F1355" s="1">
        <f t="shared" si="21"/>
        <v>8</v>
      </c>
      <c r="H1355" s="4"/>
    </row>
    <row r="1356" spans="1:8" x14ac:dyDescent="0.25">
      <c r="A1356" s="6">
        <v>46646</v>
      </c>
      <c r="B1356" s="6" t="s">
        <v>868</v>
      </c>
      <c r="C1356" s="6" t="s">
        <v>694</v>
      </c>
      <c r="D1356" s="6" t="s">
        <v>858</v>
      </c>
      <c r="F1356" s="1">
        <f t="shared" si="21"/>
        <v>8</v>
      </c>
      <c r="H1356" s="4"/>
    </row>
    <row r="1357" spans="1:8" x14ac:dyDescent="0.25">
      <c r="A1357" s="6">
        <v>46647</v>
      </c>
      <c r="B1357" s="6" t="s">
        <v>868</v>
      </c>
      <c r="C1357" s="6" t="s">
        <v>694</v>
      </c>
      <c r="D1357" s="6" t="s">
        <v>858</v>
      </c>
      <c r="F1357" s="1">
        <f t="shared" si="21"/>
        <v>8</v>
      </c>
      <c r="H1357" s="4"/>
    </row>
    <row r="1358" spans="1:8" x14ac:dyDescent="0.25">
      <c r="A1358" s="6">
        <v>46648</v>
      </c>
      <c r="B1358" s="6" t="s">
        <v>869</v>
      </c>
      <c r="C1358" s="6" t="s">
        <v>696</v>
      </c>
      <c r="D1358" s="6" t="s">
        <v>858</v>
      </c>
      <c r="E1358" s="1" t="s">
        <v>727</v>
      </c>
      <c r="F1358" s="1">
        <f t="shared" si="21"/>
        <v>0</v>
      </c>
      <c r="H1358" s="4"/>
    </row>
    <row r="1359" spans="1:8" x14ac:dyDescent="0.25">
      <c r="A1359" s="6">
        <v>46649</v>
      </c>
      <c r="B1359" s="6" t="s">
        <v>869</v>
      </c>
      <c r="C1359" s="6" t="s">
        <v>696</v>
      </c>
      <c r="D1359" s="6" t="s">
        <v>858</v>
      </c>
      <c r="E1359" s="1" t="s">
        <v>727</v>
      </c>
      <c r="F1359" s="1">
        <f t="shared" si="21"/>
        <v>0</v>
      </c>
      <c r="H1359" s="4"/>
    </row>
    <row r="1360" spans="1:8" x14ac:dyDescent="0.25">
      <c r="A1360" s="6">
        <v>46650</v>
      </c>
      <c r="B1360" s="6" t="s">
        <v>869</v>
      </c>
      <c r="C1360" s="6" t="s">
        <v>696</v>
      </c>
      <c r="D1360" s="6" t="s">
        <v>858</v>
      </c>
      <c r="F1360" s="1">
        <f t="shared" si="21"/>
        <v>8</v>
      </c>
      <c r="H1360" s="4"/>
    </row>
    <row r="1361" spans="1:8" x14ac:dyDescent="0.25">
      <c r="A1361" s="6">
        <v>46651</v>
      </c>
      <c r="B1361" s="6" t="s">
        <v>869</v>
      </c>
      <c r="C1361" s="6" t="s">
        <v>696</v>
      </c>
      <c r="D1361" s="6" t="s">
        <v>858</v>
      </c>
      <c r="F1361" s="1">
        <f t="shared" si="21"/>
        <v>8</v>
      </c>
      <c r="H1361" s="4"/>
    </row>
    <row r="1362" spans="1:8" x14ac:dyDescent="0.25">
      <c r="A1362" s="6">
        <v>46652</v>
      </c>
      <c r="B1362" s="6" t="s">
        <v>869</v>
      </c>
      <c r="C1362" s="6" t="s">
        <v>696</v>
      </c>
      <c r="D1362" s="6" t="s">
        <v>858</v>
      </c>
      <c r="F1362" s="1">
        <f t="shared" si="21"/>
        <v>8</v>
      </c>
      <c r="H1362" s="4"/>
    </row>
    <row r="1363" spans="1:8" x14ac:dyDescent="0.25">
      <c r="A1363" s="6">
        <v>46653</v>
      </c>
      <c r="B1363" s="6" t="s">
        <v>869</v>
      </c>
      <c r="C1363" s="6" t="s">
        <v>696</v>
      </c>
      <c r="D1363" s="6" t="s">
        <v>858</v>
      </c>
      <c r="F1363" s="1">
        <f t="shared" si="21"/>
        <v>8</v>
      </c>
      <c r="H1363" s="4"/>
    </row>
    <row r="1364" spans="1:8" x14ac:dyDescent="0.25">
      <c r="A1364" s="6">
        <v>46654</v>
      </c>
      <c r="B1364" s="6" t="s">
        <v>869</v>
      </c>
      <c r="C1364" s="6" t="s">
        <v>696</v>
      </c>
      <c r="D1364" s="6" t="s">
        <v>858</v>
      </c>
      <c r="F1364" s="1">
        <f t="shared" si="21"/>
        <v>8</v>
      </c>
      <c r="H1364" s="4"/>
    </row>
    <row r="1365" spans="1:8" x14ac:dyDescent="0.25">
      <c r="A1365" s="6">
        <v>46655</v>
      </c>
      <c r="B1365" s="6" t="s">
        <v>870</v>
      </c>
      <c r="C1365" s="6" t="s">
        <v>699</v>
      </c>
      <c r="D1365" s="6" t="s">
        <v>858</v>
      </c>
      <c r="E1365" s="1" t="s">
        <v>727</v>
      </c>
      <c r="F1365" s="1">
        <f t="shared" si="21"/>
        <v>0</v>
      </c>
      <c r="H1365" s="4"/>
    </row>
    <row r="1366" spans="1:8" x14ac:dyDescent="0.25">
      <c r="A1366" s="6">
        <v>46656</v>
      </c>
      <c r="B1366" s="6" t="s">
        <v>870</v>
      </c>
      <c r="C1366" s="6" t="s">
        <v>699</v>
      </c>
      <c r="D1366" s="6" t="s">
        <v>858</v>
      </c>
      <c r="E1366" s="1" t="s">
        <v>727</v>
      </c>
      <c r="F1366" s="1">
        <f t="shared" si="21"/>
        <v>0</v>
      </c>
      <c r="H1366" s="4"/>
    </row>
    <row r="1367" spans="1:8" x14ac:dyDescent="0.25">
      <c r="A1367" s="6">
        <v>46657</v>
      </c>
      <c r="B1367" s="6" t="s">
        <v>870</v>
      </c>
      <c r="C1367" s="6" t="s">
        <v>699</v>
      </c>
      <c r="D1367" s="6" t="s">
        <v>858</v>
      </c>
      <c r="F1367" s="1">
        <f t="shared" si="21"/>
        <v>8</v>
      </c>
      <c r="H1367" s="4"/>
    </row>
    <row r="1368" spans="1:8" x14ac:dyDescent="0.25">
      <c r="A1368" s="6">
        <v>46658</v>
      </c>
      <c r="B1368" s="6" t="s">
        <v>870</v>
      </c>
      <c r="C1368" s="6" t="s">
        <v>699</v>
      </c>
      <c r="D1368" s="6" t="s">
        <v>858</v>
      </c>
      <c r="F1368" s="1">
        <f t="shared" si="21"/>
        <v>8</v>
      </c>
      <c r="H1368" s="4"/>
    </row>
    <row r="1369" spans="1:8" x14ac:dyDescent="0.25">
      <c r="A1369" s="6">
        <v>46659</v>
      </c>
      <c r="B1369" s="6" t="s">
        <v>870</v>
      </c>
      <c r="C1369" s="6" t="s">
        <v>699</v>
      </c>
      <c r="D1369" s="6" t="s">
        <v>858</v>
      </c>
      <c r="F1369" s="1">
        <f t="shared" si="21"/>
        <v>8</v>
      </c>
      <c r="H1369" s="4"/>
    </row>
    <row r="1370" spans="1:8" x14ac:dyDescent="0.25">
      <c r="A1370" s="6">
        <v>46660</v>
      </c>
      <c r="B1370" s="6" t="s">
        <v>870</v>
      </c>
      <c r="C1370" s="6" t="s">
        <v>699</v>
      </c>
      <c r="D1370" s="6" t="s">
        <v>858</v>
      </c>
      <c r="F1370" s="1">
        <f t="shared" si="21"/>
        <v>8</v>
      </c>
      <c r="H1370" s="4"/>
    </row>
    <row r="1371" spans="1:8" x14ac:dyDescent="0.25">
      <c r="A1371" s="6">
        <v>46661</v>
      </c>
      <c r="B1371" s="6" t="s">
        <v>870</v>
      </c>
      <c r="C1371" s="6" t="s">
        <v>699</v>
      </c>
      <c r="D1371" s="6" t="s">
        <v>858</v>
      </c>
      <c r="F1371" s="1">
        <f t="shared" si="21"/>
        <v>8</v>
      </c>
      <c r="H1371" s="4"/>
    </row>
    <row r="1372" spans="1:8" x14ac:dyDescent="0.25">
      <c r="A1372" s="6">
        <v>46662</v>
      </c>
      <c r="B1372" s="6" t="s">
        <v>871</v>
      </c>
      <c r="C1372" s="6" t="s">
        <v>701</v>
      </c>
      <c r="D1372" s="6" t="s">
        <v>858</v>
      </c>
      <c r="E1372" s="1" t="s">
        <v>727</v>
      </c>
      <c r="F1372" s="1">
        <f t="shared" si="21"/>
        <v>0</v>
      </c>
      <c r="H1372" s="4"/>
    </row>
    <row r="1373" spans="1:8" x14ac:dyDescent="0.25">
      <c r="A1373" s="6">
        <v>46663</v>
      </c>
      <c r="B1373" s="6" t="s">
        <v>871</v>
      </c>
      <c r="C1373" s="6" t="s">
        <v>701</v>
      </c>
      <c r="D1373" s="6" t="s">
        <v>858</v>
      </c>
      <c r="E1373" s="1" t="s">
        <v>727</v>
      </c>
      <c r="F1373" s="1">
        <f t="shared" si="21"/>
        <v>0</v>
      </c>
      <c r="H1373" s="4"/>
    </row>
    <row r="1374" spans="1:8" x14ac:dyDescent="0.25">
      <c r="A1374" s="6">
        <v>46664</v>
      </c>
      <c r="B1374" s="6" t="s">
        <v>871</v>
      </c>
      <c r="C1374" s="6" t="s">
        <v>701</v>
      </c>
      <c r="D1374" s="6" t="s">
        <v>858</v>
      </c>
      <c r="F1374" s="1">
        <f t="shared" si="21"/>
        <v>8</v>
      </c>
      <c r="H1374" s="4"/>
    </row>
    <row r="1375" spans="1:8" x14ac:dyDescent="0.25">
      <c r="A1375" s="6">
        <v>46665</v>
      </c>
      <c r="B1375" s="6" t="s">
        <v>871</v>
      </c>
      <c r="C1375" s="6" t="s">
        <v>701</v>
      </c>
      <c r="D1375" s="6" t="s">
        <v>858</v>
      </c>
      <c r="F1375" s="1">
        <f t="shared" si="21"/>
        <v>8</v>
      </c>
      <c r="H1375" s="4"/>
    </row>
    <row r="1376" spans="1:8" x14ac:dyDescent="0.25">
      <c r="A1376" s="6">
        <v>46666</v>
      </c>
      <c r="B1376" s="6" t="s">
        <v>871</v>
      </c>
      <c r="C1376" s="6" t="s">
        <v>701</v>
      </c>
      <c r="D1376" s="6" t="s">
        <v>858</v>
      </c>
      <c r="F1376" s="1">
        <f t="shared" si="21"/>
        <v>8</v>
      </c>
      <c r="H1376" s="4"/>
    </row>
    <row r="1377" spans="1:8" x14ac:dyDescent="0.25">
      <c r="A1377" s="6">
        <v>46667</v>
      </c>
      <c r="B1377" s="6" t="s">
        <v>871</v>
      </c>
      <c r="C1377" s="6" t="s">
        <v>701</v>
      </c>
      <c r="D1377" s="6" t="s">
        <v>858</v>
      </c>
      <c r="F1377" s="1">
        <f t="shared" si="21"/>
        <v>8</v>
      </c>
      <c r="H1377" s="4"/>
    </row>
    <row r="1378" spans="1:8" x14ac:dyDescent="0.25">
      <c r="A1378" s="6">
        <v>46668</v>
      </c>
      <c r="B1378" s="6" t="s">
        <v>871</v>
      </c>
      <c r="C1378" s="6" t="s">
        <v>701</v>
      </c>
      <c r="D1378" s="6" t="s">
        <v>858</v>
      </c>
      <c r="F1378" s="1">
        <f t="shared" si="21"/>
        <v>8</v>
      </c>
      <c r="H1378" s="4"/>
    </row>
    <row r="1379" spans="1:8" x14ac:dyDescent="0.25">
      <c r="A1379" s="6">
        <v>46669</v>
      </c>
      <c r="B1379" s="6" t="s">
        <v>872</v>
      </c>
      <c r="C1379" s="6" t="s">
        <v>704</v>
      </c>
      <c r="D1379" s="6" t="s">
        <v>858</v>
      </c>
      <c r="E1379" s="1" t="s">
        <v>727</v>
      </c>
      <c r="F1379" s="1">
        <f t="shared" si="21"/>
        <v>0</v>
      </c>
      <c r="H1379" s="4"/>
    </row>
    <row r="1380" spans="1:8" x14ac:dyDescent="0.25">
      <c r="A1380" s="6">
        <v>46670</v>
      </c>
      <c r="B1380" s="6" t="s">
        <v>872</v>
      </c>
      <c r="C1380" s="6" t="s">
        <v>704</v>
      </c>
      <c r="D1380" s="6" t="s">
        <v>858</v>
      </c>
      <c r="E1380" s="1" t="s">
        <v>727</v>
      </c>
      <c r="F1380" s="1">
        <f t="shared" si="21"/>
        <v>0</v>
      </c>
      <c r="H1380" s="4"/>
    </row>
    <row r="1381" spans="1:8" x14ac:dyDescent="0.25">
      <c r="A1381" s="6">
        <v>46671</v>
      </c>
      <c r="B1381" s="6" t="s">
        <v>872</v>
      </c>
      <c r="C1381" s="6" t="s">
        <v>704</v>
      </c>
      <c r="D1381" s="6" t="s">
        <v>858</v>
      </c>
      <c r="F1381" s="1">
        <f t="shared" si="21"/>
        <v>8</v>
      </c>
      <c r="H1381" s="4"/>
    </row>
    <row r="1382" spans="1:8" x14ac:dyDescent="0.25">
      <c r="A1382" s="6">
        <v>46672</v>
      </c>
      <c r="B1382" s="6" t="s">
        <v>872</v>
      </c>
      <c r="C1382" s="6" t="s">
        <v>704</v>
      </c>
      <c r="D1382" s="6" t="s">
        <v>858</v>
      </c>
      <c r="F1382" s="1">
        <f t="shared" si="21"/>
        <v>8</v>
      </c>
      <c r="H1382" s="4"/>
    </row>
    <row r="1383" spans="1:8" x14ac:dyDescent="0.25">
      <c r="A1383" s="6">
        <v>46673</v>
      </c>
      <c r="B1383" s="6" t="s">
        <v>872</v>
      </c>
      <c r="C1383" s="6" t="s">
        <v>704</v>
      </c>
      <c r="D1383" s="6" t="s">
        <v>858</v>
      </c>
      <c r="F1383" s="1">
        <f t="shared" si="21"/>
        <v>8</v>
      </c>
      <c r="H1383" s="4"/>
    </row>
    <row r="1384" spans="1:8" x14ac:dyDescent="0.25">
      <c r="A1384" s="6">
        <v>46674</v>
      </c>
      <c r="B1384" s="6" t="s">
        <v>872</v>
      </c>
      <c r="C1384" s="6" t="s">
        <v>704</v>
      </c>
      <c r="D1384" s="6" t="s">
        <v>858</v>
      </c>
      <c r="F1384" s="1">
        <f t="shared" si="21"/>
        <v>8</v>
      </c>
      <c r="H1384" s="4"/>
    </row>
    <row r="1385" spans="1:8" x14ac:dyDescent="0.25">
      <c r="A1385" s="6">
        <v>46675</v>
      </c>
      <c r="B1385" s="6" t="s">
        <v>872</v>
      </c>
      <c r="C1385" s="6" t="s">
        <v>704</v>
      </c>
      <c r="D1385" s="6" t="s">
        <v>858</v>
      </c>
      <c r="F1385" s="1">
        <f t="shared" si="21"/>
        <v>8</v>
      </c>
      <c r="H1385" s="4"/>
    </row>
    <row r="1386" spans="1:8" x14ac:dyDescent="0.25">
      <c r="A1386" s="6">
        <v>46676</v>
      </c>
      <c r="B1386" s="6" t="s">
        <v>873</v>
      </c>
      <c r="C1386" s="6" t="s">
        <v>706</v>
      </c>
      <c r="D1386" s="6" t="s">
        <v>858</v>
      </c>
      <c r="E1386" s="1" t="s">
        <v>727</v>
      </c>
      <c r="F1386" s="1">
        <f t="shared" si="21"/>
        <v>0</v>
      </c>
      <c r="H1386" s="4"/>
    </row>
    <row r="1387" spans="1:8" x14ac:dyDescent="0.25">
      <c r="A1387" s="6">
        <v>46677</v>
      </c>
      <c r="B1387" s="6" t="s">
        <v>873</v>
      </c>
      <c r="C1387" s="6" t="s">
        <v>706</v>
      </c>
      <c r="D1387" s="6" t="s">
        <v>858</v>
      </c>
      <c r="E1387" s="1" t="s">
        <v>727</v>
      </c>
      <c r="F1387" s="1">
        <f t="shared" si="21"/>
        <v>0</v>
      </c>
      <c r="H1387" s="4"/>
    </row>
    <row r="1388" spans="1:8" x14ac:dyDescent="0.25">
      <c r="A1388" s="6">
        <v>46678</v>
      </c>
      <c r="B1388" s="6" t="s">
        <v>873</v>
      </c>
      <c r="C1388" s="6" t="s">
        <v>706</v>
      </c>
      <c r="D1388" s="6" t="s">
        <v>858</v>
      </c>
      <c r="F1388" s="1">
        <f t="shared" si="21"/>
        <v>8</v>
      </c>
      <c r="H1388" s="4"/>
    </row>
    <row r="1389" spans="1:8" x14ac:dyDescent="0.25">
      <c r="A1389" s="6">
        <v>46679</v>
      </c>
      <c r="B1389" s="6" t="s">
        <v>873</v>
      </c>
      <c r="C1389" s="6" t="s">
        <v>706</v>
      </c>
      <c r="D1389" s="6" t="s">
        <v>858</v>
      </c>
      <c r="F1389" s="1">
        <f t="shared" si="21"/>
        <v>8</v>
      </c>
      <c r="H1389" s="4"/>
    </row>
    <row r="1390" spans="1:8" x14ac:dyDescent="0.25">
      <c r="A1390" s="6">
        <v>46680</v>
      </c>
      <c r="B1390" s="6" t="s">
        <v>873</v>
      </c>
      <c r="C1390" s="6" t="s">
        <v>706</v>
      </c>
      <c r="D1390" s="6" t="s">
        <v>858</v>
      </c>
      <c r="F1390" s="1">
        <f t="shared" si="21"/>
        <v>8</v>
      </c>
      <c r="H1390" s="4"/>
    </row>
    <row r="1391" spans="1:8" x14ac:dyDescent="0.25">
      <c r="A1391" s="6">
        <v>46681</v>
      </c>
      <c r="B1391" s="6" t="s">
        <v>873</v>
      </c>
      <c r="C1391" s="6" t="s">
        <v>706</v>
      </c>
      <c r="D1391" s="6" t="s">
        <v>858</v>
      </c>
      <c r="F1391" s="1">
        <f t="shared" si="21"/>
        <v>8</v>
      </c>
      <c r="H1391" s="4"/>
    </row>
    <row r="1392" spans="1:8" x14ac:dyDescent="0.25">
      <c r="A1392" s="6">
        <v>46682</v>
      </c>
      <c r="B1392" s="6" t="s">
        <v>873</v>
      </c>
      <c r="C1392" s="6" t="s">
        <v>706</v>
      </c>
      <c r="D1392" s="6" t="s">
        <v>858</v>
      </c>
      <c r="F1392" s="1">
        <f t="shared" si="21"/>
        <v>8</v>
      </c>
      <c r="H1392" s="4"/>
    </row>
    <row r="1393" spans="1:8" x14ac:dyDescent="0.25">
      <c r="A1393" s="6">
        <v>46683</v>
      </c>
      <c r="B1393" s="6" t="s">
        <v>874</v>
      </c>
      <c r="C1393" s="6" t="s">
        <v>708</v>
      </c>
      <c r="D1393" s="6" t="s">
        <v>858</v>
      </c>
      <c r="E1393" s="1" t="s">
        <v>727</v>
      </c>
      <c r="F1393" s="1">
        <f t="shared" si="21"/>
        <v>0</v>
      </c>
      <c r="H1393" s="4"/>
    </row>
    <row r="1394" spans="1:8" x14ac:dyDescent="0.25">
      <c r="A1394" s="6">
        <v>46684</v>
      </c>
      <c r="B1394" s="6" t="s">
        <v>874</v>
      </c>
      <c r="C1394" s="6" t="s">
        <v>708</v>
      </c>
      <c r="D1394" s="6" t="s">
        <v>858</v>
      </c>
      <c r="E1394" s="1" t="s">
        <v>727</v>
      </c>
      <c r="F1394" s="1">
        <f t="shared" si="21"/>
        <v>0</v>
      </c>
      <c r="H1394" s="4"/>
    </row>
    <row r="1395" spans="1:8" x14ac:dyDescent="0.25">
      <c r="A1395" s="6">
        <v>46685</v>
      </c>
      <c r="B1395" s="6" t="s">
        <v>874</v>
      </c>
      <c r="C1395" s="6" t="s">
        <v>708</v>
      </c>
      <c r="D1395" s="6" t="s">
        <v>858</v>
      </c>
      <c r="F1395" s="1">
        <f t="shared" si="21"/>
        <v>8</v>
      </c>
      <c r="H1395" s="4"/>
    </row>
    <row r="1396" spans="1:8" x14ac:dyDescent="0.25">
      <c r="A1396" s="6">
        <v>46686</v>
      </c>
      <c r="B1396" s="6" t="s">
        <v>874</v>
      </c>
      <c r="C1396" s="6" t="s">
        <v>708</v>
      </c>
      <c r="D1396" s="6" t="s">
        <v>858</v>
      </c>
      <c r="F1396" s="1">
        <f t="shared" si="21"/>
        <v>8</v>
      </c>
      <c r="H1396" s="4"/>
    </row>
    <row r="1397" spans="1:8" x14ac:dyDescent="0.25">
      <c r="A1397" s="6">
        <v>46687</v>
      </c>
      <c r="B1397" s="6" t="s">
        <v>874</v>
      </c>
      <c r="C1397" s="6" t="s">
        <v>708</v>
      </c>
      <c r="D1397" s="6" t="s">
        <v>858</v>
      </c>
      <c r="F1397" s="1">
        <f t="shared" si="21"/>
        <v>8</v>
      </c>
      <c r="H1397" s="4"/>
    </row>
    <row r="1398" spans="1:8" x14ac:dyDescent="0.25">
      <c r="A1398" s="6">
        <v>46688</v>
      </c>
      <c r="B1398" s="6" t="s">
        <v>874</v>
      </c>
      <c r="C1398" s="6" t="s">
        <v>708</v>
      </c>
      <c r="D1398" s="6" t="s">
        <v>858</v>
      </c>
      <c r="F1398" s="1">
        <f t="shared" si="21"/>
        <v>8</v>
      </c>
      <c r="H1398" s="4"/>
    </row>
    <row r="1399" spans="1:8" x14ac:dyDescent="0.25">
      <c r="A1399" s="6">
        <v>46689</v>
      </c>
      <c r="B1399" s="6" t="s">
        <v>874</v>
      </c>
      <c r="C1399" s="6" t="s">
        <v>708</v>
      </c>
      <c r="D1399" s="6" t="s">
        <v>858</v>
      </c>
      <c r="F1399" s="1">
        <f t="shared" si="21"/>
        <v>8</v>
      </c>
      <c r="H1399" s="4"/>
    </row>
    <row r="1400" spans="1:8" x14ac:dyDescent="0.25">
      <c r="A1400" s="6">
        <v>46690</v>
      </c>
      <c r="B1400" s="6" t="s">
        <v>875</v>
      </c>
      <c r="C1400" s="6" t="s">
        <v>710</v>
      </c>
      <c r="D1400" s="6" t="s">
        <v>858</v>
      </c>
      <c r="E1400" s="1" t="s">
        <v>727</v>
      </c>
      <c r="F1400" s="1">
        <f t="shared" si="21"/>
        <v>0</v>
      </c>
      <c r="H1400" s="4"/>
    </row>
    <row r="1401" spans="1:8" x14ac:dyDescent="0.25">
      <c r="A1401" s="6">
        <v>46691</v>
      </c>
      <c r="B1401" s="6" t="s">
        <v>875</v>
      </c>
      <c r="C1401" s="6" t="s">
        <v>710</v>
      </c>
      <c r="D1401" s="6" t="s">
        <v>858</v>
      </c>
      <c r="E1401" s="1" t="s">
        <v>727</v>
      </c>
      <c r="F1401" s="1">
        <f t="shared" si="21"/>
        <v>0</v>
      </c>
      <c r="H1401" s="4"/>
    </row>
    <row r="1402" spans="1:8" x14ac:dyDescent="0.25">
      <c r="A1402" s="6">
        <v>46692</v>
      </c>
      <c r="B1402" s="6" t="s">
        <v>875</v>
      </c>
      <c r="C1402" s="6" t="s">
        <v>710</v>
      </c>
      <c r="D1402" s="6" t="s">
        <v>858</v>
      </c>
      <c r="F1402" s="1">
        <f t="shared" si="21"/>
        <v>8</v>
      </c>
      <c r="H1402" s="4"/>
    </row>
    <row r="1403" spans="1:8" x14ac:dyDescent="0.25">
      <c r="A1403" s="6">
        <v>46693</v>
      </c>
      <c r="B1403" s="6" t="s">
        <v>875</v>
      </c>
      <c r="C1403" s="6" t="s">
        <v>710</v>
      </c>
      <c r="D1403" s="6" t="s">
        <v>858</v>
      </c>
      <c r="F1403" s="1">
        <f t="shared" si="21"/>
        <v>8</v>
      </c>
      <c r="H1403" s="4"/>
    </row>
    <row r="1404" spans="1:8" x14ac:dyDescent="0.25">
      <c r="A1404" s="6">
        <v>46694</v>
      </c>
      <c r="B1404" s="6" t="s">
        <v>875</v>
      </c>
      <c r="C1404" s="6" t="s">
        <v>710</v>
      </c>
      <c r="D1404" s="6" t="s">
        <v>858</v>
      </c>
      <c r="F1404" s="1">
        <f t="shared" si="21"/>
        <v>8</v>
      </c>
      <c r="H1404" s="4"/>
    </row>
    <row r="1405" spans="1:8" x14ac:dyDescent="0.25">
      <c r="A1405" s="6">
        <v>46695</v>
      </c>
      <c r="B1405" s="6" t="s">
        <v>875</v>
      </c>
      <c r="C1405" s="6" t="s">
        <v>710</v>
      </c>
      <c r="D1405" s="6" t="s">
        <v>858</v>
      </c>
      <c r="F1405" s="1">
        <f t="shared" si="21"/>
        <v>8</v>
      </c>
      <c r="H1405" s="4"/>
    </row>
    <row r="1406" spans="1:8" x14ac:dyDescent="0.25">
      <c r="A1406" s="6">
        <v>46696</v>
      </c>
      <c r="B1406" s="6" t="s">
        <v>875</v>
      </c>
      <c r="C1406" s="6" t="s">
        <v>710</v>
      </c>
      <c r="D1406" s="6" t="s">
        <v>858</v>
      </c>
      <c r="F1406" s="1">
        <f t="shared" si="21"/>
        <v>8</v>
      </c>
      <c r="H1406" s="4"/>
    </row>
    <row r="1407" spans="1:8" x14ac:dyDescent="0.25">
      <c r="A1407" s="6">
        <v>46697</v>
      </c>
      <c r="B1407" s="6" t="s">
        <v>876</v>
      </c>
      <c r="C1407" s="6" t="s">
        <v>712</v>
      </c>
      <c r="D1407" s="6" t="s">
        <v>858</v>
      </c>
      <c r="E1407" s="1" t="s">
        <v>727</v>
      </c>
      <c r="F1407" s="1">
        <f t="shared" si="21"/>
        <v>0</v>
      </c>
      <c r="H1407" s="4"/>
    </row>
    <row r="1408" spans="1:8" x14ac:dyDescent="0.25">
      <c r="A1408" s="6">
        <v>46698</v>
      </c>
      <c r="B1408" s="6" t="s">
        <v>876</v>
      </c>
      <c r="C1408" s="6" t="s">
        <v>712</v>
      </c>
      <c r="D1408" s="6" t="s">
        <v>858</v>
      </c>
      <c r="E1408" s="1" t="s">
        <v>727</v>
      </c>
      <c r="F1408" s="1">
        <f t="shared" si="21"/>
        <v>0</v>
      </c>
      <c r="H1408" s="4"/>
    </row>
    <row r="1409" spans="1:8" x14ac:dyDescent="0.25">
      <c r="A1409" s="6">
        <v>46699</v>
      </c>
      <c r="B1409" s="6" t="s">
        <v>876</v>
      </c>
      <c r="C1409" s="6" t="s">
        <v>712</v>
      </c>
      <c r="D1409" s="6" t="s">
        <v>858</v>
      </c>
      <c r="F1409" s="1">
        <f t="shared" si="21"/>
        <v>8</v>
      </c>
      <c r="H1409" s="4"/>
    </row>
    <row r="1410" spans="1:8" x14ac:dyDescent="0.25">
      <c r="A1410" s="6">
        <v>46700</v>
      </c>
      <c r="B1410" s="6" t="s">
        <v>876</v>
      </c>
      <c r="C1410" s="6" t="s">
        <v>712</v>
      </c>
      <c r="D1410" s="6" t="s">
        <v>858</v>
      </c>
      <c r="F1410" s="1">
        <f t="shared" ref="F1410:F1473" si="22">IF(OR(E1410="",E1410="调休"),8,0)</f>
        <v>8</v>
      </c>
      <c r="H1410" s="4"/>
    </row>
    <row r="1411" spans="1:8" x14ac:dyDescent="0.25">
      <c r="A1411" s="6">
        <v>46701</v>
      </c>
      <c r="B1411" s="6" t="s">
        <v>876</v>
      </c>
      <c r="C1411" s="6" t="s">
        <v>712</v>
      </c>
      <c r="D1411" s="6" t="s">
        <v>858</v>
      </c>
      <c r="F1411" s="1">
        <f t="shared" si="22"/>
        <v>8</v>
      </c>
      <c r="H1411" s="4"/>
    </row>
    <row r="1412" spans="1:8" x14ac:dyDescent="0.25">
      <c r="A1412" s="6">
        <v>46702</v>
      </c>
      <c r="B1412" s="6" t="s">
        <v>876</v>
      </c>
      <c r="C1412" s="6" t="s">
        <v>712</v>
      </c>
      <c r="D1412" s="6" t="s">
        <v>858</v>
      </c>
      <c r="F1412" s="1">
        <f t="shared" si="22"/>
        <v>8</v>
      </c>
      <c r="H1412" s="4"/>
    </row>
    <row r="1413" spans="1:8" x14ac:dyDescent="0.25">
      <c r="A1413" s="6">
        <v>46703</v>
      </c>
      <c r="B1413" s="6" t="s">
        <v>876</v>
      </c>
      <c r="C1413" s="6" t="s">
        <v>712</v>
      </c>
      <c r="D1413" s="6" t="s">
        <v>858</v>
      </c>
      <c r="F1413" s="1">
        <f t="shared" si="22"/>
        <v>8</v>
      </c>
      <c r="H1413" s="4"/>
    </row>
    <row r="1414" spans="1:8" x14ac:dyDescent="0.25">
      <c r="A1414" s="6">
        <v>46704</v>
      </c>
      <c r="B1414" s="6" t="s">
        <v>877</v>
      </c>
      <c r="C1414" s="6" t="s">
        <v>714</v>
      </c>
      <c r="D1414" s="6" t="s">
        <v>858</v>
      </c>
      <c r="E1414" s="1" t="s">
        <v>727</v>
      </c>
      <c r="F1414" s="1">
        <f t="shared" si="22"/>
        <v>0</v>
      </c>
      <c r="H1414" s="4"/>
    </row>
    <row r="1415" spans="1:8" x14ac:dyDescent="0.25">
      <c r="A1415" s="6">
        <v>46705</v>
      </c>
      <c r="B1415" s="6" t="s">
        <v>877</v>
      </c>
      <c r="C1415" s="6" t="s">
        <v>714</v>
      </c>
      <c r="D1415" s="6" t="s">
        <v>858</v>
      </c>
      <c r="E1415" s="1" t="s">
        <v>727</v>
      </c>
      <c r="F1415" s="1">
        <f t="shared" si="22"/>
        <v>0</v>
      </c>
      <c r="H1415" s="4"/>
    </row>
    <row r="1416" spans="1:8" x14ac:dyDescent="0.25">
      <c r="A1416" s="6">
        <v>46706</v>
      </c>
      <c r="B1416" s="6" t="s">
        <v>877</v>
      </c>
      <c r="C1416" s="6" t="s">
        <v>714</v>
      </c>
      <c r="D1416" s="6" t="s">
        <v>858</v>
      </c>
      <c r="F1416" s="1">
        <f t="shared" si="22"/>
        <v>8</v>
      </c>
      <c r="H1416" s="4"/>
    </row>
    <row r="1417" spans="1:8" x14ac:dyDescent="0.25">
      <c r="A1417" s="6">
        <v>46707</v>
      </c>
      <c r="B1417" s="6" t="s">
        <v>877</v>
      </c>
      <c r="C1417" s="6" t="s">
        <v>714</v>
      </c>
      <c r="D1417" s="6" t="s">
        <v>858</v>
      </c>
      <c r="F1417" s="1">
        <f t="shared" si="22"/>
        <v>8</v>
      </c>
      <c r="H1417" s="4"/>
    </row>
    <row r="1418" spans="1:8" x14ac:dyDescent="0.25">
      <c r="A1418" s="6">
        <v>46708</v>
      </c>
      <c r="B1418" s="6" t="s">
        <v>877</v>
      </c>
      <c r="C1418" s="6" t="s">
        <v>714</v>
      </c>
      <c r="D1418" s="6" t="s">
        <v>858</v>
      </c>
      <c r="F1418" s="1">
        <f t="shared" si="22"/>
        <v>8</v>
      </c>
      <c r="H1418" s="4"/>
    </row>
    <row r="1419" spans="1:8" x14ac:dyDescent="0.25">
      <c r="A1419" s="6">
        <v>46709</v>
      </c>
      <c r="B1419" s="6" t="s">
        <v>877</v>
      </c>
      <c r="C1419" s="6" t="s">
        <v>714</v>
      </c>
      <c r="D1419" s="6" t="s">
        <v>858</v>
      </c>
      <c r="F1419" s="1">
        <f t="shared" si="22"/>
        <v>8</v>
      </c>
      <c r="H1419" s="4"/>
    </row>
    <row r="1420" spans="1:8" x14ac:dyDescent="0.25">
      <c r="A1420" s="6">
        <v>46710</v>
      </c>
      <c r="B1420" s="6" t="s">
        <v>877</v>
      </c>
      <c r="C1420" s="6" t="s">
        <v>714</v>
      </c>
      <c r="D1420" s="6" t="s">
        <v>858</v>
      </c>
      <c r="F1420" s="1">
        <f t="shared" si="22"/>
        <v>8</v>
      </c>
      <c r="H1420" s="4"/>
    </row>
    <row r="1421" spans="1:8" x14ac:dyDescent="0.25">
      <c r="A1421" s="6">
        <v>46711</v>
      </c>
      <c r="B1421" s="6" t="s">
        <v>878</v>
      </c>
      <c r="C1421" s="6" t="s">
        <v>716</v>
      </c>
      <c r="D1421" s="6" t="s">
        <v>858</v>
      </c>
      <c r="E1421" s="1" t="s">
        <v>727</v>
      </c>
      <c r="F1421" s="1">
        <f t="shared" si="22"/>
        <v>0</v>
      </c>
      <c r="H1421" s="4"/>
    </row>
    <row r="1422" spans="1:8" x14ac:dyDescent="0.25">
      <c r="A1422" s="6">
        <v>46712</v>
      </c>
      <c r="B1422" s="6" t="s">
        <v>878</v>
      </c>
      <c r="C1422" s="6" t="s">
        <v>716</v>
      </c>
      <c r="D1422" s="6" t="s">
        <v>858</v>
      </c>
      <c r="E1422" s="1" t="s">
        <v>727</v>
      </c>
      <c r="F1422" s="1">
        <f t="shared" si="22"/>
        <v>0</v>
      </c>
      <c r="H1422" s="4"/>
    </row>
    <row r="1423" spans="1:8" x14ac:dyDescent="0.25">
      <c r="A1423" s="6">
        <v>46713</v>
      </c>
      <c r="B1423" s="6" t="s">
        <v>878</v>
      </c>
      <c r="C1423" s="6" t="s">
        <v>716</v>
      </c>
      <c r="D1423" s="6" t="s">
        <v>858</v>
      </c>
      <c r="F1423" s="1">
        <f t="shared" si="22"/>
        <v>8</v>
      </c>
      <c r="H1423" s="4"/>
    </row>
    <row r="1424" spans="1:8" x14ac:dyDescent="0.25">
      <c r="A1424" s="6">
        <v>46714</v>
      </c>
      <c r="B1424" s="6" t="s">
        <v>878</v>
      </c>
      <c r="C1424" s="6" t="s">
        <v>716</v>
      </c>
      <c r="D1424" s="6" t="s">
        <v>858</v>
      </c>
      <c r="F1424" s="1">
        <f t="shared" si="22"/>
        <v>8</v>
      </c>
      <c r="H1424" s="4"/>
    </row>
    <row r="1425" spans="1:8" x14ac:dyDescent="0.25">
      <c r="A1425" s="6">
        <v>46715</v>
      </c>
      <c r="B1425" s="6" t="s">
        <v>878</v>
      </c>
      <c r="C1425" s="6" t="s">
        <v>716</v>
      </c>
      <c r="D1425" s="6" t="s">
        <v>858</v>
      </c>
      <c r="F1425" s="1">
        <f t="shared" si="22"/>
        <v>8</v>
      </c>
      <c r="H1425" s="4"/>
    </row>
    <row r="1426" spans="1:8" x14ac:dyDescent="0.25">
      <c r="A1426" s="6">
        <v>46716</v>
      </c>
      <c r="B1426" s="6" t="s">
        <v>878</v>
      </c>
      <c r="C1426" s="6" t="s">
        <v>716</v>
      </c>
      <c r="D1426" s="6" t="s">
        <v>858</v>
      </c>
      <c r="F1426" s="1">
        <f t="shared" si="22"/>
        <v>8</v>
      </c>
      <c r="H1426" s="4"/>
    </row>
    <row r="1427" spans="1:8" x14ac:dyDescent="0.25">
      <c r="A1427" s="6">
        <v>46717</v>
      </c>
      <c r="B1427" s="6" t="s">
        <v>878</v>
      </c>
      <c r="C1427" s="6" t="s">
        <v>716</v>
      </c>
      <c r="D1427" s="6" t="s">
        <v>858</v>
      </c>
      <c r="F1427" s="1">
        <f t="shared" si="22"/>
        <v>8</v>
      </c>
      <c r="H1427" s="4"/>
    </row>
    <row r="1428" spans="1:8" x14ac:dyDescent="0.25">
      <c r="A1428" s="6">
        <v>46718</v>
      </c>
      <c r="B1428" s="6" t="s">
        <v>879</v>
      </c>
      <c r="C1428" s="6" t="s">
        <v>718</v>
      </c>
      <c r="D1428" s="6" t="s">
        <v>858</v>
      </c>
      <c r="E1428" s="1" t="s">
        <v>727</v>
      </c>
      <c r="F1428" s="1">
        <f t="shared" si="22"/>
        <v>0</v>
      </c>
      <c r="H1428" s="4"/>
    </row>
    <row r="1429" spans="1:8" x14ac:dyDescent="0.25">
      <c r="A1429" s="6">
        <v>46719</v>
      </c>
      <c r="B1429" s="6" t="s">
        <v>879</v>
      </c>
      <c r="C1429" s="6" t="s">
        <v>718</v>
      </c>
      <c r="D1429" s="6" t="s">
        <v>858</v>
      </c>
      <c r="E1429" s="1" t="s">
        <v>727</v>
      </c>
      <c r="F1429" s="1">
        <f t="shared" si="22"/>
        <v>0</v>
      </c>
      <c r="H1429" s="4"/>
    </row>
    <row r="1430" spans="1:8" x14ac:dyDescent="0.25">
      <c r="A1430" s="6">
        <v>46720</v>
      </c>
      <c r="B1430" s="6" t="s">
        <v>879</v>
      </c>
      <c r="C1430" s="6" t="s">
        <v>718</v>
      </c>
      <c r="D1430" s="6" t="s">
        <v>858</v>
      </c>
      <c r="F1430" s="1">
        <f t="shared" si="22"/>
        <v>8</v>
      </c>
      <c r="H1430" s="4"/>
    </row>
    <row r="1431" spans="1:8" x14ac:dyDescent="0.25">
      <c r="A1431" s="6">
        <v>46721</v>
      </c>
      <c r="B1431" s="6" t="s">
        <v>879</v>
      </c>
      <c r="C1431" s="6" t="s">
        <v>718</v>
      </c>
      <c r="D1431" s="6" t="s">
        <v>858</v>
      </c>
      <c r="F1431" s="1">
        <f t="shared" si="22"/>
        <v>8</v>
      </c>
      <c r="H1431" s="4"/>
    </row>
    <row r="1432" spans="1:8" x14ac:dyDescent="0.25">
      <c r="A1432" s="6">
        <v>46722</v>
      </c>
      <c r="B1432" s="6" t="s">
        <v>879</v>
      </c>
      <c r="C1432" s="6" t="s">
        <v>718</v>
      </c>
      <c r="D1432" s="6" t="s">
        <v>858</v>
      </c>
      <c r="F1432" s="1">
        <f t="shared" si="22"/>
        <v>8</v>
      </c>
      <c r="H1432" s="4"/>
    </row>
    <row r="1433" spans="1:8" x14ac:dyDescent="0.25">
      <c r="A1433" s="6">
        <v>46723</v>
      </c>
      <c r="B1433" s="6" t="s">
        <v>879</v>
      </c>
      <c r="C1433" s="6" t="s">
        <v>718</v>
      </c>
      <c r="D1433" s="6" t="s">
        <v>858</v>
      </c>
      <c r="F1433" s="1">
        <f t="shared" si="22"/>
        <v>8</v>
      </c>
      <c r="H1433" s="4"/>
    </row>
    <row r="1434" spans="1:8" x14ac:dyDescent="0.25">
      <c r="A1434" s="6">
        <v>46724</v>
      </c>
      <c r="B1434" s="6" t="s">
        <v>879</v>
      </c>
      <c r="C1434" s="6" t="s">
        <v>718</v>
      </c>
      <c r="D1434" s="6" t="s">
        <v>858</v>
      </c>
      <c r="F1434" s="1">
        <f t="shared" si="22"/>
        <v>8</v>
      </c>
      <c r="H1434" s="4"/>
    </row>
    <row r="1435" spans="1:8" x14ac:dyDescent="0.25">
      <c r="A1435" s="6">
        <v>46725</v>
      </c>
      <c r="B1435" s="6" t="s">
        <v>880</v>
      </c>
      <c r="C1435" s="6" t="s">
        <v>720</v>
      </c>
      <c r="D1435" s="6" t="s">
        <v>858</v>
      </c>
      <c r="E1435" s="1" t="s">
        <v>727</v>
      </c>
      <c r="F1435" s="1">
        <f t="shared" si="22"/>
        <v>0</v>
      </c>
      <c r="H1435" s="4"/>
    </row>
    <row r="1436" spans="1:8" x14ac:dyDescent="0.25">
      <c r="A1436" s="6">
        <v>46726</v>
      </c>
      <c r="B1436" s="6" t="s">
        <v>880</v>
      </c>
      <c r="C1436" s="6" t="s">
        <v>720</v>
      </c>
      <c r="D1436" s="6" t="s">
        <v>858</v>
      </c>
      <c r="E1436" s="1" t="s">
        <v>727</v>
      </c>
      <c r="F1436" s="1">
        <f t="shared" si="22"/>
        <v>0</v>
      </c>
      <c r="H1436" s="4"/>
    </row>
    <row r="1437" spans="1:8" x14ac:dyDescent="0.25">
      <c r="A1437" s="6">
        <v>46727</v>
      </c>
      <c r="B1437" s="6" t="s">
        <v>880</v>
      </c>
      <c r="C1437" s="6" t="s">
        <v>720</v>
      </c>
      <c r="D1437" s="6" t="s">
        <v>858</v>
      </c>
      <c r="F1437" s="1">
        <f t="shared" si="22"/>
        <v>8</v>
      </c>
      <c r="H1437" s="4"/>
    </row>
    <row r="1438" spans="1:8" x14ac:dyDescent="0.25">
      <c r="A1438" s="6">
        <v>46728</v>
      </c>
      <c r="B1438" s="6" t="s">
        <v>880</v>
      </c>
      <c r="C1438" s="6" t="s">
        <v>720</v>
      </c>
      <c r="D1438" s="6" t="s">
        <v>858</v>
      </c>
      <c r="F1438" s="1">
        <f t="shared" si="22"/>
        <v>8</v>
      </c>
      <c r="H1438" s="4"/>
    </row>
    <row r="1439" spans="1:8" x14ac:dyDescent="0.25">
      <c r="A1439" s="6">
        <v>46729</v>
      </c>
      <c r="B1439" s="6" t="s">
        <v>880</v>
      </c>
      <c r="C1439" s="6" t="s">
        <v>720</v>
      </c>
      <c r="D1439" s="6" t="s">
        <v>858</v>
      </c>
      <c r="F1439" s="1">
        <f t="shared" si="22"/>
        <v>8</v>
      </c>
      <c r="H1439" s="4"/>
    </row>
    <row r="1440" spans="1:8" x14ac:dyDescent="0.25">
      <c r="A1440" s="6">
        <v>46730</v>
      </c>
      <c r="B1440" s="6" t="s">
        <v>880</v>
      </c>
      <c r="C1440" s="6" t="s">
        <v>720</v>
      </c>
      <c r="D1440" s="6" t="s">
        <v>858</v>
      </c>
      <c r="F1440" s="1">
        <f t="shared" si="22"/>
        <v>8</v>
      </c>
      <c r="H1440" s="4"/>
    </row>
    <row r="1441" spans="1:8" x14ac:dyDescent="0.25">
      <c r="A1441" s="6">
        <v>46731</v>
      </c>
      <c r="B1441" s="6" t="s">
        <v>880</v>
      </c>
      <c r="C1441" s="6" t="s">
        <v>720</v>
      </c>
      <c r="D1441" s="6" t="s">
        <v>858</v>
      </c>
      <c r="F1441" s="1">
        <f t="shared" si="22"/>
        <v>8</v>
      </c>
      <c r="H1441" s="4"/>
    </row>
    <row r="1442" spans="1:8" x14ac:dyDescent="0.25">
      <c r="A1442" s="6">
        <v>46732</v>
      </c>
      <c r="B1442" s="6" t="s">
        <v>881</v>
      </c>
      <c r="C1442" s="6" t="s">
        <v>528</v>
      </c>
      <c r="D1442" s="6" t="s">
        <v>858</v>
      </c>
      <c r="E1442" s="1" t="s">
        <v>727</v>
      </c>
      <c r="F1442" s="1">
        <f t="shared" si="22"/>
        <v>0</v>
      </c>
      <c r="H1442" s="4"/>
    </row>
    <row r="1443" spans="1:8" x14ac:dyDescent="0.25">
      <c r="A1443" s="6">
        <v>46733</v>
      </c>
      <c r="B1443" s="6" t="s">
        <v>881</v>
      </c>
      <c r="C1443" s="6" t="s">
        <v>528</v>
      </c>
      <c r="D1443" s="6" t="s">
        <v>858</v>
      </c>
      <c r="E1443" s="1" t="s">
        <v>727</v>
      </c>
      <c r="F1443" s="1">
        <f t="shared" si="22"/>
        <v>0</v>
      </c>
      <c r="H1443" s="4"/>
    </row>
    <row r="1444" spans="1:8" x14ac:dyDescent="0.25">
      <c r="A1444" s="6">
        <v>46734</v>
      </c>
      <c r="B1444" s="6" t="s">
        <v>881</v>
      </c>
      <c r="C1444" s="6" t="s">
        <v>528</v>
      </c>
      <c r="D1444" s="6" t="s">
        <v>858</v>
      </c>
      <c r="F1444" s="1">
        <f t="shared" si="22"/>
        <v>8</v>
      </c>
      <c r="H1444" s="4"/>
    </row>
    <row r="1445" spans="1:8" x14ac:dyDescent="0.25">
      <c r="A1445" s="6">
        <v>46735</v>
      </c>
      <c r="B1445" s="6" t="s">
        <v>881</v>
      </c>
      <c r="C1445" s="6" t="s">
        <v>528</v>
      </c>
      <c r="D1445" s="6" t="s">
        <v>858</v>
      </c>
      <c r="F1445" s="1">
        <f t="shared" si="22"/>
        <v>8</v>
      </c>
      <c r="H1445" s="4"/>
    </row>
    <row r="1446" spans="1:8" x14ac:dyDescent="0.25">
      <c r="A1446" s="6">
        <v>46736</v>
      </c>
      <c r="B1446" s="6" t="s">
        <v>881</v>
      </c>
      <c r="C1446" s="6" t="s">
        <v>528</v>
      </c>
      <c r="D1446" s="6" t="s">
        <v>858</v>
      </c>
      <c r="F1446" s="1">
        <f t="shared" si="22"/>
        <v>8</v>
      </c>
      <c r="H1446" s="4"/>
    </row>
    <row r="1447" spans="1:8" x14ac:dyDescent="0.25">
      <c r="A1447" s="6">
        <v>46737</v>
      </c>
      <c r="B1447" s="6" t="s">
        <v>881</v>
      </c>
      <c r="C1447" s="6" t="s">
        <v>528</v>
      </c>
      <c r="D1447" s="6" t="s">
        <v>858</v>
      </c>
      <c r="F1447" s="1">
        <f t="shared" si="22"/>
        <v>8</v>
      </c>
      <c r="H1447" s="4"/>
    </row>
    <row r="1448" spans="1:8" x14ac:dyDescent="0.25">
      <c r="A1448" s="6">
        <v>46738</v>
      </c>
      <c r="B1448" s="6" t="s">
        <v>881</v>
      </c>
      <c r="C1448" s="6" t="s">
        <v>528</v>
      </c>
      <c r="D1448" s="6" t="s">
        <v>858</v>
      </c>
      <c r="F1448" s="1">
        <f t="shared" si="22"/>
        <v>8</v>
      </c>
      <c r="H1448" s="4"/>
    </row>
    <row r="1449" spans="1:8" x14ac:dyDescent="0.25">
      <c r="A1449" s="6">
        <v>46739</v>
      </c>
      <c r="B1449" s="6" t="s">
        <v>882</v>
      </c>
      <c r="C1449" s="6" t="s">
        <v>532</v>
      </c>
      <c r="D1449" s="6" t="s">
        <v>858</v>
      </c>
      <c r="E1449" s="1" t="s">
        <v>727</v>
      </c>
      <c r="F1449" s="1">
        <f t="shared" si="22"/>
        <v>0</v>
      </c>
      <c r="H1449" s="4"/>
    </row>
    <row r="1450" spans="1:8" x14ac:dyDescent="0.25">
      <c r="A1450" s="6">
        <v>46740</v>
      </c>
      <c r="B1450" s="6" t="s">
        <v>882</v>
      </c>
      <c r="C1450" s="6" t="s">
        <v>532</v>
      </c>
      <c r="D1450" s="6" t="s">
        <v>858</v>
      </c>
      <c r="E1450" s="1" t="s">
        <v>727</v>
      </c>
      <c r="F1450" s="1">
        <f t="shared" si="22"/>
        <v>0</v>
      </c>
      <c r="H1450" s="4"/>
    </row>
    <row r="1451" spans="1:8" x14ac:dyDescent="0.25">
      <c r="A1451" s="6">
        <v>46741</v>
      </c>
      <c r="B1451" s="6" t="s">
        <v>882</v>
      </c>
      <c r="C1451" s="6" t="s">
        <v>532</v>
      </c>
      <c r="D1451" s="6" t="s">
        <v>858</v>
      </c>
      <c r="F1451" s="1">
        <f t="shared" si="22"/>
        <v>8</v>
      </c>
      <c r="H1451" s="4"/>
    </row>
    <row r="1452" spans="1:8" x14ac:dyDescent="0.25">
      <c r="A1452" s="6">
        <v>46742</v>
      </c>
      <c r="B1452" s="6" t="s">
        <v>882</v>
      </c>
      <c r="C1452" s="6" t="s">
        <v>532</v>
      </c>
      <c r="D1452" s="6" t="s">
        <v>858</v>
      </c>
      <c r="F1452" s="1">
        <f t="shared" si="22"/>
        <v>8</v>
      </c>
      <c r="H1452" s="4"/>
    </row>
    <row r="1453" spans="1:8" x14ac:dyDescent="0.25">
      <c r="A1453" s="6">
        <v>46743</v>
      </c>
      <c r="B1453" s="6" t="s">
        <v>882</v>
      </c>
      <c r="C1453" s="6" t="s">
        <v>532</v>
      </c>
      <c r="D1453" s="6" t="s">
        <v>858</v>
      </c>
      <c r="F1453" s="1">
        <f t="shared" si="22"/>
        <v>8</v>
      </c>
      <c r="H1453" s="4"/>
    </row>
    <row r="1454" spans="1:8" x14ac:dyDescent="0.25">
      <c r="A1454" s="6">
        <v>46744</v>
      </c>
      <c r="B1454" s="6" t="s">
        <v>882</v>
      </c>
      <c r="C1454" s="6" t="s">
        <v>532</v>
      </c>
      <c r="D1454" s="6" t="s">
        <v>858</v>
      </c>
      <c r="F1454" s="1">
        <f t="shared" si="22"/>
        <v>8</v>
      </c>
      <c r="H1454" s="4"/>
    </row>
    <row r="1455" spans="1:8" x14ac:dyDescent="0.25">
      <c r="A1455" s="6">
        <v>46745</v>
      </c>
      <c r="B1455" s="6" t="s">
        <v>882</v>
      </c>
      <c r="C1455" s="6" t="s">
        <v>532</v>
      </c>
      <c r="D1455" s="6" t="s">
        <v>858</v>
      </c>
      <c r="F1455" s="1">
        <f t="shared" si="22"/>
        <v>8</v>
      </c>
      <c r="H1455" s="4"/>
    </row>
    <row r="1456" spans="1:8" x14ac:dyDescent="0.25">
      <c r="A1456" s="6">
        <v>46746</v>
      </c>
      <c r="B1456" s="6" t="s">
        <v>883</v>
      </c>
      <c r="C1456" s="6" t="s">
        <v>534</v>
      </c>
      <c r="D1456" s="6" t="s">
        <v>858</v>
      </c>
      <c r="E1456" s="1" t="s">
        <v>727</v>
      </c>
      <c r="F1456" s="1">
        <f t="shared" si="22"/>
        <v>0</v>
      </c>
      <c r="H1456" s="4"/>
    </row>
    <row r="1457" spans="1:8" x14ac:dyDescent="0.25">
      <c r="A1457" s="6">
        <v>46747</v>
      </c>
      <c r="B1457" s="6" t="s">
        <v>883</v>
      </c>
      <c r="C1457" s="6" t="s">
        <v>534</v>
      </c>
      <c r="D1457" s="6" t="s">
        <v>858</v>
      </c>
      <c r="E1457" s="1" t="s">
        <v>727</v>
      </c>
      <c r="F1457" s="1">
        <f t="shared" si="22"/>
        <v>0</v>
      </c>
      <c r="H1457" s="4"/>
    </row>
    <row r="1458" spans="1:8" x14ac:dyDescent="0.25">
      <c r="A1458" s="6">
        <v>46748</v>
      </c>
      <c r="B1458" s="6" t="s">
        <v>883</v>
      </c>
      <c r="C1458" s="6" t="s">
        <v>534</v>
      </c>
      <c r="D1458" s="6" t="s">
        <v>858</v>
      </c>
      <c r="F1458" s="1">
        <f t="shared" si="22"/>
        <v>8</v>
      </c>
      <c r="H1458" s="4"/>
    </row>
    <row r="1459" spans="1:8" x14ac:dyDescent="0.25">
      <c r="A1459" s="6">
        <v>46749</v>
      </c>
      <c r="B1459" s="6" t="s">
        <v>883</v>
      </c>
      <c r="C1459" s="6" t="s">
        <v>534</v>
      </c>
      <c r="D1459" s="6" t="s">
        <v>858</v>
      </c>
      <c r="F1459" s="1">
        <f t="shared" si="22"/>
        <v>8</v>
      </c>
      <c r="H1459" s="4"/>
    </row>
    <row r="1460" spans="1:8" x14ac:dyDescent="0.25">
      <c r="A1460" s="6">
        <v>46750</v>
      </c>
      <c r="B1460" s="6" t="s">
        <v>883</v>
      </c>
      <c r="C1460" s="6" t="s">
        <v>534</v>
      </c>
      <c r="D1460" s="6" t="s">
        <v>858</v>
      </c>
      <c r="F1460" s="1">
        <f t="shared" si="22"/>
        <v>8</v>
      </c>
      <c r="H1460" s="4"/>
    </row>
    <row r="1461" spans="1:8" x14ac:dyDescent="0.25">
      <c r="A1461" s="6">
        <v>46751</v>
      </c>
      <c r="B1461" s="6" t="s">
        <v>883</v>
      </c>
      <c r="C1461" s="6" t="s">
        <v>534</v>
      </c>
      <c r="D1461" s="6" t="s">
        <v>858</v>
      </c>
      <c r="F1461" s="1">
        <f t="shared" si="22"/>
        <v>8</v>
      </c>
      <c r="H1461" s="4"/>
    </row>
    <row r="1462" spans="1:8" x14ac:dyDescent="0.25">
      <c r="A1462" s="6">
        <v>46752</v>
      </c>
      <c r="B1462" s="6" t="s">
        <v>883</v>
      </c>
      <c r="C1462" s="6" t="s">
        <v>534</v>
      </c>
      <c r="D1462" s="6" t="s">
        <v>858</v>
      </c>
      <c r="F1462" s="1">
        <f t="shared" si="22"/>
        <v>8</v>
      </c>
      <c r="H1462" s="4"/>
    </row>
    <row r="1463" spans="1:8" x14ac:dyDescent="0.25">
      <c r="A1463" s="6">
        <v>46753</v>
      </c>
      <c r="B1463" s="6" t="s">
        <v>884</v>
      </c>
      <c r="C1463" s="6" t="s">
        <v>536</v>
      </c>
      <c r="D1463" s="6" t="s">
        <v>858</v>
      </c>
      <c r="E1463" s="1" t="s">
        <v>727</v>
      </c>
      <c r="F1463" s="1">
        <f t="shared" si="22"/>
        <v>0</v>
      </c>
      <c r="H1463" s="4"/>
    </row>
    <row r="1464" spans="1:8" x14ac:dyDescent="0.25">
      <c r="A1464" s="6">
        <v>46754</v>
      </c>
      <c r="B1464" s="6" t="s">
        <v>884</v>
      </c>
      <c r="C1464" s="6" t="s">
        <v>536</v>
      </c>
      <c r="D1464" s="6" t="s">
        <v>858</v>
      </c>
      <c r="E1464" s="1" t="s">
        <v>727</v>
      </c>
      <c r="F1464" s="1">
        <f t="shared" si="22"/>
        <v>0</v>
      </c>
      <c r="H1464" s="4"/>
    </row>
    <row r="1465" spans="1:8" x14ac:dyDescent="0.25">
      <c r="A1465" s="6">
        <v>46755</v>
      </c>
      <c r="B1465" s="6" t="s">
        <v>884</v>
      </c>
      <c r="C1465" s="6" t="s">
        <v>536</v>
      </c>
      <c r="D1465" s="6" t="s">
        <v>858</v>
      </c>
      <c r="F1465" s="1">
        <f t="shared" si="22"/>
        <v>8</v>
      </c>
      <c r="H1465" s="4"/>
    </row>
    <row r="1466" spans="1:8" x14ac:dyDescent="0.25">
      <c r="A1466" s="6">
        <v>46756</v>
      </c>
      <c r="B1466" s="6" t="s">
        <v>884</v>
      </c>
      <c r="C1466" s="6" t="s">
        <v>536</v>
      </c>
      <c r="D1466" s="6" t="s">
        <v>858</v>
      </c>
      <c r="F1466" s="1">
        <f t="shared" si="22"/>
        <v>8</v>
      </c>
      <c r="H1466" s="4"/>
    </row>
    <row r="1467" spans="1:8" x14ac:dyDescent="0.25">
      <c r="A1467" s="6">
        <v>46757</v>
      </c>
      <c r="B1467" s="6" t="s">
        <v>884</v>
      </c>
      <c r="C1467" s="6" t="s">
        <v>536</v>
      </c>
      <c r="D1467" s="6" t="s">
        <v>858</v>
      </c>
      <c r="F1467" s="1">
        <f t="shared" si="22"/>
        <v>8</v>
      </c>
      <c r="H1467" s="4"/>
    </row>
    <row r="1468" spans="1:8" x14ac:dyDescent="0.25">
      <c r="A1468" s="6">
        <v>46758</v>
      </c>
      <c r="B1468" s="6" t="s">
        <v>884</v>
      </c>
      <c r="C1468" s="6" t="s">
        <v>536</v>
      </c>
      <c r="D1468" s="6" t="s">
        <v>858</v>
      </c>
      <c r="F1468" s="1">
        <f t="shared" si="22"/>
        <v>8</v>
      </c>
      <c r="H1468" s="4"/>
    </row>
    <row r="1469" spans="1:8" x14ac:dyDescent="0.25">
      <c r="A1469" s="6">
        <v>46759</v>
      </c>
      <c r="B1469" s="6" t="s">
        <v>884</v>
      </c>
      <c r="C1469" s="6" t="s">
        <v>536</v>
      </c>
      <c r="D1469" s="6" t="s">
        <v>858</v>
      </c>
      <c r="F1469" s="1">
        <f t="shared" si="22"/>
        <v>8</v>
      </c>
      <c r="H1469" s="4"/>
    </row>
    <row r="1470" spans="1:8" x14ac:dyDescent="0.25">
      <c r="A1470" s="6">
        <v>46760</v>
      </c>
      <c r="B1470" s="6" t="s">
        <v>885</v>
      </c>
      <c r="C1470" s="6" t="s">
        <v>538</v>
      </c>
      <c r="D1470" s="6" t="s">
        <v>858</v>
      </c>
      <c r="E1470" s="1" t="s">
        <v>727</v>
      </c>
      <c r="F1470" s="1">
        <f t="shared" si="22"/>
        <v>0</v>
      </c>
      <c r="H1470" s="4"/>
    </row>
    <row r="1471" spans="1:8" x14ac:dyDescent="0.25">
      <c r="A1471" s="6">
        <v>46761</v>
      </c>
      <c r="B1471" s="6" t="s">
        <v>885</v>
      </c>
      <c r="C1471" s="6" t="s">
        <v>538</v>
      </c>
      <c r="D1471" s="6" t="s">
        <v>858</v>
      </c>
      <c r="E1471" s="1" t="s">
        <v>727</v>
      </c>
      <c r="F1471" s="1">
        <f t="shared" si="22"/>
        <v>0</v>
      </c>
      <c r="H1471" s="4"/>
    </row>
    <row r="1472" spans="1:8" x14ac:dyDescent="0.25">
      <c r="A1472" s="6">
        <v>46762</v>
      </c>
      <c r="B1472" s="6" t="s">
        <v>885</v>
      </c>
      <c r="C1472" s="6" t="s">
        <v>538</v>
      </c>
      <c r="D1472" s="6" t="s">
        <v>858</v>
      </c>
      <c r="F1472" s="1">
        <f t="shared" si="22"/>
        <v>8</v>
      </c>
      <c r="H1472" s="4"/>
    </row>
    <row r="1473" spans="1:8" x14ac:dyDescent="0.25">
      <c r="A1473" s="6">
        <v>46763</v>
      </c>
      <c r="B1473" s="6" t="s">
        <v>885</v>
      </c>
      <c r="C1473" s="6" t="s">
        <v>538</v>
      </c>
      <c r="D1473" s="6" t="s">
        <v>858</v>
      </c>
      <c r="F1473" s="1">
        <f t="shared" si="22"/>
        <v>8</v>
      </c>
      <c r="H1473" s="4"/>
    </row>
    <row r="1474" spans="1:8" x14ac:dyDescent="0.25">
      <c r="A1474" s="6">
        <v>46764</v>
      </c>
      <c r="B1474" s="6" t="s">
        <v>885</v>
      </c>
      <c r="C1474" s="6" t="s">
        <v>538</v>
      </c>
      <c r="D1474" s="6" t="s">
        <v>858</v>
      </c>
      <c r="F1474" s="1">
        <f t="shared" ref="F1474:F1537" si="23">IF(OR(E1474="",E1474="调休"),8,0)</f>
        <v>8</v>
      </c>
      <c r="H1474" s="4"/>
    </row>
    <row r="1475" spans="1:8" x14ac:dyDescent="0.25">
      <c r="A1475" s="6">
        <v>46765</v>
      </c>
      <c r="B1475" s="6" t="s">
        <v>885</v>
      </c>
      <c r="C1475" s="6" t="s">
        <v>538</v>
      </c>
      <c r="D1475" s="6" t="s">
        <v>858</v>
      </c>
      <c r="F1475" s="1">
        <f t="shared" si="23"/>
        <v>8</v>
      </c>
      <c r="H1475" s="4"/>
    </row>
    <row r="1476" spans="1:8" x14ac:dyDescent="0.25">
      <c r="A1476" s="6">
        <v>46766</v>
      </c>
      <c r="B1476" s="6" t="s">
        <v>885</v>
      </c>
      <c r="C1476" s="6" t="s">
        <v>538</v>
      </c>
      <c r="D1476" s="6" t="s">
        <v>858</v>
      </c>
      <c r="F1476" s="1">
        <f t="shared" si="23"/>
        <v>8</v>
      </c>
      <c r="H1476" s="4"/>
    </row>
    <row r="1477" spans="1:8" x14ac:dyDescent="0.25">
      <c r="A1477" s="6">
        <v>46767</v>
      </c>
      <c r="B1477" s="6" t="s">
        <v>886</v>
      </c>
      <c r="C1477" s="6" t="s">
        <v>540</v>
      </c>
      <c r="D1477" s="6" t="s">
        <v>858</v>
      </c>
      <c r="E1477" s="1" t="s">
        <v>727</v>
      </c>
      <c r="F1477" s="1">
        <f t="shared" si="23"/>
        <v>0</v>
      </c>
      <c r="H1477" s="4"/>
    </row>
    <row r="1478" spans="1:8" x14ac:dyDescent="0.25">
      <c r="A1478" s="6">
        <v>46768</v>
      </c>
      <c r="B1478" s="6" t="s">
        <v>886</v>
      </c>
      <c r="C1478" s="6" t="s">
        <v>540</v>
      </c>
      <c r="D1478" s="6" t="s">
        <v>858</v>
      </c>
      <c r="E1478" s="1" t="s">
        <v>727</v>
      </c>
      <c r="F1478" s="1">
        <f t="shared" si="23"/>
        <v>0</v>
      </c>
      <c r="H1478" s="4"/>
    </row>
    <row r="1479" spans="1:8" x14ac:dyDescent="0.25">
      <c r="A1479" s="6">
        <v>46769</v>
      </c>
      <c r="B1479" s="6" t="s">
        <v>886</v>
      </c>
      <c r="C1479" s="6" t="s">
        <v>540</v>
      </c>
      <c r="D1479" s="6" t="s">
        <v>858</v>
      </c>
      <c r="F1479" s="1">
        <f t="shared" si="23"/>
        <v>8</v>
      </c>
      <c r="H1479" s="4"/>
    </row>
    <row r="1480" spans="1:8" x14ac:dyDescent="0.25">
      <c r="A1480" s="6">
        <v>46770</v>
      </c>
      <c r="B1480" s="6" t="s">
        <v>886</v>
      </c>
      <c r="C1480" s="6" t="s">
        <v>540</v>
      </c>
      <c r="D1480" s="6" t="s">
        <v>858</v>
      </c>
      <c r="F1480" s="1">
        <f t="shared" si="23"/>
        <v>8</v>
      </c>
      <c r="H1480" s="4"/>
    </row>
    <row r="1481" spans="1:8" x14ac:dyDescent="0.25">
      <c r="A1481" s="6">
        <v>46771</v>
      </c>
      <c r="B1481" s="6" t="s">
        <v>886</v>
      </c>
      <c r="C1481" s="6" t="s">
        <v>540</v>
      </c>
      <c r="D1481" s="6" t="s">
        <v>858</v>
      </c>
      <c r="F1481" s="1">
        <f t="shared" si="23"/>
        <v>8</v>
      </c>
      <c r="H1481" s="4"/>
    </row>
    <row r="1482" spans="1:8" x14ac:dyDescent="0.25">
      <c r="A1482" s="6">
        <v>46772</v>
      </c>
      <c r="B1482" s="6" t="s">
        <v>886</v>
      </c>
      <c r="C1482" s="6" t="s">
        <v>540</v>
      </c>
      <c r="D1482" s="6" t="s">
        <v>858</v>
      </c>
      <c r="F1482" s="1">
        <f t="shared" si="23"/>
        <v>8</v>
      </c>
      <c r="H1482" s="4"/>
    </row>
    <row r="1483" spans="1:8" x14ac:dyDescent="0.25">
      <c r="A1483" s="6">
        <v>46773</v>
      </c>
      <c r="B1483" s="6" t="s">
        <v>886</v>
      </c>
      <c r="C1483" s="6" t="s">
        <v>540</v>
      </c>
      <c r="D1483" s="6" t="s">
        <v>858</v>
      </c>
      <c r="F1483" s="1">
        <f t="shared" si="23"/>
        <v>8</v>
      </c>
      <c r="H1483" s="4"/>
    </row>
    <row r="1484" spans="1:8" x14ac:dyDescent="0.25">
      <c r="A1484" s="6">
        <v>46774</v>
      </c>
      <c r="B1484" s="6" t="s">
        <v>887</v>
      </c>
      <c r="C1484" s="6" t="s">
        <v>542</v>
      </c>
      <c r="D1484" s="6" t="s">
        <v>858</v>
      </c>
      <c r="E1484" s="1" t="s">
        <v>727</v>
      </c>
      <c r="F1484" s="1">
        <f t="shared" si="23"/>
        <v>0</v>
      </c>
      <c r="H1484" s="4"/>
    </row>
    <row r="1485" spans="1:8" x14ac:dyDescent="0.25">
      <c r="A1485" s="6">
        <v>46775</v>
      </c>
      <c r="B1485" s="6" t="s">
        <v>887</v>
      </c>
      <c r="C1485" s="6" t="s">
        <v>542</v>
      </c>
      <c r="D1485" s="6" t="s">
        <v>858</v>
      </c>
      <c r="E1485" s="1" t="s">
        <v>727</v>
      </c>
      <c r="F1485" s="1">
        <f t="shared" si="23"/>
        <v>0</v>
      </c>
      <c r="H1485" s="4"/>
    </row>
    <row r="1486" spans="1:8" x14ac:dyDescent="0.25">
      <c r="A1486" s="6">
        <v>46776</v>
      </c>
      <c r="B1486" s="6" t="s">
        <v>887</v>
      </c>
      <c r="C1486" s="6" t="s">
        <v>542</v>
      </c>
      <c r="D1486" s="6" t="s">
        <v>858</v>
      </c>
      <c r="F1486" s="1">
        <f t="shared" si="23"/>
        <v>8</v>
      </c>
      <c r="H1486" s="4"/>
    </row>
    <row r="1487" spans="1:8" x14ac:dyDescent="0.25">
      <c r="A1487" s="6">
        <v>46777</v>
      </c>
      <c r="B1487" s="6" t="s">
        <v>887</v>
      </c>
      <c r="C1487" s="6" t="s">
        <v>542</v>
      </c>
      <c r="D1487" s="6" t="s">
        <v>858</v>
      </c>
      <c r="F1487" s="1">
        <f t="shared" si="23"/>
        <v>8</v>
      </c>
      <c r="H1487" s="4"/>
    </row>
    <row r="1488" spans="1:8" x14ac:dyDescent="0.25">
      <c r="A1488" s="6">
        <v>46778</v>
      </c>
      <c r="B1488" s="6" t="s">
        <v>887</v>
      </c>
      <c r="C1488" s="6" t="s">
        <v>542</v>
      </c>
      <c r="D1488" s="6" t="s">
        <v>858</v>
      </c>
      <c r="F1488" s="1">
        <f t="shared" si="23"/>
        <v>8</v>
      </c>
      <c r="H1488" s="4"/>
    </row>
    <row r="1489" spans="1:8" x14ac:dyDescent="0.25">
      <c r="A1489" s="6">
        <v>46779</v>
      </c>
      <c r="B1489" s="6" t="s">
        <v>887</v>
      </c>
      <c r="C1489" s="6" t="s">
        <v>542</v>
      </c>
      <c r="D1489" s="6" t="s">
        <v>858</v>
      </c>
      <c r="F1489" s="1">
        <f t="shared" si="23"/>
        <v>8</v>
      </c>
      <c r="H1489" s="4"/>
    </row>
    <row r="1490" spans="1:8" x14ac:dyDescent="0.25">
      <c r="A1490" s="6">
        <v>46780</v>
      </c>
      <c r="B1490" s="6" t="s">
        <v>887</v>
      </c>
      <c r="C1490" s="6" t="s">
        <v>542</v>
      </c>
      <c r="D1490" s="6" t="s">
        <v>858</v>
      </c>
      <c r="F1490" s="1">
        <f t="shared" si="23"/>
        <v>8</v>
      </c>
      <c r="H1490" s="4"/>
    </row>
    <row r="1491" spans="1:8" x14ac:dyDescent="0.25">
      <c r="A1491" s="6">
        <v>46781</v>
      </c>
      <c r="B1491" s="6" t="s">
        <v>888</v>
      </c>
      <c r="C1491" s="6" t="s">
        <v>544</v>
      </c>
      <c r="D1491" s="6" t="s">
        <v>858</v>
      </c>
      <c r="E1491" s="1" t="s">
        <v>727</v>
      </c>
      <c r="F1491" s="1">
        <f t="shared" si="23"/>
        <v>0</v>
      </c>
      <c r="H1491" s="4"/>
    </row>
    <row r="1492" spans="1:8" x14ac:dyDescent="0.25">
      <c r="A1492" s="6">
        <v>46782</v>
      </c>
      <c r="B1492" s="6" t="s">
        <v>888</v>
      </c>
      <c r="C1492" s="6" t="s">
        <v>544</v>
      </c>
      <c r="D1492" s="6" t="s">
        <v>858</v>
      </c>
      <c r="E1492" s="1" t="s">
        <v>727</v>
      </c>
      <c r="F1492" s="1">
        <f t="shared" si="23"/>
        <v>0</v>
      </c>
      <c r="H1492" s="4"/>
    </row>
    <row r="1493" spans="1:8" x14ac:dyDescent="0.25">
      <c r="A1493" s="6">
        <v>46783</v>
      </c>
      <c r="B1493" s="6" t="s">
        <v>888</v>
      </c>
      <c r="C1493" s="6" t="s">
        <v>544</v>
      </c>
      <c r="D1493" s="6" t="s">
        <v>858</v>
      </c>
      <c r="F1493" s="1">
        <f t="shared" si="23"/>
        <v>8</v>
      </c>
      <c r="H1493" s="4"/>
    </row>
    <row r="1494" spans="1:8" x14ac:dyDescent="0.25">
      <c r="A1494" s="6">
        <v>46784</v>
      </c>
      <c r="B1494" s="6" t="s">
        <v>888</v>
      </c>
      <c r="C1494" s="6" t="s">
        <v>544</v>
      </c>
      <c r="D1494" s="6" t="s">
        <v>858</v>
      </c>
      <c r="F1494" s="1">
        <f t="shared" si="23"/>
        <v>8</v>
      </c>
      <c r="H1494" s="4"/>
    </row>
    <row r="1495" spans="1:8" x14ac:dyDescent="0.25">
      <c r="A1495" s="6">
        <v>46785</v>
      </c>
      <c r="B1495" s="6" t="s">
        <v>888</v>
      </c>
      <c r="C1495" s="6" t="s">
        <v>544</v>
      </c>
      <c r="D1495" s="6" t="s">
        <v>858</v>
      </c>
      <c r="F1495" s="1">
        <f t="shared" si="23"/>
        <v>8</v>
      </c>
      <c r="H1495" s="4"/>
    </row>
    <row r="1496" spans="1:8" x14ac:dyDescent="0.25">
      <c r="A1496" s="6">
        <v>46786</v>
      </c>
      <c r="B1496" s="6" t="s">
        <v>888</v>
      </c>
      <c r="C1496" s="6" t="s">
        <v>544</v>
      </c>
      <c r="D1496" s="6" t="s">
        <v>858</v>
      </c>
      <c r="F1496" s="1">
        <f t="shared" si="23"/>
        <v>8</v>
      </c>
      <c r="H1496" s="4"/>
    </row>
    <row r="1497" spans="1:8" x14ac:dyDescent="0.25">
      <c r="A1497" s="6">
        <v>46787</v>
      </c>
      <c r="B1497" s="6" t="s">
        <v>888</v>
      </c>
      <c r="C1497" s="6" t="s">
        <v>544</v>
      </c>
      <c r="D1497" s="6" t="s">
        <v>858</v>
      </c>
      <c r="F1497" s="1">
        <f t="shared" si="23"/>
        <v>8</v>
      </c>
      <c r="H1497" s="4"/>
    </row>
    <row r="1498" spans="1:8" x14ac:dyDescent="0.25">
      <c r="A1498" s="6">
        <v>46788</v>
      </c>
      <c r="B1498" s="6" t="s">
        <v>889</v>
      </c>
      <c r="C1498" s="6" t="s">
        <v>628</v>
      </c>
      <c r="D1498" s="6" t="s">
        <v>858</v>
      </c>
      <c r="E1498" s="1" t="s">
        <v>727</v>
      </c>
      <c r="F1498" s="1">
        <f t="shared" si="23"/>
        <v>0</v>
      </c>
      <c r="H1498" s="4"/>
    </row>
    <row r="1499" spans="1:8" x14ac:dyDescent="0.25">
      <c r="A1499" s="6">
        <v>46789</v>
      </c>
      <c r="B1499" s="6" t="s">
        <v>889</v>
      </c>
      <c r="C1499" s="6" t="s">
        <v>628</v>
      </c>
      <c r="D1499" s="6" t="s">
        <v>858</v>
      </c>
      <c r="E1499" s="1" t="s">
        <v>727</v>
      </c>
      <c r="F1499" s="1">
        <f t="shared" si="23"/>
        <v>0</v>
      </c>
      <c r="H1499" s="4"/>
    </row>
    <row r="1500" spans="1:8" x14ac:dyDescent="0.25">
      <c r="A1500" s="6">
        <v>46790</v>
      </c>
      <c r="B1500" s="6" t="s">
        <v>889</v>
      </c>
      <c r="C1500" s="6" t="s">
        <v>628</v>
      </c>
      <c r="D1500" s="6" t="s">
        <v>858</v>
      </c>
      <c r="F1500" s="1">
        <f t="shared" si="23"/>
        <v>8</v>
      </c>
      <c r="H1500" s="4"/>
    </row>
    <row r="1501" spans="1:8" x14ac:dyDescent="0.25">
      <c r="A1501" s="6">
        <v>46791</v>
      </c>
      <c r="B1501" s="6" t="s">
        <v>889</v>
      </c>
      <c r="C1501" s="6" t="s">
        <v>628</v>
      </c>
      <c r="D1501" s="6" t="s">
        <v>858</v>
      </c>
      <c r="F1501" s="1">
        <f t="shared" si="23"/>
        <v>8</v>
      </c>
      <c r="H1501" s="4"/>
    </row>
    <row r="1502" spans="1:8" x14ac:dyDescent="0.25">
      <c r="A1502" s="6">
        <v>46792</v>
      </c>
      <c r="B1502" s="6" t="s">
        <v>889</v>
      </c>
      <c r="C1502" s="6" t="s">
        <v>628</v>
      </c>
      <c r="D1502" s="6" t="s">
        <v>858</v>
      </c>
      <c r="F1502" s="1">
        <f t="shared" si="23"/>
        <v>8</v>
      </c>
      <c r="H1502" s="4"/>
    </row>
    <row r="1503" spans="1:8" x14ac:dyDescent="0.25">
      <c r="A1503" s="6">
        <v>46793</v>
      </c>
      <c r="B1503" s="6" t="s">
        <v>889</v>
      </c>
      <c r="C1503" s="6" t="s">
        <v>628</v>
      </c>
      <c r="D1503" s="6" t="s">
        <v>858</v>
      </c>
      <c r="F1503" s="1">
        <f t="shared" si="23"/>
        <v>8</v>
      </c>
      <c r="H1503" s="4"/>
    </row>
    <row r="1504" spans="1:8" x14ac:dyDescent="0.25">
      <c r="A1504" s="6">
        <v>46794</v>
      </c>
      <c r="B1504" s="6" t="s">
        <v>889</v>
      </c>
      <c r="C1504" s="6" t="s">
        <v>628</v>
      </c>
      <c r="D1504" s="6" t="s">
        <v>858</v>
      </c>
      <c r="F1504" s="1">
        <f t="shared" si="23"/>
        <v>8</v>
      </c>
      <c r="H1504" s="4"/>
    </row>
    <row r="1505" spans="1:8" x14ac:dyDescent="0.25">
      <c r="A1505" s="6">
        <v>46795</v>
      </c>
      <c r="B1505" s="6" t="s">
        <v>890</v>
      </c>
      <c r="C1505" s="6" t="s">
        <v>631</v>
      </c>
      <c r="D1505" s="6" t="s">
        <v>858</v>
      </c>
      <c r="E1505" s="1" t="s">
        <v>727</v>
      </c>
      <c r="F1505" s="1">
        <f t="shared" si="23"/>
        <v>0</v>
      </c>
      <c r="H1505" s="4"/>
    </row>
    <row r="1506" spans="1:8" x14ac:dyDescent="0.25">
      <c r="A1506" s="6">
        <v>46796</v>
      </c>
      <c r="B1506" s="6" t="s">
        <v>890</v>
      </c>
      <c r="C1506" s="6" t="s">
        <v>631</v>
      </c>
      <c r="D1506" s="6" t="s">
        <v>858</v>
      </c>
      <c r="E1506" s="1" t="s">
        <v>727</v>
      </c>
      <c r="F1506" s="1">
        <f t="shared" si="23"/>
        <v>0</v>
      </c>
      <c r="H1506" s="4"/>
    </row>
    <row r="1507" spans="1:8" x14ac:dyDescent="0.25">
      <c r="A1507" s="6">
        <v>46797</v>
      </c>
      <c r="B1507" s="6" t="s">
        <v>890</v>
      </c>
      <c r="C1507" s="6" t="s">
        <v>631</v>
      </c>
      <c r="D1507" s="6" t="s">
        <v>858</v>
      </c>
      <c r="F1507" s="1">
        <f t="shared" si="23"/>
        <v>8</v>
      </c>
      <c r="H1507" s="4"/>
    </row>
    <row r="1508" spans="1:8" x14ac:dyDescent="0.25">
      <c r="A1508" s="6">
        <v>46798</v>
      </c>
      <c r="B1508" s="6" t="s">
        <v>890</v>
      </c>
      <c r="C1508" s="6" t="s">
        <v>631</v>
      </c>
      <c r="D1508" s="6" t="s">
        <v>858</v>
      </c>
      <c r="F1508" s="1">
        <f t="shared" si="23"/>
        <v>8</v>
      </c>
      <c r="H1508" s="4"/>
    </row>
    <row r="1509" spans="1:8" x14ac:dyDescent="0.25">
      <c r="A1509" s="6">
        <v>46799</v>
      </c>
      <c r="B1509" s="6" t="s">
        <v>890</v>
      </c>
      <c r="C1509" s="6" t="s">
        <v>631</v>
      </c>
      <c r="D1509" s="6" t="s">
        <v>858</v>
      </c>
      <c r="F1509" s="1">
        <f t="shared" si="23"/>
        <v>8</v>
      </c>
      <c r="H1509" s="4"/>
    </row>
    <row r="1510" spans="1:8" x14ac:dyDescent="0.25">
      <c r="A1510" s="6">
        <v>46800</v>
      </c>
      <c r="B1510" s="6" t="s">
        <v>890</v>
      </c>
      <c r="C1510" s="6" t="s">
        <v>631</v>
      </c>
      <c r="D1510" s="6" t="s">
        <v>858</v>
      </c>
      <c r="F1510" s="1">
        <f t="shared" si="23"/>
        <v>8</v>
      </c>
      <c r="H1510" s="4"/>
    </row>
    <row r="1511" spans="1:8" x14ac:dyDescent="0.25">
      <c r="A1511" s="6">
        <v>46801</v>
      </c>
      <c r="B1511" s="6" t="s">
        <v>890</v>
      </c>
      <c r="C1511" s="6" t="s">
        <v>631</v>
      </c>
      <c r="D1511" s="6" t="s">
        <v>858</v>
      </c>
      <c r="F1511" s="1">
        <f t="shared" si="23"/>
        <v>8</v>
      </c>
      <c r="H1511" s="4"/>
    </row>
    <row r="1512" spans="1:8" x14ac:dyDescent="0.25">
      <c r="A1512" s="6">
        <v>46802</v>
      </c>
      <c r="B1512" s="6" t="s">
        <v>891</v>
      </c>
      <c r="C1512" s="6" t="s">
        <v>634</v>
      </c>
      <c r="D1512" s="6" t="s">
        <v>858</v>
      </c>
      <c r="E1512" s="1" t="s">
        <v>727</v>
      </c>
      <c r="F1512" s="1">
        <f t="shared" si="23"/>
        <v>0</v>
      </c>
      <c r="H1512" s="4"/>
    </row>
    <row r="1513" spans="1:8" x14ac:dyDescent="0.25">
      <c r="A1513" s="6">
        <v>46803</v>
      </c>
      <c r="B1513" s="6" t="s">
        <v>891</v>
      </c>
      <c r="C1513" s="6" t="s">
        <v>634</v>
      </c>
      <c r="D1513" s="6" t="s">
        <v>858</v>
      </c>
      <c r="E1513" s="1" t="s">
        <v>727</v>
      </c>
      <c r="F1513" s="1">
        <f t="shared" si="23"/>
        <v>0</v>
      </c>
      <c r="H1513" s="4"/>
    </row>
    <row r="1514" spans="1:8" x14ac:dyDescent="0.25">
      <c r="A1514" s="6">
        <v>46804</v>
      </c>
      <c r="B1514" s="6" t="s">
        <v>891</v>
      </c>
      <c r="C1514" s="6" t="s">
        <v>634</v>
      </c>
      <c r="D1514" s="6" t="s">
        <v>858</v>
      </c>
      <c r="F1514" s="1">
        <f t="shared" si="23"/>
        <v>8</v>
      </c>
      <c r="H1514" s="4"/>
    </row>
    <row r="1515" spans="1:8" x14ac:dyDescent="0.25">
      <c r="A1515" s="6">
        <v>46805</v>
      </c>
      <c r="B1515" s="6" t="s">
        <v>891</v>
      </c>
      <c r="C1515" s="6" t="s">
        <v>634</v>
      </c>
      <c r="D1515" s="6" t="s">
        <v>858</v>
      </c>
      <c r="F1515" s="1">
        <f t="shared" si="23"/>
        <v>8</v>
      </c>
      <c r="H1515" s="4"/>
    </row>
    <row r="1516" spans="1:8" x14ac:dyDescent="0.25">
      <c r="A1516" s="6">
        <v>46806</v>
      </c>
      <c r="B1516" s="6" t="s">
        <v>891</v>
      </c>
      <c r="C1516" s="6" t="s">
        <v>634</v>
      </c>
      <c r="D1516" s="6" t="s">
        <v>858</v>
      </c>
      <c r="F1516" s="1">
        <f t="shared" si="23"/>
        <v>8</v>
      </c>
      <c r="H1516" s="4"/>
    </row>
    <row r="1517" spans="1:8" x14ac:dyDescent="0.25">
      <c r="A1517" s="6">
        <v>46807</v>
      </c>
      <c r="B1517" s="6" t="s">
        <v>891</v>
      </c>
      <c r="C1517" s="6" t="s">
        <v>634</v>
      </c>
      <c r="D1517" s="6" t="s">
        <v>858</v>
      </c>
      <c r="F1517" s="1">
        <f t="shared" si="23"/>
        <v>8</v>
      </c>
      <c r="H1517" s="4"/>
    </row>
    <row r="1518" spans="1:8" x14ac:dyDescent="0.25">
      <c r="A1518" s="6">
        <v>46808</v>
      </c>
      <c r="B1518" s="6" t="s">
        <v>891</v>
      </c>
      <c r="C1518" s="6" t="s">
        <v>634</v>
      </c>
      <c r="D1518" s="6" t="s">
        <v>858</v>
      </c>
      <c r="F1518" s="1">
        <f t="shared" si="23"/>
        <v>8</v>
      </c>
      <c r="H1518" s="4"/>
    </row>
    <row r="1519" spans="1:8" x14ac:dyDescent="0.25">
      <c r="A1519" s="6">
        <v>46809</v>
      </c>
      <c r="B1519" s="6" t="s">
        <v>892</v>
      </c>
      <c r="C1519" s="6" t="s">
        <v>636</v>
      </c>
      <c r="D1519" s="6" t="s">
        <v>858</v>
      </c>
      <c r="E1519" s="1" t="s">
        <v>727</v>
      </c>
      <c r="F1519" s="1">
        <f t="shared" si="23"/>
        <v>0</v>
      </c>
      <c r="H1519" s="4"/>
    </row>
    <row r="1520" spans="1:8" x14ac:dyDescent="0.25">
      <c r="A1520" s="6">
        <v>46810</v>
      </c>
      <c r="B1520" s="6" t="s">
        <v>892</v>
      </c>
      <c r="C1520" s="6" t="s">
        <v>636</v>
      </c>
      <c r="D1520" s="6" t="s">
        <v>858</v>
      </c>
      <c r="E1520" s="1" t="s">
        <v>727</v>
      </c>
      <c r="F1520" s="1">
        <f t="shared" si="23"/>
        <v>0</v>
      </c>
      <c r="H1520" s="4"/>
    </row>
    <row r="1521" spans="1:8" x14ac:dyDescent="0.25">
      <c r="A1521" s="6">
        <v>46811</v>
      </c>
      <c r="B1521" s="6" t="s">
        <v>892</v>
      </c>
      <c r="C1521" s="6" t="s">
        <v>636</v>
      </c>
      <c r="D1521" s="6" t="s">
        <v>858</v>
      </c>
      <c r="F1521" s="1">
        <f t="shared" si="23"/>
        <v>8</v>
      </c>
      <c r="H1521" s="4"/>
    </row>
    <row r="1522" spans="1:8" x14ac:dyDescent="0.25">
      <c r="A1522" s="6">
        <v>46812</v>
      </c>
      <c r="B1522" s="6" t="s">
        <v>892</v>
      </c>
      <c r="C1522" s="6" t="s">
        <v>636</v>
      </c>
      <c r="D1522" s="6" t="s">
        <v>858</v>
      </c>
      <c r="F1522" s="1">
        <f t="shared" si="23"/>
        <v>8</v>
      </c>
      <c r="H1522" s="4"/>
    </row>
    <row r="1523" spans="1:8" x14ac:dyDescent="0.25">
      <c r="A1523" s="6">
        <v>46813</v>
      </c>
      <c r="B1523" s="6" t="s">
        <v>892</v>
      </c>
      <c r="C1523" s="6" t="s">
        <v>636</v>
      </c>
      <c r="D1523" s="6" t="s">
        <v>858</v>
      </c>
      <c r="F1523" s="1">
        <f t="shared" si="23"/>
        <v>8</v>
      </c>
      <c r="H1523" s="4"/>
    </row>
    <row r="1524" spans="1:8" x14ac:dyDescent="0.25">
      <c r="A1524" s="6">
        <v>46814</v>
      </c>
      <c r="B1524" s="6" t="s">
        <v>892</v>
      </c>
      <c r="C1524" s="6" t="s">
        <v>636</v>
      </c>
      <c r="D1524" s="6" t="s">
        <v>858</v>
      </c>
      <c r="F1524" s="1">
        <f t="shared" si="23"/>
        <v>8</v>
      </c>
      <c r="H1524" s="4"/>
    </row>
    <row r="1525" spans="1:8" x14ac:dyDescent="0.25">
      <c r="A1525" s="6">
        <v>46815</v>
      </c>
      <c r="B1525" s="6" t="s">
        <v>892</v>
      </c>
      <c r="C1525" s="6" t="s">
        <v>636</v>
      </c>
      <c r="D1525" s="6" t="s">
        <v>858</v>
      </c>
      <c r="F1525" s="1">
        <f t="shared" si="23"/>
        <v>8</v>
      </c>
      <c r="H1525" s="4"/>
    </row>
    <row r="1526" spans="1:8" x14ac:dyDescent="0.25">
      <c r="A1526" s="6">
        <v>46816</v>
      </c>
      <c r="B1526" s="6" t="s">
        <v>893</v>
      </c>
      <c r="C1526" s="6" t="s">
        <v>546</v>
      </c>
      <c r="D1526" s="6" t="s">
        <v>858</v>
      </c>
      <c r="E1526" s="1" t="s">
        <v>727</v>
      </c>
      <c r="F1526" s="1">
        <f t="shared" si="23"/>
        <v>0</v>
      </c>
      <c r="H1526" s="4"/>
    </row>
    <row r="1527" spans="1:8" x14ac:dyDescent="0.25">
      <c r="A1527" s="6">
        <v>46817</v>
      </c>
      <c r="B1527" s="6" t="s">
        <v>893</v>
      </c>
      <c r="C1527" s="6" t="s">
        <v>546</v>
      </c>
      <c r="D1527" s="6" t="s">
        <v>858</v>
      </c>
      <c r="E1527" s="1" t="s">
        <v>727</v>
      </c>
      <c r="F1527" s="1">
        <f t="shared" si="23"/>
        <v>0</v>
      </c>
      <c r="H1527" s="4"/>
    </row>
    <row r="1528" spans="1:8" x14ac:dyDescent="0.25">
      <c r="A1528" s="6">
        <v>46818</v>
      </c>
      <c r="B1528" s="6" t="s">
        <v>893</v>
      </c>
      <c r="C1528" s="6" t="s">
        <v>546</v>
      </c>
      <c r="D1528" s="6" t="s">
        <v>858</v>
      </c>
      <c r="F1528" s="1">
        <f t="shared" si="23"/>
        <v>8</v>
      </c>
      <c r="H1528" s="4"/>
    </row>
    <row r="1529" spans="1:8" x14ac:dyDescent="0.25">
      <c r="A1529" s="6">
        <v>46819</v>
      </c>
      <c r="B1529" s="6" t="s">
        <v>893</v>
      </c>
      <c r="C1529" s="6" t="s">
        <v>546</v>
      </c>
      <c r="D1529" s="6" t="s">
        <v>858</v>
      </c>
      <c r="F1529" s="1">
        <f t="shared" si="23"/>
        <v>8</v>
      </c>
      <c r="H1529" s="4"/>
    </row>
    <row r="1530" spans="1:8" x14ac:dyDescent="0.25">
      <c r="A1530" s="6">
        <v>46820</v>
      </c>
      <c r="B1530" s="6" t="s">
        <v>893</v>
      </c>
      <c r="C1530" s="6" t="s">
        <v>546</v>
      </c>
      <c r="D1530" s="6" t="s">
        <v>858</v>
      </c>
      <c r="F1530" s="1">
        <f t="shared" si="23"/>
        <v>8</v>
      </c>
      <c r="H1530" s="4"/>
    </row>
    <row r="1531" spans="1:8" x14ac:dyDescent="0.25">
      <c r="A1531" s="6">
        <v>46821</v>
      </c>
      <c r="B1531" s="6" t="s">
        <v>893</v>
      </c>
      <c r="C1531" s="6" t="s">
        <v>546</v>
      </c>
      <c r="D1531" s="6" t="s">
        <v>858</v>
      </c>
      <c r="F1531" s="1">
        <f t="shared" si="23"/>
        <v>8</v>
      </c>
      <c r="H1531" s="4"/>
    </row>
    <row r="1532" spans="1:8" x14ac:dyDescent="0.25">
      <c r="A1532" s="6">
        <v>46822</v>
      </c>
      <c r="B1532" s="6" t="s">
        <v>893</v>
      </c>
      <c r="C1532" s="6" t="s">
        <v>546</v>
      </c>
      <c r="D1532" s="6" t="s">
        <v>858</v>
      </c>
      <c r="F1532" s="1">
        <f t="shared" si="23"/>
        <v>8</v>
      </c>
      <c r="H1532" s="4"/>
    </row>
    <row r="1533" spans="1:8" x14ac:dyDescent="0.25">
      <c r="A1533" s="6">
        <v>46823</v>
      </c>
      <c r="B1533" s="6" t="s">
        <v>894</v>
      </c>
      <c r="C1533" s="6" t="s">
        <v>548</v>
      </c>
      <c r="D1533" s="6" t="s">
        <v>858</v>
      </c>
      <c r="E1533" s="1" t="s">
        <v>727</v>
      </c>
      <c r="F1533" s="1">
        <f t="shared" si="23"/>
        <v>0</v>
      </c>
      <c r="H1533" s="4"/>
    </row>
    <row r="1534" spans="1:8" x14ac:dyDescent="0.25">
      <c r="A1534" s="6">
        <v>46824</v>
      </c>
      <c r="B1534" s="6" t="s">
        <v>894</v>
      </c>
      <c r="C1534" s="6" t="s">
        <v>548</v>
      </c>
      <c r="D1534" s="6" t="s">
        <v>858</v>
      </c>
      <c r="E1534" s="1" t="s">
        <v>727</v>
      </c>
      <c r="F1534" s="1">
        <f t="shared" si="23"/>
        <v>0</v>
      </c>
      <c r="H1534" s="4"/>
    </row>
    <row r="1535" spans="1:8" x14ac:dyDescent="0.25">
      <c r="A1535" s="6">
        <v>46825</v>
      </c>
      <c r="B1535" s="6" t="s">
        <v>894</v>
      </c>
      <c r="C1535" s="6" t="s">
        <v>548</v>
      </c>
      <c r="D1535" s="6" t="s">
        <v>858</v>
      </c>
      <c r="F1535" s="1">
        <f t="shared" si="23"/>
        <v>8</v>
      </c>
      <c r="H1535" s="4"/>
    </row>
    <row r="1536" spans="1:8" x14ac:dyDescent="0.25">
      <c r="A1536" s="6">
        <v>46826</v>
      </c>
      <c r="B1536" s="6" t="s">
        <v>894</v>
      </c>
      <c r="C1536" s="6" t="s">
        <v>548</v>
      </c>
      <c r="D1536" s="6" t="s">
        <v>858</v>
      </c>
      <c r="F1536" s="1">
        <f t="shared" si="23"/>
        <v>8</v>
      </c>
      <c r="H1536" s="4"/>
    </row>
    <row r="1537" spans="1:8" x14ac:dyDescent="0.25">
      <c r="A1537" s="6">
        <v>46827</v>
      </c>
      <c r="B1537" s="6" t="s">
        <v>894</v>
      </c>
      <c r="C1537" s="6" t="s">
        <v>548</v>
      </c>
      <c r="D1537" s="6" t="s">
        <v>858</v>
      </c>
      <c r="F1537" s="1">
        <f t="shared" si="23"/>
        <v>8</v>
      </c>
      <c r="H1537" s="4"/>
    </row>
    <row r="1538" spans="1:8" x14ac:dyDescent="0.25">
      <c r="A1538" s="6">
        <v>46828</v>
      </c>
      <c r="B1538" s="6" t="s">
        <v>894</v>
      </c>
      <c r="C1538" s="6" t="s">
        <v>548</v>
      </c>
      <c r="D1538" s="6" t="s">
        <v>858</v>
      </c>
      <c r="F1538" s="1">
        <f t="shared" ref="F1538:F1601" si="24">IF(OR(E1538="",E1538="调休"),8,0)</f>
        <v>8</v>
      </c>
      <c r="H1538" s="4"/>
    </row>
    <row r="1539" spans="1:8" x14ac:dyDescent="0.25">
      <c r="A1539" s="6">
        <v>46829</v>
      </c>
      <c r="B1539" s="6" t="s">
        <v>894</v>
      </c>
      <c r="C1539" s="6" t="s">
        <v>548</v>
      </c>
      <c r="D1539" s="6" t="s">
        <v>858</v>
      </c>
      <c r="F1539" s="1">
        <f t="shared" si="24"/>
        <v>8</v>
      </c>
      <c r="H1539" s="4"/>
    </row>
    <row r="1540" spans="1:8" x14ac:dyDescent="0.25">
      <c r="A1540" s="6">
        <v>46830</v>
      </c>
      <c r="B1540" s="6" t="s">
        <v>895</v>
      </c>
      <c r="C1540" s="6" t="s">
        <v>640</v>
      </c>
      <c r="D1540" s="6" t="s">
        <v>858</v>
      </c>
      <c r="E1540" s="1" t="s">
        <v>727</v>
      </c>
      <c r="F1540" s="1">
        <f t="shared" si="24"/>
        <v>0</v>
      </c>
      <c r="H1540" s="4"/>
    </row>
    <row r="1541" spans="1:8" x14ac:dyDescent="0.25">
      <c r="A1541" s="6">
        <v>46831</v>
      </c>
      <c r="B1541" s="6" t="s">
        <v>895</v>
      </c>
      <c r="C1541" s="6" t="s">
        <v>640</v>
      </c>
      <c r="D1541" s="6" t="s">
        <v>858</v>
      </c>
      <c r="E1541" s="1" t="s">
        <v>727</v>
      </c>
      <c r="F1541" s="1">
        <f t="shared" si="24"/>
        <v>0</v>
      </c>
      <c r="H1541" s="4"/>
    </row>
    <row r="1542" spans="1:8" x14ac:dyDescent="0.25">
      <c r="A1542" s="6">
        <v>46832</v>
      </c>
      <c r="B1542" s="6" t="s">
        <v>895</v>
      </c>
      <c r="C1542" s="6" t="s">
        <v>640</v>
      </c>
      <c r="D1542" s="6" t="s">
        <v>858</v>
      </c>
      <c r="F1542" s="1">
        <f t="shared" si="24"/>
        <v>8</v>
      </c>
      <c r="H1542" s="4"/>
    </row>
    <row r="1543" spans="1:8" x14ac:dyDescent="0.25">
      <c r="A1543" s="6">
        <v>46833</v>
      </c>
      <c r="B1543" s="6" t="s">
        <v>895</v>
      </c>
      <c r="C1543" s="6" t="s">
        <v>640</v>
      </c>
      <c r="D1543" s="6" t="s">
        <v>858</v>
      </c>
      <c r="F1543" s="1">
        <f t="shared" si="24"/>
        <v>8</v>
      </c>
      <c r="H1543" s="4"/>
    </row>
    <row r="1544" spans="1:8" x14ac:dyDescent="0.25">
      <c r="A1544" s="6">
        <v>46834</v>
      </c>
      <c r="B1544" s="6" t="s">
        <v>895</v>
      </c>
      <c r="C1544" s="6" t="s">
        <v>640</v>
      </c>
      <c r="D1544" s="6" t="s">
        <v>858</v>
      </c>
      <c r="F1544" s="1">
        <f t="shared" si="24"/>
        <v>8</v>
      </c>
      <c r="H1544" s="4"/>
    </row>
    <row r="1545" spans="1:8" x14ac:dyDescent="0.25">
      <c r="A1545" s="6">
        <v>46835</v>
      </c>
      <c r="B1545" s="6" t="s">
        <v>895</v>
      </c>
      <c r="C1545" s="6" t="s">
        <v>640</v>
      </c>
      <c r="D1545" s="6" t="s">
        <v>858</v>
      </c>
      <c r="F1545" s="1">
        <f t="shared" si="24"/>
        <v>8</v>
      </c>
      <c r="H1545" s="4"/>
    </row>
    <row r="1546" spans="1:8" x14ac:dyDescent="0.25">
      <c r="A1546" s="6">
        <v>46836</v>
      </c>
      <c r="B1546" s="6" t="s">
        <v>895</v>
      </c>
      <c r="C1546" s="6" t="s">
        <v>640</v>
      </c>
      <c r="D1546" s="6" t="s">
        <v>858</v>
      </c>
      <c r="F1546" s="1">
        <f t="shared" si="24"/>
        <v>8</v>
      </c>
      <c r="H1546" s="4"/>
    </row>
    <row r="1547" spans="1:8" x14ac:dyDescent="0.25">
      <c r="A1547" s="6">
        <v>46837</v>
      </c>
      <c r="B1547" s="6" t="s">
        <v>896</v>
      </c>
      <c r="C1547" s="6" t="s">
        <v>642</v>
      </c>
      <c r="D1547" s="6" t="s">
        <v>858</v>
      </c>
      <c r="E1547" s="1" t="s">
        <v>727</v>
      </c>
      <c r="F1547" s="1">
        <f t="shared" si="24"/>
        <v>0</v>
      </c>
      <c r="H1547" s="4"/>
    </row>
    <row r="1548" spans="1:8" x14ac:dyDescent="0.25">
      <c r="A1548" s="6">
        <v>46838</v>
      </c>
      <c r="B1548" s="6" t="s">
        <v>896</v>
      </c>
      <c r="C1548" s="6" t="s">
        <v>642</v>
      </c>
      <c r="D1548" s="6" t="s">
        <v>858</v>
      </c>
      <c r="E1548" s="1" t="s">
        <v>727</v>
      </c>
      <c r="F1548" s="1">
        <f t="shared" si="24"/>
        <v>0</v>
      </c>
      <c r="H1548" s="4"/>
    </row>
    <row r="1549" spans="1:8" x14ac:dyDescent="0.25">
      <c r="A1549" s="6">
        <v>46839</v>
      </c>
      <c r="B1549" s="6" t="s">
        <v>896</v>
      </c>
      <c r="C1549" s="6" t="s">
        <v>642</v>
      </c>
      <c r="D1549" s="6" t="s">
        <v>858</v>
      </c>
      <c r="F1549" s="1">
        <f t="shared" si="24"/>
        <v>8</v>
      </c>
      <c r="H1549" s="4"/>
    </row>
    <row r="1550" spans="1:8" x14ac:dyDescent="0.25">
      <c r="A1550" s="6">
        <v>46840</v>
      </c>
      <c r="B1550" s="6" t="s">
        <v>896</v>
      </c>
      <c r="C1550" s="6" t="s">
        <v>642</v>
      </c>
      <c r="D1550" s="6" t="s">
        <v>858</v>
      </c>
      <c r="F1550" s="1">
        <f t="shared" si="24"/>
        <v>8</v>
      </c>
      <c r="H1550" s="4"/>
    </row>
    <row r="1551" spans="1:8" x14ac:dyDescent="0.25">
      <c r="A1551" s="6">
        <v>46841</v>
      </c>
      <c r="B1551" s="6" t="s">
        <v>896</v>
      </c>
      <c r="C1551" s="6" t="s">
        <v>642</v>
      </c>
      <c r="D1551" s="6" t="s">
        <v>858</v>
      </c>
      <c r="F1551" s="1">
        <f t="shared" si="24"/>
        <v>8</v>
      </c>
      <c r="H1551" s="4"/>
    </row>
    <row r="1552" spans="1:8" x14ac:dyDescent="0.25">
      <c r="A1552" s="6">
        <v>46842</v>
      </c>
      <c r="B1552" s="6" t="s">
        <v>896</v>
      </c>
      <c r="C1552" s="6" t="s">
        <v>642</v>
      </c>
      <c r="D1552" s="6" t="s">
        <v>858</v>
      </c>
      <c r="F1552" s="1">
        <f t="shared" si="24"/>
        <v>8</v>
      </c>
      <c r="H1552" s="4"/>
    </row>
    <row r="1553" spans="1:8" x14ac:dyDescent="0.25">
      <c r="A1553" s="6">
        <v>46843</v>
      </c>
      <c r="B1553" s="6" t="s">
        <v>896</v>
      </c>
      <c r="C1553" s="6" t="s">
        <v>642</v>
      </c>
      <c r="D1553" s="6" t="s">
        <v>858</v>
      </c>
      <c r="F1553" s="1">
        <f t="shared" si="24"/>
        <v>8</v>
      </c>
      <c r="H1553" s="4"/>
    </row>
    <row r="1554" spans="1:8" x14ac:dyDescent="0.25">
      <c r="A1554" s="6">
        <v>46844</v>
      </c>
      <c r="B1554" s="6" t="s">
        <v>897</v>
      </c>
      <c r="C1554" s="6" t="s">
        <v>644</v>
      </c>
      <c r="D1554" s="6" t="s">
        <v>858</v>
      </c>
      <c r="E1554" s="1" t="s">
        <v>727</v>
      </c>
      <c r="F1554" s="1">
        <f t="shared" si="24"/>
        <v>0</v>
      </c>
      <c r="H1554" s="4"/>
    </row>
    <row r="1555" spans="1:8" x14ac:dyDescent="0.25">
      <c r="A1555" s="6">
        <v>46845</v>
      </c>
      <c r="B1555" s="6" t="s">
        <v>897</v>
      </c>
      <c r="C1555" s="6" t="s">
        <v>644</v>
      </c>
      <c r="D1555" s="6" t="s">
        <v>858</v>
      </c>
      <c r="E1555" s="1" t="s">
        <v>727</v>
      </c>
      <c r="F1555" s="1">
        <f t="shared" si="24"/>
        <v>0</v>
      </c>
      <c r="H1555" s="4"/>
    </row>
    <row r="1556" spans="1:8" x14ac:dyDescent="0.25">
      <c r="A1556" s="6">
        <v>46846</v>
      </c>
      <c r="B1556" s="6" t="s">
        <v>897</v>
      </c>
      <c r="C1556" s="6" t="s">
        <v>644</v>
      </c>
      <c r="D1556" s="6" t="s">
        <v>858</v>
      </c>
      <c r="F1556" s="1">
        <f t="shared" si="24"/>
        <v>8</v>
      </c>
      <c r="H1556" s="4"/>
    </row>
    <row r="1557" spans="1:8" x14ac:dyDescent="0.25">
      <c r="A1557" s="6">
        <v>46847</v>
      </c>
      <c r="B1557" s="6" t="s">
        <v>897</v>
      </c>
      <c r="C1557" s="6" t="s">
        <v>644</v>
      </c>
      <c r="D1557" s="6" t="s">
        <v>858</v>
      </c>
      <c r="F1557" s="1">
        <f t="shared" si="24"/>
        <v>8</v>
      </c>
      <c r="H1557" s="4"/>
    </row>
    <row r="1558" spans="1:8" x14ac:dyDescent="0.25">
      <c r="A1558" s="6">
        <v>46848</v>
      </c>
      <c r="B1558" s="6" t="s">
        <v>897</v>
      </c>
      <c r="C1558" s="6" t="s">
        <v>644</v>
      </c>
      <c r="D1558" s="6" t="s">
        <v>858</v>
      </c>
      <c r="F1558" s="1">
        <f t="shared" si="24"/>
        <v>8</v>
      </c>
      <c r="H1558" s="4"/>
    </row>
    <row r="1559" spans="1:8" x14ac:dyDescent="0.25">
      <c r="A1559" s="6">
        <v>46849</v>
      </c>
      <c r="B1559" s="6" t="s">
        <v>897</v>
      </c>
      <c r="C1559" s="6" t="s">
        <v>644</v>
      </c>
      <c r="D1559" s="6" t="s">
        <v>858</v>
      </c>
      <c r="F1559" s="1">
        <f t="shared" si="24"/>
        <v>8</v>
      </c>
      <c r="H1559" s="4"/>
    </row>
    <row r="1560" spans="1:8" x14ac:dyDescent="0.25">
      <c r="A1560" s="6">
        <v>46850</v>
      </c>
      <c r="B1560" s="6" t="s">
        <v>897</v>
      </c>
      <c r="C1560" s="6" t="s">
        <v>644</v>
      </c>
      <c r="D1560" s="6" t="s">
        <v>858</v>
      </c>
      <c r="F1560" s="1">
        <f t="shared" si="24"/>
        <v>8</v>
      </c>
      <c r="H1560" s="4"/>
    </row>
    <row r="1561" spans="1:8" x14ac:dyDescent="0.25">
      <c r="A1561" s="6">
        <v>46851</v>
      </c>
      <c r="B1561" s="6" t="s">
        <v>898</v>
      </c>
      <c r="C1561" s="6" t="s">
        <v>647</v>
      </c>
      <c r="D1561" s="6" t="s">
        <v>858</v>
      </c>
      <c r="E1561" s="1" t="s">
        <v>727</v>
      </c>
      <c r="F1561" s="1">
        <f t="shared" si="24"/>
        <v>0</v>
      </c>
      <c r="H1561" s="4"/>
    </row>
    <row r="1562" spans="1:8" x14ac:dyDescent="0.25">
      <c r="A1562" s="6">
        <v>46852</v>
      </c>
      <c r="B1562" s="6" t="s">
        <v>898</v>
      </c>
      <c r="C1562" s="6" t="s">
        <v>647</v>
      </c>
      <c r="D1562" s="6" t="s">
        <v>858</v>
      </c>
      <c r="E1562" s="1" t="s">
        <v>727</v>
      </c>
      <c r="F1562" s="1">
        <f t="shared" si="24"/>
        <v>0</v>
      </c>
      <c r="H1562" s="4"/>
    </row>
    <row r="1563" spans="1:8" x14ac:dyDescent="0.25">
      <c r="A1563" s="6">
        <v>46853</v>
      </c>
      <c r="B1563" s="6" t="s">
        <v>898</v>
      </c>
      <c r="C1563" s="6" t="s">
        <v>647</v>
      </c>
      <c r="D1563" s="6" t="s">
        <v>858</v>
      </c>
      <c r="F1563" s="1">
        <f t="shared" si="24"/>
        <v>8</v>
      </c>
      <c r="H1563" s="4"/>
    </row>
    <row r="1564" spans="1:8" x14ac:dyDescent="0.25">
      <c r="A1564" s="6">
        <v>46854</v>
      </c>
      <c r="B1564" s="6" t="s">
        <v>898</v>
      </c>
      <c r="C1564" s="6" t="s">
        <v>647</v>
      </c>
      <c r="D1564" s="6" t="s">
        <v>858</v>
      </c>
      <c r="F1564" s="1">
        <f t="shared" si="24"/>
        <v>8</v>
      </c>
      <c r="H1564" s="4"/>
    </row>
    <row r="1565" spans="1:8" x14ac:dyDescent="0.25">
      <c r="A1565" s="6">
        <v>46855</v>
      </c>
      <c r="B1565" s="6" t="s">
        <v>898</v>
      </c>
      <c r="C1565" s="6" t="s">
        <v>647</v>
      </c>
      <c r="D1565" s="6" t="s">
        <v>858</v>
      </c>
      <c r="F1565" s="1">
        <f t="shared" si="24"/>
        <v>8</v>
      </c>
      <c r="H1565" s="4"/>
    </row>
    <row r="1566" spans="1:8" x14ac:dyDescent="0.25">
      <c r="A1566" s="6">
        <v>46856</v>
      </c>
      <c r="B1566" s="6" t="s">
        <v>898</v>
      </c>
      <c r="C1566" s="6" t="s">
        <v>647</v>
      </c>
      <c r="D1566" s="6" t="s">
        <v>858</v>
      </c>
      <c r="F1566" s="1">
        <f t="shared" si="24"/>
        <v>8</v>
      </c>
      <c r="H1566" s="4"/>
    </row>
    <row r="1567" spans="1:8" x14ac:dyDescent="0.25">
      <c r="A1567" s="6">
        <v>46857</v>
      </c>
      <c r="B1567" s="6" t="s">
        <v>898</v>
      </c>
      <c r="C1567" s="6" t="s">
        <v>647</v>
      </c>
      <c r="D1567" s="6" t="s">
        <v>858</v>
      </c>
      <c r="F1567" s="1">
        <f t="shared" si="24"/>
        <v>8</v>
      </c>
      <c r="H1567" s="4"/>
    </row>
    <row r="1568" spans="1:8" x14ac:dyDescent="0.25">
      <c r="A1568" s="6">
        <v>46858</v>
      </c>
      <c r="B1568" s="6" t="s">
        <v>899</v>
      </c>
      <c r="C1568" s="6" t="s">
        <v>649</v>
      </c>
      <c r="D1568" s="6" t="s">
        <v>858</v>
      </c>
      <c r="E1568" s="1" t="s">
        <v>727</v>
      </c>
      <c r="F1568" s="1">
        <f t="shared" si="24"/>
        <v>0</v>
      </c>
      <c r="H1568" s="4"/>
    </row>
    <row r="1569" spans="1:8" x14ac:dyDescent="0.25">
      <c r="A1569" s="6">
        <v>46859</v>
      </c>
      <c r="B1569" s="6" t="s">
        <v>899</v>
      </c>
      <c r="C1569" s="6" t="s">
        <v>649</v>
      </c>
      <c r="D1569" s="6" t="s">
        <v>858</v>
      </c>
      <c r="E1569" s="1" t="s">
        <v>727</v>
      </c>
      <c r="F1569" s="1">
        <f t="shared" si="24"/>
        <v>0</v>
      </c>
      <c r="H1569" s="4"/>
    </row>
    <row r="1570" spans="1:8" x14ac:dyDescent="0.25">
      <c r="A1570" s="6">
        <v>46860</v>
      </c>
      <c r="B1570" s="6" t="s">
        <v>899</v>
      </c>
      <c r="C1570" s="6" t="s">
        <v>649</v>
      </c>
      <c r="D1570" s="6" t="s">
        <v>858</v>
      </c>
      <c r="F1570" s="1">
        <f t="shared" si="24"/>
        <v>8</v>
      </c>
      <c r="H1570" s="4"/>
    </row>
    <row r="1571" spans="1:8" x14ac:dyDescent="0.25">
      <c r="A1571" s="6">
        <v>46861</v>
      </c>
      <c r="B1571" s="6" t="s">
        <v>899</v>
      </c>
      <c r="C1571" s="6" t="s">
        <v>649</v>
      </c>
      <c r="D1571" s="6" t="s">
        <v>858</v>
      </c>
      <c r="F1571" s="1">
        <f t="shared" si="24"/>
        <v>8</v>
      </c>
      <c r="H1571" s="4"/>
    </row>
    <row r="1572" spans="1:8" x14ac:dyDescent="0.25">
      <c r="A1572" s="6">
        <v>46862</v>
      </c>
      <c r="B1572" s="6" t="s">
        <v>899</v>
      </c>
      <c r="C1572" s="6" t="s">
        <v>649</v>
      </c>
      <c r="D1572" s="6" t="s">
        <v>858</v>
      </c>
      <c r="F1572" s="1">
        <f t="shared" si="24"/>
        <v>8</v>
      </c>
      <c r="H1572" s="4"/>
    </row>
    <row r="1573" spans="1:8" x14ac:dyDescent="0.25">
      <c r="A1573" s="6">
        <v>46863</v>
      </c>
      <c r="B1573" s="6" t="s">
        <v>899</v>
      </c>
      <c r="C1573" s="6" t="s">
        <v>649</v>
      </c>
      <c r="D1573" s="6" t="s">
        <v>858</v>
      </c>
      <c r="F1573" s="1">
        <f t="shared" si="24"/>
        <v>8</v>
      </c>
      <c r="H1573" s="4"/>
    </row>
    <row r="1574" spans="1:8" x14ac:dyDescent="0.25">
      <c r="A1574" s="6">
        <v>46864</v>
      </c>
      <c r="B1574" s="6" t="s">
        <v>899</v>
      </c>
      <c r="C1574" s="6" t="s">
        <v>649</v>
      </c>
      <c r="D1574" s="6" t="s">
        <v>858</v>
      </c>
      <c r="F1574" s="1">
        <f t="shared" si="24"/>
        <v>8</v>
      </c>
      <c r="H1574" s="4"/>
    </row>
    <row r="1575" spans="1:8" x14ac:dyDescent="0.25">
      <c r="A1575" s="6">
        <v>46865</v>
      </c>
      <c r="B1575" s="6" t="s">
        <v>900</v>
      </c>
      <c r="C1575" s="6" t="s">
        <v>651</v>
      </c>
      <c r="D1575" s="6" t="s">
        <v>858</v>
      </c>
      <c r="E1575" s="1" t="s">
        <v>727</v>
      </c>
      <c r="F1575" s="1">
        <f t="shared" si="24"/>
        <v>0</v>
      </c>
      <c r="H1575" s="4"/>
    </row>
    <row r="1576" spans="1:8" x14ac:dyDescent="0.25">
      <c r="A1576" s="6">
        <v>46866</v>
      </c>
      <c r="B1576" s="6" t="s">
        <v>900</v>
      </c>
      <c r="C1576" s="6" t="s">
        <v>651</v>
      </c>
      <c r="D1576" s="6" t="s">
        <v>858</v>
      </c>
      <c r="E1576" s="1" t="s">
        <v>727</v>
      </c>
      <c r="F1576" s="1">
        <f t="shared" si="24"/>
        <v>0</v>
      </c>
      <c r="H1576" s="4"/>
    </row>
    <row r="1577" spans="1:8" x14ac:dyDescent="0.25">
      <c r="A1577" s="6">
        <v>46867</v>
      </c>
      <c r="B1577" s="6" t="s">
        <v>900</v>
      </c>
      <c r="C1577" s="6" t="s">
        <v>651</v>
      </c>
      <c r="D1577" s="6" t="s">
        <v>858</v>
      </c>
      <c r="F1577" s="1">
        <f t="shared" si="24"/>
        <v>8</v>
      </c>
      <c r="H1577" s="4"/>
    </row>
    <row r="1578" spans="1:8" x14ac:dyDescent="0.25">
      <c r="A1578" s="6">
        <v>46868</v>
      </c>
      <c r="B1578" s="6" t="s">
        <v>900</v>
      </c>
      <c r="C1578" s="6" t="s">
        <v>651</v>
      </c>
      <c r="D1578" s="6" t="s">
        <v>858</v>
      </c>
      <c r="F1578" s="1">
        <f t="shared" si="24"/>
        <v>8</v>
      </c>
      <c r="H1578" s="4"/>
    </row>
    <row r="1579" spans="1:8" x14ac:dyDescent="0.25">
      <c r="A1579" s="6">
        <v>46869</v>
      </c>
      <c r="B1579" s="6" t="s">
        <v>900</v>
      </c>
      <c r="C1579" s="6" t="s">
        <v>651</v>
      </c>
      <c r="D1579" s="6" t="s">
        <v>858</v>
      </c>
      <c r="F1579" s="1">
        <f t="shared" si="24"/>
        <v>8</v>
      </c>
      <c r="H1579" s="4"/>
    </row>
    <row r="1580" spans="1:8" x14ac:dyDescent="0.25">
      <c r="A1580" s="6">
        <v>46870</v>
      </c>
      <c r="B1580" s="6" t="s">
        <v>900</v>
      </c>
      <c r="C1580" s="6" t="s">
        <v>651</v>
      </c>
      <c r="D1580" s="6" t="s">
        <v>858</v>
      </c>
      <c r="F1580" s="1">
        <f t="shared" si="24"/>
        <v>8</v>
      </c>
      <c r="H1580" s="4"/>
    </row>
    <row r="1581" spans="1:8" x14ac:dyDescent="0.25">
      <c r="A1581" s="6">
        <v>46871</v>
      </c>
      <c r="B1581" s="6" t="s">
        <v>900</v>
      </c>
      <c r="C1581" s="6" t="s">
        <v>651</v>
      </c>
      <c r="D1581" s="6" t="s">
        <v>858</v>
      </c>
      <c r="F1581" s="1">
        <f t="shared" si="24"/>
        <v>8</v>
      </c>
      <c r="H1581" s="4"/>
    </row>
    <row r="1582" spans="1:8" x14ac:dyDescent="0.25">
      <c r="A1582" s="6">
        <v>46872</v>
      </c>
      <c r="B1582" s="6" t="s">
        <v>901</v>
      </c>
      <c r="C1582" s="6" t="s">
        <v>653</v>
      </c>
      <c r="D1582" s="6" t="s">
        <v>858</v>
      </c>
      <c r="E1582" s="1" t="s">
        <v>727</v>
      </c>
      <c r="F1582" s="1">
        <f t="shared" si="24"/>
        <v>0</v>
      </c>
      <c r="H1582" s="4"/>
    </row>
    <row r="1583" spans="1:8" x14ac:dyDescent="0.25">
      <c r="A1583" s="6">
        <v>46873</v>
      </c>
      <c r="B1583" s="6" t="s">
        <v>901</v>
      </c>
      <c r="C1583" s="6" t="s">
        <v>653</v>
      </c>
      <c r="D1583" s="6" t="s">
        <v>858</v>
      </c>
      <c r="E1583" s="1" t="s">
        <v>727</v>
      </c>
      <c r="F1583" s="1">
        <f t="shared" si="24"/>
        <v>0</v>
      </c>
      <c r="H1583" s="4"/>
    </row>
    <row r="1584" spans="1:8" x14ac:dyDescent="0.25">
      <c r="A1584" s="6">
        <v>46874</v>
      </c>
      <c r="B1584" s="6" t="s">
        <v>901</v>
      </c>
      <c r="C1584" s="6" t="s">
        <v>653</v>
      </c>
      <c r="D1584" s="6" t="s">
        <v>858</v>
      </c>
      <c r="F1584" s="1">
        <f t="shared" si="24"/>
        <v>8</v>
      </c>
      <c r="H1584" s="4"/>
    </row>
    <row r="1585" spans="1:8" x14ac:dyDescent="0.25">
      <c r="A1585" s="6">
        <v>46875</v>
      </c>
      <c r="B1585" s="6" t="s">
        <v>901</v>
      </c>
      <c r="C1585" s="6" t="s">
        <v>653</v>
      </c>
      <c r="D1585" s="6" t="s">
        <v>858</v>
      </c>
      <c r="F1585" s="1">
        <f t="shared" si="24"/>
        <v>8</v>
      </c>
      <c r="H1585" s="4"/>
    </row>
    <row r="1586" spans="1:8" x14ac:dyDescent="0.25">
      <c r="A1586" s="6">
        <v>46876</v>
      </c>
      <c r="B1586" s="6" t="s">
        <v>901</v>
      </c>
      <c r="C1586" s="6" t="s">
        <v>653</v>
      </c>
      <c r="D1586" s="6" t="s">
        <v>858</v>
      </c>
      <c r="F1586" s="1">
        <f t="shared" si="24"/>
        <v>8</v>
      </c>
      <c r="H1586" s="4"/>
    </row>
    <row r="1587" spans="1:8" x14ac:dyDescent="0.25">
      <c r="A1587" s="6">
        <v>46877</v>
      </c>
      <c r="B1587" s="6" t="s">
        <v>901</v>
      </c>
      <c r="C1587" s="6" t="s">
        <v>653</v>
      </c>
      <c r="D1587" s="6" t="s">
        <v>858</v>
      </c>
      <c r="F1587" s="1">
        <f t="shared" si="24"/>
        <v>8</v>
      </c>
      <c r="H1587" s="4"/>
    </row>
    <row r="1588" spans="1:8" x14ac:dyDescent="0.25">
      <c r="A1588" s="6">
        <v>46878</v>
      </c>
      <c r="B1588" s="6" t="s">
        <v>901</v>
      </c>
      <c r="C1588" s="6" t="s">
        <v>653</v>
      </c>
      <c r="D1588" s="6" t="s">
        <v>858</v>
      </c>
      <c r="F1588" s="1">
        <f t="shared" si="24"/>
        <v>8</v>
      </c>
      <c r="H1588" s="4"/>
    </row>
    <row r="1589" spans="1:8" x14ac:dyDescent="0.25">
      <c r="A1589" s="6">
        <v>46879</v>
      </c>
      <c r="B1589" s="6" t="s">
        <v>902</v>
      </c>
      <c r="C1589" s="6" t="s">
        <v>656</v>
      </c>
      <c r="D1589" s="6" t="s">
        <v>858</v>
      </c>
      <c r="E1589" s="1" t="s">
        <v>727</v>
      </c>
      <c r="F1589" s="1">
        <f t="shared" si="24"/>
        <v>0</v>
      </c>
      <c r="H1589" s="4"/>
    </row>
    <row r="1590" spans="1:8" x14ac:dyDescent="0.25">
      <c r="A1590" s="6">
        <v>46880</v>
      </c>
      <c r="B1590" s="6" t="s">
        <v>902</v>
      </c>
      <c r="C1590" s="6" t="s">
        <v>656</v>
      </c>
      <c r="D1590" s="6" t="s">
        <v>858</v>
      </c>
      <c r="E1590" s="1" t="s">
        <v>727</v>
      </c>
      <c r="F1590" s="1">
        <f t="shared" si="24"/>
        <v>0</v>
      </c>
      <c r="H1590" s="4"/>
    </row>
    <row r="1591" spans="1:8" x14ac:dyDescent="0.25">
      <c r="A1591" s="6">
        <v>46881</v>
      </c>
      <c r="B1591" s="6" t="s">
        <v>902</v>
      </c>
      <c r="C1591" s="6" t="s">
        <v>656</v>
      </c>
      <c r="D1591" s="6" t="s">
        <v>858</v>
      </c>
      <c r="F1591" s="1">
        <f t="shared" si="24"/>
        <v>8</v>
      </c>
      <c r="H1591" s="4"/>
    </row>
    <row r="1592" spans="1:8" x14ac:dyDescent="0.25">
      <c r="A1592" s="6">
        <v>46882</v>
      </c>
      <c r="B1592" s="6" t="s">
        <v>902</v>
      </c>
      <c r="C1592" s="6" t="s">
        <v>656</v>
      </c>
      <c r="D1592" s="6" t="s">
        <v>858</v>
      </c>
      <c r="F1592" s="1">
        <f t="shared" si="24"/>
        <v>8</v>
      </c>
      <c r="H1592" s="4"/>
    </row>
    <row r="1593" spans="1:8" x14ac:dyDescent="0.25">
      <c r="A1593" s="6">
        <v>46883</v>
      </c>
      <c r="B1593" s="6" t="s">
        <v>902</v>
      </c>
      <c r="C1593" s="6" t="s">
        <v>656</v>
      </c>
      <c r="D1593" s="6" t="s">
        <v>858</v>
      </c>
      <c r="F1593" s="1">
        <f t="shared" si="24"/>
        <v>8</v>
      </c>
      <c r="H1593" s="4"/>
    </row>
    <row r="1594" spans="1:8" x14ac:dyDescent="0.25">
      <c r="A1594" s="6">
        <v>46884</v>
      </c>
      <c r="B1594" s="6" t="s">
        <v>902</v>
      </c>
      <c r="C1594" s="6" t="s">
        <v>656</v>
      </c>
      <c r="D1594" s="6" t="s">
        <v>858</v>
      </c>
      <c r="F1594" s="1">
        <f t="shared" si="24"/>
        <v>8</v>
      </c>
      <c r="H1594" s="4"/>
    </row>
    <row r="1595" spans="1:8" x14ac:dyDescent="0.25">
      <c r="A1595" s="6">
        <v>46885</v>
      </c>
      <c r="B1595" s="6" t="s">
        <v>902</v>
      </c>
      <c r="C1595" s="6" t="s">
        <v>656</v>
      </c>
      <c r="D1595" s="6" t="s">
        <v>858</v>
      </c>
      <c r="F1595" s="1">
        <f t="shared" si="24"/>
        <v>8</v>
      </c>
      <c r="H1595" s="4"/>
    </row>
    <row r="1596" spans="1:8" x14ac:dyDescent="0.25">
      <c r="A1596" s="6">
        <v>46886</v>
      </c>
      <c r="B1596" s="6" t="s">
        <v>903</v>
      </c>
      <c r="C1596" s="6" t="s">
        <v>658</v>
      </c>
      <c r="D1596" s="6" t="s">
        <v>858</v>
      </c>
      <c r="E1596" s="1" t="s">
        <v>727</v>
      </c>
      <c r="F1596" s="1">
        <f t="shared" si="24"/>
        <v>0</v>
      </c>
      <c r="H1596" s="4"/>
    </row>
    <row r="1597" spans="1:8" x14ac:dyDescent="0.25">
      <c r="A1597" s="6">
        <v>46887</v>
      </c>
      <c r="B1597" s="6" t="s">
        <v>903</v>
      </c>
      <c r="C1597" s="6" t="s">
        <v>658</v>
      </c>
      <c r="D1597" s="6" t="s">
        <v>858</v>
      </c>
      <c r="E1597" s="1" t="s">
        <v>727</v>
      </c>
      <c r="F1597" s="1">
        <f t="shared" si="24"/>
        <v>0</v>
      </c>
      <c r="H1597" s="4"/>
    </row>
    <row r="1598" spans="1:8" x14ac:dyDescent="0.25">
      <c r="A1598" s="6">
        <v>46888</v>
      </c>
      <c r="B1598" s="6" t="s">
        <v>903</v>
      </c>
      <c r="C1598" s="6" t="s">
        <v>658</v>
      </c>
      <c r="D1598" s="6" t="s">
        <v>858</v>
      </c>
      <c r="F1598" s="1">
        <f t="shared" si="24"/>
        <v>8</v>
      </c>
      <c r="H1598" s="4"/>
    </row>
    <row r="1599" spans="1:8" x14ac:dyDescent="0.25">
      <c r="A1599" s="6">
        <v>46889</v>
      </c>
      <c r="B1599" s="6" t="s">
        <v>903</v>
      </c>
      <c r="C1599" s="6" t="s">
        <v>658</v>
      </c>
      <c r="D1599" s="6" t="s">
        <v>858</v>
      </c>
      <c r="F1599" s="1">
        <f t="shared" si="24"/>
        <v>8</v>
      </c>
      <c r="H1599" s="4"/>
    </row>
    <row r="1600" spans="1:8" x14ac:dyDescent="0.25">
      <c r="A1600" s="6">
        <v>46890</v>
      </c>
      <c r="B1600" s="6" t="s">
        <v>903</v>
      </c>
      <c r="C1600" s="6" t="s">
        <v>658</v>
      </c>
      <c r="D1600" s="6" t="s">
        <v>858</v>
      </c>
      <c r="F1600" s="1">
        <f t="shared" si="24"/>
        <v>8</v>
      </c>
      <c r="H1600" s="4"/>
    </row>
    <row r="1601" spans="1:8" x14ac:dyDescent="0.25">
      <c r="A1601" s="6">
        <v>46891</v>
      </c>
      <c r="B1601" s="6" t="s">
        <v>903</v>
      </c>
      <c r="C1601" s="6" t="s">
        <v>658</v>
      </c>
      <c r="D1601" s="6" t="s">
        <v>858</v>
      </c>
      <c r="F1601" s="1">
        <f t="shared" si="24"/>
        <v>8</v>
      </c>
      <c r="H1601" s="4"/>
    </row>
    <row r="1602" spans="1:8" x14ac:dyDescent="0.25">
      <c r="A1602" s="6">
        <v>46892</v>
      </c>
      <c r="B1602" s="6" t="s">
        <v>903</v>
      </c>
      <c r="C1602" s="6" t="s">
        <v>658</v>
      </c>
      <c r="D1602" s="6" t="s">
        <v>858</v>
      </c>
      <c r="F1602" s="1">
        <f t="shared" ref="F1602:F1644" si="25">IF(OR(E1602="",E1602="调休"),8,0)</f>
        <v>8</v>
      </c>
      <c r="H1602" s="4"/>
    </row>
    <row r="1603" spans="1:8" x14ac:dyDescent="0.25">
      <c r="A1603" s="6">
        <v>46893</v>
      </c>
      <c r="B1603" s="6" t="s">
        <v>904</v>
      </c>
      <c r="C1603" s="6" t="s">
        <v>660</v>
      </c>
      <c r="D1603" s="6" t="s">
        <v>858</v>
      </c>
      <c r="E1603" s="1" t="s">
        <v>727</v>
      </c>
      <c r="F1603" s="1">
        <f t="shared" si="25"/>
        <v>0</v>
      </c>
      <c r="H1603" s="4"/>
    </row>
    <row r="1604" spans="1:8" x14ac:dyDescent="0.25">
      <c r="A1604" s="6">
        <v>46894</v>
      </c>
      <c r="B1604" s="6" t="s">
        <v>904</v>
      </c>
      <c r="C1604" s="6" t="s">
        <v>660</v>
      </c>
      <c r="D1604" s="6" t="s">
        <v>858</v>
      </c>
      <c r="E1604" s="1" t="s">
        <v>727</v>
      </c>
      <c r="F1604" s="1">
        <f t="shared" si="25"/>
        <v>0</v>
      </c>
      <c r="H1604" s="4"/>
    </row>
    <row r="1605" spans="1:8" x14ac:dyDescent="0.25">
      <c r="A1605" s="6">
        <v>46895</v>
      </c>
      <c r="B1605" s="6" t="s">
        <v>904</v>
      </c>
      <c r="C1605" s="6" t="s">
        <v>660</v>
      </c>
      <c r="D1605" s="6" t="s">
        <v>858</v>
      </c>
      <c r="F1605" s="1">
        <f t="shared" si="25"/>
        <v>8</v>
      </c>
      <c r="H1605" s="4"/>
    </row>
    <row r="1606" spans="1:8" x14ac:dyDescent="0.25">
      <c r="A1606" s="6">
        <v>46896</v>
      </c>
      <c r="B1606" s="6" t="s">
        <v>904</v>
      </c>
      <c r="C1606" s="6" t="s">
        <v>660</v>
      </c>
      <c r="D1606" s="6" t="s">
        <v>858</v>
      </c>
      <c r="F1606" s="1">
        <f t="shared" si="25"/>
        <v>8</v>
      </c>
      <c r="H1606" s="4"/>
    </row>
    <row r="1607" spans="1:8" x14ac:dyDescent="0.25">
      <c r="A1607" s="6">
        <v>46897</v>
      </c>
      <c r="B1607" s="6" t="s">
        <v>904</v>
      </c>
      <c r="C1607" s="6" t="s">
        <v>660</v>
      </c>
      <c r="D1607" s="6" t="s">
        <v>858</v>
      </c>
      <c r="F1607" s="1">
        <f t="shared" si="25"/>
        <v>8</v>
      </c>
      <c r="H1607" s="4"/>
    </row>
    <row r="1608" spans="1:8" x14ac:dyDescent="0.25">
      <c r="A1608" s="6">
        <v>46898</v>
      </c>
      <c r="B1608" s="6" t="s">
        <v>904</v>
      </c>
      <c r="C1608" s="6" t="s">
        <v>660</v>
      </c>
      <c r="D1608" s="6" t="s">
        <v>858</v>
      </c>
      <c r="F1608" s="1">
        <f t="shared" si="25"/>
        <v>8</v>
      </c>
      <c r="H1608" s="4"/>
    </row>
    <row r="1609" spans="1:8" x14ac:dyDescent="0.25">
      <c r="A1609" s="6">
        <v>46899</v>
      </c>
      <c r="B1609" s="6" t="s">
        <v>904</v>
      </c>
      <c r="C1609" s="6" t="s">
        <v>660</v>
      </c>
      <c r="D1609" s="6" t="s">
        <v>858</v>
      </c>
      <c r="F1609" s="1">
        <f t="shared" si="25"/>
        <v>8</v>
      </c>
      <c r="H1609" s="4"/>
    </row>
    <row r="1610" spans="1:8" x14ac:dyDescent="0.25">
      <c r="A1610" s="6">
        <v>46900</v>
      </c>
      <c r="B1610" s="6" t="s">
        <v>905</v>
      </c>
      <c r="C1610" s="6" t="s">
        <v>662</v>
      </c>
      <c r="D1610" s="6" t="s">
        <v>858</v>
      </c>
      <c r="E1610" s="1" t="s">
        <v>727</v>
      </c>
      <c r="F1610" s="1">
        <f t="shared" si="25"/>
        <v>0</v>
      </c>
      <c r="H1610" s="4"/>
    </row>
    <row r="1611" spans="1:8" x14ac:dyDescent="0.25">
      <c r="A1611" s="6">
        <v>46901</v>
      </c>
      <c r="B1611" s="6" t="s">
        <v>905</v>
      </c>
      <c r="C1611" s="6" t="s">
        <v>662</v>
      </c>
      <c r="D1611" s="6" t="s">
        <v>858</v>
      </c>
      <c r="E1611" s="1" t="s">
        <v>727</v>
      </c>
      <c r="F1611" s="1">
        <f t="shared" si="25"/>
        <v>0</v>
      </c>
      <c r="H1611" s="4"/>
    </row>
    <row r="1612" spans="1:8" x14ac:dyDescent="0.25">
      <c r="A1612" s="6">
        <v>46902</v>
      </c>
      <c r="B1612" s="6" t="s">
        <v>905</v>
      </c>
      <c r="C1612" s="6" t="s">
        <v>662</v>
      </c>
      <c r="D1612" s="6" t="s">
        <v>858</v>
      </c>
      <c r="F1612" s="1">
        <f t="shared" si="25"/>
        <v>8</v>
      </c>
      <c r="H1612" s="4"/>
    </row>
    <row r="1613" spans="1:8" x14ac:dyDescent="0.25">
      <c r="A1613" s="6">
        <v>46903</v>
      </c>
      <c r="B1613" s="6" t="s">
        <v>905</v>
      </c>
      <c r="C1613" s="6" t="s">
        <v>662</v>
      </c>
      <c r="D1613" s="6" t="s">
        <v>858</v>
      </c>
      <c r="F1613" s="1">
        <f t="shared" si="25"/>
        <v>8</v>
      </c>
      <c r="H1613" s="4"/>
    </row>
    <row r="1614" spans="1:8" x14ac:dyDescent="0.25">
      <c r="A1614" s="6">
        <v>46904</v>
      </c>
      <c r="B1614" s="6" t="s">
        <v>905</v>
      </c>
      <c r="C1614" s="6" t="s">
        <v>662</v>
      </c>
      <c r="D1614" s="6" t="s">
        <v>858</v>
      </c>
      <c r="F1614" s="1">
        <f t="shared" si="25"/>
        <v>8</v>
      </c>
      <c r="H1614" s="4"/>
    </row>
    <row r="1615" spans="1:8" x14ac:dyDescent="0.25">
      <c r="A1615" s="6">
        <v>46905</v>
      </c>
      <c r="B1615" s="6" t="s">
        <v>905</v>
      </c>
      <c r="C1615" s="6" t="s">
        <v>662</v>
      </c>
      <c r="D1615" s="6" t="s">
        <v>858</v>
      </c>
      <c r="F1615" s="1">
        <f t="shared" si="25"/>
        <v>8</v>
      </c>
      <c r="H1615" s="4"/>
    </row>
    <row r="1616" spans="1:8" x14ac:dyDescent="0.25">
      <c r="A1616" s="6">
        <v>46906</v>
      </c>
      <c r="B1616" s="6" t="s">
        <v>905</v>
      </c>
      <c r="C1616" s="6" t="s">
        <v>662</v>
      </c>
      <c r="D1616" s="6" t="s">
        <v>858</v>
      </c>
      <c r="F1616" s="1">
        <f t="shared" si="25"/>
        <v>8</v>
      </c>
      <c r="H1616" s="4"/>
    </row>
    <row r="1617" spans="1:8" x14ac:dyDescent="0.25">
      <c r="A1617" s="6">
        <v>46907</v>
      </c>
      <c r="B1617" s="6" t="s">
        <v>906</v>
      </c>
      <c r="C1617" s="6" t="s">
        <v>664</v>
      </c>
      <c r="D1617" s="6" t="s">
        <v>858</v>
      </c>
      <c r="E1617" s="1" t="s">
        <v>727</v>
      </c>
      <c r="F1617" s="1">
        <f t="shared" si="25"/>
        <v>0</v>
      </c>
      <c r="H1617" s="4"/>
    </row>
    <row r="1618" spans="1:8" x14ac:dyDescent="0.25">
      <c r="A1618" s="6">
        <v>46908</v>
      </c>
      <c r="B1618" s="6" t="s">
        <v>906</v>
      </c>
      <c r="C1618" s="6" t="s">
        <v>664</v>
      </c>
      <c r="D1618" s="6" t="s">
        <v>858</v>
      </c>
      <c r="E1618" s="1" t="s">
        <v>727</v>
      </c>
      <c r="F1618" s="1">
        <f t="shared" si="25"/>
        <v>0</v>
      </c>
      <c r="H1618" s="4"/>
    </row>
    <row r="1619" spans="1:8" x14ac:dyDescent="0.25">
      <c r="A1619" s="6">
        <v>46909</v>
      </c>
      <c r="B1619" s="6" t="s">
        <v>906</v>
      </c>
      <c r="C1619" s="6" t="s">
        <v>664</v>
      </c>
      <c r="D1619" s="6" t="s">
        <v>858</v>
      </c>
      <c r="F1619" s="1">
        <f t="shared" si="25"/>
        <v>8</v>
      </c>
      <c r="H1619" s="4"/>
    </row>
    <row r="1620" spans="1:8" x14ac:dyDescent="0.25">
      <c r="A1620" s="6">
        <v>46910</v>
      </c>
      <c r="B1620" s="6" t="s">
        <v>906</v>
      </c>
      <c r="C1620" s="6" t="s">
        <v>664</v>
      </c>
      <c r="D1620" s="6" t="s">
        <v>858</v>
      </c>
      <c r="F1620" s="1">
        <f t="shared" si="25"/>
        <v>8</v>
      </c>
      <c r="H1620" s="4"/>
    </row>
    <row r="1621" spans="1:8" x14ac:dyDescent="0.25">
      <c r="A1621" s="6">
        <v>46911</v>
      </c>
      <c r="B1621" s="6" t="s">
        <v>906</v>
      </c>
      <c r="C1621" s="6" t="s">
        <v>664</v>
      </c>
      <c r="D1621" s="6" t="s">
        <v>858</v>
      </c>
      <c r="F1621" s="1">
        <f t="shared" si="25"/>
        <v>8</v>
      </c>
      <c r="H1621" s="4"/>
    </row>
    <row r="1622" spans="1:8" x14ac:dyDescent="0.25">
      <c r="A1622" s="6">
        <v>46912</v>
      </c>
      <c r="B1622" s="6" t="s">
        <v>906</v>
      </c>
      <c r="C1622" s="6" t="s">
        <v>664</v>
      </c>
      <c r="D1622" s="6" t="s">
        <v>858</v>
      </c>
      <c r="F1622" s="1">
        <f t="shared" si="25"/>
        <v>8</v>
      </c>
      <c r="H1622" s="4"/>
    </row>
    <row r="1623" spans="1:8" x14ac:dyDescent="0.25">
      <c r="A1623" s="6">
        <v>46913</v>
      </c>
      <c r="B1623" s="6" t="s">
        <v>906</v>
      </c>
      <c r="C1623" s="6" t="s">
        <v>664</v>
      </c>
      <c r="D1623" s="6" t="s">
        <v>858</v>
      </c>
      <c r="F1623" s="1">
        <f t="shared" si="25"/>
        <v>8</v>
      </c>
      <c r="H1623" s="4"/>
    </row>
    <row r="1624" spans="1:8" x14ac:dyDescent="0.25">
      <c r="A1624" s="6">
        <v>46914</v>
      </c>
      <c r="B1624" s="6" t="s">
        <v>907</v>
      </c>
      <c r="C1624" s="6" t="s">
        <v>666</v>
      </c>
      <c r="D1624" s="6" t="s">
        <v>858</v>
      </c>
      <c r="E1624" s="1" t="s">
        <v>727</v>
      </c>
      <c r="F1624" s="1">
        <f t="shared" si="25"/>
        <v>0</v>
      </c>
      <c r="H1624" s="4"/>
    </row>
    <row r="1625" spans="1:8" x14ac:dyDescent="0.25">
      <c r="A1625" s="6">
        <v>46915</v>
      </c>
      <c r="B1625" s="6" t="s">
        <v>907</v>
      </c>
      <c r="C1625" s="6" t="s">
        <v>666</v>
      </c>
      <c r="D1625" s="6" t="s">
        <v>858</v>
      </c>
      <c r="E1625" s="1" t="s">
        <v>727</v>
      </c>
      <c r="F1625" s="1">
        <f t="shared" si="25"/>
        <v>0</v>
      </c>
      <c r="H1625" s="4"/>
    </row>
    <row r="1626" spans="1:8" x14ac:dyDescent="0.25">
      <c r="A1626" s="6">
        <v>46916</v>
      </c>
      <c r="B1626" s="6" t="s">
        <v>907</v>
      </c>
      <c r="C1626" s="6" t="s">
        <v>666</v>
      </c>
      <c r="D1626" s="6" t="s">
        <v>858</v>
      </c>
      <c r="F1626" s="1">
        <f t="shared" si="25"/>
        <v>8</v>
      </c>
      <c r="H1626" s="4"/>
    </row>
    <row r="1627" spans="1:8" x14ac:dyDescent="0.25">
      <c r="A1627" s="6">
        <v>46917</v>
      </c>
      <c r="B1627" s="6" t="s">
        <v>907</v>
      </c>
      <c r="C1627" s="6" t="s">
        <v>666</v>
      </c>
      <c r="D1627" s="6" t="s">
        <v>858</v>
      </c>
      <c r="F1627" s="1">
        <f t="shared" si="25"/>
        <v>8</v>
      </c>
      <c r="H1627" s="4"/>
    </row>
    <row r="1628" spans="1:8" x14ac:dyDescent="0.25">
      <c r="A1628" s="6">
        <v>46918</v>
      </c>
      <c r="B1628" s="6" t="s">
        <v>907</v>
      </c>
      <c r="C1628" s="6" t="s">
        <v>666</v>
      </c>
      <c r="D1628" s="6" t="s">
        <v>858</v>
      </c>
      <c r="F1628" s="1">
        <f t="shared" si="25"/>
        <v>8</v>
      </c>
      <c r="H1628" s="4"/>
    </row>
    <row r="1629" spans="1:8" x14ac:dyDescent="0.25">
      <c r="A1629" s="6">
        <v>46919</v>
      </c>
      <c r="B1629" s="6" t="s">
        <v>907</v>
      </c>
      <c r="C1629" s="6" t="s">
        <v>666</v>
      </c>
      <c r="D1629" s="6" t="s">
        <v>858</v>
      </c>
      <c r="F1629" s="1">
        <f t="shared" si="25"/>
        <v>8</v>
      </c>
      <c r="H1629" s="4"/>
    </row>
    <row r="1630" spans="1:8" x14ac:dyDescent="0.25">
      <c r="A1630" s="6">
        <v>46920</v>
      </c>
      <c r="B1630" s="6" t="s">
        <v>907</v>
      </c>
      <c r="C1630" s="6" t="s">
        <v>666</v>
      </c>
      <c r="D1630" s="6" t="s">
        <v>858</v>
      </c>
      <c r="F1630" s="1">
        <f t="shared" si="25"/>
        <v>8</v>
      </c>
      <c r="H1630" s="4"/>
    </row>
    <row r="1631" spans="1:8" x14ac:dyDescent="0.25">
      <c r="A1631" s="6">
        <v>46921</v>
      </c>
      <c r="B1631" s="6" t="s">
        <v>908</v>
      </c>
      <c r="C1631" s="6" t="s">
        <v>669</v>
      </c>
      <c r="D1631" s="6" t="s">
        <v>858</v>
      </c>
      <c r="E1631" s="1" t="s">
        <v>727</v>
      </c>
      <c r="F1631" s="1">
        <f t="shared" si="25"/>
        <v>0</v>
      </c>
      <c r="H1631" s="4"/>
    </row>
    <row r="1632" spans="1:8" x14ac:dyDescent="0.25">
      <c r="A1632" s="6">
        <v>46922</v>
      </c>
      <c r="B1632" s="6" t="s">
        <v>908</v>
      </c>
      <c r="C1632" s="6" t="s">
        <v>669</v>
      </c>
      <c r="D1632" s="6" t="s">
        <v>858</v>
      </c>
      <c r="E1632" s="1" t="s">
        <v>727</v>
      </c>
      <c r="F1632" s="1">
        <f t="shared" si="25"/>
        <v>0</v>
      </c>
      <c r="H1632" s="4"/>
    </row>
    <row r="1633" spans="1:8" x14ac:dyDescent="0.25">
      <c r="A1633" s="6">
        <v>46923</v>
      </c>
      <c r="B1633" s="6" t="s">
        <v>908</v>
      </c>
      <c r="C1633" s="6" t="s">
        <v>669</v>
      </c>
      <c r="D1633" s="6" t="s">
        <v>858</v>
      </c>
      <c r="F1633" s="1">
        <f t="shared" si="25"/>
        <v>8</v>
      </c>
      <c r="H1633" s="4"/>
    </row>
    <row r="1634" spans="1:8" x14ac:dyDescent="0.25">
      <c r="A1634" s="6">
        <v>46924</v>
      </c>
      <c r="B1634" s="6" t="s">
        <v>908</v>
      </c>
      <c r="C1634" s="6" t="s">
        <v>669</v>
      </c>
      <c r="D1634" s="6" t="s">
        <v>858</v>
      </c>
      <c r="F1634" s="1">
        <f t="shared" si="25"/>
        <v>8</v>
      </c>
      <c r="H1634" s="4"/>
    </row>
    <row r="1635" spans="1:8" x14ac:dyDescent="0.25">
      <c r="A1635" s="6">
        <v>46925</v>
      </c>
      <c r="B1635" s="6" t="s">
        <v>908</v>
      </c>
      <c r="C1635" s="6" t="s">
        <v>669</v>
      </c>
      <c r="D1635" s="6" t="s">
        <v>858</v>
      </c>
      <c r="F1635" s="1">
        <f t="shared" si="25"/>
        <v>8</v>
      </c>
      <c r="H1635" s="4"/>
    </row>
    <row r="1636" spans="1:8" x14ac:dyDescent="0.25">
      <c r="A1636" s="6">
        <v>46926</v>
      </c>
      <c r="B1636" s="6" t="s">
        <v>908</v>
      </c>
      <c r="C1636" s="6" t="s">
        <v>669</v>
      </c>
      <c r="D1636" s="6" t="s">
        <v>858</v>
      </c>
      <c r="F1636" s="1">
        <f t="shared" si="25"/>
        <v>8</v>
      </c>
      <c r="H1636" s="4"/>
    </row>
    <row r="1637" spans="1:8" x14ac:dyDescent="0.25">
      <c r="A1637" s="6">
        <v>46927</v>
      </c>
      <c r="B1637" s="6" t="s">
        <v>908</v>
      </c>
      <c r="C1637" s="6" t="s">
        <v>669</v>
      </c>
      <c r="D1637" s="6" t="s">
        <v>858</v>
      </c>
      <c r="F1637" s="1">
        <f t="shared" si="25"/>
        <v>8</v>
      </c>
      <c r="H1637" s="4"/>
    </row>
    <row r="1638" spans="1:8" x14ac:dyDescent="0.25">
      <c r="A1638" s="6">
        <v>46928</v>
      </c>
      <c r="B1638" s="6" t="s">
        <v>909</v>
      </c>
      <c r="C1638" s="6" t="s">
        <v>671</v>
      </c>
      <c r="D1638" s="6" t="s">
        <v>858</v>
      </c>
      <c r="E1638" s="1" t="s">
        <v>727</v>
      </c>
      <c r="F1638" s="1">
        <f t="shared" si="25"/>
        <v>0</v>
      </c>
      <c r="H1638" s="4"/>
    </row>
    <row r="1639" spans="1:8" x14ac:dyDescent="0.25">
      <c r="A1639" s="6">
        <v>46929</v>
      </c>
      <c r="B1639" s="6" t="s">
        <v>909</v>
      </c>
      <c r="C1639" s="6" t="s">
        <v>671</v>
      </c>
      <c r="D1639" s="6" t="s">
        <v>858</v>
      </c>
      <c r="E1639" s="1" t="s">
        <v>727</v>
      </c>
      <c r="F1639" s="1">
        <f t="shared" si="25"/>
        <v>0</v>
      </c>
      <c r="H1639" s="4"/>
    </row>
    <row r="1640" spans="1:8" x14ac:dyDescent="0.25">
      <c r="A1640" s="6">
        <v>46930</v>
      </c>
      <c r="B1640" s="6" t="s">
        <v>909</v>
      </c>
      <c r="C1640" s="6" t="s">
        <v>671</v>
      </c>
      <c r="D1640" s="6" t="s">
        <v>858</v>
      </c>
      <c r="F1640" s="1">
        <f t="shared" si="25"/>
        <v>8</v>
      </c>
      <c r="H1640" s="4"/>
    </row>
    <row r="1641" spans="1:8" x14ac:dyDescent="0.25">
      <c r="A1641" s="6">
        <v>46931</v>
      </c>
      <c r="B1641" s="6" t="s">
        <v>909</v>
      </c>
      <c r="C1641" s="6" t="s">
        <v>671</v>
      </c>
      <c r="D1641" s="6" t="s">
        <v>858</v>
      </c>
      <c r="F1641" s="1">
        <f t="shared" si="25"/>
        <v>8</v>
      </c>
      <c r="H1641" s="4"/>
    </row>
    <row r="1642" spans="1:8" x14ac:dyDescent="0.25">
      <c r="A1642" s="6">
        <v>46932</v>
      </c>
      <c r="B1642" s="6" t="s">
        <v>909</v>
      </c>
      <c r="C1642" s="6" t="s">
        <v>671</v>
      </c>
      <c r="D1642" s="6" t="s">
        <v>858</v>
      </c>
      <c r="F1642" s="1">
        <f t="shared" si="25"/>
        <v>8</v>
      </c>
      <c r="H1642" s="4"/>
    </row>
    <row r="1643" spans="1:8" x14ac:dyDescent="0.25">
      <c r="A1643" s="6">
        <v>46933</v>
      </c>
      <c r="B1643" s="6" t="s">
        <v>909</v>
      </c>
      <c r="C1643" s="6" t="s">
        <v>671</v>
      </c>
      <c r="D1643" s="6" t="s">
        <v>858</v>
      </c>
      <c r="F1643" s="1">
        <f t="shared" si="25"/>
        <v>8</v>
      </c>
      <c r="H1643" s="4"/>
    </row>
    <row r="1644" spans="1:8" x14ac:dyDescent="0.25">
      <c r="A1644" s="6">
        <v>46934</v>
      </c>
      <c r="B1644" s="6" t="s">
        <v>909</v>
      </c>
      <c r="C1644" s="6" t="s">
        <v>671</v>
      </c>
      <c r="D1644" s="6" t="s">
        <v>858</v>
      </c>
      <c r="F1644" s="1">
        <f t="shared" si="25"/>
        <v>8</v>
      </c>
      <c r="H1644" s="4"/>
    </row>
  </sheetData>
  <sortState xmlns:xlrd2="http://schemas.microsoft.com/office/spreadsheetml/2017/richdata2" ref="A2:G1644">
    <sortCondition ref="A1"/>
  </sortState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CD65718-5936-4083-82C6-1FC045B95B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Instruction</vt:lpstr>
      <vt:lpstr>项目看板</vt:lpstr>
      <vt:lpstr>Booking Details</vt:lpstr>
      <vt:lpstr>Booking Details（基础数据）</vt:lpstr>
      <vt:lpstr>UT 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SG 排班助手_WP_V3.1.4.xlsm</dc:title>
  <dc:subject/>
  <dc:creator>DELL</dc:creator>
  <cp:keywords/>
  <dc:description>10154C6E-5E7D-4C04-A246-0B5168DE8BD5</dc:description>
  <cp:lastModifiedBy>wei yang</cp:lastModifiedBy>
  <cp:revision/>
  <dcterms:created xsi:type="dcterms:W3CDTF">2015-06-05T18:19:34Z</dcterms:created>
  <dcterms:modified xsi:type="dcterms:W3CDTF">2026-10-11T01:45:49Z</dcterms:modified>
  <cp:category/>
  <cp:contentStatus/>
</cp:coreProperties>
</file>